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Z:\Repos\maestria\saber11-simulacros-antioquia\entrega\"/>
    </mc:Choice>
  </mc:AlternateContent>
  <xr:revisionPtr revIDLastSave="0" documentId="13_ncr:1_{D947638B-1609-46D4-BE5B-7A3F399D0679}" xr6:coauthVersionLast="47" xr6:coauthVersionMax="47" xr10:uidLastSave="{00000000-0000-0000-0000-000000000000}"/>
  <bookViews>
    <workbookView xWindow="3120" yWindow="3120" windowWidth="21600" windowHeight="11295" xr2:uid="{00000000-000D-0000-FFFF-FFFF00000000}"/>
  </bookViews>
  <sheets>
    <sheet name="1_Presentacion" sheetId="1" r:id="rId1"/>
    <sheet name="2_Datos" sheetId="2" r:id="rId2"/>
    <sheet name="3_Histograma" sheetId="3" r:id="rId3"/>
    <sheet name="4_Instituciones" sheetId="4" r:id="rId4"/>
    <sheet name="5_Referencia_ICFES" sheetId="5" r:id="rId5"/>
  </sheets>
  <definedNames>
    <definedName name="_xlnm._FilterDatabase" localSheetId="1" hidden="1">'2_Datos'!$A$14:$X$4668</definedName>
    <definedName name="_xlnm._FilterDatabase" localSheetId="3" hidden="1">'4_Instituciones'!$A$4:$M$105</definedName>
  </definedNames>
  <calcPr calcId="181029"/>
</workbook>
</file>

<file path=xl/calcChain.xml><?xml version="1.0" encoding="utf-8"?>
<calcChain xmlns="http://schemas.openxmlformats.org/spreadsheetml/2006/main">
  <c r="E33" i="3" l="1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F26" i="3" s="1"/>
  <c r="D26" i="3"/>
  <c r="G26" i="3" s="1"/>
  <c r="E25" i="3"/>
  <c r="F25" i="3" s="1"/>
  <c r="D25" i="3"/>
  <c r="E24" i="3"/>
  <c r="F24" i="3" s="1"/>
  <c r="D24" i="3"/>
  <c r="E23" i="3"/>
  <c r="F23" i="3" s="1"/>
  <c r="D23" i="3"/>
  <c r="E22" i="3"/>
  <c r="D22" i="3"/>
  <c r="E21" i="3"/>
  <c r="F21" i="3" s="1"/>
  <c r="D21" i="3"/>
  <c r="E20" i="3"/>
  <c r="F20" i="3" s="1"/>
  <c r="D20" i="3"/>
  <c r="E19" i="3"/>
  <c r="F19" i="3" s="1"/>
  <c r="D19" i="3"/>
  <c r="E18" i="3"/>
  <c r="F18" i="3" s="1"/>
  <c r="D18" i="3"/>
  <c r="G18" i="3" s="1"/>
  <c r="E17" i="3"/>
  <c r="F17" i="3" s="1"/>
  <c r="D17" i="3"/>
  <c r="E16" i="3"/>
  <c r="D16" i="3"/>
  <c r="C11" i="3"/>
  <c r="C10" i="3"/>
  <c r="C9" i="3"/>
  <c r="C8" i="3"/>
  <c r="G32" i="3" s="1"/>
  <c r="C7" i="3"/>
  <c r="C6" i="3"/>
  <c r="C5" i="3"/>
  <c r="D39" i="3" s="1"/>
  <c r="C10" i="2"/>
  <c r="B10" i="2"/>
  <c r="C9" i="2"/>
  <c r="B9" i="2"/>
  <c r="C8" i="2"/>
  <c r="B8" i="2"/>
  <c r="C7" i="2"/>
  <c r="B7" i="2"/>
  <c r="C6" i="2"/>
  <c r="B6" i="2"/>
  <c r="H5" i="2"/>
  <c r="G5" i="2"/>
  <c r="F5" i="2"/>
  <c r="E5" i="2"/>
  <c r="D5" i="2"/>
  <c r="C5" i="2"/>
  <c r="B5" i="2"/>
  <c r="G19" i="3" l="1"/>
  <c r="G27" i="3"/>
  <c r="F27" i="3"/>
  <c r="F28" i="3"/>
  <c r="C48" i="3"/>
  <c r="E48" i="3" s="1"/>
  <c r="G21" i="3"/>
  <c r="G29" i="3"/>
  <c r="F29" i="3"/>
  <c r="F30" i="3"/>
  <c r="G22" i="3"/>
  <c r="G30" i="3"/>
  <c r="F22" i="3"/>
  <c r="G23" i="3"/>
  <c r="G31" i="3"/>
  <c r="F31" i="3"/>
  <c r="E34" i="3"/>
  <c r="F32" i="3"/>
  <c r="G17" i="3"/>
  <c r="G25" i="3"/>
  <c r="G33" i="3"/>
  <c r="F33" i="3"/>
  <c r="C40" i="3"/>
  <c r="F16" i="3"/>
  <c r="D40" i="3"/>
  <c r="E40" i="3" s="1"/>
  <c r="G16" i="3"/>
  <c r="G20" i="3"/>
  <c r="G24" i="3"/>
  <c r="G28" i="3"/>
  <c r="C41" i="3"/>
  <c r="D41" i="3"/>
  <c r="E41" i="3" s="1"/>
  <c r="C42" i="3"/>
  <c r="D42" i="3"/>
  <c r="E42" i="3" s="1"/>
  <c r="C46" i="3"/>
  <c r="E46" i="3" s="1"/>
  <c r="C38" i="3"/>
  <c r="D38" i="3"/>
  <c r="E38" i="3" s="1"/>
  <c r="C47" i="3"/>
  <c r="E47" i="3" s="1"/>
  <c r="C39" i="3"/>
  <c r="E39" i="3" s="1"/>
  <c r="F34" i="3" l="1"/>
  <c r="G34" i="3"/>
</calcChain>
</file>

<file path=xl/sharedStrings.xml><?xml version="1.0" encoding="utf-8"?>
<sst xmlns="http://schemas.openxmlformats.org/spreadsheetml/2006/main" count="50721" uniqueCount="4728">
  <si>
    <t>Uso de Excel para analizar datos y aproximar la distribucion por medio de una variable aleatoria normal</t>
  </si>
  <si>
    <t>Matematica para Ciencias de la Computacion, Unidad 2 Entrega 1, Grupo J02</t>
  </si>
  <si>
    <t>INTEGRANTES</t>
  </si>
  <si>
    <t>Integrante</t>
  </si>
  <si>
    <t>Paquete de datos aportado</t>
  </si>
  <si>
    <t>Andres Felipe Serrano Barrios</t>
  </si>
  <si>
    <t>Grupos UdeA, I.E. Rural El Tablazo y Envigado (14 colegios)</t>
  </si>
  <si>
    <t>David Jose Cardenas Labrador</t>
  </si>
  <si>
    <t>Rionegro (12 instituciones)</t>
  </si>
  <si>
    <t>Santiago Garcia Castrillon</t>
  </si>
  <si>
    <t>Semestre Cero (73 instituciones de 60 municipios de Antioquia)</t>
  </si>
  <si>
    <t>BASE DE DATOS</t>
  </si>
  <si>
    <t>Nombre</t>
  </si>
  <si>
    <t>Simulacros Saber 11 en Antioquia, 2026-1 (pruebas de preparacion aplicadas por los programas PreSaber)</t>
  </si>
  <si>
    <t>Naturaleza</t>
  </si>
  <si>
    <t>Datos propios del equipo, recolectados en la aplicacion de los simulacros. Anonimizados en origen.</t>
  </si>
  <si>
    <t>Repositorio</t>
  </si>
  <si>
    <t>https://github.com/AndresFSerrano/saber11-simulacros-antioquia (privado)</t>
  </si>
  <si>
    <t>Cobertura</t>
  </si>
  <si>
    <t>101 instituciones educativas, 63 municipios de Antioquia</t>
  </si>
  <si>
    <t>Referencia oficial</t>
  </si>
  <si>
    <t>Saber 11 por establecimiento, periodo 2022-2. Dataset abierto kgxf-xxbe</t>
  </si>
  <si>
    <t>https://www.datos.gov.co/resource/kgxf-xxbe.json (Portal de Datos Abiertos de Colombia)</t>
  </si>
  <si>
    <t>VARIABLE DE INTERES</t>
  </si>
  <si>
    <t>Variable</t>
  </si>
  <si>
    <t>Puntaje Global del simulacro Saber 11</t>
  </si>
  <si>
    <t>Tipo</t>
  </si>
  <si>
    <t>Cuantitativa continua</t>
  </si>
  <si>
    <t>Escala</t>
  </si>
  <si>
    <t>0 a 500 puntos</t>
  </si>
  <si>
    <t>Definicion</t>
  </si>
  <si>
    <t>Puntaje Global = ((3*LC + 3*Mat + 3*Soc + 3*CN + 1*Ing) / 13) * 5, con cada area en escala 0 a 100</t>
  </si>
  <si>
    <t>Motivacion</t>
  </si>
  <si>
    <t>Es el indicador que ordena el acceso a la educacion superior en Colombia y resume las cinco areas en una sola medida comparable entre instituciones y municipios.</t>
  </si>
  <si>
    <t>Otras variables</t>
  </si>
  <si>
    <t>Puntajes por area (0 a 100), institucion, municipio, sector, coordenadas y grupo de aplicacion.</t>
  </si>
  <si>
    <t>CRITERIOS DE ANALISIS</t>
  </si>
  <si>
    <t>Registros recolectados</t>
  </si>
  <si>
    <t>4654</t>
  </si>
  <si>
    <t>Registros analizados</t>
  </si>
  <si>
    <t>4180</t>
  </si>
  <si>
    <t>Exclusion 1</t>
  </si>
  <si>
    <t>Segunda aplicacion del mismo estudiante: 473 registros. Rionegro aplico dos simulacros a los mismos estudiantes; las demas fuentes aplicaron uno solo. Se analiza el Simulacro 1 en todas las fuentes para que cada estudiante entre una sola vez y las observaciones sean independientes.</t>
  </si>
  <si>
    <t>Exclusion 2</t>
  </si>
  <si>
    <t>Puntaje global igual a 0: 1 registro. Corresponde a un estudiante ausente, no a una medicion valida.</t>
  </si>
  <si>
    <t>Reversibilidad</t>
  </si>
  <si>
    <t>Ningun registro se borro. La hoja 2_Datos conserva las 4654 filas con la marca en_analisis y el motivo. Cambiar esa marca actualiza todos los calculos del libro.</t>
  </si>
  <si>
    <t>PENDIENTE POR CONFIRMAR</t>
  </si>
  <si>
    <t>Tablazo y Antonio Donado</t>
  </si>
  <si>
    <t>I.E. Rural El Tablazo (paquete Andres, 22 estudiantes, grupo 11-01) y Antonio Donado (paquete Rionegro, 28 estudiantes, grupos G1 a G3) estan ambas en Rionegro y podrian ser el mismo establecimiento. Los promedios difieren bastante en Simulacro 1 (222.5 frente a 180.4) y los grupos de aplicacion no coinciden, asi que se mantienen separadas. Confirmar con David antes de la entrega.</t>
  </si>
  <si>
    <t>TABLA RESUMEN DEL PUNTAJE GLOBAL</t>
  </si>
  <si>
    <t>Calculada sobre los registros con en_analisis = SI. Las formulas leen el rango de datos hasta la fila 60000, de modo que se actualizan solas si se agregan filas o se cambia la marca.</t>
  </si>
  <si>
    <t>Grupo</t>
  </si>
  <si>
    <t>n</t>
  </si>
  <si>
    <t>Media</t>
  </si>
  <si>
    <t>Mediana</t>
  </si>
  <si>
    <t>Desviacion</t>
  </si>
  <si>
    <t>Varianza</t>
  </si>
  <si>
    <t>Minimo</t>
  </si>
  <si>
    <t>Maximo</t>
  </si>
  <si>
    <t>CONSOLIDADO</t>
  </si>
  <si>
    <t>UdeA</t>
  </si>
  <si>
    <t>Envigado</t>
  </si>
  <si>
    <t>Tablazo</t>
  </si>
  <si>
    <t>Rionegro</t>
  </si>
  <si>
    <t>Semestre Cero</t>
  </si>
  <si>
    <t>La mediana, la desviacion y la varianza por fuente son valores calculados; el consolidado si es formula viva.</t>
  </si>
  <si>
    <t>id_anon</t>
  </si>
  <si>
    <t>fuente</t>
  </si>
  <si>
    <t>institucion</t>
  </si>
  <si>
    <t>institucion_fuente</t>
  </si>
  <si>
    <t>municipio</t>
  </si>
  <si>
    <t>departamento</t>
  </si>
  <si>
    <t>sector</t>
  </si>
  <si>
    <t>latitud</t>
  </si>
  <si>
    <t>longitud</t>
  </si>
  <si>
    <t>grupo</t>
  </si>
  <si>
    <t>simulacro</t>
  </si>
  <si>
    <t>sesion_original</t>
  </si>
  <si>
    <t>grado</t>
  </si>
  <si>
    <t>correctas</t>
  </si>
  <si>
    <t>total_preguntas</t>
  </si>
  <si>
    <t>puntaje_global</t>
  </si>
  <si>
    <t>lectura_critica</t>
  </si>
  <si>
    <t>matematicas</t>
  </si>
  <si>
    <t>sociales</t>
  </si>
  <si>
    <t>ciencias_naturales</t>
  </si>
  <si>
    <t>ingles</t>
  </si>
  <si>
    <t>en_analisis</t>
  </si>
  <si>
    <t>motivo_exclusion</t>
  </si>
  <si>
    <t>puntaje_analisis</t>
  </si>
  <si>
    <t>UDEA-0001</t>
  </si>
  <si>
    <t>Grupos UdeA</t>
  </si>
  <si>
    <t>Medellín</t>
  </si>
  <si>
    <t>Antioquia</t>
  </si>
  <si>
    <t>Público (preuniversitario UdeA)</t>
  </si>
  <si>
    <t>G1</t>
  </si>
  <si>
    <t>Simulacro 1</t>
  </si>
  <si>
    <t>A+B</t>
  </si>
  <si>
    <t>SI</t>
  </si>
  <si>
    <t>UDEA-0002</t>
  </si>
  <si>
    <t>UDEA-0003</t>
  </si>
  <si>
    <t>UDEA-0004</t>
  </si>
  <si>
    <t>UDEA-0005</t>
  </si>
  <si>
    <t>UDEA-0006</t>
  </si>
  <si>
    <t>UDEA-0007</t>
  </si>
  <si>
    <t>UDEA-0008</t>
  </si>
  <si>
    <t>UDEA-0009</t>
  </si>
  <si>
    <t>UDEA-0010</t>
  </si>
  <si>
    <t>UDEA-0011</t>
  </si>
  <si>
    <t>UDEA-0012</t>
  </si>
  <si>
    <t>UDEA-0013</t>
  </si>
  <si>
    <t>UDEA-0014</t>
  </si>
  <si>
    <t>UDEA-0015</t>
  </si>
  <si>
    <t>UDEA-0016</t>
  </si>
  <si>
    <t>UDEA-0017</t>
  </si>
  <si>
    <t>UDEA-0018</t>
  </si>
  <si>
    <t>UDEA-0019</t>
  </si>
  <si>
    <t>UDEA-0020</t>
  </si>
  <si>
    <t>UDEA-0021</t>
  </si>
  <si>
    <t>UDEA-0022</t>
  </si>
  <si>
    <t>UDEA-0023</t>
  </si>
  <si>
    <t>UDEA-0024</t>
  </si>
  <si>
    <t>UDEA-0025</t>
  </si>
  <si>
    <t>UDEA-0026</t>
  </si>
  <si>
    <t>UDEA-0027</t>
  </si>
  <si>
    <t>UDEA-0028</t>
  </si>
  <si>
    <t>UDEA-0029</t>
  </si>
  <si>
    <t>UDEA-0030</t>
  </si>
  <si>
    <t>G2</t>
  </si>
  <si>
    <t>UDEA-0031</t>
  </si>
  <si>
    <t>UDEA-0032</t>
  </si>
  <si>
    <t>A</t>
  </si>
  <si>
    <t>UDEA-0033</t>
  </si>
  <si>
    <t>UDEA-0034</t>
  </si>
  <si>
    <t>UDEA-0035</t>
  </si>
  <si>
    <t>UDEA-0036</t>
  </si>
  <si>
    <t>UDEA-0037</t>
  </si>
  <si>
    <t>UDEA-0038</t>
  </si>
  <si>
    <t>UDEA-0039</t>
  </si>
  <si>
    <t>UDEA-0040</t>
  </si>
  <si>
    <t>UDEA-0041</t>
  </si>
  <si>
    <t>UDEA-0042</t>
  </si>
  <si>
    <t>UDEA-0043</t>
  </si>
  <si>
    <t>UDEA-0044</t>
  </si>
  <si>
    <t>UDEA-0045</t>
  </si>
  <si>
    <t>UDEA-0046</t>
  </si>
  <si>
    <t>UDEA-0047</t>
  </si>
  <si>
    <t>UDEA-0048</t>
  </si>
  <si>
    <t>UDEA-0049</t>
  </si>
  <si>
    <t>UDEA-0050</t>
  </si>
  <si>
    <t>UDEA-0051</t>
  </si>
  <si>
    <t>UDEA-0052</t>
  </si>
  <si>
    <t>UDEA-0053</t>
  </si>
  <si>
    <t>UDEA-0054</t>
  </si>
  <si>
    <t>UDEA-0055</t>
  </si>
  <si>
    <t>UDEA-0056</t>
  </si>
  <si>
    <t>G4</t>
  </si>
  <si>
    <t>UDEA-0057</t>
  </si>
  <si>
    <t>UDEA-0058</t>
  </si>
  <si>
    <t>UDEA-0059</t>
  </si>
  <si>
    <t>UDEA-0060</t>
  </si>
  <si>
    <t>UDEA-0061</t>
  </si>
  <si>
    <t>UDEA-0062</t>
  </si>
  <si>
    <t>UDEA-0063</t>
  </si>
  <si>
    <t>UDEA-0064</t>
  </si>
  <si>
    <t>UDEA-0065</t>
  </si>
  <si>
    <t>UDEA-0066</t>
  </si>
  <si>
    <t>UDEA-0067</t>
  </si>
  <si>
    <t>UDEA-0068</t>
  </si>
  <si>
    <t>UDEA-0069</t>
  </si>
  <si>
    <t>UDEA-0070</t>
  </si>
  <si>
    <t>UDEA-0071</t>
  </si>
  <si>
    <t>UDEA-0072</t>
  </si>
  <si>
    <t>UDEA-0073</t>
  </si>
  <si>
    <t>UDEA-0074</t>
  </si>
  <si>
    <t>UDEA-0075</t>
  </si>
  <si>
    <t>UDEA-0076</t>
  </si>
  <si>
    <t>UDEA-0077</t>
  </si>
  <si>
    <t>UDEA-0078</t>
  </si>
  <si>
    <t>UDEA-0079</t>
  </si>
  <si>
    <t>UDEA-0080</t>
  </si>
  <si>
    <t>UDEA-0081</t>
  </si>
  <si>
    <t>UDEA-0082</t>
  </si>
  <si>
    <t>UDEA-0083</t>
  </si>
  <si>
    <t>UDEA-0084</t>
  </si>
  <si>
    <t>UDEA-0085</t>
  </si>
  <si>
    <t>UDEA-0086</t>
  </si>
  <si>
    <t>UDEA-0087</t>
  </si>
  <si>
    <t>UDEA-0088</t>
  </si>
  <si>
    <t>G5</t>
  </si>
  <si>
    <t>UDEA-0089</t>
  </si>
  <si>
    <t>UDEA-0090</t>
  </si>
  <si>
    <t>UDEA-0091</t>
  </si>
  <si>
    <t>UDEA-0092</t>
  </si>
  <si>
    <t>UDEA-0093</t>
  </si>
  <si>
    <t>UDEA-0094</t>
  </si>
  <si>
    <t>UDEA-0095</t>
  </si>
  <si>
    <t>UDEA-0096</t>
  </si>
  <si>
    <t>UDEA-0097</t>
  </si>
  <si>
    <t>UDEA-0098</t>
  </si>
  <si>
    <t>UDEA-0099</t>
  </si>
  <si>
    <t>UDEA-0100</t>
  </si>
  <si>
    <t>UDEA-0101</t>
  </si>
  <si>
    <t>UDEA-0102</t>
  </si>
  <si>
    <t>UDEA-0103</t>
  </si>
  <si>
    <t>UDEA-0104</t>
  </si>
  <si>
    <t>UDEA-0105</t>
  </si>
  <si>
    <t>UDEA-0106</t>
  </si>
  <si>
    <t>UDEA-0107</t>
  </si>
  <si>
    <t>UDEA-0108</t>
  </si>
  <si>
    <t>UDEA-0109</t>
  </si>
  <si>
    <t>UDEA-0110</t>
  </si>
  <si>
    <t>UDEA-0111</t>
  </si>
  <si>
    <t>UDEA-0112</t>
  </si>
  <si>
    <t>UDEA-0113</t>
  </si>
  <si>
    <t>UDEA-0114</t>
  </si>
  <si>
    <t>UDEA-0115</t>
  </si>
  <si>
    <t>UDEA-0116</t>
  </si>
  <si>
    <t>UDEA-0117</t>
  </si>
  <si>
    <t>UDEA-0118</t>
  </si>
  <si>
    <t>UDEA-0119</t>
  </si>
  <si>
    <t>UDEA-0120</t>
  </si>
  <si>
    <t>UDEA-0121</t>
  </si>
  <si>
    <t>UDEA-0122</t>
  </si>
  <si>
    <t>UDEA-0123</t>
  </si>
  <si>
    <t>UDEA-0124</t>
  </si>
  <si>
    <t>UDEA-0125</t>
  </si>
  <si>
    <t>UDEA-0126</t>
  </si>
  <si>
    <t>UDEA-0127</t>
  </si>
  <si>
    <t>UDEA-0128</t>
  </si>
  <si>
    <t>UDEA-0129</t>
  </si>
  <si>
    <t>UDEA-0130</t>
  </si>
  <si>
    <t>UDEA-0131</t>
  </si>
  <si>
    <t>UDEA-0132</t>
  </si>
  <si>
    <t>UDEA-0133</t>
  </si>
  <si>
    <t>UDEA-0134</t>
  </si>
  <si>
    <t>UDEA-0135</t>
  </si>
  <si>
    <t>UDEA-0136</t>
  </si>
  <si>
    <t>UDEA-0137</t>
  </si>
  <si>
    <t>UDEA-0138</t>
  </si>
  <si>
    <t>UDEA-0139</t>
  </si>
  <si>
    <t>G6</t>
  </si>
  <si>
    <t>UDEA-0140</t>
  </si>
  <si>
    <t>UDEA-0141</t>
  </si>
  <si>
    <t>UDEA-0142</t>
  </si>
  <si>
    <t>UDEA-0143</t>
  </si>
  <si>
    <t>UDEA-0144</t>
  </si>
  <si>
    <t>UDEA-0145</t>
  </si>
  <si>
    <t>UDEA-0146</t>
  </si>
  <si>
    <t>UDEA-0147</t>
  </si>
  <si>
    <t>UDEA-0148</t>
  </si>
  <si>
    <t>UDEA-0149</t>
  </si>
  <si>
    <t>UDEA-0150</t>
  </si>
  <si>
    <t>UDEA-0151</t>
  </si>
  <si>
    <t>UDEA-0152</t>
  </si>
  <si>
    <t>UDEA-0153</t>
  </si>
  <si>
    <t>UDEA-0154</t>
  </si>
  <si>
    <t>UDEA-0155</t>
  </si>
  <si>
    <t>UDEA-0156</t>
  </si>
  <si>
    <t>UDEA-0157</t>
  </si>
  <si>
    <t>UDEA-0158</t>
  </si>
  <si>
    <t>UDEA-0159</t>
  </si>
  <si>
    <t>B</t>
  </si>
  <si>
    <t>UDEA-0160</t>
  </si>
  <si>
    <t>UDEA-0161</t>
  </si>
  <si>
    <t>UDEA-0162</t>
  </si>
  <si>
    <t>UDEA-0163</t>
  </si>
  <si>
    <t>NO</t>
  </si>
  <si>
    <t>Puntaje 0, estudiante ausente</t>
  </si>
  <si>
    <t>UDEA-0164</t>
  </si>
  <si>
    <t>X</t>
  </si>
  <si>
    <t>UDEA-0165</t>
  </si>
  <si>
    <t>UDEA-0166</t>
  </si>
  <si>
    <t>ENV-0001</t>
  </si>
  <si>
    <t>Alejandro Vélez Barrientos</t>
  </si>
  <si>
    <t>ALEJANDRO VÉLEZ BARRIENTOS</t>
  </si>
  <si>
    <t>Oficial</t>
  </si>
  <si>
    <t>ENV-0002</t>
  </si>
  <si>
    <t>ENV-0003</t>
  </si>
  <si>
    <t>ENV-0004</t>
  </si>
  <si>
    <t>ENV-0005</t>
  </si>
  <si>
    <t>ENV-0006</t>
  </si>
  <si>
    <t>ENV-0007</t>
  </si>
  <si>
    <t>ENV-0008</t>
  </si>
  <si>
    <t>ENV-0009</t>
  </si>
  <si>
    <t>ENV-0010</t>
  </si>
  <si>
    <t>ENV-0011</t>
  </si>
  <si>
    <t>ENV-0012</t>
  </si>
  <si>
    <t>ENV-0013</t>
  </si>
  <si>
    <t>ENV-0014</t>
  </si>
  <si>
    <t>ENV-0015</t>
  </si>
  <si>
    <t>ENV-0016</t>
  </si>
  <si>
    <t>ENV-0017</t>
  </si>
  <si>
    <t>ENV-0018</t>
  </si>
  <si>
    <t>ENV-0019</t>
  </si>
  <si>
    <t>ENV-0020</t>
  </si>
  <si>
    <t>ENV-0021</t>
  </si>
  <si>
    <t>ENV-0022</t>
  </si>
  <si>
    <t>ENV-0023</t>
  </si>
  <si>
    <t>ENV-0024</t>
  </si>
  <si>
    <t>ENV-0025</t>
  </si>
  <si>
    <t>ENV-0026</t>
  </si>
  <si>
    <t>ENV-0027</t>
  </si>
  <si>
    <t>ENV-0028</t>
  </si>
  <si>
    <t>ENV-0029</t>
  </si>
  <si>
    <t>ENV-0030</t>
  </si>
  <si>
    <t>ENV-0031</t>
  </si>
  <si>
    <t>ENV-0032</t>
  </si>
  <si>
    <t>ENV-0033</t>
  </si>
  <si>
    <t>ENV-0034</t>
  </si>
  <si>
    <t>ENV-0035</t>
  </si>
  <si>
    <t>ENV-0036</t>
  </si>
  <si>
    <t>ENV-0037</t>
  </si>
  <si>
    <t>ENV-0038</t>
  </si>
  <si>
    <t>ENV-0039</t>
  </si>
  <si>
    <t>ENV-0040</t>
  </si>
  <si>
    <t>ENV-0041</t>
  </si>
  <si>
    <t>ENV-0042</t>
  </si>
  <si>
    <t>ENV-0043</t>
  </si>
  <si>
    <t>ENV-0044</t>
  </si>
  <si>
    <t>ENV-0045</t>
  </si>
  <si>
    <t>ENV-0046</t>
  </si>
  <si>
    <t>ENV-0047</t>
  </si>
  <si>
    <t>ENV-0048</t>
  </si>
  <si>
    <t>ENV-0049</t>
  </si>
  <si>
    <t>ENV-0050</t>
  </si>
  <si>
    <t>ENV-0051</t>
  </si>
  <si>
    <t>ENV-0052</t>
  </si>
  <si>
    <t>ENV-0053</t>
  </si>
  <si>
    <t>ENV-0054</t>
  </si>
  <si>
    <t>ENV-0055</t>
  </si>
  <si>
    <t>ENV-0056</t>
  </si>
  <si>
    <t>ENV-0057</t>
  </si>
  <si>
    <t>ENV-0058</t>
  </si>
  <si>
    <t>ENV-0059</t>
  </si>
  <si>
    <t>ENV-0060</t>
  </si>
  <si>
    <t>ENV-0061</t>
  </si>
  <si>
    <t>ENV-0062</t>
  </si>
  <si>
    <t>ENV-0063</t>
  </si>
  <si>
    <t>ENV-0064</t>
  </si>
  <si>
    <t>ENV-0065</t>
  </si>
  <si>
    <t>ENV-0066</t>
  </si>
  <si>
    <t>ENV-0067</t>
  </si>
  <si>
    <t>ENV-0068</t>
  </si>
  <si>
    <t>ENV-0069</t>
  </si>
  <si>
    <t>ENV-0070</t>
  </si>
  <si>
    <t>Comercial</t>
  </si>
  <si>
    <t>COMERCIAL</t>
  </si>
  <si>
    <t>ENV-0071</t>
  </si>
  <si>
    <t>ENV-0072</t>
  </si>
  <si>
    <t>ENV-0073</t>
  </si>
  <si>
    <t>ENV-0074</t>
  </si>
  <si>
    <t>ENV-0075</t>
  </si>
  <si>
    <t>ENV-0076</t>
  </si>
  <si>
    <t>ENV-0077</t>
  </si>
  <si>
    <t>ENV-0078</t>
  </si>
  <si>
    <t>ENV-0079</t>
  </si>
  <si>
    <t>ENV-0080</t>
  </si>
  <si>
    <t>ENV-0081</t>
  </si>
  <si>
    <t>ENV-0082</t>
  </si>
  <si>
    <t>ENV-0083</t>
  </si>
  <si>
    <t>ENV-0084</t>
  </si>
  <si>
    <t>ENV-0085</t>
  </si>
  <si>
    <t>ENV-0086</t>
  </si>
  <si>
    <t>ENV-0087</t>
  </si>
  <si>
    <t>ENV-0088</t>
  </si>
  <si>
    <t>ENV-0089</t>
  </si>
  <si>
    <t>ENV-0090</t>
  </si>
  <si>
    <t>ENV-0091</t>
  </si>
  <si>
    <t>ENV-0092</t>
  </si>
  <si>
    <t>ENV-0093</t>
  </si>
  <si>
    <t>ENV-0094</t>
  </si>
  <si>
    <t>ENV-0095</t>
  </si>
  <si>
    <t>ENV-0096</t>
  </si>
  <si>
    <t>ENV-0097</t>
  </si>
  <si>
    <t>ENV-0098</t>
  </si>
  <si>
    <t>ENV-0099</t>
  </si>
  <si>
    <t>ENV-0100</t>
  </si>
  <si>
    <t>ENV-0101</t>
  </si>
  <si>
    <t>ENV-0102</t>
  </si>
  <si>
    <t>ENV-0103</t>
  </si>
  <si>
    <t>ENV-0104</t>
  </si>
  <si>
    <t>ENV-0105</t>
  </si>
  <si>
    <t>ENV-0106</t>
  </si>
  <si>
    <t>ENV-0107</t>
  </si>
  <si>
    <t>ENV-0108</t>
  </si>
  <si>
    <t>ENV-0109</t>
  </si>
  <si>
    <t>ENV-0110</t>
  </si>
  <si>
    <t>ENV-0111</t>
  </si>
  <si>
    <t>ENV-0112</t>
  </si>
  <si>
    <t>ENV-0113</t>
  </si>
  <si>
    <t>ENV-0114</t>
  </si>
  <si>
    <t>ENV-0115</t>
  </si>
  <si>
    <t>ENV-0116</t>
  </si>
  <si>
    <t>ENV-0117</t>
  </si>
  <si>
    <t>ENV-0118</t>
  </si>
  <si>
    <t>ENV-0119</t>
  </si>
  <si>
    <t>ENV-0120</t>
  </si>
  <si>
    <t>ENV-0121</t>
  </si>
  <si>
    <t>ENV-0122</t>
  </si>
  <si>
    <t>ENV-0123</t>
  </si>
  <si>
    <t>ENV-0124</t>
  </si>
  <si>
    <t>ENV-0125</t>
  </si>
  <si>
    <t>ENV-0126</t>
  </si>
  <si>
    <t>ENV-0127</t>
  </si>
  <si>
    <t>ENV-0128</t>
  </si>
  <si>
    <t>ENV-0129</t>
  </si>
  <si>
    <t>ENV-0130</t>
  </si>
  <si>
    <t>ENV-0131</t>
  </si>
  <si>
    <t>ENV-0132</t>
  </si>
  <si>
    <t>ENV-0133</t>
  </si>
  <si>
    <t>ENV-0134</t>
  </si>
  <si>
    <t>ENV-0135</t>
  </si>
  <si>
    <t>ENV-0136</t>
  </si>
  <si>
    <t>ENV-0137</t>
  </si>
  <si>
    <t>ENV-0138</t>
  </si>
  <si>
    <t>ENV-0139</t>
  </si>
  <si>
    <t>ENV-0140</t>
  </si>
  <si>
    <t>ENV-0141</t>
  </si>
  <si>
    <t>ENV-0142</t>
  </si>
  <si>
    <t>Darío de Bedout</t>
  </si>
  <si>
    <t>DARÍO DE BEDOUT</t>
  </si>
  <si>
    <t>ENV-0143</t>
  </si>
  <si>
    <t>ENV-0144</t>
  </si>
  <si>
    <t>ENV-0145</t>
  </si>
  <si>
    <t>ENV-0146</t>
  </si>
  <si>
    <t>ENV-0147</t>
  </si>
  <si>
    <t>ENV-0148</t>
  </si>
  <si>
    <t>ENV-0149</t>
  </si>
  <si>
    <t>ENV-0150</t>
  </si>
  <si>
    <t>ENV-0151</t>
  </si>
  <si>
    <t>ENV-0152</t>
  </si>
  <si>
    <t>ENV-0153</t>
  </si>
  <si>
    <t>ENV-0154</t>
  </si>
  <si>
    <t>ENV-0155</t>
  </si>
  <si>
    <t>José Manuel Restrepo</t>
  </si>
  <si>
    <t>JOSÉ MANUEL RESTREPO</t>
  </si>
  <si>
    <t>ENV-0156</t>
  </si>
  <si>
    <t>ENV-0157</t>
  </si>
  <si>
    <t>ENV-0158</t>
  </si>
  <si>
    <t>ENV-0159</t>
  </si>
  <si>
    <t>ENV-0160</t>
  </si>
  <si>
    <t>ENV-0161</t>
  </si>
  <si>
    <t>ENV-0162</t>
  </si>
  <si>
    <t>ENV-0163</t>
  </si>
  <si>
    <t>ENV-0164</t>
  </si>
  <si>
    <t>ENV-0165</t>
  </si>
  <si>
    <t>ENV-0166</t>
  </si>
  <si>
    <t>ENV-0167</t>
  </si>
  <si>
    <t>ENV-0168</t>
  </si>
  <si>
    <t>ENV-0169</t>
  </si>
  <si>
    <t>ENV-0170</t>
  </si>
  <si>
    <t>ENV-0171</t>
  </si>
  <si>
    <t>ENV-0172</t>
  </si>
  <si>
    <t>ENV-0173</t>
  </si>
  <si>
    <t>ENV-0174</t>
  </si>
  <si>
    <t>ENV-0175</t>
  </si>
  <si>
    <t>ENV-0176</t>
  </si>
  <si>
    <t>ENV-0177</t>
  </si>
  <si>
    <t>ENV-0178</t>
  </si>
  <si>
    <t>ENV-0179</t>
  </si>
  <si>
    <t>ENV-0180</t>
  </si>
  <si>
    <t>ENV-0181</t>
  </si>
  <si>
    <t>ENV-0182</t>
  </si>
  <si>
    <t>ENV-0183</t>
  </si>
  <si>
    <t>ENV-0184</t>
  </si>
  <si>
    <t>ENV-0185</t>
  </si>
  <si>
    <t>ENV-0186</t>
  </si>
  <si>
    <t>ENV-0187</t>
  </si>
  <si>
    <t>ENV-0188</t>
  </si>
  <si>
    <t>ENV-0189</t>
  </si>
  <si>
    <t>ENV-0190</t>
  </si>
  <si>
    <t>ENV-0191</t>
  </si>
  <si>
    <t>ENV-0192</t>
  </si>
  <si>
    <t>ENV-0193</t>
  </si>
  <si>
    <t>ENV-0194</t>
  </si>
  <si>
    <t>ENV-0195</t>
  </si>
  <si>
    <t>ENV-0196</t>
  </si>
  <si>
    <t>ENV-0197</t>
  </si>
  <si>
    <t>ENV-0198</t>
  </si>
  <si>
    <t>ENV-0199</t>
  </si>
  <si>
    <t>ENV-0200</t>
  </si>
  <si>
    <t>ENV-0201</t>
  </si>
  <si>
    <t>ENV-0202</t>
  </si>
  <si>
    <t>ENV-0203</t>
  </si>
  <si>
    <t>ENV-0204</t>
  </si>
  <si>
    <t>ENV-0205</t>
  </si>
  <si>
    <t>ENV-0206</t>
  </si>
  <si>
    <t>ENV-0207</t>
  </si>
  <si>
    <t>ENV-0208</t>
  </si>
  <si>
    <t>ENV-0209</t>
  </si>
  <si>
    <t>ENV-0210</t>
  </si>
  <si>
    <t>ENV-0211</t>
  </si>
  <si>
    <t>ENV-0212</t>
  </si>
  <si>
    <t>ENV-0213</t>
  </si>
  <si>
    <t>ENV-0214</t>
  </si>
  <si>
    <t>ENV-0215</t>
  </si>
  <si>
    <t>ENV-0216</t>
  </si>
  <si>
    <t>ENV-0217</t>
  </si>
  <si>
    <t>ENV-0218</t>
  </si>
  <si>
    <t>ENV-0219</t>
  </si>
  <si>
    <t>ENV-0220</t>
  </si>
  <si>
    <t>ENV-0221</t>
  </si>
  <si>
    <t>ENV-0222</t>
  </si>
  <si>
    <t>ENV-0223</t>
  </si>
  <si>
    <t>ENV-0224</t>
  </si>
  <si>
    <t>ENV-0225</t>
  </si>
  <si>
    <t>ENV-0226</t>
  </si>
  <si>
    <t>ENV-0227</t>
  </si>
  <si>
    <t>ENV-0228</t>
  </si>
  <si>
    <t>ENV-0229</t>
  </si>
  <si>
    <t>ENV-0230</t>
  </si>
  <si>
    <t>ENV-0231</t>
  </si>
  <si>
    <t>ENV-0232</t>
  </si>
  <si>
    <t>ENV-0233</t>
  </si>
  <si>
    <t>ENV-0234</t>
  </si>
  <si>
    <t>ENV-0235</t>
  </si>
  <si>
    <t>ENV-0236</t>
  </si>
  <si>
    <t>ENV-0237</t>
  </si>
  <si>
    <t>ENV-0238</t>
  </si>
  <si>
    <t>ENV-0239</t>
  </si>
  <si>
    <t>ENV-0240</t>
  </si>
  <si>
    <t>ENV-0241</t>
  </si>
  <si>
    <t>ENV-0242</t>
  </si>
  <si>
    <t>ENV-0243</t>
  </si>
  <si>
    <t>ENV-0244</t>
  </si>
  <si>
    <t>ENV-0245</t>
  </si>
  <si>
    <t>ENV-0246</t>
  </si>
  <si>
    <t>José Miguel de la Calle</t>
  </si>
  <si>
    <t>JOSÉ MIGUEL DE LA CALLE</t>
  </si>
  <si>
    <t>ENV-0247</t>
  </si>
  <si>
    <t>ENV-0248</t>
  </si>
  <si>
    <t>ENV-0249</t>
  </si>
  <si>
    <t>ENV-0250</t>
  </si>
  <si>
    <t>ENV-0251</t>
  </si>
  <si>
    <t>ENV-0252</t>
  </si>
  <si>
    <t>ENV-0253</t>
  </si>
  <si>
    <t>ENV-0254</t>
  </si>
  <si>
    <t>ENV-0255</t>
  </si>
  <si>
    <t>ENV-0256</t>
  </si>
  <si>
    <t>ENV-0257</t>
  </si>
  <si>
    <t>ENV-0258</t>
  </si>
  <si>
    <t>ENV-0259</t>
  </si>
  <si>
    <t>ENV-0260</t>
  </si>
  <si>
    <t>ENV-0261</t>
  </si>
  <si>
    <t>ENV-0262</t>
  </si>
  <si>
    <t>ENV-0263</t>
  </si>
  <si>
    <t>ENV-0264</t>
  </si>
  <si>
    <t>ENV-0265</t>
  </si>
  <si>
    <t>ENV-0266</t>
  </si>
  <si>
    <t>ENV-0267</t>
  </si>
  <si>
    <t>ENV-0268</t>
  </si>
  <si>
    <t>ENV-0269</t>
  </si>
  <si>
    <t>ENV-0270</t>
  </si>
  <si>
    <t>ENV-0271</t>
  </si>
  <si>
    <t>ENV-0272</t>
  </si>
  <si>
    <t>ENV-0273</t>
  </si>
  <si>
    <t>ENV-0274</t>
  </si>
  <si>
    <t>ENV-0275</t>
  </si>
  <si>
    <t>ENV-0276</t>
  </si>
  <si>
    <t>ENV-0277</t>
  </si>
  <si>
    <t>ENV-0278</t>
  </si>
  <si>
    <t>ENV-0279</t>
  </si>
  <si>
    <t>ENV-0280</t>
  </si>
  <si>
    <t>ENV-0281</t>
  </si>
  <si>
    <t>ENV-0282</t>
  </si>
  <si>
    <t>ENV-0283</t>
  </si>
  <si>
    <t>ENV-0284</t>
  </si>
  <si>
    <t>ENV-0285</t>
  </si>
  <si>
    <t>ENV-0286</t>
  </si>
  <si>
    <t>ENV-0287</t>
  </si>
  <si>
    <t>ENV-0288</t>
  </si>
  <si>
    <t>ENV-0289</t>
  </si>
  <si>
    <t>ENV-0290</t>
  </si>
  <si>
    <t>ENV-0291</t>
  </si>
  <si>
    <t>ENV-0292</t>
  </si>
  <si>
    <t>ENV-0293</t>
  </si>
  <si>
    <t>ENV-0294</t>
  </si>
  <si>
    <t>ENV-0295</t>
  </si>
  <si>
    <t>La Paz</t>
  </si>
  <si>
    <t>LA PAZ</t>
  </si>
  <si>
    <t>ENV-0296</t>
  </si>
  <si>
    <t>ENV-0297</t>
  </si>
  <si>
    <t>ENV-0298</t>
  </si>
  <si>
    <t>ENV-0299</t>
  </si>
  <si>
    <t>ENV-0300</t>
  </si>
  <si>
    <t>ENV-0301</t>
  </si>
  <si>
    <t>ENV-0302</t>
  </si>
  <si>
    <t>ENV-0303</t>
  </si>
  <si>
    <t>ENV-0304</t>
  </si>
  <si>
    <t>ENV-0305</t>
  </si>
  <si>
    <t>ENV-0306</t>
  </si>
  <si>
    <t>ENV-0307</t>
  </si>
  <si>
    <t>ENV-0308</t>
  </si>
  <si>
    <t>ENV-0309</t>
  </si>
  <si>
    <t>ENV-0310</t>
  </si>
  <si>
    <t>ENV-0311</t>
  </si>
  <si>
    <t>ENV-0312</t>
  </si>
  <si>
    <t>ENV-0313</t>
  </si>
  <si>
    <t>ENV-0314</t>
  </si>
  <si>
    <t>ENV-0315</t>
  </si>
  <si>
    <t>ENV-0316</t>
  </si>
  <si>
    <t>ENV-0317</t>
  </si>
  <si>
    <t>ENV-0318</t>
  </si>
  <si>
    <t>ENV-0319</t>
  </si>
  <si>
    <t>ENV-0320</t>
  </si>
  <si>
    <t>ENV-0321</t>
  </si>
  <si>
    <t>ENV-0322</t>
  </si>
  <si>
    <t>ENV-0323</t>
  </si>
  <si>
    <t>ENV-0324</t>
  </si>
  <si>
    <t>ENV-0325</t>
  </si>
  <si>
    <t>ENV-0326</t>
  </si>
  <si>
    <t>ENV-0327</t>
  </si>
  <si>
    <t>ENV-0328</t>
  </si>
  <si>
    <t>ENV-0329</t>
  </si>
  <si>
    <t>ENV-0330</t>
  </si>
  <si>
    <t>ENV-0331</t>
  </si>
  <si>
    <t>ENV-0332</t>
  </si>
  <si>
    <t>ENV-0333</t>
  </si>
  <si>
    <t>ENV-0334</t>
  </si>
  <si>
    <t>ENV-0335</t>
  </si>
  <si>
    <t>ENV-0336</t>
  </si>
  <si>
    <t>ENV-0337</t>
  </si>
  <si>
    <t>ENV-0338</t>
  </si>
  <si>
    <t>ENV-0339</t>
  </si>
  <si>
    <t>ENV-0340</t>
  </si>
  <si>
    <t>ENV-0341</t>
  </si>
  <si>
    <t>ENV-0342</t>
  </si>
  <si>
    <t>ENV-0343</t>
  </si>
  <si>
    <t>ENV-0344</t>
  </si>
  <si>
    <t>ENV-0345</t>
  </si>
  <si>
    <t>ENV-0346</t>
  </si>
  <si>
    <t>ENV-0347</t>
  </si>
  <si>
    <t>ENV-0348</t>
  </si>
  <si>
    <t>ENV-0349</t>
  </si>
  <si>
    <t>ENV-0350</t>
  </si>
  <si>
    <t>ENV-0351</t>
  </si>
  <si>
    <t>ENV-0352</t>
  </si>
  <si>
    <t>ENV-0353</t>
  </si>
  <si>
    <t>ENV-0354</t>
  </si>
  <si>
    <t>ENV-0355</t>
  </si>
  <si>
    <t>ENV-0356</t>
  </si>
  <si>
    <t>ENV-0357</t>
  </si>
  <si>
    <t>ENV-0358</t>
  </si>
  <si>
    <t>ENV-0359</t>
  </si>
  <si>
    <t>ENV-0360</t>
  </si>
  <si>
    <t>ENV-0361</t>
  </si>
  <si>
    <t>ENV-0362</t>
  </si>
  <si>
    <t>ENV-0363</t>
  </si>
  <si>
    <t>ENV-0364</t>
  </si>
  <si>
    <t>ENV-0365</t>
  </si>
  <si>
    <t>ENV-0366</t>
  </si>
  <si>
    <t>ENV-0367</t>
  </si>
  <si>
    <t>ENV-0368</t>
  </si>
  <si>
    <t>ENV-0369</t>
  </si>
  <si>
    <t>ENV-0370</t>
  </si>
  <si>
    <t>ENV-0371</t>
  </si>
  <si>
    <t>ENV-0372</t>
  </si>
  <si>
    <t>ENV-0373</t>
  </si>
  <si>
    <t>ENV-0374</t>
  </si>
  <si>
    <t>ENV-0375</t>
  </si>
  <si>
    <t>ENV-0376</t>
  </si>
  <si>
    <t>ENV-0377</t>
  </si>
  <si>
    <t>ENV-0378</t>
  </si>
  <si>
    <t>ENV-0379</t>
  </si>
  <si>
    <t>ENV-0380</t>
  </si>
  <si>
    <t>ENV-0381</t>
  </si>
  <si>
    <t>ENV-0382</t>
  </si>
  <si>
    <t>ENV-0383</t>
  </si>
  <si>
    <t>ENV-0384</t>
  </si>
  <si>
    <t>ENV-0385</t>
  </si>
  <si>
    <t>ENV-0386</t>
  </si>
  <si>
    <t>ENV-0387</t>
  </si>
  <si>
    <t>ENV-0388</t>
  </si>
  <si>
    <t>ENV-0389</t>
  </si>
  <si>
    <t>ENV-0390</t>
  </si>
  <si>
    <t>ENV-0391</t>
  </si>
  <si>
    <t>ENV-0392</t>
  </si>
  <si>
    <t>ENV-0393</t>
  </si>
  <si>
    <t>ENV-0394</t>
  </si>
  <si>
    <t>ENV-0395</t>
  </si>
  <si>
    <t>ENV-0396</t>
  </si>
  <si>
    <t>ENV-0397</t>
  </si>
  <si>
    <t>ENV-0398</t>
  </si>
  <si>
    <t>ENV-0399</t>
  </si>
  <si>
    <t>ENV-0400</t>
  </si>
  <si>
    <t>ENV-0401</t>
  </si>
  <si>
    <t>ENV-0402</t>
  </si>
  <si>
    <t>ENV-0403</t>
  </si>
  <si>
    <t>ENV-0404</t>
  </si>
  <si>
    <t>ENV-0405</t>
  </si>
  <si>
    <t>ENV-0406</t>
  </si>
  <si>
    <t>ENV-0407</t>
  </si>
  <si>
    <t>ENV-0408</t>
  </si>
  <si>
    <t>ENV-0409</t>
  </si>
  <si>
    <t>ENV-0410</t>
  </si>
  <si>
    <t>ENV-0411</t>
  </si>
  <si>
    <t>ENV-0412</t>
  </si>
  <si>
    <t>ENV-0413</t>
  </si>
  <si>
    <t>ENV-0414</t>
  </si>
  <si>
    <t>ENV-0415</t>
  </si>
  <si>
    <t>ENV-0416</t>
  </si>
  <si>
    <t>ENV-0417</t>
  </si>
  <si>
    <t>ENV-0418</t>
  </si>
  <si>
    <t>ENV-0419</t>
  </si>
  <si>
    <t>ENV-0420</t>
  </si>
  <si>
    <t>ENV-0421</t>
  </si>
  <si>
    <t>ENV-0422</t>
  </si>
  <si>
    <t>ENV-0423</t>
  </si>
  <si>
    <t>ENV-0424</t>
  </si>
  <si>
    <t>ENV-0425</t>
  </si>
  <si>
    <t>ENV-0426</t>
  </si>
  <si>
    <t>ENV-0427</t>
  </si>
  <si>
    <t>ENV-0428</t>
  </si>
  <si>
    <t>ENV-0429</t>
  </si>
  <si>
    <t>ENV-0430</t>
  </si>
  <si>
    <t>ENV-0431</t>
  </si>
  <si>
    <t>ENV-0432</t>
  </si>
  <si>
    <t>ENV-0433</t>
  </si>
  <si>
    <t>ENV-0434</t>
  </si>
  <si>
    <t>Las Palmas</t>
  </si>
  <si>
    <t>LAS PALMAS</t>
  </si>
  <si>
    <t>ENV-0435</t>
  </si>
  <si>
    <t>ENV-0436</t>
  </si>
  <si>
    <t>ENV-0437</t>
  </si>
  <si>
    <t>ENV-0438</t>
  </si>
  <si>
    <t>ENV-0439</t>
  </si>
  <si>
    <t>ENV-0440</t>
  </si>
  <si>
    <t>ENV-0441</t>
  </si>
  <si>
    <t>ENV-0442</t>
  </si>
  <si>
    <t>ENV-0443</t>
  </si>
  <si>
    <t>ENV-0444</t>
  </si>
  <si>
    <t>ENV-0445</t>
  </si>
  <si>
    <t>ENV-0446</t>
  </si>
  <si>
    <t>ENV-0447</t>
  </si>
  <si>
    <t>ENV-0448</t>
  </si>
  <si>
    <t>ENV-0449</t>
  </si>
  <si>
    <t>ENV-0450</t>
  </si>
  <si>
    <t>ENV-0451</t>
  </si>
  <si>
    <t>ENV-0452</t>
  </si>
  <si>
    <t>ENV-0453</t>
  </si>
  <si>
    <t>ENV-0454</t>
  </si>
  <si>
    <t>ENV-0455</t>
  </si>
  <si>
    <t>ENV-0456</t>
  </si>
  <si>
    <t>ENV-0457</t>
  </si>
  <si>
    <t>ENV-0458</t>
  </si>
  <si>
    <t>ENV-0459</t>
  </si>
  <si>
    <t>ENV-0460</t>
  </si>
  <si>
    <t>ENV-0461</t>
  </si>
  <si>
    <t>ENV-0462</t>
  </si>
  <si>
    <t>ENV-0463</t>
  </si>
  <si>
    <t>ENV-0464</t>
  </si>
  <si>
    <t>ENV-0465</t>
  </si>
  <si>
    <t>ENV-0466</t>
  </si>
  <si>
    <t>ENV-0467</t>
  </si>
  <si>
    <t>ENV-0468</t>
  </si>
  <si>
    <t>ENV-0469</t>
  </si>
  <si>
    <t>ENV-0470</t>
  </si>
  <si>
    <t>ENV-0471</t>
  </si>
  <si>
    <t>ENV-0472</t>
  </si>
  <si>
    <t>ENV-0473</t>
  </si>
  <si>
    <t>ENV-0474</t>
  </si>
  <si>
    <t>Leticia Arango</t>
  </si>
  <si>
    <t>LETICIA ARANGO</t>
  </si>
  <si>
    <t>ENV-0475</t>
  </si>
  <si>
    <t>ENV-0476</t>
  </si>
  <si>
    <t>ENV-0477</t>
  </si>
  <si>
    <t>ENV-0478</t>
  </si>
  <si>
    <t>ENV-0479</t>
  </si>
  <si>
    <t>ENV-0480</t>
  </si>
  <si>
    <t>ENV-0481</t>
  </si>
  <si>
    <t>ENV-0482</t>
  </si>
  <si>
    <t>ENV-0483</t>
  </si>
  <si>
    <t>ENV-0484</t>
  </si>
  <si>
    <t>ENV-0485</t>
  </si>
  <si>
    <t>ENV-0486</t>
  </si>
  <si>
    <t>ENV-0487</t>
  </si>
  <si>
    <t>ENV-0488</t>
  </si>
  <si>
    <t>ENV-0489</t>
  </si>
  <si>
    <t>ENV-0490</t>
  </si>
  <si>
    <t>ENV-0491</t>
  </si>
  <si>
    <t>ENV-0492</t>
  </si>
  <si>
    <t>ENV-0493</t>
  </si>
  <si>
    <t>ENV-0494</t>
  </si>
  <si>
    <t>ENV-0495</t>
  </si>
  <si>
    <t>ENV-0496</t>
  </si>
  <si>
    <t>ENV-0497</t>
  </si>
  <si>
    <t>ENV-0498</t>
  </si>
  <si>
    <t>ENV-0499</t>
  </si>
  <si>
    <t>ENV-0500</t>
  </si>
  <si>
    <t>ENV-0501</t>
  </si>
  <si>
    <t>ENV-0502</t>
  </si>
  <si>
    <t>ENV-0503</t>
  </si>
  <si>
    <t>ENV-0504</t>
  </si>
  <si>
    <t>ENV-0505</t>
  </si>
  <si>
    <t>ENV-0506</t>
  </si>
  <si>
    <t>ENV-0507</t>
  </si>
  <si>
    <t>ENV-0508</t>
  </si>
  <si>
    <t>ENV-0509</t>
  </si>
  <si>
    <t>ENV-0510</t>
  </si>
  <si>
    <t>ENV-0511</t>
  </si>
  <si>
    <t>ENV-0512</t>
  </si>
  <si>
    <t>ENV-0513</t>
  </si>
  <si>
    <t>ENV-0514</t>
  </si>
  <si>
    <t>ENV-0515</t>
  </si>
  <si>
    <t>ENV-0516</t>
  </si>
  <si>
    <t>ENV-0517</t>
  </si>
  <si>
    <t>ENV-0518</t>
  </si>
  <si>
    <t>ENV-0519</t>
  </si>
  <si>
    <t>ENV-0520</t>
  </si>
  <si>
    <t>ENV-0521</t>
  </si>
  <si>
    <t>ENV-0522</t>
  </si>
  <si>
    <t>ENV-0523</t>
  </si>
  <si>
    <t>ENV-0524</t>
  </si>
  <si>
    <t>ENV-0525</t>
  </si>
  <si>
    <t>ENV-0526</t>
  </si>
  <si>
    <t>ENV-0527</t>
  </si>
  <si>
    <t>ENV-0528</t>
  </si>
  <si>
    <t>ENV-0529</t>
  </si>
  <si>
    <t>ENV-0530</t>
  </si>
  <si>
    <t>ENV-0531</t>
  </si>
  <si>
    <t>ENV-0532</t>
  </si>
  <si>
    <t>ENV-0533</t>
  </si>
  <si>
    <t>ENV-0534</t>
  </si>
  <si>
    <t>ENV-0535</t>
  </si>
  <si>
    <t>ENV-0536</t>
  </si>
  <si>
    <t>ENV-0537</t>
  </si>
  <si>
    <t>ENV-0538</t>
  </si>
  <si>
    <t>ENV-0539</t>
  </si>
  <si>
    <t>ENV-0540</t>
  </si>
  <si>
    <t>ENV-0541</t>
  </si>
  <si>
    <t>ENV-0542</t>
  </si>
  <si>
    <t>ENV-0543</t>
  </si>
  <si>
    <t>ENV-0544</t>
  </si>
  <si>
    <t>ENV-0545</t>
  </si>
  <si>
    <t>ENV-0546</t>
  </si>
  <si>
    <t>ENV-0547</t>
  </si>
  <si>
    <t>ENV-0548</t>
  </si>
  <si>
    <t>ENV-0549</t>
  </si>
  <si>
    <t>ENV-0550</t>
  </si>
  <si>
    <t>ENV-0551</t>
  </si>
  <si>
    <t>ENV-0552</t>
  </si>
  <si>
    <t>ENV-0553</t>
  </si>
  <si>
    <t>ENV-0554</t>
  </si>
  <si>
    <t>ENV-0555</t>
  </si>
  <si>
    <t>ENV-0556</t>
  </si>
  <si>
    <t>ENV-0557</t>
  </si>
  <si>
    <t>ENV-0558</t>
  </si>
  <si>
    <t>ENV-0559</t>
  </si>
  <si>
    <t>ENV-0560</t>
  </si>
  <si>
    <t>ENV-0561</t>
  </si>
  <si>
    <t>ENV-0562</t>
  </si>
  <si>
    <t>ENV-0563</t>
  </si>
  <si>
    <t>ENV-0564</t>
  </si>
  <si>
    <t>ENV-0565</t>
  </si>
  <si>
    <t>ENV-0566</t>
  </si>
  <si>
    <t>ENV-0567</t>
  </si>
  <si>
    <t>ENV-0568</t>
  </si>
  <si>
    <t>ENV-0569</t>
  </si>
  <si>
    <t>ENV-0570</t>
  </si>
  <si>
    <t>ENV-0571</t>
  </si>
  <si>
    <t>Manuel Uribe Ángel</t>
  </si>
  <si>
    <t>MANUEL URIBE ÁNGEL</t>
  </si>
  <si>
    <t>ENV-0572</t>
  </si>
  <si>
    <t>ENV-0573</t>
  </si>
  <si>
    <t>ENV-0574</t>
  </si>
  <si>
    <t>ENV-0575</t>
  </si>
  <si>
    <t>ENV-0576</t>
  </si>
  <si>
    <t>ENV-0577</t>
  </si>
  <si>
    <t>ENV-0578</t>
  </si>
  <si>
    <t>ENV-0579</t>
  </si>
  <si>
    <t>ENV-0580</t>
  </si>
  <si>
    <t>ENV-0581</t>
  </si>
  <si>
    <t>ENV-0582</t>
  </si>
  <si>
    <t>ENV-0583</t>
  </si>
  <si>
    <t>ENV-0584</t>
  </si>
  <si>
    <t>ENV-0585</t>
  </si>
  <si>
    <t>ENV-0586</t>
  </si>
  <si>
    <t>ENV-0587</t>
  </si>
  <si>
    <t>ENV-0588</t>
  </si>
  <si>
    <t>ENV-0589</t>
  </si>
  <si>
    <t>ENV-0590</t>
  </si>
  <si>
    <t>ENV-0591</t>
  </si>
  <si>
    <t>ENV-0592</t>
  </si>
  <si>
    <t>ENV-0593</t>
  </si>
  <si>
    <t>ENV-0594</t>
  </si>
  <si>
    <t>ENV-0595</t>
  </si>
  <si>
    <t>ENV-0596</t>
  </si>
  <si>
    <t>ENV-0597</t>
  </si>
  <si>
    <t>ENV-0598</t>
  </si>
  <si>
    <t>ENV-0599</t>
  </si>
  <si>
    <t>ENV-0600</t>
  </si>
  <si>
    <t>ENV-0601</t>
  </si>
  <si>
    <t>ENV-0602</t>
  </si>
  <si>
    <t>ENV-0603</t>
  </si>
  <si>
    <t>ENV-0604</t>
  </si>
  <si>
    <t>ENV-0605</t>
  </si>
  <si>
    <t>ENV-0606</t>
  </si>
  <si>
    <t>ENV-0607</t>
  </si>
  <si>
    <t>ENV-0608</t>
  </si>
  <si>
    <t>ENV-0609</t>
  </si>
  <si>
    <t>ENV-0610</t>
  </si>
  <si>
    <t>ENV-0611</t>
  </si>
  <si>
    <t>ENV-0612</t>
  </si>
  <si>
    <t>ENV-0613</t>
  </si>
  <si>
    <t>ENV-0614</t>
  </si>
  <si>
    <t>ENV-0615</t>
  </si>
  <si>
    <t>ENV-0616</t>
  </si>
  <si>
    <t>ENV-0617</t>
  </si>
  <si>
    <t>ENV-0618</t>
  </si>
  <si>
    <t>ENV-0619</t>
  </si>
  <si>
    <t>ENV-0620</t>
  </si>
  <si>
    <t>ENV-0621</t>
  </si>
  <si>
    <t>ENV-0622</t>
  </si>
  <si>
    <t>ENV-0623</t>
  </si>
  <si>
    <t>ENV-0624</t>
  </si>
  <si>
    <t>ENV-0625</t>
  </si>
  <si>
    <t>ENV-0626</t>
  </si>
  <si>
    <t>ENV-0627</t>
  </si>
  <si>
    <t>ENV-0628</t>
  </si>
  <si>
    <t>ENV-0629</t>
  </si>
  <si>
    <t>ENV-0630</t>
  </si>
  <si>
    <t>ENV-0631</t>
  </si>
  <si>
    <t>ENV-0632</t>
  </si>
  <si>
    <t>ENV-0633</t>
  </si>
  <si>
    <t>ENV-0634</t>
  </si>
  <si>
    <t>ENV-0635</t>
  </si>
  <si>
    <t>ENV-0636</t>
  </si>
  <si>
    <t>ENV-0637</t>
  </si>
  <si>
    <t>ENV-0638</t>
  </si>
  <si>
    <t>ENV-0639</t>
  </si>
  <si>
    <t>ENV-0640</t>
  </si>
  <si>
    <t>ENV-0641</t>
  </si>
  <si>
    <t>ENV-0642</t>
  </si>
  <si>
    <t>ENV-0643</t>
  </si>
  <si>
    <t>ENV-0644</t>
  </si>
  <si>
    <t>ENV-0645</t>
  </si>
  <si>
    <t>ENV-0646</t>
  </si>
  <si>
    <t>ENV-0647</t>
  </si>
  <si>
    <t>ENV-0648</t>
  </si>
  <si>
    <t>ENV-0649</t>
  </si>
  <si>
    <t>ENV-0650</t>
  </si>
  <si>
    <t>ENV-0651</t>
  </si>
  <si>
    <t>ENV-0652</t>
  </si>
  <si>
    <t>ENV-0653</t>
  </si>
  <si>
    <t>ENV-0654</t>
  </si>
  <si>
    <t>ENV-0655</t>
  </si>
  <si>
    <t>ENV-0656</t>
  </si>
  <si>
    <t>ENV-0657</t>
  </si>
  <si>
    <t>ENV-0658</t>
  </si>
  <si>
    <t>ENV-0659</t>
  </si>
  <si>
    <t>ENV-0660</t>
  </si>
  <si>
    <t>ENV-0661</t>
  </si>
  <si>
    <t>ENV-0662</t>
  </si>
  <si>
    <t>ENV-0663</t>
  </si>
  <si>
    <t>ENV-0664</t>
  </si>
  <si>
    <t>ENV-0665</t>
  </si>
  <si>
    <t>ENV-0666</t>
  </si>
  <si>
    <t>ENV-0667</t>
  </si>
  <si>
    <t>ENV-0668</t>
  </si>
  <si>
    <t>ENV-0669</t>
  </si>
  <si>
    <t>Martín Eduardo</t>
  </si>
  <si>
    <t>MARTÍN EDUARDO</t>
  </si>
  <si>
    <t>ENV-0670</t>
  </si>
  <si>
    <t>ENV-0671</t>
  </si>
  <si>
    <t>ENV-0672</t>
  </si>
  <si>
    <t>ENV-0673</t>
  </si>
  <si>
    <t>ENV-0674</t>
  </si>
  <si>
    <t>ENV-0675</t>
  </si>
  <si>
    <t>ENV-0676</t>
  </si>
  <si>
    <t>ENV-0677</t>
  </si>
  <si>
    <t>ENV-0678</t>
  </si>
  <si>
    <t>ENV-0679</t>
  </si>
  <si>
    <t>ENV-0680</t>
  </si>
  <si>
    <t>ENV-0681</t>
  </si>
  <si>
    <t>ENV-0682</t>
  </si>
  <si>
    <t>ENV-0683</t>
  </si>
  <si>
    <t>ENV-0684</t>
  </si>
  <si>
    <t>ENV-0685</t>
  </si>
  <si>
    <t>ENV-0686</t>
  </si>
  <si>
    <t>María Poussepin</t>
  </si>
  <si>
    <t>MARÍA POUSSEPIN</t>
  </si>
  <si>
    <t>ENV-0687</t>
  </si>
  <si>
    <t>ENV-0688</t>
  </si>
  <si>
    <t>ENV-0689</t>
  </si>
  <si>
    <t>ENV-0690</t>
  </si>
  <si>
    <t>ENV-0691</t>
  </si>
  <si>
    <t>ENV-0692</t>
  </si>
  <si>
    <t>ENV-0693</t>
  </si>
  <si>
    <t>ENV-0694</t>
  </si>
  <si>
    <t>ENV-0695</t>
  </si>
  <si>
    <t>ENV-0696</t>
  </si>
  <si>
    <t>ENV-0697</t>
  </si>
  <si>
    <t>ENV-0698</t>
  </si>
  <si>
    <t>ENV-0699</t>
  </si>
  <si>
    <t>ENV-0700</t>
  </si>
  <si>
    <t>ENV-0701</t>
  </si>
  <si>
    <t>ENV-0702</t>
  </si>
  <si>
    <t>ENV-0703</t>
  </si>
  <si>
    <t>ENV-0704</t>
  </si>
  <si>
    <t>ENV-0705</t>
  </si>
  <si>
    <t>ENV-0706</t>
  </si>
  <si>
    <t>ENV-0707</t>
  </si>
  <si>
    <t>Normal Superior</t>
  </si>
  <si>
    <t>NORMAL SUPERIOR</t>
  </si>
  <si>
    <t>ENV-0708</t>
  </si>
  <si>
    <t>ENV-0709</t>
  </si>
  <si>
    <t>ENV-0710</t>
  </si>
  <si>
    <t>ENV-0711</t>
  </si>
  <si>
    <t>ENV-0712</t>
  </si>
  <si>
    <t>ENV-0713</t>
  </si>
  <si>
    <t>ENV-0714</t>
  </si>
  <si>
    <t>ENV-0715</t>
  </si>
  <si>
    <t>ENV-0716</t>
  </si>
  <si>
    <t>ENV-0717</t>
  </si>
  <si>
    <t>ENV-0718</t>
  </si>
  <si>
    <t>ENV-0719</t>
  </si>
  <si>
    <t>ENV-0720</t>
  </si>
  <si>
    <t>ENV-0721</t>
  </si>
  <si>
    <t>ENV-0722</t>
  </si>
  <si>
    <t>ENV-0723</t>
  </si>
  <si>
    <t>ENV-0724</t>
  </si>
  <si>
    <t>ENV-0725</t>
  </si>
  <si>
    <t>ENV-0726</t>
  </si>
  <si>
    <t>ENV-0727</t>
  </si>
  <si>
    <t>ENV-0728</t>
  </si>
  <si>
    <t>ENV-0729</t>
  </si>
  <si>
    <t>ENV-0730</t>
  </si>
  <si>
    <t>ENV-0731</t>
  </si>
  <si>
    <t>ENV-0732</t>
  </si>
  <si>
    <t>ENV-0733</t>
  </si>
  <si>
    <t>ENV-0734</t>
  </si>
  <si>
    <t>ENV-0735</t>
  </si>
  <si>
    <t>ENV-0736</t>
  </si>
  <si>
    <t>ENV-0737</t>
  </si>
  <si>
    <t>ENV-0738</t>
  </si>
  <si>
    <t>ENV-0739</t>
  </si>
  <si>
    <t>ENV-0740</t>
  </si>
  <si>
    <t>ENV-0741</t>
  </si>
  <si>
    <t>ENV-0742</t>
  </si>
  <si>
    <t>ENV-0743</t>
  </si>
  <si>
    <t>ENV-0744</t>
  </si>
  <si>
    <t>ENV-0745</t>
  </si>
  <si>
    <t>ENV-0746</t>
  </si>
  <si>
    <t>ENV-0747</t>
  </si>
  <si>
    <t>ENV-0748</t>
  </si>
  <si>
    <t>ENV-0749</t>
  </si>
  <si>
    <t>ENV-0750</t>
  </si>
  <si>
    <t>ENV-0751</t>
  </si>
  <si>
    <t>ENV-0752</t>
  </si>
  <si>
    <t>ENV-0753</t>
  </si>
  <si>
    <t>ENV-0754</t>
  </si>
  <si>
    <t>ENV-0755</t>
  </si>
  <si>
    <t>ENV-0756</t>
  </si>
  <si>
    <t>ENV-0757</t>
  </si>
  <si>
    <t>ENV-0758</t>
  </si>
  <si>
    <t>ENV-0759</t>
  </si>
  <si>
    <t>ENV-0760</t>
  </si>
  <si>
    <t>ENV-0761</t>
  </si>
  <si>
    <t>ENV-0762</t>
  </si>
  <si>
    <t>ENV-0763</t>
  </si>
  <si>
    <t>ENV-0764</t>
  </si>
  <si>
    <t>ENV-0765</t>
  </si>
  <si>
    <t>ENV-0766</t>
  </si>
  <si>
    <t>ENV-0767</t>
  </si>
  <si>
    <t>ENV-0768</t>
  </si>
  <si>
    <t>ENV-0769</t>
  </si>
  <si>
    <t>ENV-0770</t>
  </si>
  <si>
    <t>ENV-0771</t>
  </si>
  <si>
    <t>ENV-0772</t>
  </si>
  <si>
    <t>ENV-0773</t>
  </si>
  <si>
    <t>ENV-0774</t>
  </si>
  <si>
    <t>ENV-0775</t>
  </si>
  <si>
    <t>ENV-0776</t>
  </si>
  <si>
    <t>ENV-0777</t>
  </si>
  <si>
    <t>ENV-0778</t>
  </si>
  <si>
    <t>ENV-0779</t>
  </si>
  <si>
    <t>ENV-0780</t>
  </si>
  <si>
    <t>ENV-0781</t>
  </si>
  <si>
    <t>ENV-0782</t>
  </si>
  <si>
    <t>ENV-0783</t>
  </si>
  <si>
    <t>ENV-0784</t>
  </si>
  <si>
    <t>ENV-0785</t>
  </si>
  <si>
    <t>ENV-0786</t>
  </si>
  <si>
    <t>ENV-0787</t>
  </si>
  <si>
    <t>ENV-0788</t>
  </si>
  <si>
    <t>ENV-0789</t>
  </si>
  <si>
    <t>ENV-0790</t>
  </si>
  <si>
    <t>ENV-0791</t>
  </si>
  <si>
    <t>ENV-0792</t>
  </si>
  <si>
    <t>ENV-0793</t>
  </si>
  <si>
    <t>ENV-0794</t>
  </si>
  <si>
    <t>ENV-0795</t>
  </si>
  <si>
    <t>ENV-0796</t>
  </si>
  <si>
    <t>ENV-0797</t>
  </si>
  <si>
    <t>ENV-0798</t>
  </si>
  <si>
    <t>ENV-0799</t>
  </si>
  <si>
    <t>ENV-0800</t>
  </si>
  <si>
    <t>ENV-0801</t>
  </si>
  <si>
    <t>ENV-0802</t>
  </si>
  <si>
    <t>ENV-0803</t>
  </si>
  <si>
    <t>ENV-0804</t>
  </si>
  <si>
    <t>ENV-0805</t>
  </si>
  <si>
    <t>ENV-0806</t>
  </si>
  <si>
    <t>ENV-0807</t>
  </si>
  <si>
    <t>ENV-0808</t>
  </si>
  <si>
    <t>ENV-0809</t>
  </si>
  <si>
    <t>ENV-0810</t>
  </si>
  <si>
    <t>ENV-0811</t>
  </si>
  <si>
    <t>ENV-0812</t>
  </si>
  <si>
    <t>ENV-0813</t>
  </si>
  <si>
    <t>ENV-0814</t>
  </si>
  <si>
    <t>ENV-0815</t>
  </si>
  <si>
    <t>ENV-0816</t>
  </si>
  <si>
    <t>ENV-0817</t>
  </si>
  <si>
    <t>ENV-0818</t>
  </si>
  <si>
    <t>ENV-0819</t>
  </si>
  <si>
    <t>ENV-0820</t>
  </si>
  <si>
    <t>ENV-0821</t>
  </si>
  <si>
    <t>ENV-0822</t>
  </si>
  <si>
    <t>ENV-0823</t>
  </si>
  <si>
    <t>ENV-0824</t>
  </si>
  <si>
    <t>ENV-0825</t>
  </si>
  <si>
    <t>ENV-0826</t>
  </si>
  <si>
    <t>ENV-0827</t>
  </si>
  <si>
    <t>ENV-0828</t>
  </si>
  <si>
    <t>ENV-0829</t>
  </si>
  <si>
    <t>ENV-0830</t>
  </si>
  <si>
    <t>ENV-0831</t>
  </si>
  <si>
    <t>ENV-0832</t>
  </si>
  <si>
    <t>ENV-0833</t>
  </si>
  <si>
    <t>ENV-0834</t>
  </si>
  <si>
    <t>ENV-0835</t>
  </si>
  <si>
    <t>ENV-0836</t>
  </si>
  <si>
    <t>ENV-0837</t>
  </si>
  <si>
    <t>ENV-0838</t>
  </si>
  <si>
    <t>ENV-0839</t>
  </si>
  <si>
    <t>ENV-0840</t>
  </si>
  <si>
    <t>ENV-0841</t>
  </si>
  <si>
    <t>ENV-0842</t>
  </si>
  <si>
    <t>ENV-0843</t>
  </si>
  <si>
    <t>ENV-0844</t>
  </si>
  <si>
    <t>ENV-0845</t>
  </si>
  <si>
    <t>ENV-0846</t>
  </si>
  <si>
    <t>ENV-0847</t>
  </si>
  <si>
    <t>ENV-0848</t>
  </si>
  <si>
    <t>ENV-0849</t>
  </si>
  <si>
    <t>ENV-0850</t>
  </si>
  <si>
    <t>ENV-0851</t>
  </si>
  <si>
    <t>ENV-0852</t>
  </si>
  <si>
    <t>ENV-0853</t>
  </si>
  <si>
    <t>ENV-0854</t>
  </si>
  <si>
    <t>Salado</t>
  </si>
  <si>
    <t>SALADO</t>
  </si>
  <si>
    <t>ENV-0855</t>
  </si>
  <si>
    <t>ENV-0856</t>
  </si>
  <si>
    <t>ENV-0857</t>
  </si>
  <si>
    <t>ENV-0858</t>
  </si>
  <si>
    <t>ENV-0859</t>
  </si>
  <si>
    <t>ENV-0860</t>
  </si>
  <si>
    <t>ENV-0861</t>
  </si>
  <si>
    <t>ENV-0862</t>
  </si>
  <si>
    <t>ENV-0863</t>
  </si>
  <si>
    <t>ENV-0864</t>
  </si>
  <si>
    <t>ENV-0865</t>
  </si>
  <si>
    <t>ENV-0866</t>
  </si>
  <si>
    <t>ENV-0867</t>
  </si>
  <si>
    <t>ENV-0868</t>
  </si>
  <si>
    <t>ENV-0869</t>
  </si>
  <si>
    <t>ENV-0870</t>
  </si>
  <si>
    <t>ENV-0871</t>
  </si>
  <si>
    <t>ENV-0872</t>
  </si>
  <si>
    <t>ENV-0873</t>
  </si>
  <si>
    <t>ENV-0874</t>
  </si>
  <si>
    <t>ENV-0875</t>
  </si>
  <si>
    <t>ENV-0876</t>
  </si>
  <si>
    <t>ENV-0877</t>
  </si>
  <si>
    <t>ENV-0878</t>
  </si>
  <si>
    <t>ENV-0879</t>
  </si>
  <si>
    <t>ENV-0880</t>
  </si>
  <si>
    <t>ENV-0881</t>
  </si>
  <si>
    <t>ENV-0882</t>
  </si>
  <si>
    <t>ENV-0883</t>
  </si>
  <si>
    <t>ENV-0884</t>
  </si>
  <si>
    <t>ENV-0885</t>
  </si>
  <si>
    <t>ENV-0886</t>
  </si>
  <si>
    <t>ENV-0887</t>
  </si>
  <si>
    <t>ENV-0888</t>
  </si>
  <si>
    <t>ENV-0889</t>
  </si>
  <si>
    <t>ENV-0890</t>
  </si>
  <si>
    <t>ENV-0891</t>
  </si>
  <si>
    <t>ENV-0892</t>
  </si>
  <si>
    <t>ENV-0893</t>
  </si>
  <si>
    <t>ENV-0894</t>
  </si>
  <si>
    <t>ENV-0895</t>
  </si>
  <si>
    <t>ENV-0896</t>
  </si>
  <si>
    <t>ENV-0897</t>
  </si>
  <si>
    <t>ENV-0898</t>
  </si>
  <si>
    <t>ENV-0899</t>
  </si>
  <si>
    <t>ENV-0900</t>
  </si>
  <si>
    <t>ENV-0901</t>
  </si>
  <si>
    <t>ENV-0902</t>
  </si>
  <si>
    <t>ENV-0903</t>
  </si>
  <si>
    <t>ENV-0904</t>
  </si>
  <si>
    <t>ENV-0905</t>
  </si>
  <si>
    <t>ENV-0906</t>
  </si>
  <si>
    <t>ENV-0907</t>
  </si>
  <si>
    <t>San Vicente</t>
  </si>
  <si>
    <t>SAN VICENTE</t>
  </si>
  <si>
    <t>ENV-0908</t>
  </si>
  <si>
    <t>ENV-0909</t>
  </si>
  <si>
    <t>ENV-0910</t>
  </si>
  <si>
    <t>ENV-0911</t>
  </si>
  <si>
    <t>ENV-0912</t>
  </si>
  <si>
    <t>ENV-0913</t>
  </si>
  <si>
    <t>ENV-0914</t>
  </si>
  <si>
    <t>ENV-0915</t>
  </si>
  <si>
    <t>ENV-0916</t>
  </si>
  <si>
    <t>ENV-0917</t>
  </si>
  <si>
    <t>ENV-0918</t>
  </si>
  <si>
    <t>ENV-0919</t>
  </si>
  <si>
    <t>ENV-0920</t>
  </si>
  <si>
    <t>ENV-0921</t>
  </si>
  <si>
    <t>ENV-0922</t>
  </si>
  <si>
    <t>ENV-0923</t>
  </si>
  <si>
    <t>ENV-0924</t>
  </si>
  <si>
    <t>ENV-0925</t>
  </si>
  <si>
    <t>ENV-0926</t>
  </si>
  <si>
    <t>ENV-0927</t>
  </si>
  <si>
    <t>ENV-0928</t>
  </si>
  <si>
    <t>ENV-0929</t>
  </si>
  <si>
    <t>ENV-0930</t>
  </si>
  <si>
    <t>ENV-0931</t>
  </si>
  <si>
    <t>ENV-0932</t>
  </si>
  <si>
    <t>ENV-0933</t>
  </si>
  <si>
    <t>ENV-0934</t>
  </si>
  <si>
    <t>ENV-0935</t>
  </si>
  <si>
    <t>ENV-0936</t>
  </si>
  <si>
    <t>ENV-0937</t>
  </si>
  <si>
    <t>ENV-0938</t>
  </si>
  <si>
    <t>TAB-0001</t>
  </si>
  <si>
    <t>I.E. Rural el Tablazo</t>
  </si>
  <si>
    <t>I.E. Rural El Tablazo</t>
  </si>
  <si>
    <t>11-01</t>
  </si>
  <si>
    <t>TAB-0002</t>
  </si>
  <si>
    <t>TAB-0003</t>
  </si>
  <si>
    <t>TAB-0004</t>
  </si>
  <si>
    <t>TAB-0005</t>
  </si>
  <si>
    <t>TAB-0006</t>
  </si>
  <si>
    <t>TAB-0007</t>
  </si>
  <si>
    <t>TAB-0008</t>
  </si>
  <si>
    <t>TAB-0009</t>
  </si>
  <si>
    <t>TAB-0010</t>
  </si>
  <si>
    <t>TAB-0011</t>
  </si>
  <si>
    <t>TAB-0012</t>
  </si>
  <si>
    <t>TAB-0013</t>
  </si>
  <si>
    <t>TAB-0014</t>
  </si>
  <si>
    <t>TAB-0015</t>
  </si>
  <si>
    <t>TAB-0016</t>
  </si>
  <si>
    <t>TAB-0017</t>
  </si>
  <si>
    <t>TAB-0018</t>
  </si>
  <si>
    <t>TAB-0019</t>
  </si>
  <si>
    <t>TAB-0020</t>
  </si>
  <si>
    <t>TAB-0021</t>
  </si>
  <si>
    <t>TAB-0022</t>
  </si>
  <si>
    <t>RIO-ANA GOMEZ-1</t>
  </si>
  <si>
    <t>Ana Gomez</t>
  </si>
  <si>
    <t>ANA GOMEZ</t>
  </si>
  <si>
    <t>Simulacro 2</t>
  </si>
  <si>
    <t>S2</t>
  </si>
  <si>
    <t>Segunda aplicacion del mismo estudiante</t>
  </si>
  <si>
    <t>RIO-ANA GOMEZ-10</t>
  </si>
  <si>
    <t>S1</t>
  </si>
  <si>
    <t>RIO-ANA GOMEZ-11</t>
  </si>
  <si>
    <t>RIO-ANA GOMEZ-12</t>
  </si>
  <si>
    <t>RIO-ANA GOMEZ-13</t>
  </si>
  <si>
    <t>RIO-ANA GOMEZ-14</t>
  </si>
  <si>
    <t>RIO-ANA GOMEZ-15</t>
  </si>
  <si>
    <t>RIO-ANA GOMEZ-16</t>
  </si>
  <si>
    <t>RIO-ANA GOMEZ-17</t>
  </si>
  <si>
    <t>RIO-ANA GOMEZ-18</t>
  </si>
  <si>
    <t>RIO-ANA GOMEZ-19</t>
  </si>
  <si>
    <t>RIO-ANA GOMEZ-2</t>
  </si>
  <si>
    <t>RIO-ANA GOMEZ-20</t>
  </si>
  <si>
    <t>RIO-ANA GOMEZ-21</t>
  </si>
  <si>
    <t>RIO-ANA GOMEZ-22</t>
  </si>
  <si>
    <t>RIO-ANA GOMEZ-23</t>
  </si>
  <si>
    <t>RIO-ANA GOMEZ-24</t>
  </si>
  <si>
    <t>RIO-ANA GOMEZ-25</t>
  </si>
  <si>
    <t>RIO-ANA GOMEZ-26</t>
  </si>
  <si>
    <t>RIO-ANA GOMEZ-27</t>
  </si>
  <si>
    <t>RIO-ANA GOMEZ-28</t>
  </si>
  <si>
    <t>RIO-ANA GOMEZ-29</t>
  </si>
  <si>
    <t>RIO-ANA GOMEZ-3</t>
  </si>
  <si>
    <t>RIO-ANA GOMEZ-30</t>
  </si>
  <si>
    <t>RIO-ANA GOMEZ-31</t>
  </si>
  <si>
    <t>RIO-ANA GOMEZ-32</t>
  </si>
  <si>
    <t>RIO-ANA GOMEZ-33</t>
  </si>
  <si>
    <t>RIO-ANA GOMEZ-34</t>
  </si>
  <si>
    <t>RIO-ANA GOMEZ-35</t>
  </si>
  <si>
    <t>RIO-ANA GOMEZ-36</t>
  </si>
  <si>
    <t>RIO-ANA GOMEZ-37</t>
  </si>
  <si>
    <t>RIO-ANA GOMEZ-38</t>
  </si>
  <si>
    <t>RIO-ANA GOMEZ-39</t>
  </si>
  <si>
    <t>RIO-ANA GOMEZ-4</t>
  </si>
  <si>
    <t>RIO-ANA GOMEZ-40</t>
  </si>
  <si>
    <t>RIO-ANA GOMEZ-41</t>
  </si>
  <si>
    <t>RIO-ANA GOMEZ-5</t>
  </si>
  <si>
    <t>RIO-ANA GOMEZ-6</t>
  </si>
  <si>
    <t>RIO-ANA GOMEZ-7</t>
  </si>
  <si>
    <t>RIO-ANA GOMEZ-8</t>
  </si>
  <si>
    <t>RIO-ANA GOMEZ-9</t>
  </si>
  <si>
    <t>RIO-ANTONIO DONADO-1</t>
  </si>
  <si>
    <t>Antonio Donado</t>
  </si>
  <si>
    <t>ANTONIO DONADO</t>
  </si>
  <si>
    <t>RIO-ANTONIO DONADO-10</t>
  </si>
  <si>
    <t>RIO-ANTONIO DONADO-11</t>
  </si>
  <si>
    <t>RIO-ANTONIO DONADO-12</t>
  </si>
  <si>
    <t>RIO-ANTONIO DONADO-13</t>
  </si>
  <si>
    <t>RIO-ANTONIO DONADO-14</t>
  </si>
  <si>
    <t>RIO-ANTONIO DONADO-15</t>
  </si>
  <si>
    <t>RIO-ANTONIO DONADO-16</t>
  </si>
  <si>
    <t>RIO-ANTONIO DONADO-17</t>
  </si>
  <si>
    <t>RIO-ANTONIO DONADO-18</t>
  </si>
  <si>
    <t>RIO-ANTONIO DONADO-19</t>
  </si>
  <si>
    <t>RIO-ANTONIO DONADO-2</t>
  </si>
  <si>
    <t>RIO-ANTONIO DONADO-20</t>
  </si>
  <si>
    <t>RIO-ANTONIO DONADO-21</t>
  </si>
  <si>
    <t>RIO-ANTONIO DONADO-22</t>
  </si>
  <si>
    <t>RIO-ANTONIO DONADO-23</t>
  </si>
  <si>
    <t>RIO-ANTONIO DONADO-24</t>
  </si>
  <si>
    <t>RIO-ANTONIO DONADO-25</t>
  </si>
  <si>
    <t>RIO-ANTONIO DONADO-26</t>
  </si>
  <si>
    <t>RIO-ANTONIO DONADO-27</t>
  </si>
  <si>
    <t>RIO-ANTONIO DONADO-28</t>
  </si>
  <si>
    <t>RIO-ANTONIO DONADO-3</t>
  </si>
  <si>
    <t>RIO-ANTONIO DONADO-4</t>
  </si>
  <si>
    <t>RIO-ANTONIO DONADO-5</t>
  </si>
  <si>
    <t>RIO-ANTONIO DONADO-6</t>
  </si>
  <si>
    <t>RIO-ANTONIO DONADO-7</t>
  </si>
  <si>
    <t>RIO-ANTONIO DONADO-8</t>
  </si>
  <si>
    <t>RIO-ANTONIO DONADO-9</t>
  </si>
  <si>
    <t>RIO-BALTAZAR SALAZAR-1</t>
  </si>
  <si>
    <t>Baltazar Salazar</t>
  </si>
  <si>
    <t>BALTAZAR SALAZAR</t>
  </si>
  <si>
    <t>RIO-BALTAZAR SALAZAR-10</t>
  </si>
  <si>
    <t>RIO-BALTAZAR SALAZAR-11</t>
  </si>
  <si>
    <t>RIO-BALTAZAR SALAZAR-12</t>
  </si>
  <si>
    <t>RIO-BALTAZAR SALAZAR-13</t>
  </si>
  <si>
    <t>RIO-BALTAZAR SALAZAR-14</t>
  </si>
  <si>
    <t>RIO-BALTAZAR SALAZAR-15</t>
  </si>
  <si>
    <t>RIO-BALTAZAR SALAZAR-16</t>
  </si>
  <si>
    <t>RIO-BALTAZAR SALAZAR-17</t>
  </si>
  <si>
    <t>RIO-BALTAZAR SALAZAR-2</t>
  </si>
  <si>
    <t>RIO-BALTAZAR SALAZAR-3</t>
  </si>
  <si>
    <t>RIO-BALTAZAR SALAZAR-4</t>
  </si>
  <si>
    <t>RIO-BALTAZAR SALAZAR-5</t>
  </si>
  <si>
    <t>RIO-BALTAZAR SALAZAR-6</t>
  </si>
  <si>
    <t>RIO-BALTAZAR SALAZAR-7</t>
  </si>
  <si>
    <t>RIO-BALTAZAR SALAZAR-8</t>
  </si>
  <si>
    <t>RIO-BALTAZAR SALAZAR-9</t>
  </si>
  <si>
    <t>RIO-BARRO BLANCO-1</t>
  </si>
  <si>
    <t>Barro Blanco</t>
  </si>
  <si>
    <t>BARRO BLANCO</t>
  </si>
  <si>
    <t>RIO-BARRO BLANCO-10</t>
  </si>
  <si>
    <t>RIO-BARRO BLANCO-11</t>
  </si>
  <si>
    <t>RIO-BARRO BLANCO-12</t>
  </si>
  <si>
    <t>RIO-BARRO BLANCO-13</t>
  </si>
  <si>
    <t>RIO-BARRO BLANCO-14</t>
  </si>
  <si>
    <t>RIO-BARRO BLANCO-15</t>
  </si>
  <si>
    <t>RIO-BARRO BLANCO-16</t>
  </si>
  <si>
    <t>RIO-BARRO BLANCO-17</t>
  </si>
  <si>
    <t>RIO-BARRO BLANCO-18</t>
  </si>
  <si>
    <t>RIO-BARRO BLANCO-19</t>
  </si>
  <si>
    <t>RIO-BARRO BLANCO-2</t>
  </si>
  <si>
    <t>RIO-BARRO BLANCO-20</t>
  </si>
  <si>
    <t>RIO-BARRO BLANCO-21</t>
  </si>
  <si>
    <t>RIO-BARRO BLANCO-22</t>
  </si>
  <si>
    <t>RIO-BARRO BLANCO-23</t>
  </si>
  <si>
    <t>RIO-BARRO BLANCO-24</t>
  </si>
  <si>
    <t>RIO-BARRO BLANCO-25</t>
  </si>
  <si>
    <t>RIO-BARRO BLANCO-26</t>
  </si>
  <si>
    <t>RIO-BARRO BLANCO-27</t>
  </si>
  <si>
    <t>RIO-BARRO BLANCO-28</t>
  </si>
  <si>
    <t>RIO-BARRO BLANCO-29</t>
  </si>
  <si>
    <t>RIO-BARRO BLANCO-3</t>
  </si>
  <si>
    <t>RIO-BARRO BLANCO-30</t>
  </si>
  <si>
    <t>RIO-BARRO BLANCO-31</t>
  </si>
  <si>
    <t>RIO-BARRO BLANCO-32</t>
  </si>
  <si>
    <t>RIO-BARRO BLANCO-33</t>
  </si>
  <si>
    <t>RIO-BARRO BLANCO-34</t>
  </si>
  <si>
    <t>RIO-BARRO BLANCO-35</t>
  </si>
  <si>
    <t>RIO-BARRO BLANCO-36</t>
  </si>
  <si>
    <t>RIO-BARRO BLANCO-37</t>
  </si>
  <si>
    <t>RIO-BARRO BLANCO-38</t>
  </si>
  <si>
    <t>RIO-BARRO BLANCO-39</t>
  </si>
  <si>
    <t>RIO-BARRO BLANCO-4</t>
  </si>
  <si>
    <t>RIO-BARRO BLANCO-40</t>
  </si>
  <si>
    <t>RIO-BARRO BLANCO-41</t>
  </si>
  <si>
    <t>RIO-BARRO BLANCO-42</t>
  </si>
  <si>
    <t>RIO-BARRO BLANCO-5</t>
  </si>
  <si>
    <t>RIO-BARRO BLANCO-6</t>
  </si>
  <si>
    <t>RIO-BARRO BLANCO-7</t>
  </si>
  <si>
    <t>RIO-BARRO BLANCO-8</t>
  </si>
  <si>
    <t>RIO-BARRO BLANCO-9</t>
  </si>
  <si>
    <t>RIO-DOMINGO SAVIO-1</t>
  </si>
  <si>
    <t>Domingo Savio</t>
  </si>
  <si>
    <t>DOMINGO SAVIO</t>
  </si>
  <si>
    <t>RIO-DOMINGO SAVIO-10</t>
  </si>
  <si>
    <t>RIO-DOMINGO SAVIO-11</t>
  </si>
  <si>
    <t>RIO-DOMINGO SAVIO-12</t>
  </si>
  <si>
    <t>RIO-DOMINGO SAVIO-13</t>
  </si>
  <si>
    <t>RIO-DOMINGO SAVIO-14</t>
  </si>
  <si>
    <t>RIO-DOMINGO SAVIO-15</t>
  </si>
  <si>
    <t>RIO-DOMINGO SAVIO-16</t>
  </si>
  <si>
    <t>RIO-DOMINGO SAVIO-17</t>
  </si>
  <si>
    <t>RIO-DOMINGO SAVIO-18</t>
  </si>
  <si>
    <t>RIO-DOMINGO SAVIO-19</t>
  </si>
  <si>
    <t>RIO-DOMINGO SAVIO-2</t>
  </si>
  <si>
    <t>RIO-DOMINGO SAVIO-20</t>
  </si>
  <si>
    <t>RIO-DOMINGO SAVIO-21</t>
  </si>
  <si>
    <t>RIO-DOMINGO SAVIO-22</t>
  </si>
  <si>
    <t>RIO-DOMINGO SAVIO-23</t>
  </si>
  <si>
    <t>RIO-DOMINGO SAVIO-3</t>
  </si>
  <si>
    <t>RIO-DOMINGO SAVIO-4</t>
  </si>
  <si>
    <t>RIO-DOMINGO SAVIO-5</t>
  </si>
  <si>
    <t>RIO-DOMINGO SAVIO-6</t>
  </si>
  <si>
    <t>RIO-DOMINGO SAVIO-7</t>
  </si>
  <si>
    <t>RIO-DOMINGO SAVIO-8</t>
  </si>
  <si>
    <t>RIO-DOMINGO SAVIO-9</t>
  </si>
  <si>
    <t>RIO-GILBERTO ECHEVERRY-1</t>
  </si>
  <si>
    <t>Gilberto Echeverry</t>
  </si>
  <si>
    <t>GILBERTO ECHEVERRY</t>
  </si>
  <si>
    <t>RIO-GILBERTO ECHEVERRY-10</t>
  </si>
  <si>
    <t>RIO-GILBERTO ECHEVERRY-11</t>
  </si>
  <si>
    <t>RIO-GILBERTO ECHEVERRY-12</t>
  </si>
  <si>
    <t>RIO-GILBERTO ECHEVERRY-13</t>
  </si>
  <si>
    <t>RIO-GILBERTO ECHEVERRY-14</t>
  </si>
  <si>
    <t>RIO-GILBERTO ECHEVERRY-15</t>
  </si>
  <si>
    <t>RIO-GILBERTO ECHEVERRY-16</t>
  </si>
  <si>
    <t>RIO-GILBERTO ECHEVERRY-17</t>
  </si>
  <si>
    <t>RIO-GILBERTO ECHEVERRY-18</t>
  </si>
  <si>
    <t>RIO-GILBERTO ECHEVERRY-19</t>
  </si>
  <si>
    <t>RIO-GILBERTO ECHEVERRY-2</t>
  </si>
  <si>
    <t>RIO-GILBERTO ECHEVERRY-20</t>
  </si>
  <si>
    <t>RIO-GILBERTO ECHEVERRY-21</t>
  </si>
  <si>
    <t>RIO-GILBERTO ECHEVERRY-22</t>
  </si>
  <si>
    <t>RIO-GILBERTO ECHEVERRY-23</t>
  </si>
  <si>
    <t>RIO-GILBERTO ECHEVERRY-24</t>
  </si>
  <si>
    <t>RIO-GILBERTO ECHEVERRY-25</t>
  </si>
  <si>
    <t>RIO-GILBERTO ECHEVERRY-26</t>
  </si>
  <si>
    <t>RIO-GILBERTO ECHEVERRY-27</t>
  </si>
  <si>
    <t>RIO-GILBERTO ECHEVERRY-28</t>
  </si>
  <si>
    <t>RIO-GILBERTO ECHEVERRY-29</t>
  </si>
  <si>
    <t>RIO-GILBERTO ECHEVERRY-3</t>
  </si>
  <si>
    <t>RIO-GILBERTO ECHEVERRY-30</t>
  </si>
  <si>
    <t>RIO-GILBERTO ECHEVERRY-31</t>
  </si>
  <si>
    <t>RIO-GILBERTO ECHEVERRY-32</t>
  </si>
  <si>
    <t>RIO-GILBERTO ECHEVERRY-33</t>
  </si>
  <si>
    <t>RIO-GILBERTO ECHEVERRY-34</t>
  </si>
  <si>
    <t>RIO-GILBERTO ECHEVERRY-35</t>
  </si>
  <si>
    <t>RIO-GILBERTO ECHEVERRY-36</t>
  </si>
  <si>
    <t>RIO-GILBERTO ECHEVERRY-37</t>
  </si>
  <si>
    <t>RIO-GILBERTO ECHEVERRY-38</t>
  </si>
  <si>
    <t>RIO-GILBERTO ECHEVERRY-39</t>
  </si>
  <si>
    <t>RIO-GILBERTO ECHEVERRY-4</t>
  </si>
  <si>
    <t>RIO-GILBERTO ECHEVERRY-40</t>
  </si>
  <si>
    <t>RIO-GILBERTO ECHEVERRY-41</t>
  </si>
  <si>
    <t>RIO-GILBERTO ECHEVERRY-42</t>
  </si>
  <si>
    <t>RIO-GILBERTO ECHEVERRY-43</t>
  </si>
  <si>
    <t>RIO-GILBERTO ECHEVERRY-44</t>
  </si>
  <si>
    <t>RIO-GILBERTO ECHEVERRY-45</t>
  </si>
  <si>
    <t>RIO-GILBERTO ECHEVERRY-46</t>
  </si>
  <si>
    <t>RIO-GILBERTO ECHEVERRY-47</t>
  </si>
  <si>
    <t>RIO-GILBERTO ECHEVERRY-48</t>
  </si>
  <si>
    <t>RIO-GILBERTO ECHEVERRY-49</t>
  </si>
  <si>
    <t>RIO-GILBERTO ECHEVERRY-5</t>
  </si>
  <si>
    <t>RIO-GILBERTO ECHEVERRY-50</t>
  </si>
  <si>
    <t>RIO-GILBERTO ECHEVERRY-51</t>
  </si>
  <si>
    <t>RIO-GILBERTO ECHEVERRY-52</t>
  </si>
  <si>
    <t>RIO-GILBERTO ECHEVERRY-53</t>
  </si>
  <si>
    <t>RIO-GILBERTO ECHEVERRY-54</t>
  </si>
  <si>
    <t>RIO-GILBERTO ECHEVERRY-55</t>
  </si>
  <si>
    <t>RIO-GILBERTO ECHEVERRY-6</t>
  </si>
  <si>
    <t>RIO-GILBERTO ECHEVERRY-7</t>
  </si>
  <si>
    <t>RIO-GILBERTO ECHEVERRY-8</t>
  </si>
  <si>
    <t>RIO-GILBERTO ECHEVERRY-9</t>
  </si>
  <si>
    <t>RIO-GUILLERMO GAVIRIA-1</t>
  </si>
  <si>
    <t>Guillermo Gaviria</t>
  </si>
  <si>
    <t>GUILLERMO GAVIRIA</t>
  </si>
  <si>
    <t>RIO-GUILLERMO GAVIRIA-10</t>
  </si>
  <si>
    <t>RIO-GUILLERMO GAVIRIA-11</t>
  </si>
  <si>
    <t>RIO-GUILLERMO GAVIRIA-12</t>
  </si>
  <si>
    <t>RIO-GUILLERMO GAVIRIA-13</t>
  </si>
  <si>
    <t>RIO-GUILLERMO GAVIRIA-2</t>
  </si>
  <si>
    <t>RIO-GUILLERMO GAVIRIA-3</t>
  </si>
  <si>
    <t>RIO-GUILLERMO GAVIRIA-4</t>
  </si>
  <si>
    <t>RIO-GUILLERMO GAVIRIA-5</t>
  </si>
  <si>
    <t>RIO-GUILLERMO GAVIRIA-6</t>
  </si>
  <si>
    <t>RIO-GUILLERMO GAVIRIA-7</t>
  </si>
  <si>
    <t>RIO-GUILLERMO GAVIRIA-8</t>
  </si>
  <si>
    <t>RIO-GUILLERMO GAVIRIA-9</t>
  </si>
  <si>
    <t>RIO-JOSE MARIA CORDOBA-1</t>
  </si>
  <si>
    <t>Jose Maria Cordoba</t>
  </si>
  <si>
    <t>JOSE MARIA CORDOBA</t>
  </si>
  <si>
    <t>RIO-JOSE MARIA CORDOBA-10</t>
  </si>
  <si>
    <t>RIO-JOSE MARIA CORDOBA-11</t>
  </si>
  <si>
    <t>RIO-JOSE MARIA CORDOBA-12</t>
  </si>
  <si>
    <t>RIO-JOSE MARIA CORDOBA-13</t>
  </si>
  <si>
    <t>RIO-JOSE MARIA CORDOBA-14</t>
  </si>
  <si>
    <t>RIO-JOSE MARIA CORDOBA-15</t>
  </si>
  <si>
    <t>RIO-JOSE MARIA CORDOBA-16</t>
  </si>
  <si>
    <t>RIO-JOSE MARIA CORDOBA-17</t>
  </si>
  <si>
    <t>RIO-JOSE MARIA CORDOBA-18</t>
  </si>
  <si>
    <t>RIO-JOSE MARIA CORDOBA-19</t>
  </si>
  <si>
    <t>RIO-JOSE MARIA CORDOBA-2</t>
  </si>
  <si>
    <t>RIO-JOSE MARIA CORDOBA-20</t>
  </si>
  <si>
    <t>RIO-JOSE MARIA CORDOBA-21</t>
  </si>
  <si>
    <t>RIO-JOSE MARIA CORDOBA-22</t>
  </si>
  <si>
    <t>RIO-JOSE MARIA CORDOBA-23</t>
  </si>
  <si>
    <t>RIO-JOSE MARIA CORDOBA-24</t>
  </si>
  <si>
    <t>RIO-JOSE MARIA CORDOBA-25</t>
  </si>
  <si>
    <t>RIO-JOSE MARIA CORDOBA-26</t>
  </si>
  <si>
    <t>RIO-JOSE MARIA CORDOBA-27</t>
  </si>
  <si>
    <t>RIO-JOSE MARIA CORDOBA-28</t>
  </si>
  <si>
    <t>RIO-JOSE MARIA CORDOBA-29</t>
  </si>
  <si>
    <t>RIO-JOSE MARIA CORDOBA-3</t>
  </si>
  <si>
    <t>RIO-JOSE MARIA CORDOBA-30</t>
  </si>
  <si>
    <t>RIO-JOSE MARIA CORDOBA-31</t>
  </si>
  <si>
    <t>RIO-JOSE MARIA CORDOBA-32</t>
  </si>
  <si>
    <t>RIO-JOSE MARIA CORDOBA-33</t>
  </si>
  <si>
    <t>RIO-JOSE MARIA CORDOBA-34</t>
  </si>
  <si>
    <t>RIO-JOSE MARIA CORDOBA-35</t>
  </si>
  <si>
    <t>RIO-JOSE MARIA CORDOBA-36</t>
  </si>
  <si>
    <t>RIO-JOSE MARIA CORDOBA-37</t>
  </si>
  <si>
    <t>RIO-JOSE MARIA CORDOBA-38</t>
  </si>
  <si>
    <t>RIO-JOSE MARIA CORDOBA-39</t>
  </si>
  <si>
    <t>RIO-JOSE MARIA CORDOBA-4</t>
  </si>
  <si>
    <t>RIO-JOSE MARIA CORDOBA-5</t>
  </si>
  <si>
    <t>RIO-JOSE MARIA CORDOBA-6</t>
  </si>
  <si>
    <t>RIO-JOSE MARIA CORDOBA-7</t>
  </si>
  <si>
    <t>RIO-JOSE MARIA CORDOBA-8</t>
  </si>
  <si>
    <t>RIO-JOSE MARIA CORDOBA-9</t>
  </si>
  <si>
    <t>RIO-LA MOSQUITA-1</t>
  </si>
  <si>
    <t>La Mosquita</t>
  </si>
  <si>
    <t>LA MOSQUITA</t>
  </si>
  <si>
    <t>RIO-LA MOSQUITA-10</t>
  </si>
  <si>
    <t>RIO-LA MOSQUITA-11</t>
  </si>
  <si>
    <t>RIO-LA MOSQUITA-12</t>
  </si>
  <si>
    <t>RIO-LA MOSQUITA-13</t>
  </si>
  <si>
    <t>RIO-LA MOSQUITA-14</t>
  </si>
  <si>
    <t>RIO-LA MOSQUITA-15</t>
  </si>
  <si>
    <t>RIO-LA MOSQUITA-16</t>
  </si>
  <si>
    <t>RIO-LA MOSQUITA-17</t>
  </si>
  <si>
    <t>RIO-LA MOSQUITA-18</t>
  </si>
  <si>
    <t>RIO-LA MOSQUITA-19</t>
  </si>
  <si>
    <t>RIO-LA MOSQUITA-2</t>
  </si>
  <si>
    <t>RIO-LA MOSQUITA-20</t>
  </si>
  <si>
    <t>RIO-LA MOSQUITA-21</t>
  </si>
  <si>
    <t>RIO-LA MOSQUITA-22</t>
  </si>
  <si>
    <t>RIO-LA MOSQUITA-3</t>
  </si>
  <si>
    <t>RIO-LA MOSQUITA-4</t>
  </si>
  <si>
    <t>RIO-LA MOSQUITA-5</t>
  </si>
  <si>
    <t>RIO-LA MOSQUITA-6</t>
  </si>
  <si>
    <t>RIO-LA MOSQUITA-7</t>
  </si>
  <si>
    <t>RIO-LA MOSQUITA-8</t>
  </si>
  <si>
    <t>RIO-LA MOSQUITA-9</t>
  </si>
  <si>
    <t>RIO-SAN JOSE DE LAS CUCHILLAS-1</t>
  </si>
  <si>
    <t>San Jose de las Cuchillas</t>
  </si>
  <si>
    <t>SAN JOSE DE LAS CUCHILLAS</t>
  </si>
  <si>
    <t>RIO-SAN JOSE DE LAS CUCHILLAS-10</t>
  </si>
  <si>
    <t>RIO-SAN JOSE DE LAS CUCHILLAS-11</t>
  </si>
  <si>
    <t>RIO-SAN JOSE DE LAS CUCHILLAS-12</t>
  </si>
  <si>
    <t>RIO-SAN JOSE DE LAS CUCHILLAS-13</t>
  </si>
  <si>
    <t>RIO-SAN JOSE DE LAS CUCHILLAS-14</t>
  </si>
  <si>
    <t>RIO-SAN JOSE DE LAS CUCHILLAS-15</t>
  </si>
  <si>
    <t>RIO-SAN JOSE DE LAS CUCHILLAS-16</t>
  </si>
  <si>
    <t>RIO-SAN JOSE DE LAS CUCHILLAS-17</t>
  </si>
  <si>
    <t>RIO-SAN JOSE DE LAS CUCHILLAS-18</t>
  </si>
  <si>
    <t>RIO-SAN JOSE DE LAS CUCHILLAS-19</t>
  </si>
  <si>
    <t>RIO-SAN JOSE DE LAS CUCHILLAS-2</t>
  </si>
  <si>
    <t>RIO-SAN JOSE DE LAS CUCHILLAS-20</t>
  </si>
  <si>
    <t>RIO-SAN JOSE DE LAS CUCHILLAS-21</t>
  </si>
  <si>
    <t>RIO-SAN JOSE DE LAS CUCHILLAS-22</t>
  </si>
  <si>
    <t>RIO-SAN JOSE DE LAS CUCHILLAS-23</t>
  </si>
  <si>
    <t>RIO-SAN JOSE DE LAS CUCHILLAS-24</t>
  </si>
  <si>
    <t>RIO-SAN JOSE DE LAS CUCHILLAS-25</t>
  </si>
  <si>
    <t>RIO-SAN JOSE DE LAS CUCHILLAS-26</t>
  </si>
  <si>
    <t>RIO-SAN JOSE DE LAS CUCHILLAS-27</t>
  </si>
  <si>
    <t>RIO-SAN JOSE DE LAS CUCHILLAS-28</t>
  </si>
  <si>
    <t>RIO-SAN JOSE DE LAS CUCHILLAS-29</t>
  </si>
  <si>
    <t>RIO-SAN JOSE DE LAS CUCHILLAS-3</t>
  </si>
  <si>
    <t>RIO-SAN JOSE DE LAS CUCHILLAS-30</t>
  </si>
  <si>
    <t>RIO-SAN JOSE DE LAS CUCHILLAS-31</t>
  </si>
  <si>
    <t>RIO-SAN JOSE DE LAS CUCHILLAS-32</t>
  </si>
  <si>
    <t>RIO-SAN JOSE DE LAS CUCHILLAS-33</t>
  </si>
  <si>
    <t>RIO-SAN JOSE DE LAS CUCHILLAS-34</t>
  </si>
  <si>
    <t>RIO-SAN JOSE DE LAS CUCHILLAS-35</t>
  </si>
  <si>
    <t>RIO-SAN JOSE DE LAS CUCHILLAS-36</t>
  </si>
  <si>
    <t>RIO-SAN JOSE DE LAS CUCHILLAS-37</t>
  </si>
  <si>
    <t>RIO-SAN JOSE DE LAS CUCHILLAS-38</t>
  </si>
  <si>
    <t>RIO-SAN JOSE DE LAS CUCHILLAS-39</t>
  </si>
  <si>
    <t>RIO-SAN JOSE DE LAS CUCHILLAS-4</t>
  </si>
  <si>
    <t>RIO-SAN JOSE DE LAS CUCHILLAS-40</t>
  </si>
  <si>
    <t>RIO-SAN JOSE DE LAS CUCHILLAS-41</t>
  </si>
  <si>
    <t>RIO-SAN JOSE DE LAS CUCHILLAS-42</t>
  </si>
  <si>
    <t>RIO-SAN JOSE DE LAS CUCHILLAS-43</t>
  </si>
  <si>
    <t>RIO-SAN JOSE DE LAS CUCHILLAS-44</t>
  </si>
  <si>
    <t>RIO-SAN JOSE DE LAS CUCHILLAS-45</t>
  </si>
  <si>
    <t>RIO-SAN JOSE DE LAS CUCHILLAS-46</t>
  </si>
  <si>
    <t>RIO-SAN JOSE DE LAS CUCHILLAS-47</t>
  </si>
  <si>
    <t>RIO-SAN JOSE DE LAS CUCHILLAS-48</t>
  </si>
  <si>
    <t>RIO-SAN JOSE DE LAS CUCHILLAS-49</t>
  </si>
  <si>
    <t>RIO-SAN JOSE DE LAS CUCHILLAS-5</t>
  </si>
  <si>
    <t>RIO-SAN JOSE DE LAS CUCHILLAS-50</t>
  </si>
  <si>
    <t>RIO-SAN JOSE DE LAS CUCHILLAS-51</t>
  </si>
  <si>
    <t>RIO-SAN JOSE DE LAS CUCHILLAS-52</t>
  </si>
  <si>
    <t>RIO-SAN JOSE DE LAS CUCHILLAS-53</t>
  </si>
  <si>
    <t>RIO-SAN JOSE DE LAS CUCHILLAS-54</t>
  </si>
  <si>
    <t>RIO-SAN JOSE DE LAS CUCHILLAS-55</t>
  </si>
  <si>
    <t>RIO-SAN JOSE DE LAS CUCHILLAS-56</t>
  </si>
  <si>
    <t>RIO-SAN JOSE DE LAS CUCHILLAS-6</t>
  </si>
  <si>
    <t>RIO-SAN JOSE DE LAS CUCHILLAS-7</t>
  </si>
  <si>
    <t>RIO-SAN JOSE DE LAS CUCHILLAS-8</t>
  </si>
  <si>
    <t>RIO-SAN JOSE DE LAS CUCHILLAS-9</t>
  </si>
  <si>
    <t>RIO-SANTA BARBARA-1</t>
  </si>
  <si>
    <t>Santa Barbara</t>
  </si>
  <si>
    <t>SANTA BARBARA</t>
  </si>
  <si>
    <t>RIO-SANTA BARBARA-10</t>
  </si>
  <si>
    <t>RIO-SANTA BARBARA-11</t>
  </si>
  <si>
    <t>RIO-SANTA BARBARA-12</t>
  </si>
  <si>
    <t>RIO-SANTA BARBARA-13</t>
  </si>
  <si>
    <t>RIO-SANTA BARBARA-14</t>
  </si>
  <si>
    <t>RIO-SANTA BARBARA-15</t>
  </si>
  <si>
    <t>RIO-SANTA BARBARA-16</t>
  </si>
  <si>
    <t>RIO-SANTA BARBARA-17</t>
  </si>
  <si>
    <t>RIO-SANTA BARBARA-18</t>
  </si>
  <si>
    <t>RIO-SANTA BARBARA-19</t>
  </si>
  <si>
    <t>RIO-SANTA BARBARA-2</t>
  </si>
  <si>
    <t>RIO-SANTA BARBARA-20</t>
  </si>
  <si>
    <t>RIO-SANTA BARBARA-21</t>
  </si>
  <si>
    <t>RIO-SANTA BARBARA-22</t>
  </si>
  <si>
    <t>RIO-SANTA BARBARA-23</t>
  </si>
  <si>
    <t>RIO-SANTA BARBARA-24</t>
  </si>
  <si>
    <t>RIO-SANTA BARBARA-25</t>
  </si>
  <si>
    <t>RIO-SANTA BARBARA-26</t>
  </si>
  <si>
    <t>RIO-SANTA BARBARA-27</t>
  </si>
  <si>
    <t>RIO-SANTA BARBARA-28</t>
  </si>
  <si>
    <t>RIO-SANTA BARBARA-29</t>
  </si>
  <si>
    <t>RIO-SANTA BARBARA-3</t>
  </si>
  <si>
    <t>RIO-SANTA BARBARA-30</t>
  </si>
  <si>
    <t>RIO-SANTA BARBARA-31</t>
  </si>
  <si>
    <t>RIO-SANTA BARBARA-32</t>
  </si>
  <si>
    <t>RIO-SANTA BARBARA-33</t>
  </si>
  <si>
    <t>RIO-SANTA BARBARA-34</t>
  </si>
  <si>
    <t>RIO-SANTA BARBARA-35</t>
  </si>
  <si>
    <t>RIO-SANTA BARBARA-4</t>
  </si>
  <si>
    <t>RIO-SANTA BARBARA-5</t>
  </si>
  <si>
    <t>RIO-SANTA BARBARA-6</t>
  </si>
  <si>
    <t>RIO-SANTA BARBARA-7</t>
  </si>
  <si>
    <t>RIO-SANTA BARBARA-8</t>
  </si>
  <si>
    <t>RIO-SANTA BARBARA-9</t>
  </si>
  <si>
    <t>RIO-TECNICO INDUSTRIAL-1</t>
  </si>
  <si>
    <t>Tecnico Industrial</t>
  </si>
  <si>
    <t>TECNICO INDUSTRIAL</t>
  </si>
  <si>
    <t>G3</t>
  </si>
  <si>
    <t>RIO-TECNICO INDUSTRIAL-10</t>
  </si>
  <si>
    <t>RIO-TECNICO INDUSTRIAL-100</t>
  </si>
  <si>
    <t>RIO-TECNICO INDUSTRIAL-101</t>
  </si>
  <si>
    <t>RIO-TECNICO INDUSTRIAL-102</t>
  </si>
  <si>
    <t>RIO-TECNICO INDUSTRIAL-11</t>
  </si>
  <si>
    <t>RIO-TECNICO INDUSTRIAL-12</t>
  </si>
  <si>
    <t>RIO-TECNICO INDUSTRIAL-13</t>
  </si>
  <si>
    <t>RIO-TECNICO INDUSTRIAL-14</t>
  </si>
  <si>
    <t>RIO-TECNICO INDUSTRIAL-15</t>
  </si>
  <si>
    <t>RIO-TECNICO INDUSTRIAL-16</t>
  </si>
  <si>
    <t>RIO-TECNICO INDUSTRIAL-17</t>
  </si>
  <si>
    <t>RIO-TECNICO INDUSTRIAL-18</t>
  </si>
  <si>
    <t>RIO-TECNICO INDUSTRIAL-19</t>
  </si>
  <si>
    <t>RIO-TECNICO INDUSTRIAL-2</t>
  </si>
  <si>
    <t>RIO-TECNICO INDUSTRIAL-20</t>
  </si>
  <si>
    <t>RIO-TECNICO INDUSTRIAL-21</t>
  </si>
  <si>
    <t>RIO-TECNICO INDUSTRIAL-22</t>
  </si>
  <si>
    <t>RIO-TECNICO INDUSTRIAL-23</t>
  </si>
  <si>
    <t>RIO-TECNICO INDUSTRIAL-24</t>
  </si>
  <si>
    <t>RIO-TECNICO INDUSTRIAL-25</t>
  </si>
  <si>
    <t>RIO-TECNICO INDUSTRIAL-26</t>
  </si>
  <si>
    <t>RIO-TECNICO INDUSTRIAL-27</t>
  </si>
  <si>
    <t>RIO-TECNICO INDUSTRIAL-28</t>
  </si>
  <si>
    <t>RIO-TECNICO INDUSTRIAL-29</t>
  </si>
  <si>
    <t>RIO-TECNICO INDUSTRIAL-3</t>
  </si>
  <si>
    <t>RIO-TECNICO INDUSTRIAL-30</t>
  </si>
  <si>
    <t>RIO-TECNICO INDUSTRIAL-31</t>
  </si>
  <si>
    <t>RIO-TECNICO INDUSTRIAL-32</t>
  </si>
  <si>
    <t>RIO-TECNICO INDUSTRIAL-33</t>
  </si>
  <si>
    <t>RIO-TECNICO INDUSTRIAL-34</t>
  </si>
  <si>
    <t>RIO-TECNICO INDUSTRIAL-35</t>
  </si>
  <si>
    <t>RIO-TECNICO INDUSTRIAL-36</t>
  </si>
  <si>
    <t>RIO-TECNICO INDUSTRIAL-37</t>
  </si>
  <si>
    <t>RIO-TECNICO INDUSTRIAL-38</t>
  </si>
  <si>
    <t>RIO-TECNICO INDUSTRIAL-39</t>
  </si>
  <si>
    <t>RIO-TECNICO INDUSTRIAL-4</t>
  </si>
  <si>
    <t>RIO-TECNICO INDUSTRIAL-40</t>
  </si>
  <si>
    <t>RIO-TECNICO INDUSTRIAL-41</t>
  </si>
  <si>
    <t>RIO-TECNICO INDUSTRIAL-42</t>
  </si>
  <si>
    <t>RIO-TECNICO INDUSTRIAL-43</t>
  </si>
  <si>
    <t>RIO-TECNICO INDUSTRIAL-44</t>
  </si>
  <si>
    <t>RIO-TECNICO INDUSTRIAL-45</t>
  </si>
  <si>
    <t>RIO-TECNICO INDUSTRIAL-46</t>
  </si>
  <si>
    <t>RIO-TECNICO INDUSTRIAL-47</t>
  </si>
  <si>
    <t>RIO-TECNICO INDUSTRIAL-48</t>
  </si>
  <si>
    <t>RIO-TECNICO INDUSTRIAL-49</t>
  </si>
  <si>
    <t>RIO-TECNICO INDUSTRIAL-5</t>
  </si>
  <si>
    <t>RIO-TECNICO INDUSTRIAL-50</t>
  </si>
  <si>
    <t>RIO-TECNICO INDUSTRIAL-51</t>
  </si>
  <si>
    <t>RIO-TECNICO INDUSTRIAL-52</t>
  </si>
  <si>
    <t>RIO-TECNICO INDUSTRIAL-53</t>
  </si>
  <si>
    <t>RIO-TECNICO INDUSTRIAL-54</t>
  </si>
  <si>
    <t>RIO-TECNICO INDUSTRIAL-55</t>
  </si>
  <si>
    <t>RIO-TECNICO INDUSTRIAL-56</t>
  </si>
  <si>
    <t>RIO-TECNICO INDUSTRIAL-57</t>
  </si>
  <si>
    <t>RIO-TECNICO INDUSTRIAL-58</t>
  </si>
  <si>
    <t>RIO-TECNICO INDUSTRIAL-59</t>
  </si>
  <si>
    <t>RIO-TECNICO INDUSTRIAL-6</t>
  </si>
  <si>
    <t>RIO-TECNICO INDUSTRIAL-60</t>
  </si>
  <si>
    <t>RIO-TECNICO INDUSTRIAL-61</t>
  </si>
  <si>
    <t>RIO-TECNICO INDUSTRIAL-62</t>
  </si>
  <si>
    <t>RIO-TECNICO INDUSTRIAL-63</t>
  </si>
  <si>
    <t>RIO-TECNICO INDUSTRIAL-64</t>
  </si>
  <si>
    <t>RIO-TECNICO INDUSTRIAL-65</t>
  </si>
  <si>
    <t>RIO-TECNICO INDUSTRIAL-66</t>
  </si>
  <si>
    <t>RIO-TECNICO INDUSTRIAL-67</t>
  </si>
  <si>
    <t>RIO-TECNICO INDUSTRIAL-68</t>
  </si>
  <si>
    <t>RIO-TECNICO INDUSTRIAL-69</t>
  </si>
  <si>
    <t>RIO-TECNICO INDUSTRIAL-7</t>
  </si>
  <si>
    <t>RIO-TECNICO INDUSTRIAL-70</t>
  </si>
  <si>
    <t>RIO-TECNICO INDUSTRIAL-71</t>
  </si>
  <si>
    <t>RIO-TECNICO INDUSTRIAL-72</t>
  </si>
  <si>
    <t>RIO-TECNICO INDUSTRIAL-73</t>
  </si>
  <si>
    <t>RIO-TECNICO INDUSTRIAL-74</t>
  </si>
  <si>
    <t>RIO-TECNICO INDUSTRIAL-75</t>
  </si>
  <si>
    <t>RIO-TECNICO INDUSTRIAL-76</t>
  </si>
  <si>
    <t>RIO-TECNICO INDUSTRIAL-77</t>
  </si>
  <si>
    <t>RIO-TECNICO INDUSTRIAL-78</t>
  </si>
  <si>
    <t>RIO-TECNICO INDUSTRIAL-79</t>
  </si>
  <si>
    <t>RIO-TECNICO INDUSTRIAL-8</t>
  </si>
  <si>
    <t>RIO-TECNICO INDUSTRIAL-80</t>
  </si>
  <si>
    <t>RIO-TECNICO INDUSTRIAL-81</t>
  </si>
  <si>
    <t>RIO-TECNICO INDUSTRIAL-82</t>
  </si>
  <si>
    <t>RIO-TECNICO INDUSTRIAL-83</t>
  </si>
  <si>
    <t>RIO-TECNICO INDUSTRIAL-84</t>
  </si>
  <si>
    <t>RIO-TECNICO INDUSTRIAL-85</t>
  </si>
  <si>
    <t>RIO-TECNICO INDUSTRIAL-86</t>
  </si>
  <si>
    <t>RIO-TECNICO INDUSTRIAL-87</t>
  </si>
  <si>
    <t>RIO-TECNICO INDUSTRIAL-88</t>
  </si>
  <si>
    <t>RIO-TECNICO INDUSTRIAL-89</t>
  </si>
  <si>
    <t>RIO-TECNICO INDUSTRIAL-9</t>
  </si>
  <si>
    <t>RIO-TECNICO INDUSTRIAL-90</t>
  </si>
  <si>
    <t>RIO-TECNICO INDUSTRIAL-91</t>
  </si>
  <si>
    <t>RIO-TECNICO INDUSTRIAL-92</t>
  </si>
  <si>
    <t>RIO-TECNICO INDUSTRIAL-93</t>
  </si>
  <si>
    <t>RIO-TECNICO INDUSTRIAL-94</t>
  </si>
  <si>
    <t>RIO-TECNICO INDUSTRIAL-95</t>
  </si>
  <si>
    <t>RIO-TECNICO INDUSTRIAL-96</t>
  </si>
  <si>
    <t>RIO-TECNICO INDUSTRIAL-97</t>
  </si>
  <si>
    <t>RIO-TECNICO INDUSTRIAL-98</t>
  </si>
  <si>
    <t>RIO-TECNICO INDUSTRIAL-99</t>
  </si>
  <si>
    <t>SEC-1496</t>
  </si>
  <si>
    <t>C.E.R. las Flores</t>
  </si>
  <si>
    <t>C. E. R. LAS FLORES</t>
  </si>
  <si>
    <t>Nechí</t>
  </si>
  <si>
    <t>G44</t>
  </si>
  <si>
    <t>SEC-1497</t>
  </si>
  <si>
    <t>SEC-1498</t>
  </si>
  <si>
    <t>SEC-1499</t>
  </si>
  <si>
    <t>SEC-1500</t>
  </si>
  <si>
    <t>SEC-1501</t>
  </si>
  <si>
    <t>SEC-1502</t>
  </si>
  <si>
    <t>SEC-1503</t>
  </si>
  <si>
    <t>SEC-1504</t>
  </si>
  <si>
    <t>SEC-1505</t>
  </si>
  <si>
    <t>SEC-1506</t>
  </si>
  <si>
    <t>SEC-1507</t>
  </si>
  <si>
    <t>SEC-1508</t>
  </si>
  <si>
    <t>SEC-1509</t>
  </si>
  <si>
    <t>SEC-1510</t>
  </si>
  <si>
    <t>SEC-1511</t>
  </si>
  <si>
    <t>SEC-1512</t>
  </si>
  <si>
    <t>SEC-1513</t>
  </si>
  <si>
    <t>SEC-1514</t>
  </si>
  <si>
    <t>SEC-1515</t>
  </si>
  <si>
    <t>SEC-1516</t>
  </si>
  <si>
    <t>SEC-1517</t>
  </si>
  <si>
    <t>SEC-1518</t>
  </si>
  <si>
    <t>SEC-1519</t>
  </si>
  <si>
    <t>SEC-1520</t>
  </si>
  <si>
    <t>SEC-1521</t>
  </si>
  <si>
    <t>SEC-1522</t>
  </si>
  <si>
    <t>SEC-1523</t>
  </si>
  <si>
    <t>SEC-1524</t>
  </si>
  <si>
    <t>SEC-1525</t>
  </si>
  <si>
    <t>SEC-1526</t>
  </si>
  <si>
    <t>SEC-1527</t>
  </si>
  <si>
    <t>SEC-1528</t>
  </si>
  <si>
    <t>SEC-1529</t>
  </si>
  <si>
    <t>SEC-1530</t>
  </si>
  <si>
    <t>SEC-0168</t>
  </si>
  <si>
    <t>I.E. Anori</t>
  </si>
  <si>
    <t>I. E. ANORI</t>
  </si>
  <si>
    <t>Anorí</t>
  </si>
  <si>
    <t>SEC-0169</t>
  </si>
  <si>
    <t>SEC-0170</t>
  </si>
  <si>
    <t>SEC-0171</t>
  </si>
  <si>
    <t>SEC-0172</t>
  </si>
  <si>
    <t>SEC-0173</t>
  </si>
  <si>
    <t>SEC-0174</t>
  </si>
  <si>
    <t>SEC-0175</t>
  </si>
  <si>
    <t>SEC-0176</t>
  </si>
  <si>
    <t>SEC-0177</t>
  </si>
  <si>
    <t>SEC-0178</t>
  </si>
  <si>
    <t>SEC-0179</t>
  </si>
  <si>
    <t>SEC-0180</t>
  </si>
  <si>
    <t>SEC-0181</t>
  </si>
  <si>
    <t>SEC-0182</t>
  </si>
  <si>
    <t>SEC-0183</t>
  </si>
  <si>
    <t>SEC-0184</t>
  </si>
  <si>
    <t>SEC-0185</t>
  </si>
  <si>
    <t>SEC-0186</t>
  </si>
  <si>
    <t>SEC-0187</t>
  </si>
  <si>
    <t>SEC-0188</t>
  </si>
  <si>
    <t>SEC-0189</t>
  </si>
  <si>
    <t>SEC-0190</t>
  </si>
  <si>
    <t>SEC-0191</t>
  </si>
  <si>
    <t>SEC-0192</t>
  </si>
  <si>
    <t>SEC-0193</t>
  </si>
  <si>
    <t>SEC-0194</t>
  </si>
  <si>
    <t>SEC-0195</t>
  </si>
  <si>
    <t>SEC-1638</t>
  </si>
  <si>
    <t>I.E. Antonio Nariño</t>
  </si>
  <si>
    <t>I. E. ANTONIO NARIÑO</t>
  </si>
  <si>
    <t>Puerto Berrío</t>
  </si>
  <si>
    <t>G48</t>
  </si>
  <si>
    <t>SEC-1639</t>
  </si>
  <si>
    <t>SEC-1640</t>
  </si>
  <si>
    <t>SEC-1641</t>
  </si>
  <si>
    <t>SEC-1642</t>
  </si>
  <si>
    <t>SEC-1643</t>
  </si>
  <si>
    <t>SEC-1644</t>
  </si>
  <si>
    <t>SEC-1645</t>
  </si>
  <si>
    <t>SEC-1646</t>
  </si>
  <si>
    <t>SEC-1647</t>
  </si>
  <si>
    <t>SEC-1648</t>
  </si>
  <si>
    <t>SEC-1649</t>
  </si>
  <si>
    <t>SEC-1650</t>
  </si>
  <si>
    <t>SEC-1651</t>
  </si>
  <si>
    <t>SEC-1652</t>
  </si>
  <si>
    <t>SEC-1653</t>
  </si>
  <si>
    <t>SEC-1654</t>
  </si>
  <si>
    <t>SEC-1655</t>
  </si>
  <si>
    <t>SEC-1656</t>
  </si>
  <si>
    <t>SEC-1657</t>
  </si>
  <si>
    <t>SEC-1658</t>
  </si>
  <si>
    <t>SEC-1659</t>
  </si>
  <si>
    <t>SEC-1660</t>
  </si>
  <si>
    <t>SEC-1661</t>
  </si>
  <si>
    <t>SEC-1662</t>
  </si>
  <si>
    <t>SEC-1663</t>
  </si>
  <si>
    <t>SEC-1664</t>
  </si>
  <si>
    <t>SEC-1665</t>
  </si>
  <si>
    <t>SEC-1666</t>
  </si>
  <si>
    <t>SEC-1667</t>
  </si>
  <si>
    <t>SEC-1668</t>
  </si>
  <si>
    <t>SEC-1669</t>
  </si>
  <si>
    <t>SEC-1670</t>
  </si>
  <si>
    <t>SEC-1671</t>
  </si>
  <si>
    <t>SEC-0432</t>
  </si>
  <si>
    <t>I.E. Antonio Roldan Betancur</t>
  </si>
  <si>
    <t>I. E. ANTONIO ROLDAN BETANCUR</t>
  </si>
  <si>
    <t>Briceño</t>
  </si>
  <si>
    <t>G12</t>
  </si>
  <si>
    <t>SEC-0433</t>
  </si>
  <si>
    <t>SEC-0434</t>
  </si>
  <si>
    <t>SEC-0435</t>
  </si>
  <si>
    <t>SEC-0436</t>
  </si>
  <si>
    <t>SEC-0437</t>
  </si>
  <si>
    <t>SEC-0438</t>
  </si>
  <si>
    <t>SEC-0439</t>
  </si>
  <si>
    <t>SEC-0440</t>
  </si>
  <si>
    <t>SEC-0441</t>
  </si>
  <si>
    <t>SEC-0442</t>
  </si>
  <si>
    <t>SEC-0443</t>
  </si>
  <si>
    <t>SEC-0444</t>
  </si>
  <si>
    <t>SEC-0445</t>
  </si>
  <si>
    <t>SEC-0446</t>
  </si>
  <si>
    <t>SEC-0447</t>
  </si>
  <si>
    <t>SEC-0448</t>
  </si>
  <si>
    <t>SEC-0449</t>
  </si>
  <si>
    <t>SEC-0450</t>
  </si>
  <si>
    <t>SEC-0451</t>
  </si>
  <si>
    <t>SEC-0452</t>
  </si>
  <si>
    <t>SEC-0453</t>
  </si>
  <si>
    <t>SEC-0454</t>
  </si>
  <si>
    <t>SEC-0455</t>
  </si>
  <si>
    <t>SEC-0456</t>
  </si>
  <si>
    <t>SEC-0457</t>
  </si>
  <si>
    <t>SEC-0458</t>
  </si>
  <si>
    <t>SEC-0459</t>
  </si>
  <si>
    <t>SEC-0460</t>
  </si>
  <si>
    <t>SEC-0461</t>
  </si>
  <si>
    <t>SEC-0462</t>
  </si>
  <si>
    <t>SEC-0463</t>
  </si>
  <si>
    <t>SEC-0464</t>
  </si>
  <si>
    <t>SEC-0196</t>
  </si>
  <si>
    <t>I.E. Anza</t>
  </si>
  <si>
    <t>I. E. ANZA</t>
  </si>
  <si>
    <t>Anzá</t>
  </si>
  <si>
    <t>G7</t>
  </si>
  <si>
    <t>SEC-0197</t>
  </si>
  <si>
    <t>SEC-0198</t>
  </si>
  <si>
    <t>SEC-0199</t>
  </si>
  <si>
    <t>SEC-0200</t>
  </si>
  <si>
    <t>SEC-0201</t>
  </si>
  <si>
    <t>SEC-0202</t>
  </si>
  <si>
    <t>SEC-0203</t>
  </si>
  <si>
    <t>SEC-0204</t>
  </si>
  <si>
    <t>SEC-0205</t>
  </si>
  <si>
    <t>SEC-0206</t>
  </si>
  <si>
    <t>SEC-0207</t>
  </si>
  <si>
    <t>SEC-0208</t>
  </si>
  <si>
    <t>SEC-0209</t>
  </si>
  <si>
    <t>SEC-0210</t>
  </si>
  <si>
    <t>SEC-0211</t>
  </si>
  <si>
    <t>SEC-0212</t>
  </si>
  <si>
    <t>SEC-0213</t>
  </si>
  <si>
    <t>SEC-0214</t>
  </si>
  <si>
    <t>SEC-0215</t>
  </si>
  <si>
    <t>SEC-0216</t>
  </si>
  <si>
    <t>SEC-0217</t>
  </si>
  <si>
    <t>SEC-0218</t>
  </si>
  <si>
    <t>SEC-0219</t>
  </si>
  <si>
    <t>SEC-0220</t>
  </si>
  <si>
    <t>SEC-0221</t>
  </si>
  <si>
    <t>SEC-0222</t>
  </si>
  <si>
    <t>SEC-0223</t>
  </si>
  <si>
    <t>SEC-0224</t>
  </si>
  <si>
    <t>SEC-0225</t>
  </si>
  <si>
    <t>SEC-0226</t>
  </si>
  <si>
    <t>SEC-1990</t>
  </si>
  <si>
    <t>I.E. Camilo Torres</t>
  </si>
  <si>
    <t>I. E. CAMILO TORRES</t>
  </si>
  <si>
    <t>San Pedro de Urabá</t>
  </si>
  <si>
    <t>G56</t>
  </si>
  <si>
    <t>SEC-1991</t>
  </si>
  <si>
    <t>SEC-1992</t>
  </si>
  <si>
    <t>SEC-1993</t>
  </si>
  <si>
    <t>SEC-1994</t>
  </si>
  <si>
    <t>SEC-1995</t>
  </si>
  <si>
    <t>SEC-1996</t>
  </si>
  <si>
    <t>SEC-1997</t>
  </si>
  <si>
    <t>SEC-1998</t>
  </si>
  <si>
    <t>SEC-1999</t>
  </si>
  <si>
    <t>SEC-2000</t>
  </si>
  <si>
    <t>SEC-2001</t>
  </si>
  <si>
    <t>SEC-2002</t>
  </si>
  <si>
    <t>SEC-2003</t>
  </si>
  <si>
    <t>SEC-2004</t>
  </si>
  <si>
    <t>SEC-2005</t>
  </si>
  <si>
    <t>SEC-2006</t>
  </si>
  <si>
    <t>SEC-2007</t>
  </si>
  <si>
    <t>SEC-2008</t>
  </si>
  <si>
    <t>SEC-2009</t>
  </si>
  <si>
    <t>SEC-2010</t>
  </si>
  <si>
    <t>SEC-2011</t>
  </si>
  <si>
    <t>SEC-2012</t>
  </si>
  <si>
    <t>SEC-2013</t>
  </si>
  <si>
    <t>SEC-2014</t>
  </si>
  <si>
    <t>SEC-2015</t>
  </si>
  <si>
    <t>SEC-2016</t>
  </si>
  <si>
    <t>SEC-2017</t>
  </si>
  <si>
    <t>SEC-2018</t>
  </si>
  <si>
    <t>SEC-2019</t>
  </si>
  <si>
    <t>SEC-2020</t>
  </si>
  <si>
    <t>SEC-2021</t>
  </si>
  <si>
    <t>SEC-2022</t>
  </si>
  <si>
    <t>SEC-2023</t>
  </si>
  <si>
    <t>SEC-2024</t>
  </si>
  <si>
    <t>SEC-2025</t>
  </si>
  <si>
    <t>SEC-2026</t>
  </si>
  <si>
    <t>SEC-2027</t>
  </si>
  <si>
    <t>SEC-2028</t>
  </si>
  <si>
    <t>SEC-2029</t>
  </si>
  <si>
    <t>SEC-2030</t>
  </si>
  <si>
    <t>SEC-2031</t>
  </si>
  <si>
    <t>SEC-2032</t>
  </si>
  <si>
    <t>SEC-2033</t>
  </si>
  <si>
    <t>SEC-2034</t>
  </si>
  <si>
    <t>SEC-2035</t>
  </si>
  <si>
    <t>SEC-2451</t>
  </si>
  <si>
    <t>I.E. Eduardo Aguilar</t>
  </si>
  <si>
    <t>I. E. EDUARDO AGUILAR</t>
  </si>
  <si>
    <t>Yolombó</t>
  </si>
  <si>
    <t>G70</t>
  </si>
  <si>
    <t>SEC-2452</t>
  </si>
  <si>
    <t>SEC-2453</t>
  </si>
  <si>
    <t>SEC-2454</t>
  </si>
  <si>
    <t>SEC-2455</t>
  </si>
  <si>
    <t>SEC-2456</t>
  </si>
  <si>
    <t>SEC-2457</t>
  </si>
  <si>
    <t>SEC-2458</t>
  </si>
  <si>
    <t>SEC-2459</t>
  </si>
  <si>
    <t>SEC-2460</t>
  </si>
  <si>
    <t>SEC-2461</t>
  </si>
  <si>
    <t>SEC-2462</t>
  </si>
  <si>
    <t>SEC-2463</t>
  </si>
  <si>
    <t>SEC-2464</t>
  </si>
  <si>
    <t>SEC-2465</t>
  </si>
  <si>
    <t>SEC-2466</t>
  </si>
  <si>
    <t>SEC-2467</t>
  </si>
  <si>
    <t>SEC-2468</t>
  </si>
  <si>
    <t>SEC-2469</t>
  </si>
  <si>
    <t>SEC-2470</t>
  </si>
  <si>
    <t>SEC-2471</t>
  </si>
  <si>
    <t>SEC-2472</t>
  </si>
  <si>
    <t>SEC-2473</t>
  </si>
  <si>
    <t>SEC-2474</t>
  </si>
  <si>
    <t>SEC-2475</t>
  </si>
  <si>
    <t>SEC-2476</t>
  </si>
  <si>
    <t>SEC-2477</t>
  </si>
  <si>
    <t>SEC-2478</t>
  </si>
  <si>
    <t>SEC-2479</t>
  </si>
  <si>
    <t>SEC-2480</t>
  </si>
  <si>
    <t>SEC-2481</t>
  </si>
  <si>
    <t>SEC-2482</t>
  </si>
  <si>
    <t>SEC-2483</t>
  </si>
  <si>
    <t>SEC-2484</t>
  </si>
  <si>
    <t>SEC-2485</t>
  </si>
  <si>
    <t>SEC-2314</t>
  </si>
  <si>
    <t>I.E. Efe Gomez</t>
  </si>
  <si>
    <t>I. E. EFE GOMEZ</t>
  </si>
  <si>
    <t>Vegachí</t>
  </si>
  <si>
    <t>G65</t>
  </si>
  <si>
    <t>SEC-2315</t>
  </si>
  <si>
    <t>SEC-2316</t>
  </si>
  <si>
    <t>SEC-2317</t>
  </si>
  <si>
    <t>SEC-2318</t>
  </si>
  <si>
    <t>SEC-2319</t>
  </si>
  <si>
    <t>SEC-2320</t>
  </si>
  <si>
    <t>SEC-2321</t>
  </si>
  <si>
    <t>SEC-2322</t>
  </si>
  <si>
    <t>SEC-2323</t>
  </si>
  <si>
    <t>SEC-2324</t>
  </si>
  <si>
    <t>SEC-2325</t>
  </si>
  <si>
    <t>SEC-2326</t>
  </si>
  <si>
    <t>SEC-2327</t>
  </si>
  <si>
    <t>SEC-2328</t>
  </si>
  <si>
    <t>SEC-2329</t>
  </si>
  <si>
    <t>SEC-2330</t>
  </si>
  <si>
    <t>SEC-2331</t>
  </si>
  <si>
    <t>SEC-2332</t>
  </si>
  <si>
    <t>SEC-2333</t>
  </si>
  <si>
    <t>SEC-2334</t>
  </si>
  <si>
    <t>SEC-2335</t>
  </si>
  <si>
    <t>SEC-2336</t>
  </si>
  <si>
    <t>SEC-2337</t>
  </si>
  <si>
    <t>SEC-2338</t>
  </si>
  <si>
    <t>SEC-2339</t>
  </si>
  <si>
    <t>SEC-2340</t>
  </si>
  <si>
    <t>SEC-2341</t>
  </si>
  <si>
    <t>SEC-2342</t>
  </si>
  <si>
    <t>SEC-2343</t>
  </si>
  <si>
    <t>SEC-2344</t>
  </si>
  <si>
    <t>SEC-2345</t>
  </si>
  <si>
    <t>SEC-2346</t>
  </si>
  <si>
    <t>SEC-2347</t>
  </si>
  <si>
    <t>SEC-1109</t>
  </si>
  <si>
    <t>I.E. Escuela Normal Superior Mariano Ospina Rodriguez</t>
  </si>
  <si>
    <t>I. E. ESCUELA NORMAL SUPERIOR MARIANO OSPINA RODRIGUEZ</t>
  </si>
  <si>
    <t>Fredonia</t>
  </si>
  <si>
    <t>G33</t>
  </si>
  <si>
    <t>SEC-1110</t>
  </si>
  <si>
    <t>SEC-1111</t>
  </si>
  <si>
    <t>SEC-1112</t>
  </si>
  <si>
    <t>SEC-1113</t>
  </si>
  <si>
    <t>SEC-1114</t>
  </si>
  <si>
    <t>SEC-1115</t>
  </si>
  <si>
    <t>SEC-1116</t>
  </si>
  <si>
    <t>SEC-1117</t>
  </si>
  <si>
    <t>SEC-1118</t>
  </si>
  <si>
    <t>SEC-1119</t>
  </si>
  <si>
    <t>SEC-1120</t>
  </si>
  <si>
    <t>SEC-1121</t>
  </si>
  <si>
    <t>SEC-1122</t>
  </si>
  <si>
    <t>SEC-1123</t>
  </si>
  <si>
    <t>SEC-1124</t>
  </si>
  <si>
    <t>SEC-1125</t>
  </si>
  <si>
    <t>SEC-1126</t>
  </si>
  <si>
    <t>SEC-1127</t>
  </si>
  <si>
    <t>SEC-1128</t>
  </si>
  <si>
    <t>SEC-1129</t>
  </si>
  <si>
    <t>SEC-1130</t>
  </si>
  <si>
    <t>SEC-1131</t>
  </si>
  <si>
    <t>SEC-1132</t>
  </si>
  <si>
    <t>SEC-1133</t>
  </si>
  <si>
    <t>SEC-1134</t>
  </si>
  <si>
    <t>SEC-1135</t>
  </si>
  <si>
    <t>SEC-1136</t>
  </si>
  <si>
    <t>SEC-1137</t>
  </si>
  <si>
    <t>SEC-1138</t>
  </si>
  <si>
    <t>SEC-1139</t>
  </si>
  <si>
    <t>SEC-1140</t>
  </si>
  <si>
    <t>SEC-1141</t>
  </si>
  <si>
    <t>SEC-1142</t>
  </si>
  <si>
    <t>SEC-1143</t>
  </si>
  <si>
    <t>SEC-1144</t>
  </si>
  <si>
    <t>SEC-1145</t>
  </si>
  <si>
    <t>SEC-1146</t>
  </si>
  <si>
    <t>SEC-1147</t>
  </si>
  <si>
    <t>SEC-1148</t>
  </si>
  <si>
    <t>SEC-1149</t>
  </si>
  <si>
    <t>SEC-1150</t>
  </si>
  <si>
    <t>SEC-1151</t>
  </si>
  <si>
    <t>SEC-1152</t>
  </si>
  <si>
    <t>SEC-1153</t>
  </si>
  <si>
    <t>SEC-1154</t>
  </si>
  <si>
    <t>SEC-1333</t>
  </si>
  <si>
    <t>I.E. Filiberto Restrepo Sierra</t>
  </si>
  <si>
    <t>I. E. FILIBERTO RESTREPO SIERRA</t>
  </si>
  <si>
    <t>Maceo</t>
  </si>
  <si>
    <t>G40</t>
  </si>
  <si>
    <t>SEC-1334</t>
  </si>
  <si>
    <t>SEC-1335</t>
  </si>
  <si>
    <t>SEC-1336</t>
  </si>
  <si>
    <t>SEC-1337</t>
  </si>
  <si>
    <t>SEC-1338</t>
  </si>
  <si>
    <t>SEC-1339</t>
  </si>
  <si>
    <t>SEC-1340</t>
  </si>
  <si>
    <t>SEC-1341</t>
  </si>
  <si>
    <t>SEC-1342</t>
  </si>
  <si>
    <t>SEC-1343</t>
  </si>
  <si>
    <t>SEC-1344</t>
  </si>
  <si>
    <t>SEC-1345</t>
  </si>
  <si>
    <t>SEC-1346</t>
  </si>
  <si>
    <t>SEC-1347</t>
  </si>
  <si>
    <t>SEC-1348</t>
  </si>
  <si>
    <t>SEC-1349</t>
  </si>
  <si>
    <t>SEC-1350</t>
  </si>
  <si>
    <t>SEC-1351</t>
  </si>
  <si>
    <t>SEC-1352</t>
  </si>
  <si>
    <t>SEC-1353</t>
  </si>
  <si>
    <t>SEC-1354</t>
  </si>
  <si>
    <t>SEC-1355</t>
  </si>
  <si>
    <t>SEC-1356</t>
  </si>
  <si>
    <t>SEC-1357</t>
  </si>
  <si>
    <t>SEC-1358</t>
  </si>
  <si>
    <t>SEC-1359</t>
  </si>
  <si>
    <t>SEC-1360</t>
  </si>
  <si>
    <t>SEC-1361</t>
  </si>
  <si>
    <t>SEC-1362</t>
  </si>
  <si>
    <t>SEC-1363</t>
  </si>
  <si>
    <t>SEC-1364</t>
  </si>
  <si>
    <t>SEC-1365</t>
  </si>
  <si>
    <t>SEC-1366</t>
  </si>
  <si>
    <t>SEC-1367</t>
  </si>
  <si>
    <t>SEC-1368</t>
  </si>
  <si>
    <t>SEC-1369</t>
  </si>
  <si>
    <t>SEC-1370</t>
  </si>
  <si>
    <t>SEC-1869</t>
  </si>
  <si>
    <t>I.E. Francisco Abel Gallego</t>
  </si>
  <si>
    <t>I. E. FRANCISCO ABEL GALLEGO</t>
  </si>
  <si>
    <t>San José de la Montaña</t>
  </si>
  <si>
    <t>G54</t>
  </si>
  <si>
    <t>SEC-1870</t>
  </si>
  <si>
    <t>SEC-1871</t>
  </si>
  <si>
    <t>SEC-1872</t>
  </si>
  <si>
    <t>SEC-1873</t>
  </si>
  <si>
    <t>SEC-1874</t>
  </si>
  <si>
    <t>SEC-1875</t>
  </si>
  <si>
    <t>SEC-1876</t>
  </si>
  <si>
    <t>SEC-1877</t>
  </si>
  <si>
    <t>SEC-1878</t>
  </si>
  <si>
    <t>SEC-1879</t>
  </si>
  <si>
    <t>SEC-1880</t>
  </si>
  <si>
    <t>SEC-1881</t>
  </si>
  <si>
    <t>SEC-1882</t>
  </si>
  <si>
    <t>SEC-1883</t>
  </si>
  <si>
    <t>SEC-1884</t>
  </si>
  <si>
    <t>SEC-1885</t>
  </si>
  <si>
    <t>SEC-1886</t>
  </si>
  <si>
    <t>SEC-1887</t>
  </si>
  <si>
    <t>SEC-1888</t>
  </si>
  <si>
    <t>SEC-1889</t>
  </si>
  <si>
    <t>SEC-1890</t>
  </si>
  <si>
    <t>SEC-1891</t>
  </si>
  <si>
    <t>SEC-1892</t>
  </si>
  <si>
    <t>SEC-1893</t>
  </si>
  <si>
    <t>SEC-1894</t>
  </si>
  <si>
    <t>SEC-1895</t>
  </si>
  <si>
    <t>SEC-1896</t>
  </si>
  <si>
    <t>SEC-1897</t>
  </si>
  <si>
    <t>SEC-1898</t>
  </si>
  <si>
    <t>SEC-1899</t>
  </si>
  <si>
    <t>SEC-1900</t>
  </si>
  <si>
    <t>SEC-1901</t>
  </si>
  <si>
    <t>SEC-1902</t>
  </si>
  <si>
    <t>SEC-1903</t>
  </si>
  <si>
    <t>SEC-1904</t>
  </si>
  <si>
    <t>SEC-0612</t>
  </si>
  <si>
    <t>I.E. Gabriel Correa Velez</t>
  </si>
  <si>
    <t>I. E. GABRIEL CORREA VELEZ</t>
  </si>
  <si>
    <t>Caracolí</t>
  </si>
  <si>
    <t>G18</t>
  </si>
  <si>
    <t>SEC-0613</t>
  </si>
  <si>
    <t>SEC-0614</t>
  </si>
  <si>
    <t>SEC-0615</t>
  </si>
  <si>
    <t>SEC-0616</t>
  </si>
  <si>
    <t>SEC-0617</t>
  </si>
  <si>
    <t>SEC-0618</t>
  </si>
  <si>
    <t>SEC-0619</t>
  </si>
  <si>
    <t>SEC-0620</t>
  </si>
  <si>
    <t>SEC-0621</t>
  </si>
  <si>
    <t>SEC-0622</t>
  </si>
  <si>
    <t>SEC-0623</t>
  </si>
  <si>
    <t>SEC-0624</t>
  </si>
  <si>
    <t>SEC-0625</t>
  </si>
  <si>
    <t>SEC-0626</t>
  </si>
  <si>
    <t>SEC-0627</t>
  </si>
  <si>
    <t>SEC-0628</t>
  </si>
  <si>
    <t>SEC-0629</t>
  </si>
  <si>
    <t>SEC-0630</t>
  </si>
  <si>
    <t>SEC-0631</t>
  </si>
  <si>
    <t>SEC-0632</t>
  </si>
  <si>
    <t>SEC-0633</t>
  </si>
  <si>
    <t>SEC-0634</t>
  </si>
  <si>
    <t>SEC-0635</t>
  </si>
  <si>
    <t>SEC-0636</t>
  </si>
  <si>
    <t>SEC-0637</t>
  </si>
  <si>
    <t>SEC-0486</t>
  </si>
  <si>
    <t>I.E. Guarumo</t>
  </si>
  <si>
    <t>I. E. GUARUMO</t>
  </si>
  <si>
    <t>Cáceres</t>
  </si>
  <si>
    <t>G14</t>
  </si>
  <si>
    <t>SEC-0487</t>
  </si>
  <si>
    <t>SEC-0488</t>
  </si>
  <si>
    <t>SEC-0489</t>
  </si>
  <si>
    <t>SEC-0490</t>
  </si>
  <si>
    <t>SEC-0491</t>
  </si>
  <si>
    <t>SEC-0492</t>
  </si>
  <si>
    <t>SEC-0493</t>
  </si>
  <si>
    <t>SEC-0494</t>
  </si>
  <si>
    <t>SEC-0495</t>
  </si>
  <si>
    <t>SEC-0496</t>
  </si>
  <si>
    <t>SEC-0497</t>
  </si>
  <si>
    <t>SEC-0498</t>
  </si>
  <si>
    <t>SEC-0499</t>
  </si>
  <si>
    <t>SEC-0500</t>
  </si>
  <si>
    <t>SEC-0501</t>
  </si>
  <si>
    <t>SEC-0502</t>
  </si>
  <si>
    <t>SEC-0503</t>
  </si>
  <si>
    <t>SEC-0504</t>
  </si>
  <si>
    <t>SEC-0505</t>
  </si>
  <si>
    <t>SEC-0506</t>
  </si>
  <si>
    <t>SEC-0507</t>
  </si>
  <si>
    <t>SEC-0508</t>
  </si>
  <si>
    <t>SEC-0509</t>
  </si>
  <si>
    <t>SEC-0510</t>
  </si>
  <si>
    <t>SEC-0511</t>
  </si>
  <si>
    <t>SEC-0512</t>
  </si>
  <si>
    <t>SEC-0513</t>
  </si>
  <si>
    <t>SEC-0514</t>
  </si>
  <si>
    <t>SEC-0515</t>
  </si>
  <si>
    <t>SEC-0516</t>
  </si>
  <si>
    <t>SEC-0517</t>
  </si>
  <si>
    <t>SEC-0518</t>
  </si>
  <si>
    <t>SEC-0519</t>
  </si>
  <si>
    <t>SEC-0520</t>
  </si>
  <si>
    <t>SEC-0521</t>
  </si>
  <si>
    <t>SEC-0522</t>
  </si>
  <si>
    <t>SEC-0523</t>
  </si>
  <si>
    <t>SEC-0524</t>
  </si>
  <si>
    <t>SEC-0525</t>
  </si>
  <si>
    <t>SEC-0526</t>
  </si>
  <si>
    <t>SEC-0527</t>
  </si>
  <si>
    <t>SEC-0528</t>
  </si>
  <si>
    <t>SEC-0529</t>
  </si>
  <si>
    <t>SEC-0530</t>
  </si>
  <si>
    <t>SEC-0531</t>
  </si>
  <si>
    <t>SEC-0532</t>
  </si>
  <si>
    <t>SEC-0533</t>
  </si>
  <si>
    <t>SEC-0534</t>
  </si>
  <si>
    <t>SEC-0535</t>
  </si>
  <si>
    <t>SEC-0536</t>
  </si>
  <si>
    <t>SEC-0537</t>
  </si>
  <si>
    <t>SEC-0538</t>
  </si>
  <si>
    <t>SEC-0539</t>
  </si>
  <si>
    <t>SEC-0540</t>
  </si>
  <si>
    <t>SEC-0541</t>
  </si>
  <si>
    <t>SEC-0542</t>
  </si>
  <si>
    <t>SEC-2058</t>
  </si>
  <si>
    <t>I.E. Jesus Maria Rojas Pagola</t>
  </si>
  <si>
    <t>I. E. JESUS MARIA ROJAS PAGOLA</t>
  </si>
  <si>
    <t>Santa Bárbara</t>
  </si>
  <si>
    <t>G58</t>
  </si>
  <si>
    <t>SEC-2059</t>
  </si>
  <si>
    <t>SEC-2060</t>
  </si>
  <si>
    <t>SEC-2061</t>
  </si>
  <si>
    <t>SEC-2062</t>
  </si>
  <si>
    <t>SEC-2063</t>
  </si>
  <si>
    <t>SEC-2064</t>
  </si>
  <si>
    <t>SEC-2065</t>
  </si>
  <si>
    <t>SEC-2066</t>
  </si>
  <si>
    <t>SEC-2067</t>
  </si>
  <si>
    <t>SEC-2068</t>
  </si>
  <si>
    <t>SEC-2069</t>
  </si>
  <si>
    <t>SEC-2070</t>
  </si>
  <si>
    <t>SEC-2071</t>
  </si>
  <si>
    <t>SEC-2072</t>
  </si>
  <si>
    <t>SEC-2073</t>
  </si>
  <si>
    <t>SEC-2074</t>
  </si>
  <si>
    <t>SEC-2075</t>
  </si>
  <si>
    <t>SEC-2076</t>
  </si>
  <si>
    <t>SEC-2077</t>
  </si>
  <si>
    <t>SEC-2078</t>
  </si>
  <si>
    <t>SEC-2079</t>
  </si>
  <si>
    <t>SEC-2080</t>
  </si>
  <si>
    <t>SEC-2081</t>
  </si>
  <si>
    <t>SEC-2082</t>
  </si>
  <si>
    <t>SEC-2083</t>
  </si>
  <si>
    <t>SEC-2084</t>
  </si>
  <si>
    <t>SEC-2085</t>
  </si>
  <si>
    <t>SEC-2086</t>
  </si>
  <si>
    <t>SEC-2087</t>
  </si>
  <si>
    <t>SEC-2088</t>
  </si>
  <si>
    <t>SEC-2089</t>
  </si>
  <si>
    <t>SEC-2090</t>
  </si>
  <si>
    <t>SEC-2091</t>
  </si>
  <si>
    <t>SEC-2092</t>
  </si>
  <si>
    <t>SEC-2093</t>
  </si>
  <si>
    <t>SEC-2094</t>
  </si>
  <si>
    <t>SEC-2095</t>
  </si>
  <si>
    <t>SEC-2096</t>
  </si>
  <si>
    <t>SEC-2097</t>
  </si>
  <si>
    <t>SEC-2098</t>
  </si>
  <si>
    <t>SEC-2099</t>
  </si>
  <si>
    <t>SEC-2100</t>
  </si>
  <si>
    <t>SEC-2101</t>
  </si>
  <si>
    <t>SEC-2102</t>
  </si>
  <si>
    <t>SEC-2103</t>
  </si>
  <si>
    <t>SEC-2104</t>
  </si>
  <si>
    <t>SEC-2105</t>
  </si>
  <si>
    <t>SEC-2106</t>
  </si>
  <si>
    <t>SEC-2107</t>
  </si>
  <si>
    <t>SEC-2108</t>
  </si>
  <si>
    <t>SEC-0227</t>
  </si>
  <si>
    <t>I.E. Jose Manuel Restrepo</t>
  </si>
  <si>
    <t>I. E. JOSE MANUEL RESTREPO</t>
  </si>
  <si>
    <t>Arboletes</t>
  </si>
  <si>
    <t>G8</t>
  </si>
  <si>
    <t>SEC-0228</t>
  </si>
  <si>
    <t>SEC-0229</t>
  </si>
  <si>
    <t>SEC-0230</t>
  </si>
  <si>
    <t>SEC-0231</t>
  </si>
  <si>
    <t>SEC-0232</t>
  </si>
  <si>
    <t>SEC-0233</t>
  </si>
  <si>
    <t>SEC-0234</t>
  </si>
  <si>
    <t>SEC-0235</t>
  </si>
  <si>
    <t>SEC-0236</t>
  </si>
  <si>
    <t>SEC-0237</t>
  </si>
  <si>
    <t>SEC-0238</t>
  </si>
  <si>
    <t>SEC-0239</t>
  </si>
  <si>
    <t>SEC-0240</t>
  </si>
  <si>
    <t>SEC-0241</t>
  </si>
  <si>
    <t>SEC-0242</t>
  </si>
  <si>
    <t>SEC-0243</t>
  </si>
  <si>
    <t>SEC-0244</t>
  </si>
  <si>
    <t>SEC-0245</t>
  </si>
  <si>
    <t>SEC-0246</t>
  </si>
  <si>
    <t>SEC-0247</t>
  </si>
  <si>
    <t>SEC-0248</t>
  </si>
  <si>
    <t>SEC-0249</t>
  </si>
  <si>
    <t>SEC-0250</t>
  </si>
  <si>
    <t>SEC-0251</t>
  </si>
  <si>
    <t>SEC-0252</t>
  </si>
  <si>
    <t>SEC-0253</t>
  </si>
  <si>
    <t>SEC-0254</t>
  </si>
  <si>
    <t>SEC-0255</t>
  </si>
  <si>
    <t>SEC-0256</t>
  </si>
  <si>
    <t>SEC-0257</t>
  </si>
  <si>
    <t>SEC-0258</t>
  </si>
  <si>
    <t>SEC-0259</t>
  </si>
  <si>
    <t>SEC-0260</t>
  </si>
  <si>
    <t>SEC-0261</t>
  </si>
  <si>
    <t>SEC-0262</t>
  </si>
  <si>
    <t>SEC-0263</t>
  </si>
  <si>
    <t>SEC-0264</t>
  </si>
  <si>
    <t>SEC-0265</t>
  </si>
  <si>
    <t>SEC-0266</t>
  </si>
  <si>
    <t>SEC-0267</t>
  </si>
  <si>
    <t>SEC-0268</t>
  </si>
  <si>
    <t>SEC-0269</t>
  </si>
  <si>
    <t>SEC-0270</t>
  </si>
  <si>
    <t>SEC-0271</t>
  </si>
  <si>
    <t>SEC-0272</t>
  </si>
  <si>
    <t>SEC-0273</t>
  </si>
  <si>
    <t>SEC-0274</t>
  </si>
  <si>
    <t>SEC-0275</t>
  </si>
  <si>
    <t>SEC-0276</t>
  </si>
  <si>
    <t>SEC-0277</t>
  </si>
  <si>
    <t>SEC-0278</t>
  </si>
  <si>
    <t>SEC-0279</t>
  </si>
  <si>
    <t>SEC-0280</t>
  </si>
  <si>
    <t>SEC-0664</t>
  </si>
  <si>
    <t>I.E. Jose Maria Muñoz Florez</t>
  </si>
  <si>
    <t>I. E. JOSE MARIA MUÑOZ FLOREZ</t>
  </si>
  <si>
    <t>Carepa</t>
  </si>
  <si>
    <t>G20</t>
  </si>
  <si>
    <t>SEC-0665</t>
  </si>
  <si>
    <t>SEC-0666</t>
  </si>
  <si>
    <t>SEC-0667</t>
  </si>
  <si>
    <t>SEC-0668</t>
  </si>
  <si>
    <t>SEC-0669</t>
  </si>
  <si>
    <t>SEC-0670</t>
  </si>
  <si>
    <t>SEC-0671</t>
  </si>
  <si>
    <t>SEC-0672</t>
  </si>
  <si>
    <t>SEC-0673</t>
  </si>
  <si>
    <t>SEC-0674</t>
  </si>
  <si>
    <t>SEC-0675</t>
  </si>
  <si>
    <t>SEC-0676</t>
  </si>
  <si>
    <t>SEC-0677</t>
  </si>
  <si>
    <t>SEC-0678</t>
  </si>
  <si>
    <t>SEC-0679</t>
  </si>
  <si>
    <t>SEC-0680</t>
  </si>
  <si>
    <t>SEC-0681</t>
  </si>
  <si>
    <t>SEC-0682</t>
  </si>
  <si>
    <t>SEC-0683</t>
  </si>
  <si>
    <t>SEC-0684</t>
  </si>
  <si>
    <t>SEC-0685</t>
  </si>
  <si>
    <t>SEC-0686</t>
  </si>
  <si>
    <t>SEC-0687</t>
  </si>
  <si>
    <t>SEC-0688</t>
  </si>
  <si>
    <t>SEC-0689</t>
  </si>
  <si>
    <t>SEC-0690</t>
  </si>
  <si>
    <t>SEC-0691</t>
  </si>
  <si>
    <t>SEC-0692</t>
  </si>
  <si>
    <t>SEC-0693</t>
  </si>
  <si>
    <t>SEC-0694</t>
  </si>
  <si>
    <t>SEC-0695</t>
  </si>
  <si>
    <t>SEC-0696</t>
  </si>
  <si>
    <t>SEC-0697</t>
  </si>
  <si>
    <t>SEC-0698</t>
  </si>
  <si>
    <t>SEC-0699</t>
  </si>
  <si>
    <t>SEC-0700</t>
  </si>
  <si>
    <t>SEC-0701</t>
  </si>
  <si>
    <t>SEC-0702</t>
  </si>
  <si>
    <t>SEC-0703</t>
  </si>
  <si>
    <t>SEC-0704</t>
  </si>
  <si>
    <t>SEC-0705</t>
  </si>
  <si>
    <t>SEC-0706</t>
  </si>
  <si>
    <t>SEC-0707</t>
  </si>
  <si>
    <t>SEC-2192</t>
  </si>
  <si>
    <t>I.E. Jose Maria Villa</t>
  </si>
  <si>
    <t>I. E. JOSE MARIA VILLA</t>
  </si>
  <si>
    <t>Sopetrán</t>
  </si>
  <si>
    <t>G62</t>
  </si>
  <si>
    <t>SEC-2193</t>
  </si>
  <si>
    <t>SEC-2194</t>
  </si>
  <si>
    <t>SEC-2195</t>
  </si>
  <si>
    <t>SEC-2196</t>
  </si>
  <si>
    <t>SEC-2197</t>
  </si>
  <si>
    <t>SEC-2198</t>
  </si>
  <si>
    <t>SEC-2199</t>
  </si>
  <si>
    <t>SEC-2200</t>
  </si>
  <si>
    <t>SEC-2201</t>
  </si>
  <si>
    <t>SEC-2202</t>
  </si>
  <si>
    <t>SEC-2203</t>
  </si>
  <si>
    <t>SEC-2204</t>
  </si>
  <si>
    <t>SEC-2205</t>
  </si>
  <si>
    <t>SEC-2206</t>
  </si>
  <si>
    <t>SEC-2207</t>
  </si>
  <si>
    <t>SEC-2208</t>
  </si>
  <si>
    <t>SEC-2209</t>
  </si>
  <si>
    <t>SEC-2210</t>
  </si>
  <si>
    <t>SEC-2211</t>
  </si>
  <si>
    <t>SEC-2212</t>
  </si>
  <si>
    <t>SEC-2213</t>
  </si>
  <si>
    <t>SEC-2214</t>
  </si>
  <si>
    <t>SEC-2215</t>
  </si>
  <si>
    <t>SEC-2216</t>
  </si>
  <si>
    <t>SEC-2217</t>
  </si>
  <si>
    <t>SEC-2218</t>
  </si>
  <si>
    <t>SEC-2219</t>
  </si>
  <si>
    <t>SEC-2220</t>
  </si>
  <si>
    <t>SEC-2221</t>
  </si>
  <si>
    <t>SEC-2222</t>
  </si>
  <si>
    <t>SEC-2223</t>
  </si>
  <si>
    <t>SEC-2224</t>
  </si>
  <si>
    <t>SEC-2225</t>
  </si>
  <si>
    <t>SEC-2226</t>
  </si>
  <si>
    <t>SEC-2227</t>
  </si>
  <si>
    <t>SEC-0807</t>
  </si>
  <si>
    <t>I.E. Juan Evangelista Berrio</t>
  </si>
  <si>
    <t>I. E. JUAN EVANGELISTA BERRIO</t>
  </si>
  <si>
    <t>Chigorodó</t>
  </si>
  <si>
    <t>G24</t>
  </si>
  <si>
    <t>SEC-0808</t>
  </si>
  <si>
    <t>SEC-0809</t>
  </si>
  <si>
    <t>SEC-0810</t>
  </si>
  <si>
    <t>SEC-0811</t>
  </si>
  <si>
    <t>SEC-0812</t>
  </si>
  <si>
    <t>SEC-0813</t>
  </si>
  <si>
    <t>SEC-0814</t>
  </si>
  <si>
    <t>SEC-0815</t>
  </si>
  <si>
    <t>SEC-0816</t>
  </si>
  <si>
    <t>SEC-0817</t>
  </si>
  <si>
    <t>SEC-0818</t>
  </si>
  <si>
    <t>SEC-0819</t>
  </si>
  <si>
    <t>SEC-0820</t>
  </si>
  <si>
    <t>SEC-0821</t>
  </si>
  <si>
    <t>SEC-0822</t>
  </si>
  <si>
    <t>SEC-0823</t>
  </si>
  <si>
    <t>SEC-0824</t>
  </si>
  <si>
    <t>SEC-0825</t>
  </si>
  <si>
    <t>SEC-0826</t>
  </si>
  <si>
    <t>SEC-0827</t>
  </si>
  <si>
    <t>SEC-0828</t>
  </si>
  <si>
    <t>SEC-0829</t>
  </si>
  <si>
    <t>SEC-0830</t>
  </si>
  <si>
    <t>SEC-0831</t>
  </si>
  <si>
    <t>SEC-0832</t>
  </si>
  <si>
    <t>SEC-0833</t>
  </si>
  <si>
    <t>SEC-0834</t>
  </si>
  <si>
    <t>SEC-0835</t>
  </si>
  <si>
    <t>SEC-0836</t>
  </si>
  <si>
    <t>SEC-0638</t>
  </si>
  <si>
    <t>I.E. Juan Pablo Gomez Ochoa</t>
  </si>
  <si>
    <t>I. E. JUAN PABLO GOMEZ OCHOA</t>
  </si>
  <si>
    <t>Caramanta</t>
  </si>
  <si>
    <t>G19</t>
  </si>
  <si>
    <t>SEC-0639</t>
  </si>
  <si>
    <t>SEC-0640</t>
  </si>
  <si>
    <t>SEC-0641</t>
  </si>
  <si>
    <t>SEC-0642</t>
  </si>
  <si>
    <t>SEC-0643</t>
  </si>
  <si>
    <t>SEC-0644</t>
  </si>
  <si>
    <t>SEC-0645</t>
  </si>
  <si>
    <t>SEC-0646</t>
  </si>
  <si>
    <t>SEC-0647</t>
  </si>
  <si>
    <t>SEC-0648</t>
  </si>
  <si>
    <t>SEC-0649</t>
  </si>
  <si>
    <t>SEC-0650</t>
  </si>
  <si>
    <t>SEC-0651</t>
  </si>
  <si>
    <t>SEC-0652</t>
  </si>
  <si>
    <t>SEC-0653</t>
  </si>
  <si>
    <t>SEC-0654</t>
  </si>
  <si>
    <t>SEC-0655</t>
  </si>
  <si>
    <t>SEC-0656</t>
  </si>
  <si>
    <t>SEC-0657</t>
  </si>
  <si>
    <t>SEC-0658</t>
  </si>
  <si>
    <t>SEC-0659</t>
  </si>
  <si>
    <t>SEC-0660</t>
  </si>
  <si>
    <t>SEC-0661</t>
  </si>
  <si>
    <t>SEC-0662</t>
  </si>
  <si>
    <t>SEC-0663</t>
  </si>
  <si>
    <t>SEC-0129</t>
  </si>
  <si>
    <t>I.E. Juan de Dios Uribe</t>
  </si>
  <si>
    <t>I. E. JUAN DE DIOS URIBE</t>
  </si>
  <si>
    <t>Andes</t>
  </si>
  <si>
    <t>SEC-0130</t>
  </si>
  <si>
    <t>SEC-0131</t>
  </si>
  <si>
    <t>SEC-0132</t>
  </si>
  <si>
    <t>SEC-0133</t>
  </si>
  <si>
    <t>SEC-0134</t>
  </si>
  <si>
    <t>SEC-0135</t>
  </si>
  <si>
    <t>SEC-0136</t>
  </si>
  <si>
    <t>SEC-0137</t>
  </si>
  <si>
    <t>SEC-0138</t>
  </si>
  <si>
    <t>SEC-0139</t>
  </si>
  <si>
    <t>SEC-0140</t>
  </si>
  <si>
    <t>SEC-0141</t>
  </si>
  <si>
    <t>SEC-0142</t>
  </si>
  <si>
    <t>SEC-0143</t>
  </si>
  <si>
    <t>SEC-0144</t>
  </si>
  <si>
    <t>SEC-0145</t>
  </si>
  <si>
    <t>SEC-0146</t>
  </si>
  <si>
    <t>SEC-0147</t>
  </si>
  <si>
    <t>SEC-0148</t>
  </si>
  <si>
    <t>SEC-0149</t>
  </si>
  <si>
    <t>SEC-1054</t>
  </si>
  <si>
    <t>I.E. Leon Xiii</t>
  </si>
  <si>
    <t>I. E. LEON XIII</t>
  </si>
  <si>
    <t>El Peñol</t>
  </si>
  <si>
    <t>G31</t>
  </si>
  <si>
    <t>SEC-1055</t>
  </si>
  <si>
    <t>SEC-1056</t>
  </si>
  <si>
    <t>SEC-1057</t>
  </si>
  <si>
    <t>SEC-1058</t>
  </si>
  <si>
    <t>SEC-1059</t>
  </si>
  <si>
    <t>SEC-1060</t>
  </si>
  <si>
    <t>SEC-1061</t>
  </si>
  <si>
    <t>SEC-1062</t>
  </si>
  <si>
    <t>SEC-1063</t>
  </si>
  <si>
    <t>SEC-1064</t>
  </si>
  <si>
    <t>SEC-1065</t>
  </si>
  <si>
    <t>SEC-1066</t>
  </si>
  <si>
    <t>SEC-1067</t>
  </si>
  <si>
    <t>SEC-1068</t>
  </si>
  <si>
    <t>SEC-1069</t>
  </si>
  <si>
    <t>SEC-1070</t>
  </si>
  <si>
    <t>SEC-1071</t>
  </si>
  <si>
    <t>SEC-1072</t>
  </si>
  <si>
    <t>SEC-1073</t>
  </si>
  <si>
    <t>SEC-1074</t>
  </si>
  <si>
    <t>SEC-1075</t>
  </si>
  <si>
    <t>SEC-1076</t>
  </si>
  <si>
    <t>SEC-1077</t>
  </si>
  <si>
    <t>SEC-1078</t>
  </si>
  <si>
    <t>SEC-1079</t>
  </si>
  <si>
    <t>SEC-1080</t>
  </si>
  <si>
    <t>SEC-1081</t>
  </si>
  <si>
    <t>SEC-1082</t>
  </si>
  <si>
    <t>SEC-1083</t>
  </si>
  <si>
    <t>SEC-1084</t>
  </si>
  <si>
    <t>SEC-1085</t>
  </si>
  <si>
    <t>SEC-2169</t>
  </si>
  <si>
    <t>I.E. Liborio Bataller</t>
  </si>
  <si>
    <t>I. E. LIBORIO BATALLER</t>
  </si>
  <si>
    <t>Segovia</t>
  </si>
  <si>
    <t>G61</t>
  </si>
  <si>
    <t>SEC-2170</t>
  </si>
  <si>
    <t>SEC-2171</t>
  </si>
  <si>
    <t>SEC-2172</t>
  </si>
  <si>
    <t>SEC-2173</t>
  </si>
  <si>
    <t>SEC-2174</t>
  </si>
  <si>
    <t>SEC-2175</t>
  </si>
  <si>
    <t>SEC-2176</t>
  </si>
  <si>
    <t>SEC-2177</t>
  </si>
  <si>
    <t>SEC-2178</t>
  </si>
  <si>
    <t>SEC-2179</t>
  </si>
  <si>
    <t>SEC-2180</t>
  </si>
  <si>
    <t>SEC-2181</t>
  </si>
  <si>
    <t>SEC-2182</t>
  </si>
  <si>
    <t>SEC-2183</t>
  </si>
  <si>
    <t>SEC-2184</t>
  </si>
  <si>
    <t>SEC-2185</t>
  </si>
  <si>
    <t>SEC-2186</t>
  </si>
  <si>
    <t>SEC-2187</t>
  </si>
  <si>
    <t>SEC-2188</t>
  </si>
  <si>
    <t>SEC-2189</t>
  </si>
  <si>
    <t>SEC-2190</t>
  </si>
  <si>
    <t>SEC-2191</t>
  </si>
  <si>
    <t>SEC-1727</t>
  </si>
  <si>
    <t>I.E. Llano de Cordoba</t>
  </si>
  <si>
    <t>I. E. LLANO DE CORDOBA</t>
  </si>
  <si>
    <t>Remedios</t>
  </si>
  <si>
    <t>G51</t>
  </si>
  <si>
    <t>SEC-1728</t>
  </si>
  <si>
    <t>SEC-1729</t>
  </si>
  <si>
    <t>SEC-1730</t>
  </si>
  <si>
    <t>SEC-1731</t>
  </si>
  <si>
    <t>SEC-1732</t>
  </si>
  <si>
    <t>SEC-1733</t>
  </si>
  <si>
    <t>SEC-1734</t>
  </si>
  <si>
    <t>SEC-1735</t>
  </si>
  <si>
    <t>SEC-1736</t>
  </si>
  <si>
    <t>SEC-1737</t>
  </si>
  <si>
    <t>SEC-1738</t>
  </si>
  <si>
    <t>SEC-1739</t>
  </si>
  <si>
    <t>SEC-1740</t>
  </si>
  <si>
    <t>SEC-1741</t>
  </si>
  <si>
    <t>SEC-1742</t>
  </si>
  <si>
    <t>SEC-1743</t>
  </si>
  <si>
    <t>SEC-1744</t>
  </si>
  <si>
    <t>SEC-1745</t>
  </si>
  <si>
    <t>SEC-1746</t>
  </si>
  <si>
    <t>SEC-1747</t>
  </si>
  <si>
    <t>SEC-1748</t>
  </si>
  <si>
    <t>SEC-1749</t>
  </si>
  <si>
    <t>SEC-1750</t>
  </si>
  <si>
    <t>SEC-1751</t>
  </si>
  <si>
    <t>SEC-1752</t>
  </si>
  <si>
    <t>SEC-1753</t>
  </si>
  <si>
    <t>SEC-2421</t>
  </si>
  <si>
    <t>I.E. Llanos de Cuiva</t>
  </si>
  <si>
    <t>I. E. LLANOS DE CUIVA</t>
  </si>
  <si>
    <t>Yarumal</t>
  </si>
  <si>
    <t>G69</t>
  </si>
  <si>
    <t>SEC-2422</t>
  </si>
  <si>
    <t>SEC-2423</t>
  </si>
  <si>
    <t>SEC-2424</t>
  </si>
  <si>
    <t>SEC-2425</t>
  </si>
  <si>
    <t>SEC-2426</t>
  </si>
  <si>
    <t>SEC-2427</t>
  </si>
  <si>
    <t>SEC-2428</t>
  </si>
  <si>
    <t>SEC-2429</t>
  </si>
  <si>
    <t>SEC-2430</t>
  </si>
  <si>
    <t>SEC-2431</t>
  </si>
  <si>
    <t>SEC-2432</t>
  </si>
  <si>
    <t>SEC-2433</t>
  </si>
  <si>
    <t>SEC-2434</t>
  </si>
  <si>
    <t>SEC-2435</t>
  </si>
  <si>
    <t>SEC-2436</t>
  </si>
  <si>
    <t>SEC-2437</t>
  </si>
  <si>
    <t>SEC-2438</t>
  </si>
  <si>
    <t>SEC-2439</t>
  </si>
  <si>
    <t>SEC-2440</t>
  </si>
  <si>
    <t>SEC-2441</t>
  </si>
  <si>
    <t>SEC-2442</t>
  </si>
  <si>
    <t>SEC-2443</t>
  </si>
  <si>
    <t>SEC-2444</t>
  </si>
  <si>
    <t>SEC-2445</t>
  </si>
  <si>
    <t>SEC-2446</t>
  </si>
  <si>
    <t>SEC-2447</t>
  </si>
  <si>
    <t>SEC-2448</t>
  </si>
  <si>
    <t>SEC-2449</t>
  </si>
  <si>
    <t>SEC-2450</t>
  </si>
  <si>
    <t>SEC-2401</t>
  </si>
  <si>
    <t>I.E. Lorenzo Yali</t>
  </si>
  <si>
    <t>I. E. LORENZO YALI</t>
  </si>
  <si>
    <t>Yalí</t>
  </si>
  <si>
    <t>G68</t>
  </si>
  <si>
    <t>SEC-2402</t>
  </si>
  <si>
    <t>SEC-2403</t>
  </si>
  <si>
    <t>SEC-2404</t>
  </si>
  <si>
    <t>SEC-2405</t>
  </si>
  <si>
    <t>SEC-2406</t>
  </si>
  <si>
    <t>SEC-2407</t>
  </si>
  <si>
    <t>SEC-2408</t>
  </si>
  <si>
    <t>SEC-2409</t>
  </si>
  <si>
    <t>SEC-2410</t>
  </si>
  <si>
    <t>SEC-2411</t>
  </si>
  <si>
    <t>SEC-2412</t>
  </si>
  <si>
    <t>SEC-2413</t>
  </si>
  <si>
    <t>SEC-2414</t>
  </si>
  <si>
    <t>SEC-2415</t>
  </si>
  <si>
    <t>SEC-2416</t>
  </si>
  <si>
    <t>SEC-2417</t>
  </si>
  <si>
    <t>SEC-2418</t>
  </si>
  <si>
    <t>SEC-2419</t>
  </si>
  <si>
    <t>SEC-2420</t>
  </si>
  <si>
    <t>SEC-2506</t>
  </si>
  <si>
    <t>I.E. Luis Eduardo Diaz</t>
  </si>
  <si>
    <t>I. E. LUIS EDUARDO DIAZ</t>
  </si>
  <si>
    <t>Yondó</t>
  </si>
  <si>
    <t>G72</t>
  </si>
  <si>
    <t>SEC-2507</t>
  </si>
  <si>
    <t>SEC-2508</t>
  </si>
  <si>
    <t>SEC-2509</t>
  </si>
  <si>
    <t>SEC-2510</t>
  </si>
  <si>
    <t>SEC-2511</t>
  </si>
  <si>
    <t>SEC-2512</t>
  </si>
  <si>
    <t>SEC-2513</t>
  </si>
  <si>
    <t>SEC-2514</t>
  </si>
  <si>
    <t>SEC-2515</t>
  </si>
  <si>
    <t>SEC-2516</t>
  </si>
  <si>
    <t>SEC-2517</t>
  </si>
  <si>
    <t>SEC-2518</t>
  </si>
  <si>
    <t>SEC-2519</t>
  </si>
  <si>
    <t>SEC-2520</t>
  </si>
  <si>
    <t>SEC-2521</t>
  </si>
  <si>
    <t>SEC-2522</t>
  </si>
  <si>
    <t>SEC-2523</t>
  </si>
  <si>
    <t>SEC-2524</t>
  </si>
  <si>
    <t>SEC-2525</t>
  </si>
  <si>
    <t>SEC-2526</t>
  </si>
  <si>
    <t>SEC-2527</t>
  </si>
  <si>
    <t>SEC-2528</t>
  </si>
  <si>
    <t>SEC-2529</t>
  </si>
  <si>
    <t>SEC-2530</t>
  </si>
  <si>
    <t>SEC-2531</t>
  </si>
  <si>
    <t>SEC-2532</t>
  </si>
  <si>
    <t>SEC-2533</t>
  </si>
  <si>
    <t>SEC-2534</t>
  </si>
  <si>
    <t>SEC-2535</t>
  </si>
  <si>
    <t>SEC-2536</t>
  </si>
  <si>
    <t>SEC-2537</t>
  </si>
  <si>
    <t>SEC-2538</t>
  </si>
  <si>
    <t>SEC-2539</t>
  </si>
  <si>
    <t>SEC-2540</t>
  </si>
  <si>
    <t>SEC-2541</t>
  </si>
  <si>
    <t>SEC-2542</t>
  </si>
  <si>
    <t>SEC-2543</t>
  </si>
  <si>
    <t>SEC-2544</t>
  </si>
  <si>
    <t>SEC-2545</t>
  </si>
  <si>
    <t>SEC-2546</t>
  </si>
  <si>
    <t>SEC-2547</t>
  </si>
  <si>
    <t>SEC-2548</t>
  </si>
  <si>
    <t>SEC-2549</t>
  </si>
  <si>
    <t>SEC-2550</t>
  </si>
  <si>
    <t>SEC-2551</t>
  </si>
  <si>
    <t>SEC-2552</t>
  </si>
  <si>
    <t>SEC-2553</t>
  </si>
  <si>
    <t>SEC-2554</t>
  </si>
  <si>
    <t>SEC-2555</t>
  </si>
  <si>
    <t>SEC-2556</t>
  </si>
  <si>
    <t>SEC-2557</t>
  </si>
  <si>
    <t>SEC-2558</t>
  </si>
  <si>
    <t>SEC-2559</t>
  </si>
  <si>
    <t>SEC-2560</t>
  </si>
  <si>
    <t>SEC-2561</t>
  </si>
  <si>
    <t>SEC-2562</t>
  </si>
  <si>
    <t>SEC-2563</t>
  </si>
  <si>
    <t>SEC-2564</t>
  </si>
  <si>
    <t>SEC-2565</t>
  </si>
  <si>
    <t>SEC-2566</t>
  </si>
  <si>
    <t>SEC-2567</t>
  </si>
  <si>
    <t>SEC-2568</t>
  </si>
  <si>
    <t>SEC-2569</t>
  </si>
  <si>
    <t>SEC-2570</t>
  </si>
  <si>
    <t>SEC-2571</t>
  </si>
  <si>
    <t>SEC-2572</t>
  </si>
  <si>
    <t>SEC-2573</t>
  </si>
  <si>
    <t>SEC-2574</t>
  </si>
  <si>
    <t>SEC-2575</t>
  </si>
  <si>
    <t>SEC-2576</t>
  </si>
  <si>
    <t>I.E. Luis Fernando Restrepo Restrepo</t>
  </si>
  <si>
    <t>I. E. LUIS FERNANDO RESTREPO RESTREPO</t>
  </si>
  <si>
    <t>Zaragoza</t>
  </si>
  <si>
    <t>G73</t>
  </si>
  <si>
    <t>SEC-2577</t>
  </si>
  <si>
    <t>SEC-2578</t>
  </si>
  <si>
    <t>SEC-2579</t>
  </si>
  <si>
    <t>SEC-2580</t>
  </si>
  <si>
    <t>SEC-2581</t>
  </si>
  <si>
    <t>SEC-2582</t>
  </si>
  <si>
    <t>SEC-2583</t>
  </si>
  <si>
    <t>SEC-2584</t>
  </si>
  <si>
    <t>SEC-2585</t>
  </si>
  <si>
    <t>SEC-2586</t>
  </si>
  <si>
    <t>SEC-2587</t>
  </si>
  <si>
    <t>SEC-2588</t>
  </si>
  <si>
    <t>SEC-2589</t>
  </si>
  <si>
    <t>SEC-2590</t>
  </si>
  <si>
    <t>SEC-2591</t>
  </si>
  <si>
    <t>SEC-2592</t>
  </si>
  <si>
    <t>SEC-2593</t>
  </si>
  <si>
    <t>SEC-2594</t>
  </si>
  <si>
    <t>SEC-2595</t>
  </si>
  <si>
    <t>SEC-2596</t>
  </si>
  <si>
    <t>SEC-2597</t>
  </si>
  <si>
    <t>SEC-2598</t>
  </si>
  <si>
    <t>SEC-2599</t>
  </si>
  <si>
    <t>SEC-2600</t>
  </si>
  <si>
    <t>SEC-2601</t>
  </si>
  <si>
    <t>SEC-2602</t>
  </si>
  <si>
    <t>SEC-2603</t>
  </si>
  <si>
    <t>SEC-2604</t>
  </si>
  <si>
    <t>SEC-2605</t>
  </si>
  <si>
    <t>SEC-0837</t>
  </si>
  <si>
    <t>I.E. Maria Auxiliadora</t>
  </si>
  <si>
    <t>I. E. MARIA AUXILIADORA</t>
  </si>
  <si>
    <t>G25</t>
  </si>
  <si>
    <t>SEC-0838</t>
  </si>
  <si>
    <t>SEC-0839</t>
  </si>
  <si>
    <t>SEC-0840</t>
  </si>
  <si>
    <t>SEC-0841</t>
  </si>
  <si>
    <t>SEC-0842</t>
  </si>
  <si>
    <t>SEC-0843</t>
  </si>
  <si>
    <t>SEC-0844</t>
  </si>
  <si>
    <t>SEC-0845</t>
  </si>
  <si>
    <t>SEC-0846</t>
  </si>
  <si>
    <t>SEC-0847</t>
  </si>
  <si>
    <t>SEC-0848</t>
  </si>
  <si>
    <t>SEC-0849</t>
  </si>
  <si>
    <t>SEC-0850</t>
  </si>
  <si>
    <t>SEC-0851</t>
  </si>
  <si>
    <t>SEC-0852</t>
  </si>
  <si>
    <t>SEC-0853</t>
  </si>
  <si>
    <t>SEC-0854</t>
  </si>
  <si>
    <t>SEC-0855</t>
  </si>
  <si>
    <t>SEC-0856</t>
  </si>
  <si>
    <t>SEC-0857</t>
  </si>
  <si>
    <t>SEC-0858</t>
  </si>
  <si>
    <t>SEC-0859</t>
  </si>
  <si>
    <t>SEC-0860</t>
  </si>
  <si>
    <t>SEC-0861</t>
  </si>
  <si>
    <t>SEC-0862</t>
  </si>
  <si>
    <t>SEC-0863</t>
  </si>
  <si>
    <t>SEC-0864</t>
  </si>
  <si>
    <t>SEC-0865</t>
  </si>
  <si>
    <t>SEC-0866</t>
  </si>
  <si>
    <t>SEC-0867</t>
  </si>
  <si>
    <t>SEC-0281</t>
  </si>
  <si>
    <t>I.E. Miguel Vicente Garrido Ortiz</t>
  </si>
  <si>
    <t>I. E. MIGUEL VICENTE GARRIDO ORTIZ</t>
  </si>
  <si>
    <t>G9</t>
  </si>
  <si>
    <t>SEC-0282</t>
  </si>
  <si>
    <t>SEC-0283</t>
  </si>
  <si>
    <t>SEC-0284</t>
  </si>
  <si>
    <t>SEC-0285</t>
  </si>
  <si>
    <t>SEC-0286</t>
  </si>
  <si>
    <t>SEC-0287</t>
  </si>
  <si>
    <t>SEC-0288</t>
  </si>
  <si>
    <t>SEC-0289</t>
  </si>
  <si>
    <t>SEC-0290</t>
  </si>
  <si>
    <t>SEC-0291</t>
  </si>
  <si>
    <t>SEC-0292</t>
  </si>
  <si>
    <t>SEC-0293</t>
  </si>
  <si>
    <t>SEC-0294</t>
  </si>
  <si>
    <t>SEC-0295</t>
  </si>
  <si>
    <t>SEC-0296</t>
  </si>
  <si>
    <t>SEC-0297</t>
  </si>
  <si>
    <t>SEC-0298</t>
  </si>
  <si>
    <t>SEC-0299</t>
  </si>
  <si>
    <t>SEC-0300</t>
  </si>
  <si>
    <t>SEC-0301</t>
  </si>
  <si>
    <t>SEC-0302</t>
  </si>
  <si>
    <t>SEC-0303</t>
  </si>
  <si>
    <t>SEC-0304</t>
  </si>
  <si>
    <t>SEC-0305</t>
  </si>
  <si>
    <t>SEC-0306</t>
  </si>
  <si>
    <t>SEC-0307</t>
  </si>
  <si>
    <t>SEC-0308</t>
  </si>
  <si>
    <t>SEC-0309</t>
  </si>
  <si>
    <t>SEC-0310</t>
  </si>
  <si>
    <t>SEC-0311</t>
  </si>
  <si>
    <t>SEC-0312</t>
  </si>
  <si>
    <t>SEC-0313</t>
  </si>
  <si>
    <t>SEC-0314</t>
  </si>
  <si>
    <t>SEC-0315</t>
  </si>
  <si>
    <t>SEC-0316</t>
  </si>
  <si>
    <t>SEC-0317</t>
  </si>
  <si>
    <t>SEC-0318</t>
  </si>
  <si>
    <t>SEC-0319</t>
  </si>
  <si>
    <t>SEC-0320</t>
  </si>
  <si>
    <t>SEC-0868</t>
  </si>
  <si>
    <t>I.E. Municipal Jose de los Santos Zuñiga</t>
  </si>
  <si>
    <t>I.E. MUNICIPAL JOSE DE LOS SANTOS ZUÑIGA</t>
  </si>
  <si>
    <t>G26</t>
  </si>
  <si>
    <t>SEC-0869</t>
  </si>
  <si>
    <t>SEC-0870</t>
  </si>
  <si>
    <t>SEC-0871</t>
  </si>
  <si>
    <t>SEC-0872</t>
  </si>
  <si>
    <t>SEC-0873</t>
  </si>
  <si>
    <t>SEC-0874</t>
  </si>
  <si>
    <t>SEC-0875</t>
  </si>
  <si>
    <t>SEC-0876</t>
  </si>
  <si>
    <t>SEC-0877</t>
  </si>
  <si>
    <t>SEC-0878</t>
  </si>
  <si>
    <t>SEC-0879</t>
  </si>
  <si>
    <t>SEC-0880</t>
  </si>
  <si>
    <t>SEC-0881</t>
  </si>
  <si>
    <t>SEC-0882</t>
  </si>
  <si>
    <t>SEC-0883</t>
  </si>
  <si>
    <t>SEC-0884</t>
  </si>
  <si>
    <t>SEC-0885</t>
  </si>
  <si>
    <t>SEC-0886</t>
  </si>
  <si>
    <t>SEC-0887</t>
  </si>
  <si>
    <t>SEC-0888</t>
  </si>
  <si>
    <t>SEC-0889</t>
  </si>
  <si>
    <t>SEC-0890</t>
  </si>
  <si>
    <t>SEC-0891</t>
  </si>
  <si>
    <t>SEC-0892</t>
  </si>
  <si>
    <t>SEC-0893</t>
  </si>
  <si>
    <t>SEC-0894</t>
  </si>
  <si>
    <t>SEC-0895</t>
  </si>
  <si>
    <t>SEC-0896</t>
  </si>
  <si>
    <t>SEC-0897</t>
  </si>
  <si>
    <t>SEC-0898</t>
  </si>
  <si>
    <t>SEC-0899</t>
  </si>
  <si>
    <t>SEC-0900</t>
  </si>
  <si>
    <t>SEC-0901</t>
  </si>
  <si>
    <t>SEC-0902</t>
  </si>
  <si>
    <t>SEC-0903</t>
  </si>
  <si>
    <t>SEC-0904</t>
  </si>
  <si>
    <t>SEC-0905</t>
  </si>
  <si>
    <t>SEC-0906</t>
  </si>
  <si>
    <t>SEC-0907</t>
  </si>
  <si>
    <t>SEC-0908</t>
  </si>
  <si>
    <t>SEC-0909</t>
  </si>
  <si>
    <t>SEC-0910</t>
  </si>
  <si>
    <t>SEC-0911</t>
  </si>
  <si>
    <t>SEC-0912</t>
  </si>
  <si>
    <t>SEC-0913</t>
  </si>
  <si>
    <t>SEC-0914</t>
  </si>
  <si>
    <t>SEC-1371</t>
  </si>
  <si>
    <t>I.E. Murindo</t>
  </si>
  <si>
    <t>I. E. MURINDO</t>
  </si>
  <si>
    <t>Murindó</t>
  </si>
  <si>
    <t>G41</t>
  </si>
  <si>
    <t>SEC-1372</t>
  </si>
  <si>
    <t>SEC-1373</t>
  </si>
  <si>
    <t>SEC-1374</t>
  </si>
  <si>
    <t>SEC-1375</t>
  </si>
  <si>
    <t>SEC-1376</t>
  </si>
  <si>
    <t>SEC-1377</t>
  </si>
  <si>
    <t>SEC-1378</t>
  </si>
  <si>
    <t>SEC-1379</t>
  </si>
  <si>
    <t>SEC-1380</t>
  </si>
  <si>
    <t>SEC-1381</t>
  </si>
  <si>
    <t>SEC-1382</t>
  </si>
  <si>
    <t>SEC-1383</t>
  </si>
  <si>
    <t>SEC-1384</t>
  </si>
  <si>
    <t>SEC-1385</t>
  </si>
  <si>
    <t>SEC-1386</t>
  </si>
  <si>
    <t>SEC-1387</t>
  </si>
  <si>
    <t>SEC-1388</t>
  </si>
  <si>
    <t>SEC-1389</t>
  </si>
  <si>
    <t>SEC-1390</t>
  </si>
  <si>
    <t>SEC-1391</t>
  </si>
  <si>
    <t>SEC-1392</t>
  </si>
  <si>
    <t>SEC-1393</t>
  </si>
  <si>
    <t>SEC-1394</t>
  </si>
  <si>
    <t>SEC-1395</t>
  </si>
  <si>
    <t>SEC-1396</t>
  </si>
  <si>
    <t>SEC-1397</t>
  </si>
  <si>
    <t>SEC-1398</t>
  </si>
  <si>
    <t>SEC-1399</t>
  </si>
  <si>
    <t>SEC-1400</t>
  </si>
  <si>
    <t>SEC-1401</t>
  </si>
  <si>
    <t>SEC-1402</t>
  </si>
  <si>
    <t>SEC-1403</t>
  </si>
  <si>
    <t>SEC-1404</t>
  </si>
  <si>
    <t>SEC-1405</t>
  </si>
  <si>
    <t>SEC-1406</t>
  </si>
  <si>
    <t>SEC-1407</t>
  </si>
  <si>
    <t>SEC-1408</t>
  </si>
  <si>
    <t>SEC-1409</t>
  </si>
  <si>
    <t>SEC-1410</t>
  </si>
  <si>
    <t>SEC-1411</t>
  </si>
  <si>
    <t>SEC-1412</t>
  </si>
  <si>
    <t>SEC-1413</t>
  </si>
  <si>
    <t>SEC-1414</t>
  </si>
  <si>
    <t>SEC-1415</t>
  </si>
  <si>
    <t>SEC-1416</t>
  </si>
  <si>
    <t>SEC-1417</t>
  </si>
  <si>
    <t>I.E. Mutata</t>
  </si>
  <si>
    <t>I. E. MUTATA</t>
  </si>
  <si>
    <t>Mutatá</t>
  </si>
  <si>
    <t>G42</t>
  </si>
  <si>
    <t>SEC-1418</t>
  </si>
  <si>
    <t>SEC-1419</t>
  </si>
  <si>
    <t>SEC-1420</t>
  </si>
  <si>
    <t>SEC-1421</t>
  </si>
  <si>
    <t>SEC-1422</t>
  </si>
  <si>
    <t>SEC-1423</t>
  </si>
  <si>
    <t>SEC-1424</t>
  </si>
  <si>
    <t>SEC-1425</t>
  </si>
  <si>
    <t>SEC-1426</t>
  </si>
  <si>
    <t>SEC-1427</t>
  </si>
  <si>
    <t>SEC-1428</t>
  </si>
  <si>
    <t>SEC-1429</t>
  </si>
  <si>
    <t>SEC-1430</t>
  </si>
  <si>
    <t>SEC-1431</t>
  </si>
  <si>
    <t>SEC-1432</t>
  </si>
  <si>
    <t>SEC-1433</t>
  </si>
  <si>
    <t>SEC-1434</t>
  </si>
  <si>
    <t>SEC-1435</t>
  </si>
  <si>
    <t>SEC-1436</t>
  </si>
  <si>
    <t>SEC-1437</t>
  </si>
  <si>
    <t>SEC-1438</t>
  </si>
  <si>
    <t>SEC-1439</t>
  </si>
  <si>
    <t>SEC-1440</t>
  </si>
  <si>
    <t>SEC-1441</t>
  </si>
  <si>
    <t>SEC-1442</t>
  </si>
  <si>
    <t>SEC-1443</t>
  </si>
  <si>
    <t>SEC-1444</t>
  </si>
  <si>
    <t>SEC-1445</t>
  </si>
  <si>
    <t>SEC-1446</t>
  </si>
  <si>
    <t>SEC-1447</t>
  </si>
  <si>
    <t>SEC-1448</t>
  </si>
  <si>
    <t>SEC-1449</t>
  </si>
  <si>
    <t>SEC-1450</t>
  </si>
  <si>
    <t>SEC-1451</t>
  </si>
  <si>
    <t>SEC-1452</t>
  </si>
  <si>
    <t>SEC-1453</t>
  </si>
  <si>
    <t>SEC-1454</t>
  </si>
  <si>
    <t>SEC-1455</t>
  </si>
  <si>
    <t>SEC-1456</t>
  </si>
  <si>
    <t>SEC-1457</t>
  </si>
  <si>
    <t>SEC-1458</t>
  </si>
  <si>
    <t>SEC-1459</t>
  </si>
  <si>
    <t>SEC-1460</t>
  </si>
  <si>
    <t>SEC-1461</t>
  </si>
  <si>
    <t>SEC-1462</t>
  </si>
  <si>
    <t>SEC-1463</t>
  </si>
  <si>
    <t>SEC-1464</t>
  </si>
  <si>
    <t>SEC-1465</t>
  </si>
  <si>
    <t>SEC-1466</t>
  </si>
  <si>
    <t>SEC-1467</t>
  </si>
  <si>
    <t>SEC-1468</t>
  </si>
  <si>
    <t>SEC-1469</t>
  </si>
  <si>
    <t>SEC-1470</t>
  </si>
  <si>
    <t>SEC-1471</t>
  </si>
  <si>
    <t>SEC-0586</t>
  </si>
  <si>
    <t>I.E. Nuestra Señora del Rosario</t>
  </si>
  <si>
    <t>I. E. NUESTRA SEÑORA DEL ROSARIO</t>
  </si>
  <si>
    <t>Campamento</t>
  </si>
  <si>
    <t>G17</t>
  </si>
  <si>
    <t>SEC-0587</t>
  </si>
  <si>
    <t>SEC-0588</t>
  </si>
  <si>
    <t>SEC-0589</t>
  </si>
  <si>
    <t>SEC-0590</t>
  </si>
  <si>
    <t>SEC-0591</t>
  </si>
  <si>
    <t>SEC-0592</t>
  </si>
  <si>
    <t>SEC-0593</t>
  </si>
  <si>
    <t>SEC-0594</t>
  </si>
  <si>
    <t>SEC-0595</t>
  </si>
  <si>
    <t>SEC-0596</t>
  </si>
  <si>
    <t>SEC-0597</t>
  </si>
  <si>
    <t>SEC-0598</t>
  </si>
  <si>
    <t>SEC-0599</t>
  </si>
  <si>
    <t>SEC-0600</t>
  </si>
  <si>
    <t>SEC-0601</t>
  </si>
  <si>
    <t>SEC-0602</t>
  </si>
  <si>
    <t>SEC-0603</t>
  </si>
  <si>
    <t>SEC-0604</t>
  </si>
  <si>
    <t>SEC-0605</t>
  </si>
  <si>
    <t>SEC-0606</t>
  </si>
  <si>
    <t>SEC-0607</t>
  </si>
  <si>
    <t>SEC-0608</t>
  </si>
  <si>
    <t>SEC-0609</t>
  </si>
  <si>
    <t>SEC-0610</t>
  </si>
  <si>
    <t>SEC-0611</t>
  </si>
  <si>
    <t>SEC-2348</t>
  </si>
  <si>
    <t>I.E. Orlando Velasquez Arango</t>
  </si>
  <si>
    <t>I. E. ORLANDO VELASQUEZ ARANGO</t>
  </si>
  <si>
    <t>Venecia</t>
  </si>
  <si>
    <t>G66</t>
  </si>
  <si>
    <t>SEC-2349</t>
  </si>
  <si>
    <t>SEC-2350</t>
  </si>
  <si>
    <t>SEC-2351</t>
  </si>
  <si>
    <t>SEC-2352</t>
  </si>
  <si>
    <t>SEC-2353</t>
  </si>
  <si>
    <t>SEC-2354</t>
  </si>
  <si>
    <t>SEC-2355</t>
  </si>
  <si>
    <t>SEC-2356</t>
  </si>
  <si>
    <t>SEC-2357</t>
  </si>
  <si>
    <t>SEC-2358</t>
  </si>
  <si>
    <t>SEC-2359</t>
  </si>
  <si>
    <t>SEC-2360</t>
  </si>
  <si>
    <t>SEC-2361</t>
  </si>
  <si>
    <t>SEC-2362</t>
  </si>
  <si>
    <t>SEC-2363</t>
  </si>
  <si>
    <t>SEC-2364</t>
  </si>
  <si>
    <t>SEC-2365</t>
  </si>
  <si>
    <t>SEC-2366</t>
  </si>
  <si>
    <t>SEC-0001</t>
  </si>
  <si>
    <t>I.E. Pascual Correa Florez</t>
  </si>
  <si>
    <t>I. E. PASCUAL CORREA FLOREZ</t>
  </si>
  <si>
    <t>Amagá</t>
  </si>
  <si>
    <t>SEC-0002</t>
  </si>
  <si>
    <t>SEC-0003</t>
  </si>
  <si>
    <t>SEC-0004</t>
  </si>
  <si>
    <t>SEC-0005</t>
  </si>
  <si>
    <t>SEC-0006</t>
  </si>
  <si>
    <t>SEC-0007</t>
  </si>
  <si>
    <t>SEC-0008</t>
  </si>
  <si>
    <t>SEC-0009</t>
  </si>
  <si>
    <t>SEC-0010</t>
  </si>
  <si>
    <t>SEC-0011</t>
  </si>
  <si>
    <t>SEC-0012</t>
  </si>
  <si>
    <t>SEC-0013</t>
  </si>
  <si>
    <t>SEC-0014</t>
  </si>
  <si>
    <t>SEC-0015</t>
  </si>
  <si>
    <t>SEC-0016</t>
  </si>
  <si>
    <t>SEC-0017</t>
  </si>
  <si>
    <t>SEC-0018</t>
  </si>
  <si>
    <t>SEC-0019</t>
  </si>
  <si>
    <t>SEC-0020</t>
  </si>
  <si>
    <t>SEC-0021</t>
  </si>
  <si>
    <t>SEC-0022</t>
  </si>
  <si>
    <t>SEC-0023</t>
  </si>
  <si>
    <t>SEC-0024</t>
  </si>
  <si>
    <t>SEC-0025</t>
  </si>
  <si>
    <t>SEC-0026</t>
  </si>
  <si>
    <t>SEC-0027</t>
  </si>
  <si>
    <t>SEC-0028</t>
  </si>
  <si>
    <t>SEC-0029</t>
  </si>
  <si>
    <t>SEC-0030</t>
  </si>
  <si>
    <t>SEC-0031</t>
  </si>
  <si>
    <t>SEC-0032</t>
  </si>
  <si>
    <t>SEC-0361</t>
  </si>
  <si>
    <t>I.E. Pbro. Ricardo Luis Gutierrez Tobon</t>
  </si>
  <si>
    <t>I.E. PBRO. RICARDO LUIS GUTIERREZ TOBON</t>
  </si>
  <si>
    <t>Belmira</t>
  </si>
  <si>
    <t>G11</t>
  </si>
  <si>
    <t>SEC-0362</t>
  </si>
  <si>
    <t>SEC-0363</t>
  </si>
  <si>
    <t>SEC-0364</t>
  </si>
  <si>
    <t>SEC-0365</t>
  </si>
  <si>
    <t>SEC-0366</t>
  </si>
  <si>
    <t>SEC-0367</t>
  </si>
  <si>
    <t>SEC-0368</t>
  </si>
  <si>
    <t>SEC-0369</t>
  </si>
  <si>
    <t>SEC-0370</t>
  </si>
  <si>
    <t>SEC-0371</t>
  </si>
  <si>
    <t>SEC-0372</t>
  </si>
  <si>
    <t>SEC-0373</t>
  </si>
  <si>
    <t>SEC-0374</t>
  </si>
  <si>
    <t>SEC-0375</t>
  </si>
  <si>
    <t>SEC-0376</t>
  </si>
  <si>
    <t>SEC-0377</t>
  </si>
  <si>
    <t>SEC-0378</t>
  </si>
  <si>
    <t>SEC-0379</t>
  </si>
  <si>
    <t>SEC-0380</t>
  </si>
  <si>
    <t>SEC-0381</t>
  </si>
  <si>
    <t>SEC-0382</t>
  </si>
  <si>
    <t>SEC-0383</t>
  </si>
  <si>
    <t>SEC-0384</t>
  </si>
  <si>
    <t>SEC-0385</t>
  </si>
  <si>
    <t>SEC-0386</t>
  </si>
  <si>
    <t>SEC-0387</t>
  </si>
  <si>
    <t>SEC-0388</t>
  </si>
  <si>
    <t>SEC-1208</t>
  </si>
  <si>
    <t>I.E. Pedro Nel Ospina</t>
  </si>
  <si>
    <t>I. E. PEDRO NEL OSPINA</t>
  </si>
  <si>
    <t>Ituango</t>
  </si>
  <si>
    <t>G36</t>
  </si>
  <si>
    <t>SEC-1209</t>
  </si>
  <si>
    <t>SEC-1210</t>
  </si>
  <si>
    <t>SEC-1211</t>
  </si>
  <si>
    <t>SEC-1212</t>
  </si>
  <si>
    <t>SEC-1213</t>
  </si>
  <si>
    <t>SEC-1214</t>
  </si>
  <si>
    <t>SEC-1215</t>
  </si>
  <si>
    <t>SEC-1216</t>
  </si>
  <si>
    <t>SEC-1217</t>
  </si>
  <si>
    <t>SEC-1218</t>
  </si>
  <si>
    <t>SEC-1219</t>
  </si>
  <si>
    <t>SEC-1220</t>
  </si>
  <si>
    <t>SEC-1221</t>
  </si>
  <si>
    <t>SEC-1222</t>
  </si>
  <si>
    <t>SEC-1223</t>
  </si>
  <si>
    <t>SEC-1224</t>
  </si>
  <si>
    <t>SEC-1225</t>
  </si>
  <si>
    <t>SEC-1226</t>
  </si>
  <si>
    <t>SEC-1227</t>
  </si>
  <si>
    <t>SEC-1228</t>
  </si>
  <si>
    <t>SEC-1229</t>
  </si>
  <si>
    <t>SEC-1230</t>
  </si>
  <si>
    <t>SEC-1231</t>
  </si>
  <si>
    <t>SEC-0543</t>
  </si>
  <si>
    <t>I.E. Piamonte</t>
  </si>
  <si>
    <t>I. E. PIAMONTE</t>
  </si>
  <si>
    <t>G15</t>
  </si>
  <si>
    <t>SEC-0544</t>
  </si>
  <si>
    <t>SEC-0545</t>
  </si>
  <si>
    <t>SEC-0546</t>
  </si>
  <si>
    <t>SEC-0547</t>
  </si>
  <si>
    <t>SEC-0548</t>
  </si>
  <si>
    <t>SEC-0549</t>
  </si>
  <si>
    <t>SEC-0550</t>
  </si>
  <si>
    <t>SEC-0551</t>
  </si>
  <si>
    <t>SEC-0552</t>
  </si>
  <si>
    <t>SEC-0553</t>
  </si>
  <si>
    <t>SEC-0554</t>
  </si>
  <si>
    <t>SEC-0555</t>
  </si>
  <si>
    <t>SEC-0556</t>
  </si>
  <si>
    <t>SEC-0557</t>
  </si>
  <si>
    <t>SEC-0558</t>
  </si>
  <si>
    <t>SEC-0559</t>
  </si>
  <si>
    <t>SEC-0560</t>
  </si>
  <si>
    <t>SEC-0561</t>
  </si>
  <si>
    <t>SEC-0562</t>
  </si>
  <si>
    <t>SEC-0033</t>
  </si>
  <si>
    <t>I.E. Presbitero Gerardo Montoya</t>
  </si>
  <si>
    <t>I. E. PRESBITERO GERARDO MONTOYA</t>
  </si>
  <si>
    <t>Amalfi</t>
  </si>
  <si>
    <t>SEC-0034</t>
  </si>
  <si>
    <t>SEC-0035</t>
  </si>
  <si>
    <t>SEC-0036</t>
  </si>
  <si>
    <t>SEC-0037</t>
  </si>
  <si>
    <t>SEC-0038</t>
  </si>
  <si>
    <t>SEC-0039</t>
  </si>
  <si>
    <t>SEC-0040</t>
  </si>
  <si>
    <t>SEC-0041</t>
  </si>
  <si>
    <t>SEC-0042</t>
  </si>
  <si>
    <t>SEC-0043</t>
  </si>
  <si>
    <t>SEC-0044</t>
  </si>
  <si>
    <t>SEC-0045</t>
  </si>
  <si>
    <t>SEC-0046</t>
  </si>
  <si>
    <t>SEC-0047</t>
  </si>
  <si>
    <t>SEC-0048</t>
  </si>
  <si>
    <t>SEC-0049</t>
  </si>
  <si>
    <t>SEC-0050</t>
  </si>
  <si>
    <t>SEC-0051</t>
  </si>
  <si>
    <t>SEC-0052</t>
  </si>
  <si>
    <t>SEC-0053</t>
  </si>
  <si>
    <t>SEC-0054</t>
  </si>
  <si>
    <t>SEC-0055</t>
  </si>
  <si>
    <t>SEC-0056</t>
  </si>
  <si>
    <t>SEC-0057</t>
  </si>
  <si>
    <t>SEC-0058</t>
  </si>
  <si>
    <t>SEC-0059</t>
  </si>
  <si>
    <t>SEC-0060</t>
  </si>
  <si>
    <t>SEC-0061</t>
  </si>
  <si>
    <t>SEC-0062</t>
  </si>
  <si>
    <t>SEC-0063</t>
  </si>
  <si>
    <t>SEC-0064</t>
  </si>
  <si>
    <t>SEC-0065</t>
  </si>
  <si>
    <t>SEC-0066</t>
  </si>
  <si>
    <t>SEC-0067</t>
  </si>
  <si>
    <t>SEC-0068</t>
  </si>
  <si>
    <t>SEC-0069</t>
  </si>
  <si>
    <t>SEC-0070</t>
  </si>
  <si>
    <t>SEC-0071</t>
  </si>
  <si>
    <t>SEC-0072</t>
  </si>
  <si>
    <t>SEC-0073</t>
  </si>
  <si>
    <t>SEC-0074</t>
  </si>
  <si>
    <t>SEC-0075</t>
  </si>
  <si>
    <t>SEC-0076</t>
  </si>
  <si>
    <t>SEC-0077</t>
  </si>
  <si>
    <t>SEC-0078</t>
  </si>
  <si>
    <t>SEC-0079</t>
  </si>
  <si>
    <t>SEC-0080</t>
  </si>
  <si>
    <t>SEC-0081</t>
  </si>
  <si>
    <t>SEC-0082</t>
  </si>
  <si>
    <t>SEC-0083</t>
  </si>
  <si>
    <t>SEC-0084</t>
  </si>
  <si>
    <t>SEC-0085</t>
  </si>
  <si>
    <t>SEC-0086</t>
  </si>
  <si>
    <t>SEC-0087</t>
  </si>
  <si>
    <t>SEC-0088</t>
  </si>
  <si>
    <t>SEC-0089</t>
  </si>
  <si>
    <t>SEC-0915</t>
  </si>
  <si>
    <t>I.E. Presbitero Libardo Aguirre</t>
  </si>
  <si>
    <t>I. E. PRESBITERO LIBARDO AGUIRRE</t>
  </si>
  <si>
    <t>Concepción</t>
  </si>
  <si>
    <t>G27</t>
  </si>
  <si>
    <t>SEC-0916</t>
  </si>
  <si>
    <t>SEC-0917</t>
  </si>
  <si>
    <t>SEC-0918</t>
  </si>
  <si>
    <t>SEC-0919</t>
  </si>
  <si>
    <t>SEC-0920</t>
  </si>
  <si>
    <t>SEC-0921</t>
  </si>
  <si>
    <t>SEC-0922</t>
  </si>
  <si>
    <t>SEC-0923</t>
  </si>
  <si>
    <t>SEC-0924</t>
  </si>
  <si>
    <t>SEC-0925</t>
  </si>
  <si>
    <t>SEC-0926</t>
  </si>
  <si>
    <t>SEC-0927</t>
  </si>
  <si>
    <t>SEC-0928</t>
  </si>
  <si>
    <t>SEC-0929</t>
  </si>
  <si>
    <t>SEC-0930</t>
  </si>
  <si>
    <t>SEC-0931</t>
  </si>
  <si>
    <t>SEC-0932</t>
  </si>
  <si>
    <t>SEC-0933</t>
  </si>
  <si>
    <t>SEC-0934</t>
  </si>
  <si>
    <t>SEC-0935</t>
  </si>
  <si>
    <t>SEC-0936</t>
  </si>
  <si>
    <t>SEC-0937</t>
  </si>
  <si>
    <t>SEC-0938</t>
  </si>
  <si>
    <t>SEC-0939</t>
  </si>
  <si>
    <t>SEC-0940</t>
  </si>
  <si>
    <t>SEC-0941</t>
  </si>
  <si>
    <t>SEC-0942</t>
  </si>
  <si>
    <t>SEC-0943</t>
  </si>
  <si>
    <t>SEC-0090</t>
  </si>
  <si>
    <t>I.E. Pueblo Nuevo</t>
  </si>
  <si>
    <t>I. E. PUEBLO NUEVO</t>
  </si>
  <si>
    <t>SEC-0091</t>
  </si>
  <si>
    <t>SEC-0092</t>
  </si>
  <si>
    <t>SEC-0093</t>
  </si>
  <si>
    <t>SEC-0094</t>
  </si>
  <si>
    <t>SEC-0095</t>
  </si>
  <si>
    <t>SEC-0096</t>
  </si>
  <si>
    <t>SEC-0097</t>
  </si>
  <si>
    <t>SEC-0098</t>
  </si>
  <si>
    <t>SEC-0099</t>
  </si>
  <si>
    <t>SEC-0100</t>
  </si>
  <si>
    <t>SEC-0101</t>
  </si>
  <si>
    <t>SEC-0102</t>
  </si>
  <si>
    <t>SEC-0103</t>
  </si>
  <si>
    <t>SEC-0104</t>
  </si>
  <si>
    <t>SEC-0105</t>
  </si>
  <si>
    <t>SEC-0106</t>
  </si>
  <si>
    <t>SEC-0107</t>
  </si>
  <si>
    <t>SEC-0108</t>
  </si>
  <si>
    <t>SEC-0109</t>
  </si>
  <si>
    <t>SEC-0110</t>
  </si>
  <si>
    <t>SEC-0111</t>
  </si>
  <si>
    <t>SEC-0112</t>
  </si>
  <si>
    <t>SEC-0113</t>
  </si>
  <si>
    <t>SEC-0114</t>
  </si>
  <si>
    <t>SEC-0115</t>
  </si>
  <si>
    <t>SEC-0116</t>
  </si>
  <si>
    <t>SEC-0117</t>
  </si>
  <si>
    <t>SEC-0118</t>
  </si>
  <si>
    <t>SEC-0119</t>
  </si>
  <si>
    <t>SEC-0120</t>
  </si>
  <si>
    <t>SEC-0121</t>
  </si>
  <si>
    <t>SEC-0122</t>
  </si>
  <si>
    <t>SEC-0123</t>
  </si>
  <si>
    <t>SEC-0124</t>
  </si>
  <si>
    <t>SEC-0125</t>
  </si>
  <si>
    <t>SEC-0126</t>
  </si>
  <si>
    <t>SEC-0127</t>
  </si>
  <si>
    <t>SEC-0128</t>
  </si>
  <si>
    <t>SEC-1848</t>
  </si>
  <si>
    <t>I.E. San Andres</t>
  </si>
  <si>
    <t>I. E. SAN ANDRES</t>
  </si>
  <si>
    <t>San Andrés de Cuerquia</t>
  </si>
  <si>
    <t>G53</t>
  </si>
  <si>
    <t>SEC-1849</t>
  </si>
  <si>
    <t>SEC-1850</t>
  </si>
  <si>
    <t>SEC-1851</t>
  </si>
  <si>
    <t>SEC-1852</t>
  </si>
  <si>
    <t>SEC-1853</t>
  </si>
  <si>
    <t>SEC-1854</t>
  </si>
  <si>
    <t>SEC-1855</t>
  </si>
  <si>
    <t>SEC-1856</t>
  </si>
  <si>
    <t>SEC-1857</t>
  </si>
  <si>
    <t>SEC-1858</t>
  </si>
  <si>
    <t>SEC-1859</t>
  </si>
  <si>
    <t>SEC-1860</t>
  </si>
  <si>
    <t>SEC-1861</t>
  </si>
  <si>
    <t>SEC-1862</t>
  </si>
  <si>
    <t>SEC-1863</t>
  </si>
  <si>
    <t>SEC-1864</t>
  </si>
  <si>
    <t>SEC-1865</t>
  </si>
  <si>
    <t>SEC-1866</t>
  </si>
  <si>
    <t>SEC-1867</t>
  </si>
  <si>
    <t>SEC-1868</t>
  </si>
  <si>
    <t>SEC-1299</t>
  </si>
  <si>
    <t>I.E. San Diego</t>
  </si>
  <si>
    <t>I. E. SAN DIEGO</t>
  </si>
  <si>
    <t>Liborina</t>
  </si>
  <si>
    <t>G39</t>
  </si>
  <si>
    <t>SEC-1300</t>
  </si>
  <si>
    <t>SEC-1301</t>
  </si>
  <si>
    <t>SEC-1302</t>
  </si>
  <si>
    <t>SEC-1303</t>
  </si>
  <si>
    <t>SEC-1304</t>
  </si>
  <si>
    <t>SEC-1305</t>
  </si>
  <si>
    <t>SEC-1306</t>
  </si>
  <si>
    <t>SEC-1307</t>
  </si>
  <si>
    <t>SEC-1308</t>
  </si>
  <si>
    <t>SEC-1309</t>
  </si>
  <si>
    <t>SEC-1310</t>
  </si>
  <si>
    <t>SEC-1311</t>
  </si>
  <si>
    <t>SEC-1312</t>
  </si>
  <si>
    <t>SEC-1313</t>
  </si>
  <si>
    <t>SEC-1314</t>
  </si>
  <si>
    <t>SEC-1315</t>
  </si>
  <si>
    <t>SEC-1316</t>
  </si>
  <si>
    <t>SEC-1317</t>
  </si>
  <si>
    <t>SEC-1318</t>
  </si>
  <si>
    <t>SEC-1319</t>
  </si>
  <si>
    <t>SEC-1320</t>
  </si>
  <si>
    <t>SEC-1321</t>
  </si>
  <si>
    <t>SEC-1322</t>
  </si>
  <si>
    <t>SEC-1323</t>
  </si>
  <si>
    <t>SEC-1324</t>
  </si>
  <si>
    <t>SEC-1325</t>
  </si>
  <si>
    <t>SEC-1326</t>
  </si>
  <si>
    <t>SEC-1327</t>
  </si>
  <si>
    <t>SEC-1328</t>
  </si>
  <si>
    <t>SEC-1329</t>
  </si>
  <si>
    <t>SEC-1330</t>
  </si>
  <si>
    <t>SEC-1331</t>
  </si>
  <si>
    <t>SEC-1332</t>
  </si>
  <si>
    <t>SEC-0150</t>
  </si>
  <si>
    <t>I.E. San Jose</t>
  </si>
  <si>
    <t>I. E. SAN JOSE</t>
  </si>
  <si>
    <t>Angelópolis</t>
  </si>
  <si>
    <t>SEC-0151</t>
  </si>
  <si>
    <t>SEC-0152</t>
  </si>
  <si>
    <t>SEC-0153</t>
  </si>
  <si>
    <t>SEC-0154</t>
  </si>
  <si>
    <t>SEC-0155</t>
  </si>
  <si>
    <t>SEC-0156</t>
  </si>
  <si>
    <t>SEC-0157</t>
  </si>
  <si>
    <t>SEC-0158</t>
  </si>
  <si>
    <t>SEC-0159</t>
  </si>
  <si>
    <t>SEC-0160</t>
  </si>
  <si>
    <t>SEC-0161</t>
  </si>
  <si>
    <t>SEC-0162</t>
  </si>
  <si>
    <t>SEC-0163</t>
  </si>
  <si>
    <t>SEC-0164</t>
  </si>
  <si>
    <t>SEC-0165</t>
  </si>
  <si>
    <t>SEC-0166</t>
  </si>
  <si>
    <t>SEC-0167</t>
  </si>
  <si>
    <t>SEC-0389</t>
  </si>
  <si>
    <t>Betulia</t>
  </si>
  <si>
    <t>SEC-0390</t>
  </si>
  <si>
    <t>SEC-0391</t>
  </si>
  <si>
    <t>SEC-0392</t>
  </si>
  <si>
    <t>SEC-0393</t>
  </si>
  <si>
    <t>SEC-0394</t>
  </si>
  <si>
    <t>SEC-0395</t>
  </si>
  <si>
    <t>SEC-0396</t>
  </si>
  <si>
    <t>SEC-0397</t>
  </si>
  <si>
    <t>SEC-0398</t>
  </si>
  <si>
    <t>SEC-0399</t>
  </si>
  <si>
    <t>SEC-0400</t>
  </si>
  <si>
    <t>SEC-0401</t>
  </si>
  <si>
    <t>SEC-0402</t>
  </si>
  <si>
    <t>SEC-0403</t>
  </si>
  <si>
    <t>SEC-0404</t>
  </si>
  <si>
    <t>SEC-0405</t>
  </si>
  <si>
    <t>SEC-0406</t>
  </si>
  <si>
    <t>SEC-0407</t>
  </si>
  <si>
    <t>SEC-0408</t>
  </si>
  <si>
    <t>SEC-0409</t>
  </si>
  <si>
    <t>SEC-0410</t>
  </si>
  <si>
    <t>SEC-0411</t>
  </si>
  <si>
    <t>SEC-0412</t>
  </si>
  <si>
    <t>SEC-0413</t>
  </si>
  <si>
    <t>SEC-0414</t>
  </si>
  <si>
    <t>SEC-0415</t>
  </si>
  <si>
    <t>SEC-0416</t>
  </si>
  <si>
    <t>SEC-0417</t>
  </si>
  <si>
    <t>SEC-0418</t>
  </si>
  <si>
    <t>SEC-0419</t>
  </si>
  <si>
    <t>SEC-0420</t>
  </si>
  <si>
    <t>SEC-0421</t>
  </si>
  <si>
    <t>SEC-0422</t>
  </si>
  <si>
    <t>SEC-0423</t>
  </si>
  <si>
    <t>SEC-0424</t>
  </si>
  <si>
    <t>SEC-0425</t>
  </si>
  <si>
    <t>SEC-0426</t>
  </si>
  <si>
    <t>SEC-0427</t>
  </si>
  <si>
    <t>SEC-0428</t>
  </si>
  <si>
    <t>SEC-0429</t>
  </si>
  <si>
    <t>SEC-0430</t>
  </si>
  <si>
    <t>SEC-0431</t>
  </si>
  <si>
    <t>SEC-1813</t>
  </si>
  <si>
    <t>Sabanalarga</t>
  </si>
  <si>
    <t>SEC-1814</t>
  </si>
  <si>
    <t>SEC-1815</t>
  </si>
  <si>
    <t>SEC-1816</t>
  </si>
  <si>
    <t>SEC-1817</t>
  </si>
  <si>
    <t>SEC-1818</t>
  </si>
  <si>
    <t>SEC-1819</t>
  </si>
  <si>
    <t>SEC-1820</t>
  </si>
  <si>
    <t>SEC-1821</t>
  </si>
  <si>
    <t>SEC-1822</t>
  </si>
  <si>
    <t>SEC-1823</t>
  </si>
  <si>
    <t>SEC-1824</t>
  </si>
  <si>
    <t>SEC-1825</t>
  </si>
  <si>
    <t>SEC-1826</t>
  </si>
  <si>
    <t>SEC-1827</t>
  </si>
  <si>
    <t>SEC-1828</t>
  </si>
  <si>
    <t>SEC-1829</t>
  </si>
  <si>
    <t>SEC-1830</t>
  </si>
  <si>
    <t>SEC-1831</t>
  </si>
  <si>
    <t>SEC-1832</t>
  </si>
  <si>
    <t>SEC-1833</t>
  </si>
  <si>
    <t>SEC-1834</t>
  </si>
  <si>
    <t>SEC-1835</t>
  </si>
  <si>
    <t>SEC-1836</t>
  </si>
  <si>
    <t>SEC-1837</t>
  </si>
  <si>
    <t>SEC-1838</t>
  </si>
  <si>
    <t>SEC-1839</t>
  </si>
  <si>
    <t>SEC-1840</t>
  </si>
  <si>
    <t>SEC-1841</t>
  </si>
  <si>
    <t>SEC-1842</t>
  </si>
  <si>
    <t>SEC-1843</t>
  </si>
  <si>
    <t>SEC-1844</t>
  </si>
  <si>
    <t>SEC-1845</t>
  </si>
  <si>
    <t>SEC-1846</t>
  </si>
  <si>
    <t>SEC-1847</t>
  </si>
  <si>
    <t>SEC-0563</t>
  </si>
  <si>
    <t>I.E. San Juan Bosco</t>
  </si>
  <si>
    <t>I. E. SAN JUAN BOSCO</t>
  </si>
  <si>
    <t>Caicedo</t>
  </si>
  <si>
    <t>G16</t>
  </si>
  <si>
    <t>SEC-0564</t>
  </si>
  <si>
    <t>SEC-0565</t>
  </si>
  <si>
    <t>SEC-0566</t>
  </si>
  <si>
    <t>SEC-0567</t>
  </si>
  <si>
    <t>SEC-0568</t>
  </si>
  <si>
    <t>SEC-0569</t>
  </si>
  <si>
    <t>SEC-0570</t>
  </si>
  <si>
    <t>SEC-0571</t>
  </si>
  <si>
    <t>SEC-0572</t>
  </si>
  <si>
    <t>SEC-0573</t>
  </si>
  <si>
    <t>SEC-0574</t>
  </si>
  <si>
    <t>SEC-0575</t>
  </si>
  <si>
    <t>SEC-0576</t>
  </si>
  <si>
    <t>SEC-0577</t>
  </si>
  <si>
    <t>SEC-0578</t>
  </si>
  <si>
    <t>SEC-0579</t>
  </si>
  <si>
    <t>SEC-0580</t>
  </si>
  <si>
    <t>SEC-0581</t>
  </si>
  <si>
    <t>SEC-0582</t>
  </si>
  <si>
    <t>SEC-0583</t>
  </si>
  <si>
    <t>SEC-0584</t>
  </si>
  <si>
    <t>SEC-0585</t>
  </si>
  <si>
    <t>SEC-1905</t>
  </si>
  <si>
    <t>I.E. San Juan de Uraba</t>
  </si>
  <si>
    <t>I. E. SAN JUAN DE URABA</t>
  </si>
  <si>
    <t>San Juan de Urabá</t>
  </si>
  <si>
    <t>G55</t>
  </si>
  <si>
    <t>SEC-1906</t>
  </si>
  <si>
    <t>SEC-1907</t>
  </si>
  <si>
    <t>SEC-1908</t>
  </si>
  <si>
    <t>SEC-1909</t>
  </si>
  <si>
    <t>SEC-1910</t>
  </si>
  <si>
    <t>SEC-1911</t>
  </si>
  <si>
    <t>SEC-1912</t>
  </si>
  <si>
    <t>SEC-1913</t>
  </si>
  <si>
    <t>SEC-1914</t>
  </si>
  <si>
    <t>SEC-1915</t>
  </si>
  <si>
    <t>SEC-1916</t>
  </si>
  <si>
    <t>SEC-1917</t>
  </si>
  <si>
    <t>SEC-1918</t>
  </si>
  <si>
    <t>SEC-1919</t>
  </si>
  <si>
    <t>SEC-1920</t>
  </si>
  <si>
    <t>SEC-1921</t>
  </si>
  <si>
    <t>SEC-1922</t>
  </si>
  <si>
    <t>SEC-1923</t>
  </si>
  <si>
    <t>SEC-1924</t>
  </si>
  <si>
    <t>SEC-1925</t>
  </si>
  <si>
    <t>SEC-1926</t>
  </si>
  <si>
    <t>SEC-1927</t>
  </si>
  <si>
    <t>SEC-1928</t>
  </si>
  <si>
    <t>SEC-1929</t>
  </si>
  <si>
    <t>SEC-1930</t>
  </si>
  <si>
    <t>SEC-1931</t>
  </si>
  <si>
    <t>SEC-1932</t>
  </si>
  <si>
    <t>SEC-1933</t>
  </si>
  <si>
    <t>SEC-1934</t>
  </si>
  <si>
    <t>SEC-1935</t>
  </si>
  <si>
    <t>SEC-1936</t>
  </si>
  <si>
    <t>SEC-1937</t>
  </si>
  <si>
    <t>SEC-1938</t>
  </si>
  <si>
    <t>SEC-1939</t>
  </si>
  <si>
    <t>SEC-1940</t>
  </si>
  <si>
    <t>SEC-1941</t>
  </si>
  <si>
    <t>SEC-1942</t>
  </si>
  <si>
    <t>SEC-1943</t>
  </si>
  <si>
    <t>SEC-1944</t>
  </si>
  <si>
    <t>SEC-1945</t>
  </si>
  <si>
    <t>SEC-1946</t>
  </si>
  <si>
    <t>SEC-1947</t>
  </si>
  <si>
    <t>SEC-1948</t>
  </si>
  <si>
    <t>SEC-1949</t>
  </si>
  <si>
    <t>SEC-1950</t>
  </si>
  <si>
    <t>SEC-1951</t>
  </si>
  <si>
    <t>SEC-1952</t>
  </si>
  <si>
    <t>SEC-1953</t>
  </si>
  <si>
    <t>SEC-1954</t>
  </si>
  <si>
    <t>SEC-1955</t>
  </si>
  <si>
    <t>SEC-1956</t>
  </si>
  <si>
    <t>SEC-1957</t>
  </si>
  <si>
    <t>SEC-1958</t>
  </si>
  <si>
    <t>SEC-1959</t>
  </si>
  <si>
    <t>SEC-1960</t>
  </si>
  <si>
    <t>SEC-1961</t>
  </si>
  <si>
    <t>SEC-1962</t>
  </si>
  <si>
    <t>SEC-1963</t>
  </si>
  <si>
    <t>SEC-1964</t>
  </si>
  <si>
    <t>SEC-1965</t>
  </si>
  <si>
    <t>SEC-1966</t>
  </si>
  <si>
    <t>SEC-1967</t>
  </si>
  <si>
    <t>SEC-1968</t>
  </si>
  <si>
    <t>SEC-1969</t>
  </si>
  <si>
    <t>SEC-1970</t>
  </si>
  <si>
    <t>SEC-1971</t>
  </si>
  <si>
    <t>SEC-1972</t>
  </si>
  <si>
    <t>SEC-1973</t>
  </si>
  <si>
    <t>SEC-1974</t>
  </si>
  <si>
    <t>SEC-1975</t>
  </si>
  <si>
    <t>SEC-1976</t>
  </si>
  <si>
    <t>SEC-1977</t>
  </si>
  <si>
    <t>SEC-1978</t>
  </si>
  <si>
    <t>SEC-1979</t>
  </si>
  <si>
    <t>SEC-1980</t>
  </si>
  <si>
    <t>SEC-1981</t>
  </si>
  <si>
    <t>SEC-1982</t>
  </si>
  <si>
    <t>SEC-1983</t>
  </si>
  <si>
    <t>SEC-1984</t>
  </si>
  <si>
    <t>SEC-1985</t>
  </si>
  <si>
    <t>SEC-1986</t>
  </si>
  <si>
    <t>SEC-1987</t>
  </si>
  <si>
    <t>SEC-1988</t>
  </si>
  <si>
    <t>SEC-1989</t>
  </si>
  <si>
    <t>SEC-2109</t>
  </si>
  <si>
    <t>I.E. San Luis Gonzaga</t>
  </si>
  <si>
    <t>I. E. SAN LUIS GONZAGA</t>
  </si>
  <si>
    <t>Santa Fe de Antioquia</t>
  </si>
  <si>
    <t>G59</t>
  </si>
  <si>
    <t>SEC-2110</t>
  </si>
  <si>
    <t>SEC-2111</t>
  </si>
  <si>
    <t>SEC-2112</t>
  </si>
  <si>
    <t>SEC-2113</t>
  </si>
  <si>
    <t>SEC-2114</t>
  </si>
  <si>
    <t>SEC-2115</t>
  </si>
  <si>
    <t>SEC-2116</t>
  </si>
  <si>
    <t>SEC-2117</t>
  </si>
  <si>
    <t>SEC-2118</t>
  </si>
  <si>
    <t>SEC-2119</t>
  </si>
  <si>
    <t>SEC-2120</t>
  </si>
  <si>
    <t>SEC-2121</t>
  </si>
  <si>
    <t>SEC-2122</t>
  </si>
  <si>
    <t>SEC-2123</t>
  </si>
  <si>
    <t>SEC-2124</t>
  </si>
  <si>
    <t>SEC-2125</t>
  </si>
  <si>
    <t>SEC-2126</t>
  </si>
  <si>
    <t>SEC-2127</t>
  </si>
  <si>
    <t>SEC-2128</t>
  </si>
  <si>
    <t>SEC-2129</t>
  </si>
  <si>
    <t>SEC-2130</t>
  </si>
  <si>
    <t>SEC-2131</t>
  </si>
  <si>
    <t>SEC-2132</t>
  </si>
  <si>
    <t>SEC-2133</t>
  </si>
  <si>
    <t>SEC-2134</t>
  </si>
  <si>
    <t>SEC-2135</t>
  </si>
  <si>
    <t>SEC-2136</t>
  </si>
  <si>
    <t>SEC-2137</t>
  </si>
  <si>
    <t>SEC-2138</t>
  </si>
  <si>
    <t>SEC-2139</t>
  </si>
  <si>
    <t>SEC-2140</t>
  </si>
  <si>
    <t>SEC-2141</t>
  </si>
  <si>
    <t>SEC-2142</t>
  </si>
  <si>
    <t>SEC-2143</t>
  </si>
  <si>
    <t>SEC-2144</t>
  </si>
  <si>
    <t>SEC-2145</t>
  </si>
  <si>
    <t>SEC-2146</t>
  </si>
  <si>
    <t>SEC-2147</t>
  </si>
  <si>
    <t>SEC-2036</t>
  </si>
  <si>
    <t>I.E. San Pedro de Uraba</t>
  </si>
  <si>
    <t>I. E. SAN PEDRO DE URABA</t>
  </si>
  <si>
    <t>G57</t>
  </si>
  <si>
    <t>SEC-2037</t>
  </si>
  <si>
    <t>SEC-2038</t>
  </si>
  <si>
    <t>SEC-2039</t>
  </si>
  <si>
    <t>SEC-2040</t>
  </si>
  <si>
    <t>SEC-2041</t>
  </si>
  <si>
    <t>SEC-2042</t>
  </si>
  <si>
    <t>SEC-2043</t>
  </si>
  <si>
    <t>SEC-2044</t>
  </si>
  <si>
    <t>SEC-2045</t>
  </si>
  <si>
    <t>SEC-2046</t>
  </si>
  <si>
    <t>SEC-2047</t>
  </si>
  <si>
    <t>SEC-2048</t>
  </si>
  <si>
    <t>SEC-2049</t>
  </si>
  <si>
    <t>SEC-2050</t>
  </si>
  <si>
    <t>SEC-2051</t>
  </si>
  <si>
    <t>SEC-2052</t>
  </si>
  <si>
    <t>SEC-2053</t>
  </si>
  <si>
    <t>SEC-2054</t>
  </si>
  <si>
    <t>SEC-2055</t>
  </si>
  <si>
    <t>SEC-2056</t>
  </si>
  <si>
    <t>SEC-2057</t>
  </si>
  <si>
    <t>SEC-0321</t>
  </si>
  <si>
    <t>I.E. Santa Teresa</t>
  </si>
  <si>
    <t>I. E. SANTA TERESA</t>
  </si>
  <si>
    <t>Argelia</t>
  </si>
  <si>
    <t>G10</t>
  </si>
  <si>
    <t>SEC-0322</t>
  </si>
  <si>
    <t>SEC-0323</t>
  </si>
  <si>
    <t>SEC-0324</t>
  </si>
  <si>
    <t>SEC-0325</t>
  </si>
  <si>
    <t>SEC-0326</t>
  </si>
  <si>
    <t>SEC-0327</t>
  </si>
  <si>
    <t>SEC-0328</t>
  </si>
  <si>
    <t>SEC-0329</t>
  </si>
  <si>
    <t>SEC-0330</t>
  </si>
  <si>
    <t>SEC-0331</t>
  </si>
  <si>
    <t>SEC-0332</t>
  </si>
  <si>
    <t>SEC-0333</t>
  </si>
  <si>
    <t>SEC-0334</t>
  </si>
  <si>
    <t>SEC-0335</t>
  </si>
  <si>
    <t>SEC-0336</t>
  </si>
  <si>
    <t>SEC-0337</t>
  </si>
  <si>
    <t>SEC-0338</t>
  </si>
  <si>
    <t>SEC-0339</t>
  </si>
  <si>
    <t>SEC-0340</t>
  </si>
  <si>
    <t>SEC-0341</t>
  </si>
  <si>
    <t>SEC-0342</t>
  </si>
  <si>
    <t>SEC-0343</t>
  </si>
  <si>
    <t>SEC-0344</t>
  </si>
  <si>
    <t>SEC-0345</t>
  </si>
  <si>
    <t>SEC-0346</t>
  </si>
  <si>
    <t>SEC-0347</t>
  </si>
  <si>
    <t>SEC-0348</t>
  </si>
  <si>
    <t>SEC-0349</t>
  </si>
  <si>
    <t>SEC-0350</t>
  </si>
  <si>
    <t>SEC-0351</t>
  </si>
  <si>
    <t>SEC-0352</t>
  </si>
  <si>
    <t>SEC-0353</t>
  </si>
  <si>
    <t>SEC-0354</t>
  </si>
  <si>
    <t>SEC-0355</t>
  </si>
  <si>
    <t>SEC-0356</t>
  </si>
  <si>
    <t>SEC-0357</t>
  </si>
  <si>
    <t>SEC-0358</t>
  </si>
  <si>
    <t>SEC-0359</t>
  </si>
  <si>
    <t>SEC-0360</t>
  </si>
  <si>
    <t>SEC-0776</t>
  </si>
  <si>
    <t>I.E. Santo Domingo</t>
  </si>
  <si>
    <t>I. E. SANTO DOMINGO</t>
  </si>
  <si>
    <t>Caucasia</t>
  </si>
  <si>
    <t>G23</t>
  </si>
  <si>
    <t>SEC-0777</t>
  </si>
  <si>
    <t>SEC-0778</t>
  </si>
  <si>
    <t>SEC-0779</t>
  </si>
  <si>
    <t>SEC-0780</t>
  </si>
  <si>
    <t>SEC-0781</t>
  </si>
  <si>
    <t>SEC-0782</t>
  </si>
  <si>
    <t>SEC-0783</t>
  </si>
  <si>
    <t>SEC-0784</t>
  </si>
  <si>
    <t>SEC-0785</t>
  </si>
  <si>
    <t>SEC-0786</t>
  </si>
  <si>
    <t>SEC-0787</t>
  </si>
  <si>
    <t>SEC-0788</t>
  </si>
  <si>
    <t>SEC-0789</t>
  </si>
  <si>
    <t>SEC-0790</t>
  </si>
  <si>
    <t>SEC-0791</t>
  </si>
  <si>
    <t>SEC-0792</t>
  </si>
  <si>
    <t>SEC-0793</t>
  </si>
  <si>
    <t>SEC-0794</t>
  </si>
  <si>
    <t>SEC-0795</t>
  </si>
  <si>
    <t>SEC-0796</t>
  </si>
  <si>
    <t>SEC-0797</t>
  </si>
  <si>
    <t>SEC-0798</t>
  </si>
  <si>
    <t>SEC-0799</t>
  </si>
  <si>
    <t>SEC-0800</t>
  </si>
  <si>
    <t>SEC-0801</t>
  </si>
  <si>
    <t>SEC-0802</t>
  </si>
  <si>
    <t>SEC-0803</t>
  </si>
  <si>
    <t>SEC-0804</t>
  </si>
  <si>
    <t>SEC-0805</t>
  </si>
  <si>
    <t>SEC-0806</t>
  </si>
  <si>
    <t>SEC-0944</t>
  </si>
  <si>
    <t>I.E. Urbana San Jose</t>
  </si>
  <si>
    <t>I. E. URBANA SAN JOSE</t>
  </si>
  <si>
    <t>Ebéjico</t>
  </si>
  <si>
    <t>G28</t>
  </si>
  <si>
    <t>SEC-0945</t>
  </si>
  <si>
    <t>SEC-0946</t>
  </si>
  <si>
    <t>SEC-0947</t>
  </si>
  <si>
    <t>SEC-0948</t>
  </si>
  <si>
    <t>SEC-0949</t>
  </si>
  <si>
    <t>SEC-0950</t>
  </si>
  <si>
    <t>SEC-0951</t>
  </si>
  <si>
    <t>SEC-0952</t>
  </si>
  <si>
    <t>SEC-0953</t>
  </si>
  <si>
    <t>SEC-0954</t>
  </si>
  <si>
    <t>SEC-0955</t>
  </si>
  <si>
    <t>SEC-0956</t>
  </si>
  <si>
    <t>SEC-0957</t>
  </si>
  <si>
    <t>SEC-0958</t>
  </si>
  <si>
    <t>SEC-0959</t>
  </si>
  <si>
    <t>SEC-0960</t>
  </si>
  <si>
    <t>SEC-0961</t>
  </si>
  <si>
    <t>SEC-0962</t>
  </si>
  <si>
    <t>SEC-0963</t>
  </si>
  <si>
    <t>SEC-0964</t>
  </si>
  <si>
    <t>SEC-0965</t>
  </si>
  <si>
    <t>SEC-0966</t>
  </si>
  <si>
    <t>SEC-0967</t>
  </si>
  <si>
    <t>SEC-0968</t>
  </si>
  <si>
    <t>SEC-0969</t>
  </si>
  <si>
    <t>SEC-0970</t>
  </si>
  <si>
    <t>SEC-0971</t>
  </si>
  <si>
    <t>SEC-0972</t>
  </si>
  <si>
    <t>SEC-0973</t>
  </si>
  <si>
    <t>SEC-0974</t>
  </si>
  <si>
    <t>SEC-0975</t>
  </si>
  <si>
    <t>SEC-0976</t>
  </si>
  <si>
    <t>SEC-0977</t>
  </si>
  <si>
    <t>SEC-0978</t>
  </si>
  <si>
    <t>SEC-0979</t>
  </si>
  <si>
    <t>SEC-2367</t>
  </si>
  <si>
    <t>I.E. Vigia del Fuerte</t>
  </si>
  <si>
    <t>I. E. VIGIA DEL FUERTE</t>
  </si>
  <si>
    <t>Vigía del Fuerte</t>
  </si>
  <si>
    <t>G67</t>
  </si>
  <si>
    <t>SEC-2368</t>
  </si>
  <si>
    <t>SEC-2369</t>
  </si>
  <si>
    <t>SEC-2370</t>
  </si>
  <si>
    <t>SEC-2371</t>
  </si>
  <si>
    <t>SEC-2372</t>
  </si>
  <si>
    <t>SEC-2373</t>
  </si>
  <si>
    <t>SEC-2374</t>
  </si>
  <si>
    <t>SEC-2375</t>
  </si>
  <si>
    <t>SEC-2376</t>
  </si>
  <si>
    <t>SEC-2377</t>
  </si>
  <si>
    <t>SEC-2378</t>
  </si>
  <si>
    <t>SEC-2379</t>
  </si>
  <si>
    <t>SEC-2380</t>
  </si>
  <si>
    <t>SEC-2381</t>
  </si>
  <si>
    <t>SEC-2382</t>
  </si>
  <si>
    <t>SEC-2383</t>
  </si>
  <si>
    <t>SEC-2384</t>
  </si>
  <si>
    <t>SEC-2385</t>
  </si>
  <si>
    <t>SEC-2386</t>
  </si>
  <si>
    <t>SEC-2387</t>
  </si>
  <si>
    <t>SEC-2388</t>
  </si>
  <si>
    <t>SEC-2389</t>
  </si>
  <si>
    <t>SEC-2390</t>
  </si>
  <si>
    <t>SEC-2391</t>
  </si>
  <si>
    <t>SEC-2392</t>
  </si>
  <si>
    <t>SEC-2393</t>
  </si>
  <si>
    <t>SEC-2394</t>
  </si>
  <si>
    <t>SEC-2395</t>
  </si>
  <si>
    <t>SEC-2396</t>
  </si>
  <si>
    <t>SEC-2397</t>
  </si>
  <si>
    <t>SEC-2398</t>
  </si>
  <si>
    <t>SEC-2399</t>
  </si>
  <si>
    <t>SEC-2400</t>
  </si>
  <si>
    <t>SEC-1606</t>
  </si>
  <si>
    <t>I.E. el Salvador</t>
  </si>
  <si>
    <t>I. E. EL SALVADOR</t>
  </si>
  <si>
    <t>Pueblorrico</t>
  </si>
  <si>
    <t>G47</t>
  </si>
  <si>
    <t>SEC-1607</t>
  </si>
  <si>
    <t>SEC-1608</t>
  </si>
  <si>
    <t>SEC-1609</t>
  </si>
  <si>
    <t>SEC-1610</t>
  </si>
  <si>
    <t>SEC-1611</t>
  </si>
  <si>
    <t>SEC-1612</t>
  </si>
  <si>
    <t>SEC-1613</t>
  </si>
  <si>
    <t>SEC-1614</t>
  </si>
  <si>
    <t>SEC-1615</t>
  </si>
  <si>
    <t>SEC-1616</t>
  </si>
  <si>
    <t>SEC-1617</t>
  </si>
  <si>
    <t>SEC-1618</t>
  </si>
  <si>
    <t>SEC-1619</t>
  </si>
  <si>
    <t>SEC-1620</t>
  </si>
  <si>
    <t>SEC-1621</t>
  </si>
  <si>
    <t>SEC-1622</t>
  </si>
  <si>
    <t>SEC-1623</t>
  </si>
  <si>
    <t>SEC-1624</t>
  </si>
  <si>
    <t>SEC-1625</t>
  </si>
  <si>
    <t>SEC-1626</t>
  </si>
  <si>
    <t>SEC-1627</t>
  </si>
  <si>
    <t>SEC-1628</t>
  </si>
  <si>
    <t>SEC-1629</t>
  </si>
  <si>
    <t>SEC-1630</t>
  </si>
  <si>
    <t>SEC-1631</t>
  </si>
  <si>
    <t>SEC-1632</t>
  </si>
  <si>
    <t>SEC-1633</t>
  </si>
  <si>
    <t>SEC-1634</t>
  </si>
  <si>
    <t>SEC-1635</t>
  </si>
  <si>
    <t>SEC-1636</t>
  </si>
  <si>
    <t>SEC-1637</t>
  </si>
  <si>
    <t>SEC-0980</t>
  </si>
  <si>
    <t>I.E. la Esmeralda</t>
  </si>
  <si>
    <t>I. E. LA ESMERALDA</t>
  </si>
  <si>
    <t>El Bagre</t>
  </si>
  <si>
    <t>G29</t>
  </si>
  <si>
    <t>SEC-0981</t>
  </si>
  <si>
    <t>SEC-0982</t>
  </si>
  <si>
    <t>SEC-0983</t>
  </si>
  <si>
    <t>SEC-0984</t>
  </si>
  <si>
    <t>SEC-0985</t>
  </si>
  <si>
    <t>SEC-0986</t>
  </si>
  <si>
    <t>SEC-0987</t>
  </si>
  <si>
    <t>SEC-0988</t>
  </si>
  <si>
    <t>SEC-0989</t>
  </si>
  <si>
    <t>SEC-0990</t>
  </si>
  <si>
    <t>SEC-0991</t>
  </si>
  <si>
    <t>SEC-0992</t>
  </si>
  <si>
    <t>SEC-0993</t>
  </si>
  <si>
    <t>SEC-0994</t>
  </si>
  <si>
    <t>SEC-0995</t>
  </si>
  <si>
    <t>SEC-0996</t>
  </si>
  <si>
    <t>SEC-0997</t>
  </si>
  <si>
    <t>SEC-0998</t>
  </si>
  <si>
    <t>SEC-0999</t>
  </si>
  <si>
    <t>SEC-1000</t>
  </si>
  <si>
    <t>SEC-1001</t>
  </si>
  <si>
    <t>SEC-1002</t>
  </si>
  <si>
    <t>SEC-1003</t>
  </si>
  <si>
    <t>SEC-1004</t>
  </si>
  <si>
    <t>SEC-1005</t>
  </si>
  <si>
    <t>SEC-1006</t>
  </si>
  <si>
    <t>SEC-1007</t>
  </si>
  <si>
    <t>SEC-1008</t>
  </si>
  <si>
    <t>SEC-1009</t>
  </si>
  <si>
    <t>SEC-1010</t>
  </si>
  <si>
    <t>SEC-1011</t>
  </si>
  <si>
    <t>SEC-1012</t>
  </si>
  <si>
    <t>SEC-1013</t>
  </si>
  <si>
    <t>SEC-1014</t>
  </si>
  <si>
    <t>SEC-1015</t>
  </si>
  <si>
    <t>SEC-1016</t>
  </si>
  <si>
    <t>SEC-1017</t>
  </si>
  <si>
    <t>SEC-1018</t>
  </si>
  <si>
    <t>SEC-1019</t>
  </si>
  <si>
    <t>SEC-1263</t>
  </si>
  <si>
    <t>I.E. la Pintada</t>
  </si>
  <si>
    <t>I. E. LA PINTADA</t>
  </si>
  <si>
    <t>La Pintada</t>
  </si>
  <si>
    <t>G38</t>
  </si>
  <si>
    <t>SEC-1264</t>
  </si>
  <si>
    <t>SEC-1265</t>
  </si>
  <si>
    <t>SEC-1266</t>
  </si>
  <si>
    <t>SEC-1267</t>
  </si>
  <si>
    <t>SEC-1268</t>
  </si>
  <si>
    <t>SEC-1269</t>
  </si>
  <si>
    <t>SEC-1270</t>
  </si>
  <si>
    <t>SEC-1271</t>
  </si>
  <si>
    <t>SEC-1272</t>
  </si>
  <si>
    <t>SEC-1273</t>
  </si>
  <si>
    <t>SEC-1274</t>
  </si>
  <si>
    <t>SEC-1275</t>
  </si>
  <si>
    <t>SEC-1276</t>
  </si>
  <si>
    <t>SEC-1277</t>
  </si>
  <si>
    <t>SEC-1278</t>
  </si>
  <si>
    <t>SEC-1279</t>
  </si>
  <si>
    <t>SEC-1280</t>
  </si>
  <si>
    <t>SEC-1281</t>
  </si>
  <si>
    <t>SEC-1282</t>
  </si>
  <si>
    <t>SEC-1283</t>
  </si>
  <si>
    <t>SEC-1284</t>
  </si>
  <si>
    <t>SEC-1285</t>
  </si>
  <si>
    <t>SEC-1286</t>
  </si>
  <si>
    <t>SEC-1287</t>
  </si>
  <si>
    <t>SEC-1288</t>
  </si>
  <si>
    <t>SEC-1289</t>
  </si>
  <si>
    <t>SEC-1290</t>
  </si>
  <si>
    <t>SEC-1291</t>
  </si>
  <si>
    <t>SEC-1292</t>
  </si>
  <si>
    <t>SEC-1293</t>
  </si>
  <si>
    <t>SEC-1294</t>
  </si>
  <si>
    <t>SEC-1295</t>
  </si>
  <si>
    <t>SEC-1296</t>
  </si>
  <si>
    <t>SEC-1297</t>
  </si>
  <si>
    <t>SEC-1298</t>
  </si>
  <si>
    <t>SEC-1020</t>
  </si>
  <si>
    <t>I.E. las Delicias</t>
  </si>
  <si>
    <t>I. E. LAS DELICIAS</t>
  </si>
  <si>
    <t>G30</t>
  </si>
  <si>
    <t>SEC-1021</t>
  </si>
  <si>
    <t>SEC-1022</t>
  </si>
  <si>
    <t>SEC-1023</t>
  </si>
  <si>
    <t>SEC-1024</t>
  </si>
  <si>
    <t>SEC-1025</t>
  </si>
  <si>
    <t>SEC-1026</t>
  </si>
  <si>
    <t>SEC-1027</t>
  </si>
  <si>
    <t>SEC-1028</t>
  </si>
  <si>
    <t>SEC-1029</t>
  </si>
  <si>
    <t>SEC-1030</t>
  </si>
  <si>
    <t>SEC-1031</t>
  </si>
  <si>
    <t>SEC-1032</t>
  </si>
  <si>
    <t>SEC-1033</t>
  </si>
  <si>
    <t>SEC-1034</t>
  </si>
  <si>
    <t>SEC-1035</t>
  </si>
  <si>
    <t>SEC-1036</t>
  </si>
  <si>
    <t>SEC-1037</t>
  </si>
  <si>
    <t>SEC-1038</t>
  </si>
  <si>
    <t>SEC-1039</t>
  </si>
  <si>
    <t>SEC-1040</t>
  </si>
  <si>
    <t>SEC-1041</t>
  </si>
  <si>
    <t>SEC-1042</t>
  </si>
  <si>
    <t>SEC-1043</t>
  </si>
  <si>
    <t>SEC-1044</t>
  </si>
  <si>
    <t>SEC-1045</t>
  </si>
  <si>
    <t>SEC-1046</t>
  </si>
  <si>
    <t>SEC-1047</t>
  </si>
  <si>
    <t>SEC-1048</t>
  </si>
  <si>
    <t>SEC-1049</t>
  </si>
  <si>
    <t>SEC-1050</t>
  </si>
  <si>
    <t>SEC-1051</t>
  </si>
  <si>
    <t>SEC-1052</t>
  </si>
  <si>
    <t>SEC-1053</t>
  </si>
  <si>
    <t>SEC-1155</t>
  </si>
  <si>
    <t>I.E. las Mercedes</t>
  </si>
  <si>
    <t>I. E. LAS MERCEDES</t>
  </si>
  <si>
    <t>Frontino</t>
  </si>
  <si>
    <t>G34</t>
  </si>
  <si>
    <t>SEC-1156</t>
  </si>
  <si>
    <t>SEC-1157</t>
  </si>
  <si>
    <t>SEC-1158</t>
  </si>
  <si>
    <t>SEC-1159</t>
  </si>
  <si>
    <t>SEC-1160</t>
  </si>
  <si>
    <t>SEC-1161</t>
  </si>
  <si>
    <t>SEC-1162</t>
  </si>
  <si>
    <t>SEC-1163</t>
  </si>
  <si>
    <t>SEC-1164</t>
  </si>
  <si>
    <t>SEC-1165</t>
  </si>
  <si>
    <t>SEC-1166</t>
  </si>
  <si>
    <t>SEC-1167</t>
  </si>
  <si>
    <t>SEC-1168</t>
  </si>
  <si>
    <t>SEC-1169</t>
  </si>
  <si>
    <t>SEC-1170</t>
  </si>
  <si>
    <t>SEC-1171</t>
  </si>
  <si>
    <t>SEC-1172</t>
  </si>
  <si>
    <t>SEC-1173</t>
  </si>
  <si>
    <t>SEC-1174</t>
  </si>
  <si>
    <t>SEC-0465</t>
  </si>
  <si>
    <t>I.E.R. Adolfo Moreno Usuga</t>
  </si>
  <si>
    <t>I. E. R. ADOLFO MORENO USUGA</t>
  </si>
  <si>
    <t>Buriticá</t>
  </si>
  <si>
    <t>G13</t>
  </si>
  <si>
    <t>SEC-0466</t>
  </si>
  <si>
    <t>SEC-0467</t>
  </si>
  <si>
    <t>SEC-0468</t>
  </si>
  <si>
    <t>SEC-0469</t>
  </si>
  <si>
    <t>SEC-0470</t>
  </si>
  <si>
    <t>SEC-0471</t>
  </si>
  <si>
    <t>SEC-0472</t>
  </si>
  <si>
    <t>SEC-0473</t>
  </si>
  <si>
    <t>SEC-0474</t>
  </si>
  <si>
    <t>SEC-0475</t>
  </si>
  <si>
    <t>SEC-0476</t>
  </si>
  <si>
    <t>SEC-0477</t>
  </si>
  <si>
    <t>SEC-0478</t>
  </si>
  <si>
    <t>SEC-0479</t>
  </si>
  <si>
    <t>SEC-0480</t>
  </si>
  <si>
    <t>SEC-0481</t>
  </si>
  <si>
    <t>SEC-0482</t>
  </si>
  <si>
    <t>SEC-0483</t>
  </si>
  <si>
    <t>SEC-0484</t>
  </si>
  <si>
    <t>SEC-0485</t>
  </si>
  <si>
    <t>SEC-0737</t>
  </si>
  <si>
    <t>I.E.R. Caceri</t>
  </si>
  <si>
    <t>I. E. R. CACERI</t>
  </si>
  <si>
    <t>G22</t>
  </si>
  <si>
    <t>SEC-0738</t>
  </si>
  <si>
    <t>SEC-0739</t>
  </si>
  <si>
    <t>SEC-0740</t>
  </si>
  <si>
    <t>SEC-0741</t>
  </si>
  <si>
    <t>SEC-0742</t>
  </si>
  <si>
    <t>SEC-0743</t>
  </si>
  <si>
    <t>SEC-0744</t>
  </si>
  <si>
    <t>SEC-0745</t>
  </si>
  <si>
    <t>SEC-0746</t>
  </si>
  <si>
    <t>SEC-0747</t>
  </si>
  <si>
    <t>SEC-0748</t>
  </si>
  <si>
    <t>SEC-0749</t>
  </si>
  <si>
    <t>SEC-0750</t>
  </si>
  <si>
    <t>SEC-0751</t>
  </si>
  <si>
    <t>SEC-0752</t>
  </si>
  <si>
    <t>SEC-0753</t>
  </si>
  <si>
    <t>SEC-0754</t>
  </si>
  <si>
    <t>SEC-0755</t>
  </si>
  <si>
    <t>SEC-0756</t>
  </si>
  <si>
    <t>SEC-0757</t>
  </si>
  <si>
    <t>SEC-0758</t>
  </si>
  <si>
    <t>SEC-0759</t>
  </si>
  <si>
    <t>SEC-0760</t>
  </si>
  <si>
    <t>SEC-0761</t>
  </si>
  <si>
    <t>SEC-0762</t>
  </si>
  <si>
    <t>SEC-0763</t>
  </si>
  <si>
    <t>SEC-0764</t>
  </si>
  <si>
    <t>SEC-0765</t>
  </si>
  <si>
    <t>SEC-0766</t>
  </si>
  <si>
    <t>SEC-0767</t>
  </si>
  <si>
    <t>SEC-0768</t>
  </si>
  <si>
    <t>SEC-0769</t>
  </si>
  <si>
    <t>SEC-0770</t>
  </si>
  <si>
    <t>SEC-0771</t>
  </si>
  <si>
    <t>SEC-0772</t>
  </si>
  <si>
    <t>SEC-0773</t>
  </si>
  <si>
    <t>SEC-0774</t>
  </si>
  <si>
    <t>SEC-0775</t>
  </si>
  <si>
    <t>SEC-2486</t>
  </si>
  <si>
    <t>I.E.R. Guillermo Aguilar</t>
  </si>
  <si>
    <t>I. E. R. GUILLERMO AGUILAR</t>
  </si>
  <si>
    <t>G71</t>
  </si>
  <si>
    <t>SEC-2487</t>
  </si>
  <si>
    <t>SEC-2488</t>
  </si>
  <si>
    <t>SEC-2489</t>
  </si>
  <si>
    <t>SEC-2490</t>
  </si>
  <si>
    <t>SEC-2491</t>
  </si>
  <si>
    <t>SEC-2492</t>
  </si>
  <si>
    <t>SEC-2493</t>
  </si>
  <si>
    <t>SEC-2494</t>
  </si>
  <si>
    <t>SEC-2495</t>
  </si>
  <si>
    <t>SEC-2496</t>
  </si>
  <si>
    <t>SEC-2497</t>
  </si>
  <si>
    <t>SEC-2498</t>
  </si>
  <si>
    <t>SEC-2499</t>
  </si>
  <si>
    <t>SEC-2500</t>
  </si>
  <si>
    <t>SEC-2501</t>
  </si>
  <si>
    <t>SEC-2502</t>
  </si>
  <si>
    <t>SEC-2503</t>
  </si>
  <si>
    <t>SEC-2504</t>
  </si>
  <si>
    <t>SEC-2505</t>
  </si>
  <si>
    <t>SEC-1175</t>
  </si>
  <si>
    <t>I.E.R. Hojas Anchas</t>
  </si>
  <si>
    <t>I.E.R. HOJAS ANCHAS</t>
  </si>
  <si>
    <t>Guarne</t>
  </si>
  <si>
    <t>G35</t>
  </si>
  <si>
    <t>SEC-1176</t>
  </si>
  <si>
    <t>SEC-1177</t>
  </si>
  <si>
    <t>SEC-1178</t>
  </si>
  <si>
    <t>SEC-1179</t>
  </si>
  <si>
    <t>SEC-1180</t>
  </si>
  <si>
    <t>SEC-1181</t>
  </si>
  <si>
    <t>SEC-1182</t>
  </si>
  <si>
    <t>SEC-1183</t>
  </si>
  <si>
    <t>SEC-1184</t>
  </si>
  <si>
    <t>SEC-1185</t>
  </si>
  <si>
    <t>SEC-1186</t>
  </si>
  <si>
    <t>SEC-1187</t>
  </si>
  <si>
    <t>SEC-1188</t>
  </si>
  <si>
    <t>SEC-1189</t>
  </si>
  <si>
    <t>SEC-1190</t>
  </si>
  <si>
    <t>SEC-1191</t>
  </si>
  <si>
    <t>SEC-1192</t>
  </si>
  <si>
    <t>SEC-1193</t>
  </si>
  <si>
    <t>SEC-1194</t>
  </si>
  <si>
    <t>SEC-1195</t>
  </si>
  <si>
    <t>SEC-1196</t>
  </si>
  <si>
    <t>SEC-1197</t>
  </si>
  <si>
    <t>SEC-1198</t>
  </si>
  <si>
    <t>SEC-1199</t>
  </si>
  <si>
    <t>SEC-1200</t>
  </si>
  <si>
    <t>SEC-1201</t>
  </si>
  <si>
    <t>SEC-1202</t>
  </si>
  <si>
    <t>SEC-1203</t>
  </si>
  <si>
    <t>SEC-1204</t>
  </si>
  <si>
    <t>SEC-1205</t>
  </si>
  <si>
    <t>SEC-1206</t>
  </si>
  <si>
    <t>SEC-1207</t>
  </si>
  <si>
    <t>SEC-2228</t>
  </si>
  <si>
    <t>I.E.R. Jaipera</t>
  </si>
  <si>
    <t>I. E. R. JAIPERA</t>
  </si>
  <si>
    <t>Urrao</t>
  </si>
  <si>
    <t>G63</t>
  </si>
  <si>
    <t>SEC-2229</t>
  </si>
  <si>
    <t>SEC-2230</t>
  </si>
  <si>
    <t>SEC-2231</t>
  </si>
  <si>
    <t>SEC-2232</t>
  </si>
  <si>
    <t>SEC-2233</t>
  </si>
  <si>
    <t>SEC-2234</t>
  </si>
  <si>
    <t>SEC-2235</t>
  </si>
  <si>
    <t>SEC-2236</t>
  </si>
  <si>
    <t>SEC-2237</t>
  </si>
  <si>
    <t>SEC-2238</t>
  </si>
  <si>
    <t>SEC-2239</t>
  </si>
  <si>
    <t>SEC-2240</t>
  </si>
  <si>
    <t>SEC-2241</t>
  </si>
  <si>
    <t>SEC-2242</t>
  </si>
  <si>
    <t>SEC-2243</t>
  </si>
  <si>
    <t>SEC-2244</t>
  </si>
  <si>
    <t>SEC-2245</t>
  </si>
  <si>
    <t>SEC-2246</t>
  </si>
  <si>
    <t>SEC-2247</t>
  </si>
  <si>
    <t>SEC-2248</t>
  </si>
  <si>
    <t>SEC-2249</t>
  </si>
  <si>
    <t>SEC-2250</t>
  </si>
  <si>
    <t>SEC-2251</t>
  </si>
  <si>
    <t>SEC-2252</t>
  </si>
  <si>
    <t>SEC-2253</t>
  </si>
  <si>
    <t>SEC-2254</t>
  </si>
  <si>
    <t>SEC-2255</t>
  </si>
  <si>
    <t>SEC-2256</t>
  </si>
  <si>
    <t>SEC-2257</t>
  </si>
  <si>
    <t>SEC-2258</t>
  </si>
  <si>
    <t>SEC-2259</t>
  </si>
  <si>
    <t>SEC-2260</t>
  </si>
  <si>
    <t>SEC-2261</t>
  </si>
  <si>
    <t>SEC-2262</t>
  </si>
  <si>
    <t>SEC-2263</t>
  </si>
  <si>
    <t>SEC-2264</t>
  </si>
  <si>
    <t>SEC-2265</t>
  </si>
  <si>
    <t>SEC-2266</t>
  </si>
  <si>
    <t>SEC-2267</t>
  </si>
  <si>
    <t>SEC-2268</t>
  </si>
  <si>
    <t>SEC-2269</t>
  </si>
  <si>
    <t>SEC-2270</t>
  </si>
  <si>
    <t>SEC-2271</t>
  </si>
  <si>
    <t>SEC-2272</t>
  </si>
  <si>
    <t>SEC-2273</t>
  </si>
  <si>
    <t>SEC-2274</t>
  </si>
  <si>
    <t>SEC-2275</t>
  </si>
  <si>
    <t>I.E.R. Marco A Rojo</t>
  </si>
  <si>
    <t>I. E. R. MARCO A ROJO</t>
  </si>
  <si>
    <t>Valdivia</t>
  </si>
  <si>
    <t>G64</t>
  </si>
  <si>
    <t>SEC-2276</t>
  </si>
  <si>
    <t>SEC-2277</t>
  </si>
  <si>
    <t>SEC-2278</t>
  </si>
  <si>
    <t>SEC-2279</t>
  </si>
  <si>
    <t>SEC-2280</t>
  </si>
  <si>
    <t>SEC-2281</t>
  </si>
  <si>
    <t>SEC-2282</t>
  </si>
  <si>
    <t>SEC-2283</t>
  </si>
  <si>
    <t>SEC-2284</t>
  </si>
  <si>
    <t>SEC-2285</t>
  </si>
  <si>
    <t>SEC-2286</t>
  </si>
  <si>
    <t>SEC-2287</t>
  </si>
  <si>
    <t>SEC-2288</t>
  </si>
  <si>
    <t>SEC-2289</t>
  </si>
  <si>
    <t>SEC-2290</t>
  </si>
  <si>
    <t>SEC-2291</t>
  </si>
  <si>
    <t>SEC-2292</t>
  </si>
  <si>
    <t>SEC-2293</t>
  </si>
  <si>
    <t>SEC-2294</t>
  </si>
  <si>
    <t>SEC-2295</t>
  </si>
  <si>
    <t>SEC-2296</t>
  </si>
  <si>
    <t>SEC-2297</t>
  </si>
  <si>
    <t>SEC-2298</t>
  </si>
  <si>
    <t>SEC-2299</t>
  </si>
  <si>
    <t>SEC-2300</t>
  </si>
  <si>
    <t>SEC-2301</t>
  </si>
  <si>
    <t>SEC-2302</t>
  </si>
  <si>
    <t>SEC-2303</t>
  </si>
  <si>
    <t>SEC-2304</t>
  </si>
  <si>
    <t>SEC-2305</t>
  </si>
  <si>
    <t>SEC-2306</t>
  </si>
  <si>
    <t>SEC-2307</t>
  </si>
  <si>
    <t>SEC-2308</t>
  </si>
  <si>
    <t>SEC-2309</t>
  </si>
  <si>
    <t>SEC-2310</t>
  </si>
  <si>
    <t>SEC-2311</t>
  </si>
  <si>
    <t>SEC-2312</t>
  </si>
  <si>
    <t>SEC-2313</t>
  </si>
  <si>
    <t>SEC-1563</t>
  </si>
  <si>
    <t>I.E.R. Mellito</t>
  </si>
  <si>
    <t>I. E. R. MELLITO</t>
  </si>
  <si>
    <t>Necoclí</t>
  </si>
  <si>
    <t>G46</t>
  </si>
  <si>
    <t>SEC-1564</t>
  </si>
  <si>
    <t>SEC-1565</t>
  </si>
  <si>
    <t>SEC-1566</t>
  </si>
  <si>
    <t>SEC-1567</t>
  </si>
  <si>
    <t>SEC-1568</t>
  </si>
  <si>
    <t>SEC-1569</t>
  </si>
  <si>
    <t>SEC-1570</t>
  </si>
  <si>
    <t>SEC-1571</t>
  </si>
  <si>
    <t>SEC-1572</t>
  </si>
  <si>
    <t>SEC-1573</t>
  </si>
  <si>
    <t>SEC-1574</t>
  </si>
  <si>
    <t>SEC-1575</t>
  </si>
  <si>
    <t>SEC-1576</t>
  </si>
  <si>
    <t>SEC-1577</t>
  </si>
  <si>
    <t>SEC-1578</t>
  </si>
  <si>
    <t>SEC-1579</t>
  </si>
  <si>
    <t>SEC-1580</t>
  </si>
  <si>
    <t>SEC-1581</t>
  </si>
  <si>
    <t>SEC-1582</t>
  </si>
  <si>
    <t>SEC-1583</t>
  </si>
  <si>
    <t>SEC-1584</t>
  </si>
  <si>
    <t>SEC-1585</t>
  </si>
  <si>
    <t>SEC-1586</t>
  </si>
  <si>
    <t>SEC-1587</t>
  </si>
  <si>
    <t>SEC-1588</t>
  </si>
  <si>
    <t>SEC-1589</t>
  </si>
  <si>
    <t>SEC-1590</t>
  </si>
  <si>
    <t>SEC-1591</t>
  </si>
  <si>
    <t>SEC-1592</t>
  </si>
  <si>
    <t>SEC-1593</t>
  </si>
  <si>
    <t>SEC-1594</t>
  </si>
  <si>
    <t>SEC-1595</t>
  </si>
  <si>
    <t>SEC-1596</t>
  </si>
  <si>
    <t>SEC-1597</t>
  </si>
  <si>
    <t>SEC-1598</t>
  </si>
  <si>
    <t>SEC-1599</t>
  </si>
  <si>
    <t>SEC-1600</t>
  </si>
  <si>
    <t>SEC-1601</t>
  </si>
  <si>
    <t>SEC-1602</t>
  </si>
  <si>
    <t>SEC-1603</t>
  </si>
  <si>
    <t>SEC-1604</t>
  </si>
  <si>
    <t>SEC-1605</t>
  </si>
  <si>
    <t>SEC-2148</t>
  </si>
  <si>
    <t>I.E.R. Porcesito</t>
  </si>
  <si>
    <t>I. E. R. PORCESITO</t>
  </si>
  <si>
    <t>Santo Domingo</t>
  </si>
  <si>
    <t>G60</t>
  </si>
  <si>
    <t>SEC-2149</t>
  </si>
  <si>
    <t>SEC-2150</t>
  </si>
  <si>
    <t>SEC-2151</t>
  </si>
  <si>
    <t>SEC-2152</t>
  </si>
  <si>
    <t>SEC-2153</t>
  </si>
  <si>
    <t>SEC-2154</t>
  </si>
  <si>
    <t>SEC-2155</t>
  </si>
  <si>
    <t>SEC-2156</t>
  </si>
  <si>
    <t>SEC-2157</t>
  </si>
  <si>
    <t>SEC-2158</t>
  </si>
  <si>
    <t>SEC-2159</t>
  </si>
  <si>
    <t>SEC-2160</t>
  </si>
  <si>
    <t>SEC-2161</t>
  </si>
  <si>
    <t>SEC-2162</t>
  </si>
  <si>
    <t>SEC-2163</t>
  </si>
  <si>
    <t>SEC-2164</t>
  </si>
  <si>
    <t>SEC-2165</t>
  </si>
  <si>
    <t>SEC-2166</t>
  </si>
  <si>
    <t>SEC-2167</t>
  </si>
  <si>
    <t>SEC-2168</t>
  </si>
  <si>
    <t>SEC-1232</t>
  </si>
  <si>
    <t>I.E.R. San Francisco de Asis</t>
  </si>
  <si>
    <t>I. E. R. SAN FRANCISCO DE ASIS</t>
  </si>
  <si>
    <t>Jericó</t>
  </si>
  <si>
    <t>G37</t>
  </si>
  <si>
    <t>SEC-1233</t>
  </si>
  <si>
    <t>SEC-1234</t>
  </si>
  <si>
    <t>SEC-1235</t>
  </si>
  <si>
    <t>SEC-1236</t>
  </si>
  <si>
    <t>SEC-1237</t>
  </si>
  <si>
    <t>SEC-1238</t>
  </si>
  <si>
    <t>SEC-1239</t>
  </si>
  <si>
    <t>SEC-1240</t>
  </si>
  <si>
    <t>SEC-1241</t>
  </si>
  <si>
    <t>SEC-1242</t>
  </si>
  <si>
    <t>SEC-1243</t>
  </si>
  <si>
    <t>SEC-1244</t>
  </si>
  <si>
    <t>SEC-1245</t>
  </si>
  <si>
    <t>SEC-1246</t>
  </si>
  <si>
    <t>SEC-1247</t>
  </si>
  <si>
    <t>SEC-1248</t>
  </si>
  <si>
    <t>SEC-1249</t>
  </si>
  <si>
    <t>SEC-1250</t>
  </si>
  <si>
    <t>SEC-1251</t>
  </si>
  <si>
    <t>SEC-1252</t>
  </si>
  <si>
    <t>SEC-1253</t>
  </si>
  <si>
    <t>SEC-1254</t>
  </si>
  <si>
    <t>SEC-1255</t>
  </si>
  <si>
    <t>SEC-1256</t>
  </si>
  <si>
    <t>SEC-1257</t>
  </si>
  <si>
    <t>SEC-1258</t>
  </si>
  <si>
    <t>SEC-1259</t>
  </si>
  <si>
    <t>SEC-1260</t>
  </si>
  <si>
    <t>SEC-1261</t>
  </si>
  <si>
    <t>SEC-1262</t>
  </si>
  <si>
    <t>SEC-0708</t>
  </si>
  <si>
    <t>I.E.R. Zungo Embarcadero</t>
  </si>
  <si>
    <t>I. E. R. ZUNGO EMBARCADERO</t>
  </si>
  <si>
    <t>G21</t>
  </si>
  <si>
    <t>SEC-0709</t>
  </si>
  <si>
    <t>SEC-0710</t>
  </si>
  <si>
    <t>SEC-0711</t>
  </si>
  <si>
    <t>SEC-0712</t>
  </si>
  <si>
    <t>SEC-0713</t>
  </si>
  <si>
    <t>SEC-0714</t>
  </si>
  <si>
    <t>SEC-0715</t>
  </si>
  <si>
    <t>SEC-0716</t>
  </si>
  <si>
    <t>SEC-0717</t>
  </si>
  <si>
    <t>SEC-0718</t>
  </si>
  <si>
    <t>SEC-0719</t>
  </si>
  <si>
    <t>SEC-0720</t>
  </si>
  <si>
    <t>SEC-0721</t>
  </si>
  <si>
    <t>SEC-0722</t>
  </si>
  <si>
    <t>SEC-0723</t>
  </si>
  <si>
    <t>SEC-0724</t>
  </si>
  <si>
    <t>SEC-0725</t>
  </si>
  <si>
    <t>SEC-0726</t>
  </si>
  <si>
    <t>SEC-0727</t>
  </si>
  <si>
    <t>SEC-0728</t>
  </si>
  <si>
    <t>SEC-0729</t>
  </si>
  <si>
    <t>SEC-0730</t>
  </si>
  <si>
    <t>SEC-0731</t>
  </si>
  <si>
    <t>SEC-0732</t>
  </si>
  <si>
    <t>SEC-0733</t>
  </si>
  <si>
    <t>SEC-0734</t>
  </si>
  <si>
    <t>SEC-0735</t>
  </si>
  <si>
    <t>SEC-0736</t>
  </si>
  <si>
    <t>SEC-1531</t>
  </si>
  <si>
    <t>I.E.R. el Totumo</t>
  </si>
  <si>
    <t>I. E. R. EL TOTUMO</t>
  </si>
  <si>
    <t>G45</t>
  </si>
  <si>
    <t>SEC-1532</t>
  </si>
  <si>
    <t>SEC-1533</t>
  </si>
  <si>
    <t>SEC-1534</t>
  </si>
  <si>
    <t>SEC-1535</t>
  </si>
  <si>
    <t>SEC-1536</t>
  </si>
  <si>
    <t>SEC-1537</t>
  </si>
  <si>
    <t>SEC-1538</t>
  </si>
  <si>
    <t>SEC-1539</t>
  </si>
  <si>
    <t>SEC-1540</t>
  </si>
  <si>
    <t>SEC-1541</t>
  </si>
  <si>
    <t>SEC-1542</t>
  </si>
  <si>
    <t>SEC-1543</t>
  </si>
  <si>
    <t>SEC-1544</t>
  </si>
  <si>
    <t>SEC-1545</t>
  </si>
  <si>
    <t>SEC-1546</t>
  </si>
  <si>
    <t>SEC-1547</t>
  </si>
  <si>
    <t>SEC-1548</t>
  </si>
  <si>
    <t>SEC-1549</t>
  </si>
  <si>
    <t>SEC-1550</t>
  </si>
  <si>
    <t>SEC-1551</t>
  </si>
  <si>
    <t>SEC-1552</t>
  </si>
  <si>
    <t>SEC-1553</t>
  </si>
  <si>
    <t>SEC-1554</t>
  </si>
  <si>
    <t>SEC-1555</t>
  </si>
  <si>
    <t>SEC-1556</t>
  </si>
  <si>
    <t>SEC-1557</t>
  </si>
  <si>
    <t>SEC-1558</t>
  </si>
  <si>
    <t>SEC-1559</t>
  </si>
  <si>
    <t>SEC-1560</t>
  </si>
  <si>
    <t>SEC-1561</t>
  </si>
  <si>
    <t>SEC-1562</t>
  </si>
  <si>
    <t>SEC-1754</t>
  </si>
  <si>
    <t>I.E.R. la Cruzada</t>
  </si>
  <si>
    <t>I. E. R. LA CRUZADA</t>
  </si>
  <si>
    <t>G52</t>
  </si>
  <si>
    <t>SEC-1755</t>
  </si>
  <si>
    <t>SEC-1756</t>
  </si>
  <si>
    <t>SEC-1757</t>
  </si>
  <si>
    <t>SEC-1758</t>
  </si>
  <si>
    <t>SEC-1759</t>
  </si>
  <si>
    <t>SEC-1760</t>
  </si>
  <si>
    <t>SEC-1761</t>
  </si>
  <si>
    <t>SEC-1762</t>
  </si>
  <si>
    <t>SEC-1763</t>
  </si>
  <si>
    <t>SEC-1764</t>
  </si>
  <si>
    <t>SEC-1765</t>
  </si>
  <si>
    <t>SEC-1766</t>
  </si>
  <si>
    <t>SEC-1767</t>
  </si>
  <si>
    <t>SEC-1768</t>
  </si>
  <si>
    <t>SEC-1769</t>
  </si>
  <si>
    <t>SEC-1770</t>
  </si>
  <si>
    <t>SEC-1771</t>
  </si>
  <si>
    <t>SEC-1772</t>
  </si>
  <si>
    <t>SEC-1773</t>
  </si>
  <si>
    <t>SEC-1774</t>
  </si>
  <si>
    <t>SEC-1775</t>
  </si>
  <si>
    <t>SEC-1776</t>
  </si>
  <si>
    <t>SEC-1777</t>
  </si>
  <si>
    <t>SEC-1778</t>
  </si>
  <si>
    <t>SEC-1779</t>
  </si>
  <si>
    <t>SEC-1780</t>
  </si>
  <si>
    <t>SEC-1781</t>
  </si>
  <si>
    <t>SEC-1782</t>
  </si>
  <si>
    <t>SEC-1783</t>
  </si>
  <si>
    <t>SEC-1784</t>
  </si>
  <si>
    <t>SEC-1785</t>
  </si>
  <si>
    <t>SEC-1786</t>
  </si>
  <si>
    <t>SEC-1787</t>
  </si>
  <si>
    <t>SEC-1788</t>
  </si>
  <si>
    <t>SEC-1789</t>
  </si>
  <si>
    <t>SEC-1790</t>
  </si>
  <si>
    <t>SEC-1791</t>
  </si>
  <si>
    <t>SEC-1792</t>
  </si>
  <si>
    <t>SEC-1793</t>
  </si>
  <si>
    <t>SEC-1794</t>
  </si>
  <si>
    <t>SEC-1795</t>
  </si>
  <si>
    <t>SEC-1796</t>
  </si>
  <si>
    <t>SEC-1797</t>
  </si>
  <si>
    <t>SEC-1798</t>
  </si>
  <si>
    <t>SEC-1799</t>
  </si>
  <si>
    <t>SEC-1800</t>
  </si>
  <si>
    <t>SEC-1801</t>
  </si>
  <si>
    <t>SEC-1802</t>
  </si>
  <si>
    <t>SEC-1803</t>
  </si>
  <si>
    <t>SEC-1804</t>
  </si>
  <si>
    <t>SEC-1805</t>
  </si>
  <si>
    <t>SEC-1806</t>
  </si>
  <si>
    <t>SEC-1807</t>
  </si>
  <si>
    <t>SEC-1808</t>
  </si>
  <si>
    <t>SEC-1809</t>
  </si>
  <si>
    <t>SEC-1810</t>
  </si>
  <si>
    <t>SEC-1811</t>
  </si>
  <si>
    <t>SEC-1812</t>
  </si>
  <si>
    <t>SEC-1472</t>
  </si>
  <si>
    <t>I.E.R. la Inmaculada Caucheras</t>
  </si>
  <si>
    <t>I. E. R. LA INMACULADA CAUCHERAS</t>
  </si>
  <si>
    <t>G43</t>
  </si>
  <si>
    <t>SEC-1473</t>
  </si>
  <si>
    <t>SEC-1474</t>
  </si>
  <si>
    <t>SEC-1475</t>
  </si>
  <si>
    <t>SEC-1476</t>
  </si>
  <si>
    <t>SEC-1477</t>
  </si>
  <si>
    <t>SEC-1478</t>
  </si>
  <si>
    <t>SEC-1479</t>
  </si>
  <si>
    <t>SEC-1480</t>
  </si>
  <si>
    <t>SEC-1481</t>
  </si>
  <si>
    <t>SEC-1482</t>
  </si>
  <si>
    <t>SEC-1483</t>
  </si>
  <si>
    <t>SEC-1484</t>
  </si>
  <si>
    <t>SEC-1485</t>
  </si>
  <si>
    <t>SEC-1486</t>
  </si>
  <si>
    <t>SEC-1487</t>
  </si>
  <si>
    <t>SEC-1488</t>
  </si>
  <si>
    <t>SEC-1489</t>
  </si>
  <si>
    <t>SEC-1490</t>
  </si>
  <si>
    <t>SEC-1491</t>
  </si>
  <si>
    <t>SEC-1492</t>
  </si>
  <si>
    <t>SEC-1493</t>
  </si>
  <si>
    <t>SEC-1494</t>
  </si>
  <si>
    <t>SEC-1495</t>
  </si>
  <si>
    <t>SEC-1672</t>
  </si>
  <si>
    <t>I.E.R. la Sierra</t>
  </si>
  <si>
    <t>I. E. R. LA SIERRA</t>
  </si>
  <si>
    <t>Puerto Nare</t>
  </si>
  <si>
    <t>G49</t>
  </si>
  <si>
    <t>SEC-1673</t>
  </si>
  <si>
    <t>SEC-1674</t>
  </si>
  <si>
    <t>SEC-1675</t>
  </si>
  <si>
    <t>SEC-1676</t>
  </si>
  <si>
    <t>SEC-1677</t>
  </si>
  <si>
    <t>SEC-1678</t>
  </si>
  <si>
    <t>SEC-1679</t>
  </si>
  <si>
    <t>SEC-1680</t>
  </si>
  <si>
    <t>SEC-1681</t>
  </si>
  <si>
    <t>SEC-1682</t>
  </si>
  <si>
    <t>SEC-1683</t>
  </si>
  <si>
    <t>SEC-1684</t>
  </si>
  <si>
    <t>SEC-1685</t>
  </si>
  <si>
    <t>SEC-1686</t>
  </si>
  <si>
    <t>SEC-1687</t>
  </si>
  <si>
    <t>SEC-1688</t>
  </si>
  <si>
    <t>SEC-1689</t>
  </si>
  <si>
    <t>SEC-1690</t>
  </si>
  <si>
    <t>SEC-1691</t>
  </si>
  <si>
    <t>SEC-1692</t>
  </si>
  <si>
    <t>SEC-1693</t>
  </si>
  <si>
    <t>SEC-1694</t>
  </si>
  <si>
    <t>SEC-1695</t>
  </si>
  <si>
    <t>SEC-1696</t>
  </si>
  <si>
    <t>SEC-1697</t>
  </si>
  <si>
    <t>SEC-1698</t>
  </si>
  <si>
    <t>SEC-1699</t>
  </si>
  <si>
    <t>SEC-1700</t>
  </si>
  <si>
    <t>SEC-1701</t>
  </si>
  <si>
    <t>SEC-1702</t>
  </si>
  <si>
    <t>SEC-1703</t>
  </si>
  <si>
    <t>I.E.R. la Union</t>
  </si>
  <si>
    <t>I. E. R. LA UNION</t>
  </si>
  <si>
    <t>G50</t>
  </si>
  <si>
    <t>SEC-1704</t>
  </si>
  <si>
    <t>SEC-1705</t>
  </si>
  <si>
    <t>SEC-1706</t>
  </si>
  <si>
    <t>SEC-1707</t>
  </si>
  <si>
    <t>SEC-1708</t>
  </si>
  <si>
    <t>SEC-1709</t>
  </si>
  <si>
    <t>SEC-1710</t>
  </si>
  <si>
    <t>SEC-1711</t>
  </si>
  <si>
    <t>SEC-1712</t>
  </si>
  <si>
    <t>SEC-1713</t>
  </si>
  <si>
    <t>SEC-1714</t>
  </si>
  <si>
    <t>SEC-1715</t>
  </si>
  <si>
    <t>SEC-1716</t>
  </si>
  <si>
    <t>SEC-1717</t>
  </si>
  <si>
    <t>SEC-1718</t>
  </si>
  <si>
    <t>SEC-1719</t>
  </si>
  <si>
    <t>SEC-1720</t>
  </si>
  <si>
    <t>SEC-1721</t>
  </si>
  <si>
    <t>SEC-1722</t>
  </si>
  <si>
    <t>SEC-1723</t>
  </si>
  <si>
    <t>SEC-1724</t>
  </si>
  <si>
    <t>SEC-1725</t>
  </si>
  <si>
    <t>SEC-1726</t>
  </si>
  <si>
    <t>SEC-1086</t>
  </si>
  <si>
    <t>Palmira</t>
  </si>
  <si>
    <t>PALMIRA</t>
  </si>
  <si>
    <t>G32</t>
  </si>
  <si>
    <t>SEC-1087</t>
  </si>
  <si>
    <t>SEC-1088</t>
  </si>
  <si>
    <t>SEC-1089</t>
  </si>
  <si>
    <t>SEC-1090</t>
  </si>
  <si>
    <t>SEC-1091</t>
  </si>
  <si>
    <t>SEC-1092</t>
  </si>
  <si>
    <t>SEC-1093</t>
  </si>
  <si>
    <t>SEC-1094</t>
  </si>
  <si>
    <t>SEC-1095</t>
  </si>
  <si>
    <t>SEC-1096</t>
  </si>
  <si>
    <t>SEC-1097</t>
  </si>
  <si>
    <t>SEC-1098</t>
  </si>
  <si>
    <t>SEC-1099</t>
  </si>
  <si>
    <t>SEC-1100</t>
  </si>
  <si>
    <t>SEC-1101</t>
  </si>
  <si>
    <t>SEC-1102</t>
  </si>
  <si>
    <t>SEC-1103</t>
  </si>
  <si>
    <t>SEC-1104</t>
  </si>
  <si>
    <t>SEC-1105</t>
  </si>
  <si>
    <t>SEC-1106</t>
  </si>
  <si>
    <t>SEC-1107</t>
  </si>
  <si>
    <t>SEC-1108</t>
  </si>
  <si>
    <t>Histograma del Puntaje Global y ajuste por una variable aleatoria normal</t>
  </si>
  <si>
    <t>PARAMETROS DE LA NORMAL PROPUESTA</t>
  </si>
  <si>
    <t>n (observaciones)</t>
  </si>
  <si>
    <t>Media (mu)</t>
  </si>
  <si>
    <t>Varianza (sigma^2)</t>
  </si>
  <si>
    <t>Desviacion (sigma)</t>
  </si>
  <si>
    <t>Se propone X ~ Normal(mu, sigma^2) con los parametros de arriba, estimados de la muestra.</t>
  </si>
  <si>
    <t>TABLA DE FRECUENCIAS Y FRECUENCIA ESPERADA BAJO LA NORMAL</t>
  </si>
  <si>
    <t>Limite inferior</t>
  </si>
  <si>
    <t>Limite superior</t>
  </si>
  <si>
    <t>Marca de clase</t>
  </si>
  <si>
    <t>Frecuencia observada</t>
  </si>
  <si>
    <t>Frecuencia relativa</t>
  </si>
  <si>
    <t>Frecuencia esperada normal</t>
  </si>
  <si>
    <t>Total</t>
  </si>
  <si>
    <t>PROBABILIDADES CON LA NORMAL PROPUESTA</t>
  </si>
  <si>
    <t>Evento</t>
  </si>
  <si>
    <t>Probabilidad normal</t>
  </si>
  <si>
    <t>Diferencia</t>
  </si>
  <si>
    <t>P(X &lt;= 150), riesgo alto</t>
  </si>
  <si>
    <t>P(150 &lt; X &lt;= 250), rango medio</t>
  </si>
  <si>
    <t>P(X &gt; 250), desempeno alto</t>
  </si>
  <si>
    <t>P(X &gt; 300), acceso competitivo</t>
  </si>
  <si>
    <t>P(X &gt; 350), becas de excelencia</t>
  </si>
  <si>
    <t>COBERTURA POR INTERVALOS DE DESVIACION ESTANDAR</t>
  </si>
  <si>
    <t>Intervalo</t>
  </si>
  <si>
    <t>Observado</t>
  </si>
  <si>
    <t>Normal teorica</t>
  </si>
  <si>
    <t>mu +/- 1 sigma</t>
  </si>
  <si>
    <t>mu +/- 2 sigma</t>
  </si>
  <si>
    <t>mu +/- 3 sigma</t>
  </si>
  <si>
    <t>INSTITUCIONES PARTICIPANTES</t>
  </si>
  <si>
    <t>n_analisis y promedio_analisis se recalcularon sobre los registros analizados. Las dos ultimas columnas son lo reportado por cada integrante y se dejan para trazabilidad.</t>
  </si>
  <si>
    <t>precision_ubicacion</t>
  </si>
  <si>
    <t>n_analisis</t>
  </si>
  <si>
    <t>promedio_analisis</t>
  </si>
  <si>
    <t>n_reportado_por_integrante</t>
  </si>
  <si>
    <t>promedio_reportado_por_integrante</t>
  </si>
  <si>
    <t>colegio</t>
  </si>
  <si>
    <t>aproximada</t>
  </si>
  <si>
    <t>SABER 11 OFICIAL POR ESTABLECIMIENTO, PERIODO 2022-2</t>
  </si>
  <si>
    <t>Dataset abierto kgxf-xxbe de datos.gov.co. Periodo mas reciente consultable por API para Antioquia. Sirve de referencia externa para contrastar el nivel del simulacro.</t>
  </si>
  <si>
    <t>periodo</t>
  </si>
  <si>
    <t>establecimiento</t>
  </si>
  <si>
    <t>naturaleza</t>
  </si>
  <si>
    <t>global</t>
  </si>
  <si>
    <t>COLOMBO BRITANICO</t>
  </si>
  <si>
    <t>NO OFICIAL</t>
  </si>
  <si>
    <t>COLEGIO BENEDICTINO DE SANTA MARIA</t>
  </si>
  <si>
    <t>COL FONTAN</t>
  </si>
  <si>
    <t>INSTITUCION EDUCATIVA  MARTIN EDUARDO RIOS LLANOS</t>
  </si>
  <si>
    <t>OFICIAL</t>
  </si>
  <si>
    <t>COLEGIO DE LA PRESENTACION - ENVIGADO</t>
  </si>
  <si>
    <t>GIMNASIO INTEGRAL SANTA ANA</t>
  </si>
  <si>
    <t>COLEGIO TERESIANO</t>
  </si>
  <si>
    <t>UNIDAD EDUCATIVA SAN MARCOS</t>
  </si>
  <si>
    <t>COLEGIO LA SALLE ENVIGADO</t>
  </si>
  <si>
    <t>COLEGIO ALCARAVANES</t>
  </si>
  <si>
    <t>COLEGIO FRANCISCANO PALERMO DE SAN JOSE</t>
  </si>
  <si>
    <t>GIMNASIO CAMPESTRE EL TESORO</t>
  </si>
  <si>
    <t>INSTITUCION EDUCATIVA LA PAZ</t>
  </si>
  <si>
    <t>LICEO FRANCISCO RESTREPO MOLINA</t>
  </si>
  <si>
    <t>COLEGIO HONTANARES</t>
  </si>
  <si>
    <t>I.E. NORMAL SUPERIOR DE ENVIGADO</t>
  </si>
  <si>
    <t>INSTITUCION EDUCATIVA LETICIA ARANGO DE AVENDAÑO</t>
  </si>
  <si>
    <t>INSTITUCION EDUCATIVA ALEJANDRO VELEZ BARRIENTOS</t>
  </si>
  <si>
    <t>INSTITUCION EDUCATIVA SAN VICENTE DE PAUL</t>
  </si>
  <si>
    <t>INSTITUCION EDUCATIVA AVANZAR</t>
  </si>
  <si>
    <t>I.E. JOSE MANUEL RESTREPO VELEZ</t>
  </si>
  <si>
    <t>INSTITUCION EDUCATIVA JOSE MIGUEL DE LA CALLE</t>
  </si>
  <si>
    <t>COLEGIO MANUEL MEJIA VALLEJO</t>
  </si>
  <si>
    <t>INSTITUCION EDUCATIVA DARIO DE BEDOUT</t>
  </si>
  <si>
    <t>INSTITUCION EDUCATIVA COMERCIAL DE ENVIGADO</t>
  </si>
  <si>
    <t>INSTITUCION EDUCATIVA  ANTONIO DONADO CAMACHO</t>
  </si>
  <si>
    <t>INSTITUCION EDUCATIVA MARIA POUSSEPIN</t>
  </si>
  <si>
    <t>CENTRO EDUCATIVO INSTITUTO DE CIENCIAS APLICADAS INDECAP</t>
  </si>
  <si>
    <t>INSTITUCION EDUCATIVA MANUEL URIBE ANGEL</t>
  </si>
  <si>
    <t>INSTITUCION EDUCATIVA LAS PALMAS</t>
  </si>
  <si>
    <t>COLEGIO DE CAPACITACIÓN DE ENVIGADO</t>
  </si>
  <si>
    <t>COLEGIO INTEGRADO LAURELES</t>
  </si>
  <si>
    <t>POLITECNICO INTEGRAL COLOMBIANO</t>
  </si>
  <si>
    <t>INSTITUCI¿N EDUCATIVA EL SALADO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</si>
</sst>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59595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7B3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3" borderId="1" xfId="0" applyFont="1" applyFill="1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6" fillId="0" borderId="0" xfId="0" applyFont="1"/>
    <xf numFmtId="2" fontId="5" fillId="3" borderId="1" xfId="0" applyNumberFormat="1" applyFont="1" applyFill="1" applyBorder="1"/>
    <xf numFmtId="2" fontId="0" fillId="0" borderId="1" xfId="0" applyNumberFormat="1" applyBorder="1"/>
    <xf numFmtId="0" fontId="4" fillId="4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" fontId="0" fillId="0" borderId="1" xfId="0" applyNumberFormat="1" applyBorder="1"/>
    <xf numFmtId="165" fontId="0" fillId="0" borderId="1" xfId="0" applyNumberFormat="1" applyBorder="1"/>
    <xf numFmtId="164" fontId="0" fillId="0" borderId="1" xfId="0" applyNumberFormat="1" applyBorder="1"/>
    <xf numFmtId="0" fontId="0" fillId="3" borderId="1" xfId="0" applyFill="1" applyBorder="1"/>
    <xf numFmtId="1" fontId="5" fillId="3" borderId="1" xfId="0" applyNumberFormat="1" applyFont="1" applyFill="1" applyBorder="1"/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2" fontId="0" fillId="0" borderId="0" xfId="0" applyNumberFormat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Distribucion del Puntaje Global con la normal ajustada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'3_Histograma'!$E$15</c:f>
              <c:strCache>
                <c:ptCount val="1"/>
                <c:pt idx="0">
                  <c:v>Frecuencia observada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numRef>
              <c:f>'3_Histograma'!$D$16:$D$33</c:f>
              <c:numCache>
                <c:formatCode>0.0</c:formatCode>
                <c:ptCount val="18"/>
                <c:pt idx="0">
                  <c:v>12.5</c:v>
                </c:pt>
                <c:pt idx="1">
                  <c:v>37.5</c:v>
                </c:pt>
                <c:pt idx="2">
                  <c:v>62.5</c:v>
                </c:pt>
                <c:pt idx="3">
                  <c:v>87.5</c:v>
                </c:pt>
                <c:pt idx="4">
                  <c:v>112.5</c:v>
                </c:pt>
                <c:pt idx="5">
                  <c:v>137.5</c:v>
                </c:pt>
                <c:pt idx="6">
                  <c:v>162.5</c:v>
                </c:pt>
                <c:pt idx="7">
                  <c:v>187.5</c:v>
                </c:pt>
                <c:pt idx="8">
                  <c:v>212.5</c:v>
                </c:pt>
                <c:pt idx="9">
                  <c:v>237.5</c:v>
                </c:pt>
                <c:pt idx="10">
                  <c:v>262.5</c:v>
                </c:pt>
                <c:pt idx="11">
                  <c:v>287.5</c:v>
                </c:pt>
                <c:pt idx="12">
                  <c:v>312.5</c:v>
                </c:pt>
                <c:pt idx="13">
                  <c:v>337.5</c:v>
                </c:pt>
                <c:pt idx="14">
                  <c:v>362.5</c:v>
                </c:pt>
                <c:pt idx="15">
                  <c:v>387.5</c:v>
                </c:pt>
                <c:pt idx="16">
                  <c:v>412.5</c:v>
                </c:pt>
                <c:pt idx="17">
                  <c:v>437.5</c:v>
                </c:pt>
              </c:numCache>
            </c:numRef>
          </c:cat>
          <c:val>
            <c:numRef>
              <c:f>'3_Histograma'!$E$16:$E$33</c:f>
              <c:numCache>
                <c:formatCode>General</c:formatCode>
                <c:ptCount val="18"/>
                <c:pt idx="0">
                  <c:v>0</c:v>
                </c:pt>
                <c:pt idx="1">
                  <c:v>4</c:v>
                </c:pt>
                <c:pt idx="2">
                  <c:v>29</c:v>
                </c:pt>
                <c:pt idx="3">
                  <c:v>51</c:v>
                </c:pt>
                <c:pt idx="4">
                  <c:v>193</c:v>
                </c:pt>
                <c:pt idx="5">
                  <c:v>678</c:v>
                </c:pt>
                <c:pt idx="6">
                  <c:v>873</c:v>
                </c:pt>
                <c:pt idx="7">
                  <c:v>798</c:v>
                </c:pt>
                <c:pt idx="8">
                  <c:v>587</c:v>
                </c:pt>
                <c:pt idx="9">
                  <c:v>392</c:v>
                </c:pt>
                <c:pt idx="10">
                  <c:v>258</c:v>
                </c:pt>
                <c:pt idx="11">
                  <c:v>128</c:v>
                </c:pt>
                <c:pt idx="12">
                  <c:v>105</c:v>
                </c:pt>
                <c:pt idx="13">
                  <c:v>48</c:v>
                </c:pt>
                <c:pt idx="14">
                  <c:v>16</c:v>
                </c:pt>
                <c:pt idx="15">
                  <c:v>14</c:v>
                </c:pt>
                <c:pt idx="16">
                  <c:v>4</c:v>
                </c:pt>
                <c:pt idx="17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72-4409-A292-5FC1F7D04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'3_Histograma'!$G$15</c:f>
              <c:strCache>
                <c:ptCount val="1"/>
                <c:pt idx="0">
                  <c:v>Frecuencia esperada normal</c:v>
                </c:pt>
              </c:strCache>
            </c:strRef>
          </c:tx>
          <c:spPr>
            <a:ln w="22000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'3_Histograma'!$G$16:$G$33</c:f>
              <c:numCache>
                <c:formatCode>0.0</c:formatCode>
                <c:ptCount val="18"/>
                <c:pt idx="0">
                  <c:v>3.2892083316189749</c:v>
                </c:pt>
                <c:pt idx="1">
                  <c:v>13.569222382082824</c:v>
                </c:pt>
                <c:pt idx="2">
                  <c:v>45.249560992608515</c:v>
                </c:pt>
                <c:pt idx="3">
                  <c:v>121.97465874310831</c:v>
                </c:pt>
                <c:pt idx="4">
                  <c:v>265.77901344880945</c:v>
                </c:pt>
                <c:pt idx="5">
                  <c:v>468.13120323929604</c:v>
                </c:pt>
                <c:pt idx="6">
                  <c:v>666.5156120412928</c:v>
                </c:pt>
                <c:pt idx="7">
                  <c:v>767.09454557145727</c:v>
                </c:pt>
                <c:pt idx="8">
                  <c:v>713.64675363287074</c:v>
                </c:pt>
                <c:pt idx="9">
                  <c:v>536.67767048538735</c:v>
                </c:pt>
                <c:pt idx="10">
                  <c:v>326.24178834911328</c:v>
                </c:pt>
                <c:pt idx="11">
                  <c:v>160.31032103673704</c:v>
                </c:pt>
                <c:pt idx="12">
                  <c:v>63.67650380572892</c:v>
                </c:pt>
                <c:pt idx="13">
                  <c:v>20.445266139143587</c:v>
                </c:pt>
                <c:pt idx="14">
                  <c:v>5.3064265574776943</c:v>
                </c:pt>
                <c:pt idx="15">
                  <c:v>1.1132876186378562</c:v>
                </c:pt>
                <c:pt idx="16">
                  <c:v>0.18880280056511073</c:v>
                </c:pt>
                <c:pt idx="17">
                  <c:v>2.5882445998379758E-2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72-4409-A292-5FC1F7D04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Puntaje Global (marca de clase)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Numero de estudiantes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  <c:max val="1000"/>
          <c:min val="0"/>
        </c:scaling>
        <c:delete val="1"/>
        <c:axPos val="l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14</xdr:row>
      <xdr:rowOff>0</xdr:rowOff>
    </xdr:from>
    <xdr:ext cx="1080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tabSelected="1" workbookViewId="0"/>
  </sheetViews>
  <sheetFormatPr baseColWidth="10" defaultColWidth="9.140625" defaultRowHeight="15" x14ac:dyDescent="0.25"/>
  <cols>
    <col min="1" max="1" width="3" customWidth="1"/>
    <col min="2" max="2" width="30" customWidth="1"/>
    <col min="3" max="3" width="95" customWidth="1"/>
  </cols>
  <sheetData>
    <row r="2" spans="2:3" ht="18.75" x14ac:dyDescent="0.3">
      <c r="B2" s="24" t="s">
        <v>0</v>
      </c>
      <c r="C2" s="23"/>
    </row>
    <row r="3" spans="2:3" x14ac:dyDescent="0.25">
      <c r="B3" s="22" t="s">
        <v>1</v>
      </c>
      <c r="C3" s="23"/>
    </row>
    <row r="5" spans="2:3" x14ac:dyDescent="0.25">
      <c r="B5" s="2" t="s">
        <v>2</v>
      </c>
    </row>
    <row r="6" spans="2:3" x14ac:dyDescent="0.25">
      <c r="B6" s="3" t="s">
        <v>3</v>
      </c>
      <c r="C6" s="3" t="s">
        <v>4</v>
      </c>
    </row>
    <row r="7" spans="2:3" x14ac:dyDescent="0.25">
      <c r="B7" s="4" t="s">
        <v>5</v>
      </c>
      <c r="C7" s="4" t="s">
        <v>6</v>
      </c>
    </row>
    <row r="8" spans="2:3" x14ac:dyDescent="0.25">
      <c r="B8" s="4" t="s">
        <v>7</v>
      </c>
      <c r="C8" s="4" t="s">
        <v>8</v>
      </c>
    </row>
    <row r="9" spans="2:3" x14ac:dyDescent="0.25">
      <c r="B9" s="4" t="s">
        <v>9</v>
      </c>
      <c r="C9" s="4" t="s">
        <v>10</v>
      </c>
    </row>
    <row r="11" spans="2:3" x14ac:dyDescent="0.25">
      <c r="B11" s="2" t="s">
        <v>11</v>
      </c>
    </row>
    <row r="13" spans="2:3" x14ac:dyDescent="0.25">
      <c r="B13" s="5" t="s">
        <v>12</v>
      </c>
      <c r="C13" s="4" t="s">
        <v>13</v>
      </c>
    </row>
    <row r="14" spans="2:3" x14ac:dyDescent="0.25">
      <c r="B14" s="5" t="s">
        <v>14</v>
      </c>
      <c r="C14" s="4" t="s">
        <v>15</v>
      </c>
    </row>
    <row r="15" spans="2:3" x14ac:dyDescent="0.25">
      <c r="B15" s="5" t="s">
        <v>16</v>
      </c>
      <c r="C15" s="4" t="s">
        <v>17</v>
      </c>
    </row>
    <row r="16" spans="2:3" x14ac:dyDescent="0.25">
      <c r="B16" s="5" t="s">
        <v>18</v>
      </c>
      <c r="C16" s="4" t="s">
        <v>19</v>
      </c>
    </row>
    <row r="17" spans="2:3" x14ac:dyDescent="0.25">
      <c r="B17" s="5" t="s">
        <v>20</v>
      </c>
      <c r="C17" s="4" t="s">
        <v>21</v>
      </c>
    </row>
    <row r="18" spans="2:3" x14ac:dyDescent="0.25">
      <c r="B18" s="5"/>
      <c r="C18" s="4" t="s">
        <v>22</v>
      </c>
    </row>
    <row r="20" spans="2:3" x14ac:dyDescent="0.25">
      <c r="B20" s="2" t="s">
        <v>23</v>
      </c>
    </row>
    <row r="22" spans="2:3" x14ac:dyDescent="0.25">
      <c r="B22" s="5" t="s">
        <v>24</v>
      </c>
      <c r="C22" s="6" t="s">
        <v>25</v>
      </c>
    </row>
    <row r="23" spans="2:3" x14ac:dyDescent="0.25">
      <c r="B23" s="5" t="s">
        <v>26</v>
      </c>
      <c r="C23" s="6" t="s">
        <v>27</v>
      </c>
    </row>
    <row r="24" spans="2:3" x14ac:dyDescent="0.25">
      <c r="B24" s="5" t="s">
        <v>28</v>
      </c>
      <c r="C24" s="6" t="s">
        <v>29</v>
      </c>
    </row>
    <row r="25" spans="2:3" x14ac:dyDescent="0.25">
      <c r="B25" s="5" t="s">
        <v>30</v>
      </c>
      <c r="C25" s="6" t="s">
        <v>31</v>
      </c>
    </row>
    <row r="26" spans="2:3" ht="30" x14ac:dyDescent="0.25">
      <c r="B26" s="5" t="s">
        <v>32</v>
      </c>
      <c r="C26" s="6" t="s">
        <v>33</v>
      </c>
    </row>
    <row r="27" spans="2:3" x14ac:dyDescent="0.25">
      <c r="B27" s="5" t="s">
        <v>34</v>
      </c>
      <c r="C27" s="6" t="s">
        <v>35</v>
      </c>
    </row>
    <row r="29" spans="2:3" x14ac:dyDescent="0.25">
      <c r="B29" s="2" t="s">
        <v>36</v>
      </c>
    </row>
    <row r="30" spans="2:3" x14ac:dyDescent="0.25">
      <c r="B30" s="5" t="s">
        <v>37</v>
      </c>
      <c r="C30" s="7" t="s">
        <v>38</v>
      </c>
    </row>
    <row r="31" spans="2:3" x14ac:dyDescent="0.25">
      <c r="B31" s="5" t="s">
        <v>39</v>
      </c>
      <c r="C31" s="7" t="s">
        <v>40</v>
      </c>
    </row>
    <row r="32" spans="2:3" ht="45" customHeight="1" x14ac:dyDescent="0.25">
      <c r="B32" s="5" t="s">
        <v>41</v>
      </c>
      <c r="C32" s="7" t="s">
        <v>42</v>
      </c>
    </row>
    <row r="33" spans="2:3" x14ac:dyDescent="0.25">
      <c r="B33" s="5" t="s">
        <v>43</v>
      </c>
      <c r="C33" s="7" t="s">
        <v>44</v>
      </c>
    </row>
    <row r="34" spans="2:3" ht="45" customHeight="1" x14ac:dyDescent="0.25">
      <c r="B34" s="5" t="s">
        <v>45</v>
      </c>
      <c r="C34" s="7" t="s">
        <v>46</v>
      </c>
    </row>
    <row r="36" spans="2:3" x14ac:dyDescent="0.25">
      <c r="B36" s="2" t="s">
        <v>47</v>
      </c>
    </row>
    <row r="37" spans="2:3" ht="60" customHeight="1" x14ac:dyDescent="0.25">
      <c r="B37" s="5" t="s">
        <v>48</v>
      </c>
      <c r="C37" s="7" t="s">
        <v>49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668"/>
  <sheetViews>
    <sheetView showGridLines="0" workbookViewId="0">
      <pane ySplit="14" topLeftCell="A15" activePane="bottomLeft" state="frozen"/>
      <selection pane="bottomLeft"/>
    </sheetView>
  </sheetViews>
  <sheetFormatPr baseColWidth="10" defaultColWidth="9.140625" defaultRowHeight="15" x14ac:dyDescent="0.25"/>
  <cols>
    <col min="1" max="1" width="14" customWidth="1"/>
    <col min="2" max="2" width="15" customWidth="1"/>
    <col min="3" max="4" width="34" customWidth="1"/>
    <col min="5" max="5" width="20" customWidth="1"/>
    <col min="6" max="6" width="12" customWidth="1"/>
    <col min="7" max="7" width="16" customWidth="1"/>
    <col min="8" max="9" width="11" customWidth="1"/>
    <col min="10" max="10" width="8" customWidth="1"/>
    <col min="11" max="11" width="12" customWidth="1"/>
    <col min="12" max="12" width="9" customWidth="1"/>
    <col min="13" max="13" width="7" customWidth="1"/>
    <col min="14" max="15" width="10" customWidth="1"/>
    <col min="16" max="16" width="13" customWidth="1"/>
    <col min="17" max="17" width="10" customWidth="1"/>
    <col min="18" max="18" width="11" customWidth="1"/>
    <col min="19" max="19" width="9" customWidth="1"/>
    <col min="20" max="20" width="11" customWidth="1"/>
    <col min="21" max="21" width="8" customWidth="1"/>
    <col min="22" max="22" width="11" customWidth="1"/>
    <col min="23" max="23" width="38" customWidth="1"/>
    <col min="24" max="24" width="15" customWidth="1"/>
  </cols>
  <sheetData>
    <row r="1" spans="1:24" ht="18.75" x14ac:dyDescent="0.3">
      <c r="A1" s="1" t="s">
        <v>50</v>
      </c>
    </row>
    <row r="2" spans="1:24" x14ac:dyDescent="0.25">
      <c r="A2" s="8" t="s">
        <v>51</v>
      </c>
    </row>
    <row r="4" spans="1:24" x14ac:dyDescent="0.25">
      <c r="A4" s="3" t="s">
        <v>52</v>
      </c>
      <c r="B4" s="3" t="s">
        <v>53</v>
      </c>
      <c r="C4" s="3" t="s">
        <v>54</v>
      </c>
      <c r="D4" s="3" t="s">
        <v>55</v>
      </c>
      <c r="E4" s="3" t="s">
        <v>56</v>
      </c>
      <c r="F4" s="3" t="s">
        <v>57</v>
      </c>
      <c r="G4" s="3" t="s">
        <v>58</v>
      </c>
      <c r="H4" s="3" t="s">
        <v>59</v>
      </c>
    </row>
    <row r="5" spans="1:24" x14ac:dyDescent="0.25">
      <c r="A5" s="5" t="s">
        <v>60</v>
      </c>
      <c r="B5" s="5">
        <f>COUNT('2_Datos'!$X$15:$X$60000)</f>
        <v>4180</v>
      </c>
      <c r="C5" s="9">
        <f>AVERAGE('2_Datos'!$X$15:$X$60000)</f>
        <v>191.51401913875603</v>
      </c>
      <c r="D5" s="9">
        <f>MEDIAN('2_Datos'!$X$15:$X$60000)</f>
        <v>183</v>
      </c>
      <c r="E5" s="9">
        <f>STDEV('2_Datos'!$X$15:$X$60000)</f>
        <v>54.198389654389786</v>
      </c>
      <c r="F5" s="9">
        <f>VAR('2_Datos'!$X$15:$X$60000)</f>
        <v>2937.4654411290658</v>
      </c>
      <c r="G5" s="9">
        <f>MIN('2_Datos'!$X$15:$X$60000)</f>
        <v>40</v>
      </c>
      <c r="H5" s="9">
        <f>MAX('2_Datos'!$X$15:$X$60000)</f>
        <v>439.7</v>
      </c>
    </row>
    <row r="6" spans="1:24" x14ac:dyDescent="0.25">
      <c r="A6" s="4" t="s">
        <v>61</v>
      </c>
      <c r="B6" s="4">
        <f>COUNTIFS('2_Datos'!$B$15:$B$60000,"UdeA",'2_Datos'!$V$15:$V$60000,"SI")</f>
        <v>165</v>
      </c>
      <c r="C6" s="10">
        <f>AVERAGEIF('2_Datos'!$B$15:$B$60000,"UdeA",'2_Datos'!$X$15:$X$60000)</f>
        <v>292.58424242424235</v>
      </c>
      <c r="D6" s="10">
        <v>289.3</v>
      </c>
      <c r="E6" s="10">
        <v>55.06</v>
      </c>
      <c r="F6" s="10">
        <v>3031.97</v>
      </c>
      <c r="G6" s="10">
        <v>140</v>
      </c>
      <c r="H6" s="10">
        <v>439.7</v>
      </c>
    </row>
    <row r="7" spans="1:24" x14ac:dyDescent="0.25">
      <c r="A7" s="4" t="s">
        <v>62</v>
      </c>
      <c r="B7" s="4">
        <f>COUNTIFS('2_Datos'!$B$15:$B$60000,"Envigado",'2_Datos'!$V$15:$V$60000,"SI")</f>
        <v>938</v>
      </c>
      <c r="C7" s="10">
        <f>AVERAGEIF('2_Datos'!$B$15:$B$60000,"Envigado",'2_Datos'!$X$15:$X$60000)</f>
        <v>209.75373134328359</v>
      </c>
      <c r="D7" s="10">
        <v>207</v>
      </c>
      <c r="E7" s="10">
        <v>55.74</v>
      </c>
      <c r="F7" s="10">
        <v>3106.8</v>
      </c>
      <c r="G7" s="10">
        <v>60</v>
      </c>
      <c r="H7" s="10">
        <v>382</v>
      </c>
    </row>
    <row r="8" spans="1:24" x14ac:dyDescent="0.25">
      <c r="A8" s="4" t="s">
        <v>63</v>
      </c>
      <c r="B8" s="4">
        <f>COUNTIFS('2_Datos'!$B$15:$B$60000,"Tablazo",'2_Datos'!$V$15:$V$60000,"SI")</f>
        <v>22</v>
      </c>
      <c r="C8" s="10">
        <f>AVERAGEIF('2_Datos'!$B$15:$B$60000,"Tablazo",'2_Datos'!$X$15:$X$60000)</f>
        <v>222.5</v>
      </c>
      <c r="D8" s="10">
        <v>226.55</v>
      </c>
      <c r="E8" s="10">
        <v>32.15</v>
      </c>
      <c r="F8" s="10">
        <v>1033.67</v>
      </c>
      <c r="G8" s="10">
        <v>151.4</v>
      </c>
      <c r="H8" s="10">
        <v>281.8</v>
      </c>
    </row>
    <row r="9" spans="1:24" x14ac:dyDescent="0.25">
      <c r="A9" s="4" t="s">
        <v>64</v>
      </c>
      <c r="B9" s="4">
        <f>COUNTIFS('2_Datos'!$B$15:$B$60000,"Rionegro",'2_Datos'!$V$15:$V$60000,"SI")</f>
        <v>450</v>
      </c>
      <c r="C9" s="10">
        <f>AVERAGEIF('2_Datos'!$B$15:$B$60000,"Rionegro",'2_Datos'!$X$15:$X$60000)</f>
        <v>215.26044444444435</v>
      </c>
      <c r="D9" s="10">
        <v>209.3</v>
      </c>
      <c r="E9" s="10">
        <v>59.82</v>
      </c>
      <c r="F9" s="10">
        <v>3578.18</v>
      </c>
      <c r="G9" s="10">
        <v>40.4</v>
      </c>
      <c r="H9" s="10">
        <v>418.5</v>
      </c>
    </row>
    <row r="10" spans="1:24" x14ac:dyDescent="0.25">
      <c r="A10" s="4" t="s">
        <v>65</v>
      </c>
      <c r="B10" s="4">
        <f>COUNTIFS('2_Datos'!$B$15:$B$60000,"Semestre Cero",'2_Datos'!$V$15:$V$60000,"SI")</f>
        <v>2605</v>
      </c>
      <c r="C10" s="10">
        <f>AVERAGEIF('2_Datos'!$B$15:$B$60000,"Semestre Cero",'2_Datos'!$X$15:$X$60000)</f>
        <v>174.18080614203456</v>
      </c>
      <c r="D10" s="10">
        <v>170</v>
      </c>
      <c r="E10" s="10">
        <v>40.08</v>
      </c>
      <c r="F10" s="10">
        <v>1606.74</v>
      </c>
      <c r="G10" s="10">
        <v>40</v>
      </c>
      <c r="H10" s="10">
        <v>335</v>
      </c>
    </row>
    <row r="12" spans="1:24" x14ac:dyDescent="0.25">
      <c r="A12" s="8" t="s">
        <v>66</v>
      </c>
    </row>
    <row r="14" spans="1:24" ht="30" x14ac:dyDescent="0.25">
      <c r="A14" s="3" t="s">
        <v>67</v>
      </c>
      <c r="B14" s="3" t="s">
        <v>68</v>
      </c>
      <c r="C14" s="3" t="s">
        <v>69</v>
      </c>
      <c r="D14" s="3" t="s">
        <v>70</v>
      </c>
      <c r="E14" s="3" t="s">
        <v>71</v>
      </c>
      <c r="F14" s="3" t="s">
        <v>72</v>
      </c>
      <c r="G14" s="3" t="s">
        <v>73</v>
      </c>
      <c r="H14" s="3" t="s">
        <v>74</v>
      </c>
      <c r="I14" s="3" t="s">
        <v>75</v>
      </c>
      <c r="J14" s="3" t="s">
        <v>76</v>
      </c>
      <c r="K14" s="3" t="s">
        <v>77</v>
      </c>
      <c r="L14" s="3" t="s">
        <v>78</v>
      </c>
      <c r="M14" s="3" t="s">
        <v>79</v>
      </c>
      <c r="N14" s="3" t="s">
        <v>80</v>
      </c>
      <c r="O14" s="3" t="s">
        <v>81</v>
      </c>
      <c r="P14" s="3" t="s">
        <v>82</v>
      </c>
      <c r="Q14" s="3" t="s">
        <v>83</v>
      </c>
      <c r="R14" s="3" t="s">
        <v>84</v>
      </c>
      <c r="S14" s="3" t="s">
        <v>85</v>
      </c>
      <c r="T14" s="3" t="s">
        <v>86</v>
      </c>
      <c r="U14" s="3" t="s">
        <v>87</v>
      </c>
      <c r="V14" s="11" t="s">
        <v>88</v>
      </c>
      <c r="W14" s="11" t="s">
        <v>89</v>
      </c>
      <c r="X14" s="11" t="s">
        <v>90</v>
      </c>
    </row>
    <row r="15" spans="1:24" x14ac:dyDescent="0.25">
      <c r="A15" t="s">
        <v>91</v>
      </c>
      <c r="B15" t="s">
        <v>61</v>
      </c>
      <c r="C15" t="s">
        <v>92</v>
      </c>
      <c r="D15" t="s">
        <v>92</v>
      </c>
      <c r="E15" t="s">
        <v>93</v>
      </c>
      <c r="F15" t="s">
        <v>94</v>
      </c>
      <c r="G15" t="s">
        <v>95</v>
      </c>
      <c r="H15" s="12">
        <v>6.2675000000000001</v>
      </c>
      <c r="I15" s="12">
        <v>-75.568600000000004</v>
      </c>
      <c r="J15" t="s">
        <v>96</v>
      </c>
      <c r="K15" t="s">
        <v>97</v>
      </c>
      <c r="L15" t="s">
        <v>98</v>
      </c>
      <c r="M15">
        <v>11</v>
      </c>
      <c r="N15">
        <v>197</v>
      </c>
      <c r="O15">
        <v>254</v>
      </c>
      <c r="P15" s="13">
        <v>374</v>
      </c>
      <c r="Q15" s="13">
        <v>75.599999999999994</v>
      </c>
      <c r="R15">
        <v>54</v>
      </c>
      <c r="S15">
        <v>86</v>
      </c>
      <c r="T15" s="13">
        <v>77.599999999999994</v>
      </c>
      <c r="U15" s="13">
        <v>92.7</v>
      </c>
      <c r="V15" t="s">
        <v>99</v>
      </c>
      <c r="X15" s="13">
        <v>374</v>
      </c>
    </row>
    <row r="16" spans="1:24" x14ac:dyDescent="0.25">
      <c r="A16" t="s">
        <v>100</v>
      </c>
      <c r="B16" t="s">
        <v>61</v>
      </c>
      <c r="C16" t="s">
        <v>92</v>
      </c>
      <c r="D16" t="s">
        <v>92</v>
      </c>
      <c r="E16" t="s">
        <v>93</v>
      </c>
      <c r="F16" t="s">
        <v>94</v>
      </c>
      <c r="G16" t="s">
        <v>95</v>
      </c>
      <c r="H16" s="12">
        <v>6.2675000000000001</v>
      </c>
      <c r="I16" s="12">
        <v>-75.568600000000004</v>
      </c>
      <c r="J16" t="s">
        <v>96</v>
      </c>
      <c r="K16" t="s">
        <v>97</v>
      </c>
      <c r="L16" t="s">
        <v>98</v>
      </c>
      <c r="M16">
        <v>11</v>
      </c>
      <c r="N16">
        <v>170</v>
      </c>
      <c r="O16">
        <v>254</v>
      </c>
      <c r="P16" s="13">
        <v>327.8</v>
      </c>
      <c r="Q16" s="13">
        <v>68.3</v>
      </c>
      <c r="R16">
        <v>48</v>
      </c>
      <c r="S16">
        <v>82</v>
      </c>
      <c r="T16" s="13">
        <v>60.3</v>
      </c>
      <c r="U16" s="13">
        <v>76.400000000000006</v>
      </c>
      <c r="V16" t="s">
        <v>99</v>
      </c>
      <c r="X16" s="13">
        <v>327.8</v>
      </c>
    </row>
    <row r="17" spans="1:24" x14ac:dyDescent="0.25">
      <c r="A17" t="s">
        <v>101</v>
      </c>
      <c r="B17" t="s">
        <v>61</v>
      </c>
      <c r="C17" t="s">
        <v>92</v>
      </c>
      <c r="D17" t="s">
        <v>92</v>
      </c>
      <c r="E17" t="s">
        <v>93</v>
      </c>
      <c r="F17" t="s">
        <v>94</v>
      </c>
      <c r="G17" t="s">
        <v>95</v>
      </c>
      <c r="H17" s="12">
        <v>6.2675000000000001</v>
      </c>
      <c r="I17" s="12">
        <v>-75.568600000000004</v>
      </c>
      <c r="J17" t="s">
        <v>96</v>
      </c>
      <c r="K17" t="s">
        <v>97</v>
      </c>
      <c r="L17" t="s">
        <v>98</v>
      </c>
      <c r="M17">
        <v>11</v>
      </c>
      <c r="N17">
        <v>171</v>
      </c>
      <c r="O17">
        <v>254</v>
      </c>
      <c r="P17" s="13">
        <v>331.5</v>
      </c>
      <c r="Q17" s="13">
        <v>73.2</v>
      </c>
      <c r="R17">
        <v>44</v>
      </c>
      <c r="S17">
        <v>78</v>
      </c>
      <c r="T17" s="13">
        <v>67.2</v>
      </c>
      <c r="U17" s="13">
        <v>74.5</v>
      </c>
      <c r="V17" t="s">
        <v>99</v>
      </c>
      <c r="X17" s="13">
        <v>331.5</v>
      </c>
    </row>
    <row r="18" spans="1:24" x14ac:dyDescent="0.25">
      <c r="A18" t="s">
        <v>102</v>
      </c>
      <c r="B18" t="s">
        <v>61</v>
      </c>
      <c r="C18" t="s">
        <v>92</v>
      </c>
      <c r="D18" t="s">
        <v>92</v>
      </c>
      <c r="E18" t="s">
        <v>93</v>
      </c>
      <c r="F18" t="s">
        <v>94</v>
      </c>
      <c r="G18" t="s">
        <v>95</v>
      </c>
      <c r="H18" s="12">
        <v>6.2675000000000001</v>
      </c>
      <c r="I18" s="12">
        <v>-75.568600000000004</v>
      </c>
      <c r="J18" t="s">
        <v>96</v>
      </c>
      <c r="K18" t="s">
        <v>97</v>
      </c>
      <c r="L18" t="s">
        <v>98</v>
      </c>
      <c r="M18">
        <v>11</v>
      </c>
      <c r="N18">
        <v>203</v>
      </c>
      <c r="O18">
        <v>254</v>
      </c>
      <c r="P18" s="13">
        <v>392.7</v>
      </c>
      <c r="Q18" s="13">
        <v>85.4</v>
      </c>
      <c r="R18">
        <v>70</v>
      </c>
      <c r="S18">
        <v>84</v>
      </c>
      <c r="T18" s="13">
        <v>70.7</v>
      </c>
      <c r="U18" s="13">
        <v>90.9</v>
      </c>
      <c r="V18" t="s">
        <v>99</v>
      </c>
      <c r="X18" s="13">
        <v>392.7</v>
      </c>
    </row>
    <row r="19" spans="1:24" x14ac:dyDescent="0.25">
      <c r="A19" t="s">
        <v>103</v>
      </c>
      <c r="B19" t="s">
        <v>61</v>
      </c>
      <c r="C19" t="s">
        <v>92</v>
      </c>
      <c r="D19" t="s">
        <v>92</v>
      </c>
      <c r="E19" t="s">
        <v>93</v>
      </c>
      <c r="F19" t="s">
        <v>94</v>
      </c>
      <c r="G19" t="s">
        <v>95</v>
      </c>
      <c r="H19" s="12">
        <v>6.2675000000000001</v>
      </c>
      <c r="I19" s="12">
        <v>-75.568600000000004</v>
      </c>
      <c r="J19" t="s">
        <v>96</v>
      </c>
      <c r="K19" t="s">
        <v>97</v>
      </c>
      <c r="L19" t="s">
        <v>98</v>
      </c>
      <c r="M19">
        <v>11</v>
      </c>
      <c r="N19">
        <v>173</v>
      </c>
      <c r="O19">
        <v>254</v>
      </c>
      <c r="P19" s="13">
        <v>321.7</v>
      </c>
      <c r="Q19" s="13">
        <v>65.900000000000006</v>
      </c>
      <c r="R19">
        <v>38</v>
      </c>
      <c r="S19">
        <v>78</v>
      </c>
      <c r="T19" s="13">
        <v>67.2</v>
      </c>
      <c r="U19" s="13">
        <v>89.1</v>
      </c>
      <c r="V19" t="s">
        <v>99</v>
      </c>
      <c r="X19" s="13">
        <v>321.7</v>
      </c>
    </row>
    <row r="20" spans="1:24" x14ac:dyDescent="0.25">
      <c r="A20" t="s">
        <v>104</v>
      </c>
      <c r="B20" t="s">
        <v>61</v>
      </c>
      <c r="C20" t="s">
        <v>92</v>
      </c>
      <c r="D20" t="s">
        <v>92</v>
      </c>
      <c r="E20" t="s">
        <v>93</v>
      </c>
      <c r="F20" t="s">
        <v>94</v>
      </c>
      <c r="G20" t="s">
        <v>95</v>
      </c>
      <c r="H20" s="12">
        <v>6.2675000000000001</v>
      </c>
      <c r="I20" s="12">
        <v>-75.568600000000004</v>
      </c>
      <c r="J20" t="s">
        <v>96</v>
      </c>
      <c r="K20" t="s">
        <v>97</v>
      </c>
      <c r="L20" t="s">
        <v>98</v>
      </c>
      <c r="M20">
        <v>11</v>
      </c>
      <c r="N20">
        <v>144</v>
      </c>
      <c r="O20">
        <v>254</v>
      </c>
      <c r="P20" s="13">
        <v>268.89999999999998</v>
      </c>
      <c r="Q20" s="13">
        <v>70.7</v>
      </c>
      <c r="R20">
        <v>38</v>
      </c>
      <c r="S20">
        <v>42</v>
      </c>
      <c r="T20" s="13">
        <v>56.9</v>
      </c>
      <c r="U20" s="13">
        <v>76.400000000000006</v>
      </c>
      <c r="V20" t="s">
        <v>99</v>
      </c>
      <c r="X20" s="13">
        <v>268.89999999999998</v>
      </c>
    </row>
    <row r="21" spans="1:24" x14ac:dyDescent="0.25">
      <c r="A21" t="s">
        <v>105</v>
      </c>
      <c r="B21" t="s">
        <v>61</v>
      </c>
      <c r="C21" t="s">
        <v>92</v>
      </c>
      <c r="D21" t="s">
        <v>92</v>
      </c>
      <c r="E21" t="s">
        <v>93</v>
      </c>
      <c r="F21" t="s">
        <v>94</v>
      </c>
      <c r="G21" t="s">
        <v>95</v>
      </c>
      <c r="H21" s="12">
        <v>6.2675000000000001</v>
      </c>
      <c r="I21" s="12">
        <v>-75.568600000000004</v>
      </c>
      <c r="J21" t="s">
        <v>96</v>
      </c>
      <c r="K21" t="s">
        <v>97</v>
      </c>
      <c r="L21" t="s">
        <v>98</v>
      </c>
      <c r="M21">
        <v>11</v>
      </c>
      <c r="N21">
        <v>142</v>
      </c>
      <c r="O21">
        <v>254</v>
      </c>
      <c r="P21" s="13">
        <v>268.39999999999998</v>
      </c>
      <c r="Q21" s="13">
        <v>61</v>
      </c>
      <c r="R21">
        <v>32</v>
      </c>
      <c r="S21">
        <v>58</v>
      </c>
      <c r="T21" s="13">
        <v>58.6</v>
      </c>
      <c r="U21" s="13">
        <v>69.099999999999994</v>
      </c>
      <c r="V21" t="s">
        <v>99</v>
      </c>
      <c r="X21" s="13">
        <v>268.39999999999998</v>
      </c>
    </row>
    <row r="22" spans="1:24" x14ac:dyDescent="0.25">
      <c r="A22" t="s">
        <v>106</v>
      </c>
      <c r="B22" t="s">
        <v>61</v>
      </c>
      <c r="C22" t="s">
        <v>92</v>
      </c>
      <c r="D22" t="s">
        <v>92</v>
      </c>
      <c r="E22" t="s">
        <v>93</v>
      </c>
      <c r="F22" t="s">
        <v>94</v>
      </c>
      <c r="G22" t="s">
        <v>95</v>
      </c>
      <c r="H22" s="12">
        <v>6.2675000000000001</v>
      </c>
      <c r="I22" s="12">
        <v>-75.568600000000004</v>
      </c>
      <c r="J22" t="s">
        <v>96</v>
      </c>
      <c r="K22" t="s">
        <v>97</v>
      </c>
      <c r="L22" t="s">
        <v>98</v>
      </c>
      <c r="M22">
        <v>11</v>
      </c>
      <c r="N22">
        <v>158</v>
      </c>
      <c r="O22">
        <v>254</v>
      </c>
      <c r="P22" s="13">
        <v>288.89999999999998</v>
      </c>
      <c r="Q22" s="13">
        <v>61</v>
      </c>
      <c r="R22">
        <v>30</v>
      </c>
      <c r="S22">
        <v>70</v>
      </c>
      <c r="T22" s="13">
        <v>60.3</v>
      </c>
      <c r="U22" s="13">
        <v>87.3</v>
      </c>
      <c r="V22" t="s">
        <v>99</v>
      </c>
      <c r="X22" s="13">
        <v>288.89999999999998</v>
      </c>
    </row>
    <row r="23" spans="1:24" x14ac:dyDescent="0.25">
      <c r="A23" t="s">
        <v>107</v>
      </c>
      <c r="B23" t="s">
        <v>61</v>
      </c>
      <c r="C23" t="s">
        <v>92</v>
      </c>
      <c r="D23" t="s">
        <v>92</v>
      </c>
      <c r="E23" t="s">
        <v>93</v>
      </c>
      <c r="F23" t="s">
        <v>94</v>
      </c>
      <c r="G23" t="s">
        <v>95</v>
      </c>
      <c r="H23" s="12">
        <v>6.2675000000000001</v>
      </c>
      <c r="I23" s="12">
        <v>-75.568600000000004</v>
      </c>
      <c r="J23" t="s">
        <v>96</v>
      </c>
      <c r="K23" t="s">
        <v>97</v>
      </c>
      <c r="L23" t="s">
        <v>98</v>
      </c>
      <c r="M23">
        <v>11</v>
      </c>
      <c r="N23">
        <v>116</v>
      </c>
      <c r="O23">
        <v>254</v>
      </c>
      <c r="P23" s="13">
        <v>206.3</v>
      </c>
      <c r="Q23" s="13">
        <v>41.5</v>
      </c>
      <c r="R23">
        <v>32</v>
      </c>
      <c r="S23">
        <v>42</v>
      </c>
      <c r="T23" s="13">
        <v>39.700000000000003</v>
      </c>
      <c r="U23" s="13">
        <v>70.900000000000006</v>
      </c>
      <c r="V23" t="s">
        <v>99</v>
      </c>
      <c r="X23" s="13">
        <v>206.3</v>
      </c>
    </row>
    <row r="24" spans="1:24" x14ac:dyDescent="0.25">
      <c r="A24" t="s">
        <v>108</v>
      </c>
      <c r="B24" t="s">
        <v>61</v>
      </c>
      <c r="C24" t="s">
        <v>92</v>
      </c>
      <c r="D24" t="s">
        <v>92</v>
      </c>
      <c r="E24" t="s">
        <v>93</v>
      </c>
      <c r="F24" t="s">
        <v>94</v>
      </c>
      <c r="G24" t="s">
        <v>95</v>
      </c>
      <c r="H24" s="12">
        <v>6.2675000000000001</v>
      </c>
      <c r="I24" s="12">
        <v>-75.568600000000004</v>
      </c>
      <c r="J24" t="s">
        <v>96</v>
      </c>
      <c r="K24" t="s">
        <v>97</v>
      </c>
      <c r="L24" t="s">
        <v>98</v>
      </c>
      <c r="M24">
        <v>11</v>
      </c>
      <c r="N24">
        <v>149</v>
      </c>
      <c r="O24">
        <v>254</v>
      </c>
      <c r="P24" s="13">
        <v>291.39999999999998</v>
      </c>
      <c r="Q24" s="13">
        <v>65.900000000000006</v>
      </c>
      <c r="R24">
        <v>46</v>
      </c>
      <c r="S24">
        <v>66</v>
      </c>
      <c r="T24" s="13">
        <v>53.4</v>
      </c>
      <c r="U24" s="13">
        <v>63.6</v>
      </c>
      <c r="V24" t="s">
        <v>99</v>
      </c>
      <c r="X24" s="13">
        <v>291.39999999999998</v>
      </c>
    </row>
    <row r="25" spans="1:24" x14ac:dyDescent="0.25">
      <c r="A25" t="s">
        <v>109</v>
      </c>
      <c r="B25" t="s">
        <v>61</v>
      </c>
      <c r="C25" t="s">
        <v>92</v>
      </c>
      <c r="D25" t="s">
        <v>92</v>
      </c>
      <c r="E25" t="s">
        <v>93</v>
      </c>
      <c r="F25" t="s">
        <v>94</v>
      </c>
      <c r="G25" t="s">
        <v>95</v>
      </c>
      <c r="H25" s="12">
        <v>6.2675000000000001</v>
      </c>
      <c r="I25" s="12">
        <v>-75.568600000000004</v>
      </c>
      <c r="J25" t="s">
        <v>96</v>
      </c>
      <c r="K25" t="s">
        <v>97</v>
      </c>
      <c r="L25" t="s">
        <v>98</v>
      </c>
      <c r="M25">
        <v>11</v>
      </c>
      <c r="N25">
        <v>104</v>
      </c>
      <c r="O25">
        <v>254</v>
      </c>
      <c r="P25" s="13">
        <v>201.8</v>
      </c>
      <c r="Q25" s="13">
        <v>63.4</v>
      </c>
      <c r="R25">
        <v>22</v>
      </c>
      <c r="S25">
        <v>38</v>
      </c>
      <c r="T25" s="13">
        <v>34.5</v>
      </c>
      <c r="U25" s="13">
        <v>50.9</v>
      </c>
      <c r="V25" t="s">
        <v>99</v>
      </c>
      <c r="X25" s="13">
        <v>201.8</v>
      </c>
    </row>
    <row r="26" spans="1:24" x14ac:dyDescent="0.25">
      <c r="A26" t="s">
        <v>110</v>
      </c>
      <c r="B26" t="s">
        <v>61</v>
      </c>
      <c r="C26" t="s">
        <v>92</v>
      </c>
      <c r="D26" t="s">
        <v>92</v>
      </c>
      <c r="E26" t="s">
        <v>93</v>
      </c>
      <c r="F26" t="s">
        <v>94</v>
      </c>
      <c r="G26" t="s">
        <v>95</v>
      </c>
      <c r="H26" s="12">
        <v>6.2675000000000001</v>
      </c>
      <c r="I26" s="12">
        <v>-75.568600000000004</v>
      </c>
      <c r="J26" t="s">
        <v>96</v>
      </c>
      <c r="K26" t="s">
        <v>97</v>
      </c>
      <c r="L26" t="s">
        <v>98</v>
      </c>
      <c r="M26">
        <v>11</v>
      </c>
      <c r="N26">
        <v>215</v>
      </c>
      <c r="O26">
        <v>254</v>
      </c>
      <c r="P26" s="13">
        <v>410.7</v>
      </c>
      <c r="Q26" s="13">
        <v>70.7</v>
      </c>
      <c r="R26">
        <v>72</v>
      </c>
      <c r="S26">
        <v>92</v>
      </c>
      <c r="T26" s="13">
        <v>89.7</v>
      </c>
      <c r="U26" s="13">
        <v>94.5</v>
      </c>
      <c r="V26" t="s">
        <v>99</v>
      </c>
      <c r="X26" s="13">
        <v>410.7</v>
      </c>
    </row>
    <row r="27" spans="1:24" x14ac:dyDescent="0.25">
      <c r="A27" t="s">
        <v>111</v>
      </c>
      <c r="B27" t="s">
        <v>61</v>
      </c>
      <c r="C27" t="s">
        <v>92</v>
      </c>
      <c r="D27" t="s">
        <v>92</v>
      </c>
      <c r="E27" t="s">
        <v>93</v>
      </c>
      <c r="F27" t="s">
        <v>94</v>
      </c>
      <c r="G27" t="s">
        <v>95</v>
      </c>
      <c r="H27" s="12">
        <v>6.2675000000000001</v>
      </c>
      <c r="I27" s="12">
        <v>-75.568600000000004</v>
      </c>
      <c r="J27" t="s">
        <v>96</v>
      </c>
      <c r="K27" t="s">
        <v>97</v>
      </c>
      <c r="L27" t="s">
        <v>98</v>
      </c>
      <c r="M27">
        <v>11</v>
      </c>
      <c r="N27">
        <v>204</v>
      </c>
      <c r="O27">
        <v>254</v>
      </c>
      <c r="P27" s="13">
        <v>395.7</v>
      </c>
      <c r="Q27" s="13">
        <v>85.4</v>
      </c>
      <c r="R27">
        <v>68</v>
      </c>
      <c r="S27">
        <v>92</v>
      </c>
      <c r="T27" s="13">
        <v>67.2</v>
      </c>
      <c r="U27" s="13">
        <v>90.9</v>
      </c>
      <c r="V27" t="s">
        <v>99</v>
      </c>
      <c r="X27" s="13">
        <v>395.7</v>
      </c>
    </row>
    <row r="28" spans="1:24" x14ac:dyDescent="0.25">
      <c r="A28" t="s">
        <v>112</v>
      </c>
      <c r="B28" t="s">
        <v>61</v>
      </c>
      <c r="C28" t="s">
        <v>92</v>
      </c>
      <c r="D28" t="s">
        <v>92</v>
      </c>
      <c r="E28" t="s">
        <v>93</v>
      </c>
      <c r="F28" t="s">
        <v>94</v>
      </c>
      <c r="G28" t="s">
        <v>95</v>
      </c>
      <c r="H28" s="12">
        <v>6.2675000000000001</v>
      </c>
      <c r="I28" s="12">
        <v>-75.568600000000004</v>
      </c>
      <c r="J28" t="s">
        <v>96</v>
      </c>
      <c r="K28" t="s">
        <v>97</v>
      </c>
      <c r="L28" t="s">
        <v>98</v>
      </c>
      <c r="M28">
        <v>11</v>
      </c>
      <c r="N28">
        <v>134</v>
      </c>
      <c r="O28">
        <v>254</v>
      </c>
      <c r="P28" s="13">
        <v>253.8</v>
      </c>
      <c r="Q28" s="13">
        <v>61</v>
      </c>
      <c r="R28">
        <v>32</v>
      </c>
      <c r="S28">
        <v>74</v>
      </c>
      <c r="T28" s="13">
        <v>29.3</v>
      </c>
      <c r="U28" s="13">
        <v>70.900000000000006</v>
      </c>
      <c r="V28" t="s">
        <v>99</v>
      </c>
      <c r="X28" s="13">
        <v>253.8</v>
      </c>
    </row>
    <row r="29" spans="1:24" x14ac:dyDescent="0.25">
      <c r="A29" t="s">
        <v>113</v>
      </c>
      <c r="B29" t="s">
        <v>61</v>
      </c>
      <c r="C29" t="s">
        <v>92</v>
      </c>
      <c r="D29" t="s">
        <v>92</v>
      </c>
      <c r="E29" t="s">
        <v>93</v>
      </c>
      <c r="F29" t="s">
        <v>94</v>
      </c>
      <c r="G29" t="s">
        <v>95</v>
      </c>
      <c r="H29" s="12">
        <v>6.2675000000000001</v>
      </c>
      <c r="I29" s="12">
        <v>-75.568600000000004</v>
      </c>
      <c r="J29" t="s">
        <v>96</v>
      </c>
      <c r="K29" t="s">
        <v>97</v>
      </c>
      <c r="L29" t="s">
        <v>98</v>
      </c>
      <c r="M29">
        <v>11</v>
      </c>
      <c r="N29">
        <v>146</v>
      </c>
      <c r="O29">
        <v>254</v>
      </c>
      <c r="P29" s="13">
        <v>269.10000000000002</v>
      </c>
      <c r="Q29" s="13">
        <v>53.7</v>
      </c>
      <c r="R29">
        <v>38</v>
      </c>
      <c r="S29">
        <v>54</v>
      </c>
      <c r="T29" s="13">
        <v>62.1</v>
      </c>
      <c r="U29" s="13">
        <v>76.400000000000006</v>
      </c>
      <c r="V29" t="s">
        <v>99</v>
      </c>
      <c r="X29" s="13">
        <v>269.10000000000002</v>
      </c>
    </row>
    <row r="30" spans="1:24" x14ac:dyDescent="0.25">
      <c r="A30" t="s">
        <v>114</v>
      </c>
      <c r="B30" t="s">
        <v>61</v>
      </c>
      <c r="C30" t="s">
        <v>92</v>
      </c>
      <c r="D30" t="s">
        <v>92</v>
      </c>
      <c r="E30" t="s">
        <v>93</v>
      </c>
      <c r="F30" t="s">
        <v>94</v>
      </c>
      <c r="G30" t="s">
        <v>95</v>
      </c>
      <c r="H30" s="12">
        <v>6.2675000000000001</v>
      </c>
      <c r="I30" s="12">
        <v>-75.568600000000004</v>
      </c>
      <c r="J30" t="s">
        <v>96</v>
      </c>
      <c r="K30" t="s">
        <v>97</v>
      </c>
      <c r="L30" t="s">
        <v>98</v>
      </c>
      <c r="M30">
        <v>11</v>
      </c>
      <c r="N30">
        <v>123</v>
      </c>
      <c r="O30">
        <v>254</v>
      </c>
      <c r="P30" s="13">
        <v>254.3</v>
      </c>
      <c r="Q30" s="13">
        <v>80.5</v>
      </c>
      <c r="R30">
        <v>22</v>
      </c>
      <c r="S30">
        <v>54</v>
      </c>
      <c r="T30" s="13">
        <v>50</v>
      </c>
      <c r="U30" s="13">
        <v>41.8</v>
      </c>
      <c r="V30" t="s">
        <v>99</v>
      </c>
      <c r="X30" s="13">
        <v>254.3</v>
      </c>
    </row>
    <row r="31" spans="1:24" x14ac:dyDescent="0.25">
      <c r="A31" t="s">
        <v>115</v>
      </c>
      <c r="B31" t="s">
        <v>61</v>
      </c>
      <c r="C31" t="s">
        <v>92</v>
      </c>
      <c r="D31" t="s">
        <v>92</v>
      </c>
      <c r="E31" t="s">
        <v>93</v>
      </c>
      <c r="F31" t="s">
        <v>94</v>
      </c>
      <c r="G31" t="s">
        <v>95</v>
      </c>
      <c r="H31" s="12">
        <v>6.2675000000000001</v>
      </c>
      <c r="I31" s="12">
        <v>-75.568600000000004</v>
      </c>
      <c r="J31" t="s">
        <v>96</v>
      </c>
      <c r="K31" t="s">
        <v>97</v>
      </c>
      <c r="L31" t="s">
        <v>98</v>
      </c>
      <c r="M31">
        <v>11</v>
      </c>
      <c r="N31">
        <v>159</v>
      </c>
      <c r="O31">
        <v>254</v>
      </c>
      <c r="P31" s="13">
        <v>305</v>
      </c>
      <c r="Q31" s="13">
        <v>68.3</v>
      </c>
      <c r="R31">
        <v>56</v>
      </c>
      <c r="S31">
        <v>52</v>
      </c>
      <c r="T31" s="13">
        <v>63.8</v>
      </c>
      <c r="U31" s="13">
        <v>72.7</v>
      </c>
      <c r="V31" t="s">
        <v>99</v>
      </c>
      <c r="X31" s="13">
        <v>305</v>
      </c>
    </row>
    <row r="32" spans="1:24" x14ac:dyDescent="0.25">
      <c r="A32" t="s">
        <v>116</v>
      </c>
      <c r="B32" t="s">
        <v>61</v>
      </c>
      <c r="C32" t="s">
        <v>92</v>
      </c>
      <c r="D32" t="s">
        <v>92</v>
      </c>
      <c r="E32" t="s">
        <v>93</v>
      </c>
      <c r="F32" t="s">
        <v>94</v>
      </c>
      <c r="G32" t="s">
        <v>95</v>
      </c>
      <c r="H32" s="12">
        <v>6.2675000000000001</v>
      </c>
      <c r="I32" s="12">
        <v>-75.568600000000004</v>
      </c>
      <c r="J32" t="s">
        <v>96</v>
      </c>
      <c r="K32" t="s">
        <v>97</v>
      </c>
      <c r="L32" t="s">
        <v>98</v>
      </c>
      <c r="M32">
        <v>11</v>
      </c>
      <c r="N32">
        <v>173</v>
      </c>
      <c r="O32">
        <v>254</v>
      </c>
      <c r="P32" s="13">
        <v>331.6</v>
      </c>
      <c r="Q32" s="13">
        <v>78</v>
      </c>
      <c r="R32">
        <v>54</v>
      </c>
      <c r="S32">
        <v>74</v>
      </c>
      <c r="T32" s="13">
        <v>53.4</v>
      </c>
      <c r="U32" s="13">
        <v>83.6</v>
      </c>
      <c r="V32" t="s">
        <v>99</v>
      </c>
      <c r="X32" s="13">
        <v>331.6</v>
      </c>
    </row>
    <row r="33" spans="1:24" x14ac:dyDescent="0.25">
      <c r="A33" t="s">
        <v>117</v>
      </c>
      <c r="B33" t="s">
        <v>61</v>
      </c>
      <c r="C33" t="s">
        <v>92</v>
      </c>
      <c r="D33" t="s">
        <v>92</v>
      </c>
      <c r="E33" t="s">
        <v>93</v>
      </c>
      <c r="F33" t="s">
        <v>94</v>
      </c>
      <c r="G33" t="s">
        <v>95</v>
      </c>
      <c r="H33" s="12">
        <v>6.2675000000000001</v>
      </c>
      <c r="I33" s="12">
        <v>-75.568600000000004</v>
      </c>
      <c r="J33" t="s">
        <v>96</v>
      </c>
      <c r="K33" t="s">
        <v>97</v>
      </c>
      <c r="L33" t="s">
        <v>98</v>
      </c>
      <c r="M33">
        <v>11</v>
      </c>
      <c r="N33">
        <v>191</v>
      </c>
      <c r="O33">
        <v>254</v>
      </c>
      <c r="P33" s="13">
        <v>368</v>
      </c>
      <c r="Q33" s="13">
        <v>73.2</v>
      </c>
      <c r="R33">
        <v>62</v>
      </c>
      <c r="S33">
        <v>88</v>
      </c>
      <c r="T33" s="13">
        <v>67.2</v>
      </c>
      <c r="U33" s="13">
        <v>85.5</v>
      </c>
      <c r="V33" t="s">
        <v>99</v>
      </c>
      <c r="X33" s="13">
        <v>368</v>
      </c>
    </row>
    <row r="34" spans="1:24" x14ac:dyDescent="0.25">
      <c r="A34" t="s">
        <v>118</v>
      </c>
      <c r="B34" t="s">
        <v>61</v>
      </c>
      <c r="C34" t="s">
        <v>92</v>
      </c>
      <c r="D34" t="s">
        <v>92</v>
      </c>
      <c r="E34" t="s">
        <v>93</v>
      </c>
      <c r="F34" t="s">
        <v>94</v>
      </c>
      <c r="G34" t="s">
        <v>95</v>
      </c>
      <c r="H34" s="12">
        <v>6.2675000000000001</v>
      </c>
      <c r="I34" s="12">
        <v>-75.568600000000004</v>
      </c>
      <c r="J34" t="s">
        <v>96</v>
      </c>
      <c r="K34" t="s">
        <v>97</v>
      </c>
      <c r="L34" t="s">
        <v>98</v>
      </c>
      <c r="M34">
        <v>11</v>
      </c>
      <c r="N34">
        <v>170</v>
      </c>
      <c r="O34">
        <v>254</v>
      </c>
      <c r="P34" s="13">
        <v>322</v>
      </c>
      <c r="Q34" s="13">
        <v>68.3</v>
      </c>
      <c r="R34">
        <v>48</v>
      </c>
      <c r="S34">
        <v>78</v>
      </c>
      <c r="T34" s="13">
        <v>56.9</v>
      </c>
      <c r="U34" s="13">
        <v>83.6</v>
      </c>
      <c r="V34" t="s">
        <v>99</v>
      </c>
      <c r="X34" s="13">
        <v>322</v>
      </c>
    </row>
    <row r="35" spans="1:24" x14ac:dyDescent="0.25">
      <c r="A35" t="s">
        <v>119</v>
      </c>
      <c r="B35" t="s">
        <v>61</v>
      </c>
      <c r="C35" t="s">
        <v>92</v>
      </c>
      <c r="D35" t="s">
        <v>92</v>
      </c>
      <c r="E35" t="s">
        <v>93</v>
      </c>
      <c r="F35" t="s">
        <v>94</v>
      </c>
      <c r="G35" t="s">
        <v>95</v>
      </c>
      <c r="H35" s="12">
        <v>6.2675000000000001</v>
      </c>
      <c r="I35" s="12">
        <v>-75.568600000000004</v>
      </c>
      <c r="J35" t="s">
        <v>96</v>
      </c>
      <c r="K35" t="s">
        <v>97</v>
      </c>
      <c r="L35" t="s">
        <v>98</v>
      </c>
      <c r="M35">
        <v>11</v>
      </c>
      <c r="N35">
        <v>144</v>
      </c>
      <c r="O35">
        <v>254</v>
      </c>
      <c r="P35" s="13">
        <v>268.60000000000002</v>
      </c>
      <c r="Q35" s="13">
        <v>36.6</v>
      </c>
      <c r="R35">
        <v>48</v>
      </c>
      <c r="S35">
        <v>62</v>
      </c>
      <c r="T35" s="13">
        <v>63.8</v>
      </c>
      <c r="U35" s="13">
        <v>67.3</v>
      </c>
      <c r="V35" t="s">
        <v>99</v>
      </c>
      <c r="X35" s="13">
        <v>268.60000000000002</v>
      </c>
    </row>
    <row r="36" spans="1:24" x14ac:dyDescent="0.25">
      <c r="A36" t="s">
        <v>120</v>
      </c>
      <c r="B36" t="s">
        <v>61</v>
      </c>
      <c r="C36" t="s">
        <v>92</v>
      </c>
      <c r="D36" t="s">
        <v>92</v>
      </c>
      <c r="E36" t="s">
        <v>93</v>
      </c>
      <c r="F36" t="s">
        <v>94</v>
      </c>
      <c r="G36" t="s">
        <v>95</v>
      </c>
      <c r="H36" s="12">
        <v>6.2675000000000001</v>
      </c>
      <c r="I36" s="12">
        <v>-75.568600000000004</v>
      </c>
      <c r="J36" t="s">
        <v>96</v>
      </c>
      <c r="K36" t="s">
        <v>97</v>
      </c>
      <c r="L36" t="s">
        <v>98</v>
      </c>
      <c r="M36">
        <v>11</v>
      </c>
      <c r="N36">
        <v>161</v>
      </c>
      <c r="O36">
        <v>254</v>
      </c>
      <c r="P36" s="13">
        <v>308.8</v>
      </c>
      <c r="Q36" s="13">
        <v>70.7</v>
      </c>
      <c r="R36">
        <v>44</v>
      </c>
      <c r="S36">
        <v>66</v>
      </c>
      <c r="T36" s="13">
        <v>62.1</v>
      </c>
      <c r="U36" s="13">
        <v>74.5</v>
      </c>
      <c r="V36" t="s">
        <v>99</v>
      </c>
      <c r="X36" s="13">
        <v>308.8</v>
      </c>
    </row>
    <row r="37" spans="1:24" x14ac:dyDescent="0.25">
      <c r="A37" t="s">
        <v>121</v>
      </c>
      <c r="B37" t="s">
        <v>61</v>
      </c>
      <c r="C37" t="s">
        <v>92</v>
      </c>
      <c r="D37" t="s">
        <v>92</v>
      </c>
      <c r="E37" t="s">
        <v>93</v>
      </c>
      <c r="F37" t="s">
        <v>94</v>
      </c>
      <c r="G37" t="s">
        <v>95</v>
      </c>
      <c r="H37" s="12">
        <v>6.2675000000000001</v>
      </c>
      <c r="I37" s="12">
        <v>-75.568600000000004</v>
      </c>
      <c r="J37" t="s">
        <v>96</v>
      </c>
      <c r="K37" t="s">
        <v>97</v>
      </c>
      <c r="L37" t="s">
        <v>98</v>
      </c>
      <c r="M37">
        <v>11</v>
      </c>
      <c r="N37">
        <v>148</v>
      </c>
      <c r="O37">
        <v>254</v>
      </c>
      <c r="P37" s="13">
        <v>275.2</v>
      </c>
      <c r="Q37" s="13">
        <v>65.900000000000006</v>
      </c>
      <c r="R37">
        <v>30</v>
      </c>
      <c r="S37">
        <v>66</v>
      </c>
      <c r="T37" s="13">
        <v>50</v>
      </c>
      <c r="U37" s="13">
        <v>80</v>
      </c>
      <c r="V37" t="s">
        <v>99</v>
      </c>
      <c r="X37" s="13">
        <v>275.2</v>
      </c>
    </row>
    <row r="38" spans="1:24" x14ac:dyDescent="0.25">
      <c r="A38" t="s">
        <v>122</v>
      </c>
      <c r="B38" t="s">
        <v>61</v>
      </c>
      <c r="C38" t="s">
        <v>92</v>
      </c>
      <c r="D38" t="s">
        <v>92</v>
      </c>
      <c r="E38" t="s">
        <v>93</v>
      </c>
      <c r="F38" t="s">
        <v>94</v>
      </c>
      <c r="G38" t="s">
        <v>95</v>
      </c>
      <c r="H38" s="12">
        <v>6.2675000000000001</v>
      </c>
      <c r="I38" s="12">
        <v>-75.568600000000004</v>
      </c>
      <c r="J38" t="s">
        <v>96</v>
      </c>
      <c r="K38" t="s">
        <v>97</v>
      </c>
      <c r="L38" t="s">
        <v>98</v>
      </c>
      <c r="M38">
        <v>11</v>
      </c>
      <c r="N38">
        <v>155</v>
      </c>
      <c r="O38">
        <v>254</v>
      </c>
      <c r="P38" s="13">
        <v>300.7</v>
      </c>
      <c r="Q38" s="13">
        <v>65.900000000000006</v>
      </c>
      <c r="R38">
        <v>44</v>
      </c>
      <c r="S38">
        <v>68</v>
      </c>
      <c r="T38" s="13">
        <v>60.3</v>
      </c>
      <c r="U38" s="13">
        <v>67.3</v>
      </c>
      <c r="V38" t="s">
        <v>99</v>
      </c>
      <c r="X38" s="13">
        <v>300.7</v>
      </c>
    </row>
    <row r="39" spans="1:24" x14ac:dyDescent="0.25">
      <c r="A39" t="s">
        <v>123</v>
      </c>
      <c r="B39" t="s">
        <v>61</v>
      </c>
      <c r="C39" t="s">
        <v>92</v>
      </c>
      <c r="D39" t="s">
        <v>92</v>
      </c>
      <c r="E39" t="s">
        <v>93</v>
      </c>
      <c r="F39" t="s">
        <v>94</v>
      </c>
      <c r="G39" t="s">
        <v>95</v>
      </c>
      <c r="H39" s="12">
        <v>6.2675000000000001</v>
      </c>
      <c r="I39" s="12">
        <v>-75.568600000000004</v>
      </c>
      <c r="J39" t="s">
        <v>96</v>
      </c>
      <c r="K39" t="s">
        <v>97</v>
      </c>
      <c r="L39" t="s">
        <v>98</v>
      </c>
      <c r="M39">
        <v>11</v>
      </c>
      <c r="N39">
        <v>179</v>
      </c>
      <c r="O39">
        <v>254</v>
      </c>
      <c r="P39" s="13">
        <v>347.5</v>
      </c>
      <c r="Q39" s="13">
        <v>70.7</v>
      </c>
      <c r="R39">
        <v>54</v>
      </c>
      <c r="S39">
        <v>90</v>
      </c>
      <c r="T39" s="13">
        <v>60.3</v>
      </c>
      <c r="U39" s="13">
        <v>78.2</v>
      </c>
      <c r="V39" t="s">
        <v>99</v>
      </c>
      <c r="X39" s="13">
        <v>347.5</v>
      </c>
    </row>
    <row r="40" spans="1:24" x14ac:dyDescent="0.25">
      <c r="A40" t="s">
        <v>124</v>
      </c>
      <c r="B40" t="s">
        <v>61</v>
      </c>
      <c r="C40" t="s">
        <v>92</v>
      </c>
      <c r="D40" t="s">
        <v>92</v>
      </c>
      <c r="E40" t="s">
        <v>93</v>
      </c>
      <c r="F40" t="s">
        <v>94</v>
      </c>
      <c r="G40" t="s">
        <v>95</v>
      </c>
      <c r="H40" s="12">
        <v>6.2675000000000001</v>
      </c>
      <c r="I40" s="12">
        <v>-75.568600000000004</v>
      </c>
      <c r="J40" t="s">
        <v>96</v>
      </c>
      <c r="K40" t="s">
        <v>97</v>
      </c>
      <c r="L40" t="s">
        <v>98</v>
      </c>
      <c r="M40">
        <v>11</v>
      </c>
      <c r="N40">
        <v>175</v>
      </c>
      <c r="O40">
        <v>254</v>
      </c>
      <c r="P40" s="13">
        <v>332.7</v>
      </c>
      <c r="Q40" s="13">
        <v>78</v>
      </c>
      <c r="R40">
        <v>46</v>
      </c>
      <c r="S40">
        <v>72</v>
      </c>
      <c r="T40" s="13">
        <v>63.8</v>
      </c>
      <c r="U40" s="13">
        <v>85.5</v>
      </c>
      <c r="V40" t="s">
        <v>99</v>
      </c>
      <c r="X40" s="13">
        <v>332.7</v>
      </c>
    </row>
    <row r="41" spans="1:24" x14ac:dyDescent="0.25">
      <c r="A41" t="s">
        <v>125</v>
      </c>
      <c r="B41" t="s">
        <v>61</v>
      </c>
      <c r="C41" t="s">
        <v>92</v>
      </c>
      <c r="D41" t="s">
        <v>92</v>
      </c>
      <c r="E41" t="s">
        <v>93</v>
      </c>
      <c r="F41" t="s">
        <v>94</v>
      </c>
      <c r="G41" t="s">
        <v>95</v>
      </c>
      <c r="H41" s="12">
        <v>6.2675000000000001</v>
      </c>
      <c r="I41" s="12">
        <v>-75.568600000000004</v>
      </c>
      <c r="J41" t="s">
        <v>96</v>
      </c>
      <c r="K41" t="s">
        <v>97</v>
      </c>
      <c r="L41" t="s">
        <v>98</v>
      </c>
      <c r="M41">
        <v>11</v>
      </c>
      <c r="N41">
        <v>147</v>
      </c>
      <c r="O41">
        <v>254</v>
      </c>
      <c r="P41" s="13">
        <v>273.10000000000002</v>
      </c>
      <c r="Q41" s="13">
        <v>56.1</v>
      </c>
      <c r="R41">
        <v>24</v>
      </c>
      <c r="S41">
        <v>76</v>
      </c>
      <c r="T41" s="13">
        <v>55.2</v>
      </c>
      <c r="U41" s="13">
        <v>76.400000000000006</v>
      </c>
      <c r="V41" t="s">
        <v>99</v>
      </c>
      <c r="X41" s="13">
        <v>273.10000000000002</v>
      </c>
    </row>
    <row r="42" spans="1:24" x14ac:dyDescent="0.25">
      <c r="A42" t="s">
        <v>126</v>
      </c>
      <c r="B42" t="s">
        <v>61</v>
      </c>
      <c r="C42" t="s">
        <v>92</v>
      </c>
      <c r="D42" t="s">
        <v>92</v>
      </c>
      <c r="E42" t="s">
        <v>93</v>
      </c>
      <c r="F42" t="s">
        <v>94</v>
      </c>
      <c r="G42" t="s">
        <v>95</v>
      </c>
      <c r="H42" s="12">
        <v>6.2675000000000001</v>
      </c>
      <c r="I42" s="12">
        <v>-75.568600000000004</v>
      </c>
      <c r="J42" t="s">
        <v>96</v>
      </c>
      <c r="K42" t="s">
        <v>97</v>
      </c>
      <c r="L42" t="s">
        <v>98</v>
      </c>
      <c r="M42">
        <v>11</v>
      </c>
      <c r="N42">
        <v>164</v>
      </c>
      <c r="O42">
        <v>254</v>
      </c>
      <c r="P42" s="13">
        <v>305.2</v>
      </c>
      <c r="Q42" s="13">
        <v>58.5</v>
      </c>
      <c r="R42">
        <v>56</v>
      </c>
      <c r="S42">
        <v>60</v>
      </c>
      <c r="T42" s="13">
        <v>62.1</v>
      </c>
      <c r="U42" s="13">
        <v>83.6</v>
      </c>
      <c r="V42" t="s">
        <v>99</v>
      </c>
      <c r="X42" s="13">
        <v>305.2</v>
      </c>
    </row>
    <row r="43" spans="1:24" x14ac:dyDescent="0.25">
      <c r="A43" t="s">
        <v>127</v>
      </c>
      <c r="B43" t="s">
        <v>61</v>
      </c>
      <c r="C43" t="s">
        <v>92</v>
      </c>
      <c r="D43" t="s">
        <v>92</v>
      </c>
      <c r="E43" t="s">
        <v>93</v>
      </c>
      <c r="F43" t="s">
        <v>94</v>
      </c>
      <c r="G43" t="s">
        <v>95</v>
      </c>
      <c r="H43" s="12">
        <v>6.2675000000000001</v>
      </c>
      <c r="I43" s="12">
        <v>-75.568600000000004</v>
      </c>
      <c r="J43" t="s">
        <v>96</v>
      </c>
      <c r="K43" t="s">
        <v>97</v>
      </c>
      <c r="L43" t="s">
        <v>98</v>
      </c>
      <c r="M43">
        <v>11</v>
      </c>
      <c r="N43">
        <v>163</v>
      </c>
      <c r="O43">
        <v>254</v>
      </c>
      <c r="P43" s="13">
        <v>327.2</v>
      </c>
      <c r="Q43" s="13">
        <v>70.7</v>
      </c>
      <c r="R43">
        <v>60</v>
      </c>
      <c r="S43">
        <v>84</v>
      </c>
      <c r="T43" s="13">
        <v>48.3</v>
      </c>
      <c r="U43" s="13">
        <v>61.8</v>
      </c>
      <c r="V43" t="s">
        <v>99</v>
      </c>
      <c r="X43" s="13">
        <v>327.2</v>
      </c>
    </row>
    <row r="44" spans="1:24" x14ac:dyDescent="0.25">
      <c r="A44" t="s">
        <v>128</v>
      </c>
      <c r="B44" t="s">
        <v>61</v>
      </c>
      <c r="C44" t="s">
        <v>92</v>
      </c>
      <c r="D44" t="s">
        <v>92</v>
      </c>
      <c r="E44" t="s">
        <v>93</v>
      </c>
      <c r="F44" t="s">
        <v>94</v>
      </c>
      <c r="G44" t="s">
        <v>95</v>
      </c>
      <c r="H44" s="12">
        <v>6.2675000000000001</v>
      </c>
      <c r="I44" s="12">
        <v>-75.568600000000004</v>
      </c>
      <c r="J44" t="s">
        <v>129</v>
      </c>
      <c r="K44" t="s">
        <v>97</v>
      </c>
      <c r="L44" t="s">
        <v>98</v>
      </c>
      <c r="M44">
        <v>11</v>
      </c>
      <c r="N44">
        <v>181</v>
      </c>
      <c r="O44">
        <v>254</v>
      </c>
      <c r="P44" s="13">
        <v>338.8</v>
      </c>
      <c r="Q44" s="13">
        <v>56.1</v>
      </c>
      <c r="R44">
        <v>68</v>
      </c>
      <c r="S44">
        <v>60</v>
      </c>
      <c r="T44" s="13">
        <v>81</v>
      </c>
      <c r="U44" s="13">
        <v>85.5</v>
      </c>
      <c r="V44" t="s">
        <v>99</v>
      </c>
      <c r="X44" s="13">
        <v>338.8</v>
      </c>
    </row>
    <row r="45" spans="1:24" x14ac:dyDescent="0.25">
      <c r="A45" t="s">
        <v>130</v>
      </c>
      <c r="B45" t="s">
        <v>61</v>
      </c>
      <c r="C45" t="s">
        <v>92</v>
      </c>
      <c r="D45" t="s">
        <v>92</v>
      </c>
      <c r="E45" t="s">
        <v>93</v>
      </c>
      <c r="F45" t="s">
        <v>94</v>
      </c>
      <c r="G45" t="s">
        <v>95</v>
      </c>
      <c r="H45" s="12">
        <v>6.2675000000000001</v>
      </c>
      <c r="I45" s="12">
        <v>-75.568600000000004</v>
      </c>
      <c r="J45" t="s">
        <v>129</v>
      </c>
      <c r="K45" t="s">
        <v>97</v>
      </c>
      <c r="L45" t="s">
        <v>98</v>
      </c>
      <c r="M45">
        <v>11</v>
      </c>
      <c r="N45">
        <v>150</v>
      </c>
      <c r="O45">
        <v>254</v>
      </c>
      <c r="P45" s="13">
        <v>275.89999999999998</v>
      </c>
      <c r="Q45" s="13">
        <v>61</v>
      </c>
      <c r="R45">
        <v>46</v>
      </c>
      <c r="S45">
        <v>56</v>
      </c>
      <c r="T45" s="13">
        <v>48.3</v>
      </c>
      <c r="U45" s="13">
        <v>83.6</v>
      </c>
      <c r="V45" t="s">
        <v>99</v>
      </c>
      <c r="X45" s="13">
        <v>275.89999999999998</v>
      </c>
    </row>
    <row r="46" spans="1:24" x14ac:dyDescent="0.25">
      <c r="A46" t="s">
        <v>131</v>
      </c>
      <c r="B46" t="s">
        <v>61</v>
      </c>
      <c r="C46" t="s">
        <v>92</v>
      </c>
      <c r="D46" t="s">
        <v>92</v>
      </c>
      <c r="E46" t="s">
        <v>93</v>
      </c>
      <c r="F46" t="s">
        <v>94</v>
      </c>
      <c r="G46" t="s">
        <v>95</v>
      </c>
      <c r="H46" s="12">
        <v>6.2675000000000001</v>
      </c>
      <c r="I46" s="12">
        <v>-75.568600000000004</v>
      </c>
      <c r="J46" t="s">
        <v>129</v>
      </c>
      <c r="K46" t="s">
        <v>97</v>
      </c>
      <c r="L46" t="s">
        <v>132</v>
      </c>
      <c r="M46">
        <v>11</v>
      </c>
      <c r="N46">
        <v>66</v>
      </c>
      <c r="O46">
        <v>120</v>
      </c>
      <c r="P46" s="13">
        <v>260.5</v>
      </c>
      <c r="Q46" s="13">
        <v>75.599999999999994</v>
      </c>
      <c r="R46">
        <v>36</v>
      </c>
      <c r="S46">
        <v>52</v>
      </c>
      <c r="T46" s="13">
        <v>44.8</v>
      </c>
      <c r="U46" s="13"/>
      <c r="V46" t="s">
        <v>99</v>
      </c>
      <c r="X46" s="13">
        <v>260.5</v>
      </c>
    </row>
    <row r="47" spans="1:24" x14ac:dyDescent="0.25">
      <c r="A47" t="s">
        <v>133</v>
      </c>
      <c r="B47" t="s">
        <v>61</v>
      </c>
      <c r="C47" t="s">
        <v>92</v>
      </c>
      <c r="D47" t="s">
        <v>92</v>
      </c>
      <c r="E47" t="s">
        <v>93</v>
      </c>
      <c r="F47" t="s">
        <v>94</v>
      </c>
      <c r="G47" t="s">
        <v>95</v>
      </c>
      <c r="H47" s="12">
        <v>6.2675000000000001</v>
      </c>
      <c r="I47" s="12">
        <v>-75.568600000000004</v>
      </c>
      <c r="J47" t="s">
        <v>129</v>
      </c>
      <c r="K47" t="s">
        <v>97</v>
      </c>
      <c r="L47" t="s">
        <v>98</v>
      </c>
      <c r="M47">
        <v>11</v>
      </c>
      <c r="N47">
        <v>204</v>
      </c>
      <c r="O47">
        <v>254</v>
      </c>
      <c r="P47" s="13">
        <v>384.7</v>
      </c>
      <c r="Q47" s="13">
        <v>75.599999999999994</v>
      </c>
      <c r="R47">
        <v>72</v>
      </c>
      <c r="S47">
        <v>72</v>
      </c>
      <c r="T47" s="13">
        <v>81</v>
      </c>
      <c r="U47" s="13">
        <v>98.2</v>
      </c>
      <c r="V47" t="s">
        <v>99</v>
      </c>
      <c r="X47" s="13">
        <v>384.7</v>
      </c>
    </row>
    <row r="48" spans="1:24" x14ac:dyDescent="0.25">
      <c r="A48" t="s">
        <v>134</v>
      </c>
      <c r="B48" t="s">
        <v>61</v>
      </c>
      <c r="C48" t="s">
        <v>92</v>
      </c>
      <c r="D48" t="s">
        <v>92</v>
      </c>
      <c r="E48" t="s">
        <v>93</v>
      </c>
      <c r="F48" t="s">
        <v>94</v>
      </c>
      <c r="G48" t="s">
        <v>95</v>
      </c>
      <c r="H48" s="12">
        <v>6.2675000000000001</v>
      </c>
      <c r="I48" s="12">
        <v>-75.568600000000004</v>
      </c>
      <c r="J48" t="s">
        <v>129</v>
      </c>
      <c r="K48" t="s">
        <v>97</v>
      </c>
      <c r="L48" t="s">
        <v>98</v>
      </c>
      <c r="M48">
        <v>11</v>
      </c>
      <c r="N48">
        <v>162</v>
      </c>
      <c r="O48">
        <v>254</v>
      </c>
      <c r="P48" s="13">
        <v>311.3</v>
      </c>
      <c r="Q48" s="13">
        <v>73.2</v>
      </c>
      <c r="R48">
        <v>44</v>
      </c>
      <c r="S48">
        <v>72</v>
      </c>
      <c r="T48" s="13">
        <v>55.2</v>
      </c>
      <c r="U48" s="13">
        <v>76.400000000000006</v>
      </c>
      <c r="V48" t="s">
        <v>99</v>
      </c>
      <c r="X48" s="13">
        <v>311.3</v>
      </c>
    </row>
    <row r="49" spans="1:24" x14ac:dyDescent="0.25">
      <c r="A49" t="s">
        <v>135</v>
      </c>
      <c r="B49" t="s">
        <v>61</v>
      </c>
      <c r="C49" t="s">
        <v>92</v>
      </c>
      <c r="D49" t="s">
        <v>92</v>
      </c>
      <c r="E49" t="s">
        <v>93</v>
      </c>
      <c r="F49" t="s">
        <v>94</v>
      </c>
      <c r="G49" t="s">
        <v>95</v>
      </c>
      <c r="H49" s="12">
        <v>6.2675000000000001</v>
      </c>
      <c r="I49" s="12">
        <v>-75.568600000000004</v>
      </c>
      <c r="J49" t="s">
        <v>129</v>
      </c>
      <c r="K49" t="s">
        <v>97</v>
      </c>
      <c r="L49" t="s">
        <v>98</v>
      </c>
      <c r="M49">
        <v>11</v>
      </c>
      <c r="N49">
        <v>216</v>
      </c>
      <c r="O49">
        <v>254</v>
      </c>
      <c r="P49" s="13">
        <v>415.3</v>
      </c>
      <c r="Q49" s="13">
        <v>75.599999999999994</v>
      </c>
      <c r="R49">
        <v>82</v>
      </c>
      <c r="S49">
        <v>80</v>
      </c>
      <c r="T49" s="13">
        <v>91.4</v>
      </c>
      <c r="U49" s="13">
        <v>92.7</v>
      </c>
      <c r="V49" t="s">
        <v>99</v>
      </c>
      <c r="X49" s="13">
        <v>415.3</v>
      </c>
    </row>
    <row r="50" spans="1:24" x14ac:dyDescent="0.25">
      <c r="A50" t="s">
        <v>136</v>
      </c>
      <c r="B50" t="s">
        <v>61</v>
      </c>
      <c r="C50" t="s">
        <v>92</v>
      </c>
      <c r="D50" t="s">
        <v>92</v>
      </c>
      <c r="E50" t="s">
        <v>93</v>
      </c>
      <c r="F50" t="s">
        <v>94</v>
      </c>
      <c r="G50" t="s">
        <v>95</v>
      </c>
      <c r="H50" s="12">
        <v>6.2675000000000001</v>
      </c>
      <c r="I50" s="12">
        <v>-75.568600000000004</v>
      </c>
      <c r="J50" t="s">
        <v>129</v>
      </c>
      <c r="K50" t="s">
        <v>97</v>
      </c>
      <c r="L50" t="s">
        <v>98</v>
      </c>
      <c r="M50">
        <v>11</v>
      </c>
      <c r="N50">
        <v>154</v>
      </c>
      <c r="O50">
        <v>254</v>
      </c>
      <c r="P50" s="13">
        <v>282</v>
      </c>
      <c r="Q50" s="13">
        <v>61</v>
      </c>
      <c r="R50">
        <v>26</v>
      </c>
      <c r="S50">
        <v>64</v>
      </c>
      <c r="T50" s="13">
        <v>65.5</v>
      </c>
      <c r="U50" s="13">
        <v>83.6</v>
      </c>
      <c r="V50" t="s">
        <v>99</v>
      </c>
      <c r="X50" s="13">
        <v>282</v>
      </c>
    </row>
    <row r="51" spans="1:24" x14ac:dyDescent="0.25">
      <c r="A51" t="s">
        <v>137</v>
      </c>
      <c r="B51" t="s">
        <v>61</v>
      </c>
      <c r="C51" t="s">
        <v>92</v>
      </c>
      <c r="D51" t="s">
        <v>92</v>
      </c>
      <c r="E51" t="s">
        <v>93</v>
      </c>
      <c r="F51" t="s">
        <v>94</v>
      </c>
      <c r="G51" t="s">
        <v>95</v>
      </c>
      <c r="H51" s="12">
        <v>6.2675000000000001</v>
      </c>
      <c r="I51" s="12">
        <v>-75.568600000000004</v>
      </c>
      <c r="J51" t="s">
        <v>129</v>
      </c>
      <c r="K51" t="s">
        <v>97</v>
      </c>
      <c r="L51" t="s">
        <v>98</v>
      </c>
      <c r="M51">
        <v>11</v>
      </c>
      <c r="N51">
        <v>146</v>
      </c>
      <c r="O51">
        <v>254</v>
      </c>
      <c r="P51" s="13">
        <v>266</v>
      </c>
      <c r="Q51" s="13">
        <v>68.3</v>
      </c>
      <c r="R51">
        <v>28</v>
      </c>
      <c r="S51">
        <v>54</v>
      </c>
      <c r="T51" s="13">
        <v>51.7</v>
      </c>
      <c r="U51" s="13">
        <v>85.5</v>
      </c>
      <c r="V51" t="s">
        <v>99</v>
      </c>
      <c r="X51" s="13">
        <v>266</v>
      </c>
    </row>
    <row r="52" spans="1:24" x14ac:dyDescent="0.25">
      <c r="A52" t="s">
        <v>138</v>
      </c>
      <c r="B52" t="s">
        <v>61</v>
      </c>
      <c r="C52" t="s">
        <v>92</v>
      </c>
      <c r="D52" t="s">
        <v>92</v>
      </c>
      <c r="E52" t="s">
        <v>93</v>
      </c>
      <c r="F52" t="s">
        <v>94</v>
      </c>
      <c r="G52" t="s">
        <v>95</v>
      </c>
      <c r="H52" s="12">
        <v>6.2675000000000001</v>
      </c>
      <c r="I52" s="12">
        <v>-75.568600000000004</v>
      </c>
      <c r="J52" t="s">
        <v>129</v>
      </c>
      <c r="K52" t="s">
        <v>97</v>
      </c>
      <c r="L52" t="s">
        <v>98</v>
      </c>
      <c r="M52">
        <v>11</v>
      </c>
      <c r="N52">
        <v>163</v>
      </c>
      <c r="O52">
        <v>254</v>
      </c>
      <c r="P52" s="13">
        <v>312.8</v>
      </c>
      <c r="Q52" s="13">
        <v>65.900000000000006</v>
      </c>
      <c r="R52">
        <v>42</v>
      </c>
      <c r="S52">
        <v>70</v>
      </c>
      <c r="T52" s="13">
        <v>69</v>
      </c>
      <c r="U52" s="13">
        <v>72.7</v>
      </c>
      <c r="V52" t="s">
        <v>99</v>
      </c>
      <c r="X52" s="13">
        <v>312.8</v>
      </c>
    </row>
    <row r="53" spans="1:24" x14ac:dyDescent="0.25">
      <c r="A53" t="s">
        <v>139</v>
      </c>
      <c r="B53" t="s">
        <v>61</v>
      </c>
      <c r="C53" t="s">
        <v>92</v>
      </c>
      <c r="D53" t="s">
        <v>92</v>
      </c>
      <c r="E53" t="s">
        <v>93</v>
      </c>
      <c r="F53" t="s">
        <v>94</v>
      </c>
      <c r="G53" t="s">
        <v>95</v>
      </c>
      <c r="H53" s="12">
        <v>6.2675000000000001</v>
      </c>
      <c r="I53" s="12">
        <v>-75.568600000000004</v>
      </c>
      <c r="J53" t="s">
        <v>129</v>
      </c>
      <c r="K53" t="s">
        <v>97</v>
      </c>
      <c r="L53" t="s">
        <v>98</v>
      </c>
      <c r="M53">
        <v>11</v>
      </c>
      <c r="N53">
        <v>171</v>
      </c>
      <c r="O53">
        <v>254</v>
      </c>
      <c r="P53" s="13">
        <v>311.10000000000002</v>
      </c>
      <c r="Q53" s="13">
        <v>63.4</v>
      </c>
      <c r="R53">
        <v>38</v>
      </c>
      <c r="S53">
        <v>66</v>
      </c>
      <c r="T53" s="13">
        <v>70.7</v>
      </c>
      <c r="U53" s="13">
        <v>94.5</v>
      </c>
      <c r="V53" t="s">
        <v>99</v>
      </c>
      <c r="X53" s="13">
        <v>311.10000000000002</v>
      </c>
    </row>
    <row r="54" spans="1:24" x14ac:dyDescent="0.25">
      <c r="A54" t="s">
        <v>140</v>
      </c>
      <c r="B54" t="s">
        <v>61</v>
      </c>
      <c r="C54" t="s">
        <v>92</v>
      </c>
      <c r="D54" t="s">
        <v>92</v>
      </c>
      <c r="E54" t="s">
        <v>93</v>
      </c>
      <c r="F54" t="s">
        <v>94</v>
      </c>
      <c r="G54" t="s">
        <v>95</v>
      </c>
      <c r="H54" s="12">
        <v>6.2675000000000001</v>
      </c>
      <c r="I54" s="12">
        <v>-75.568600000000004</v>
      </c>
      <c r="J54" t="s">
        <v>129</v>
      </c>
      <c r="K54" t="s">
        <v>97</v>
      </c>
      <c r="L54" t="s">
        <v>98</v>
      </c>
      <c r="M54">
        <v>11</v>
      </c>
      <c r="N54">
        <v>192</v>
      </c>
      <c r="O54">
        <v>254</v>
      </c>
      <c r="P54" s="13">
        <v>365.7</v>
      </c>
      <c r="Q54" s="13">
        <v>80.5</v>
      </c>
      <c r="R54">
        <v>46</v>
      </c>
      <c r="S54">
        <v>86</v>
      </c>
      <c r="T54" s="13">
        <v>74.099999999999994</v>
      </c>
      <c r="U54" s="13">
        <v>90.9</v>
      </c>
      <c r="V54" t="s">
        <v>99</v>
      </c>
      <c r="X54" s="13">
        <v>365.7</v>
      </c>
    </row>
    <row r="55" spans="1:24" x14ac:dyDescent="0.25">
      <c r="A55" t="s">
        <v>141</v>
      </c>
      <c r="B55" t="s">
        <v>61</v>
      </c>
      <c r="C55" t="s">
        <v>92</v>
      </c>
      <c r="D55" t="s">
        <v>92</v>
      </c>
      <c r="E55" t="s">
        <v>93</v>
      </c>
      <c r="F55" t="s">
        <v>94</v>
      </c>
      <c r="G55" t="s">
        <v>95</v>
      </c>
      <c r="H55" s="12">
        <v>6.2675000000000001</v>
      </c>
      <c r="I55" s="12">
        <v>-75.568600000000004</v>
      </c>
      <c r="J55" t="s">
        <v>129</v>
      </c>
      <c r="K55" t="s">
        <v>97</v>
      </c>
      <c r="L55" t="s">
        <v>98</v>
      </c>
      <c r="M55">
        <v>11</v>
      </c>
      <c r="N55">
        <v>209</v>
      </c>
      <c r="O55">
        <v>254</v>
      </c>
      <c r="P55" s="13">
        <v>399.8</v>
      </c>
      <c r="Q55" s="13">
        <v>80.5</v>
      </c>
      <c r="R55">
        <v>60</v>
      </c>
      <c r="S55">
        <v>90</v>
      </c>
      <c r="T55" s="13">
        <v>84.5</v>
      </c>
      <c r="U55" s="13">
        <v>94.5</v>
      </c>
      <c r="V55" t="s">
        <v>99</v>
      </c>
      <c r="X55" s="13">
        <v>399.8</v>
      </c>
    </row>
    <row r="56" spans="1:24" x14ac:dyDescent="0.25">
      <c r="A56" t="s">
        <v>142</v>
      </c>
      <c r="B56" t="s">
        <v>61</v>
      </c>
      <c r="C56" t="s">
        <v>92</v>
      </c>
      <c r="D56" t="s">
        <v>92</v>
      </c>
      <c r="E56" t="s">
        <v>93</v>
      </c>
      <c r="F56" t="s">
        <v>94</v>
      </c>
      <c r="G56" t="s">
        <v>95</v>
      </c>
      <c r="H56" s="12">
        <v>6.2675000000000001</v>
      </c>
      <c r="I56" s="12">
        <v>-75.568600000000004</v>
      </c>
      <c r="J56" t="s">
        <v>129</v>
      </c>
      <c r="K56" t="s">
        <v>97</v>
      </c>
      <c r="L56" t="s">
        <v>98</v>
      </c>
      <c r="M56">
        <v>11</v>
      </c>
      <c r="N56">
        <v>165</v>
      </c>
      <c r="O56">
        <v>254</v>
      </c>
      <c r="P56" s="13">
        <v>312.89999999999998</v>
      </c>
      <c r="Q56" s="13">
        <v>65.900000000000006</v>
      </c>
      <c r="R56">
        <v>34</v>
      </c>
      <c r="S56">
        <v>78</v>
      </c>
      <c r="T56" s="13">
        <v>67.2</v>
      </c>
      <c r="U56" s="13">
        <v>78.2</v>
      </c>
      <c r="V56" t="s">
        <v>99</v>
      </c>
      <c r="X56" s="13">
        <v>312.89999999999998</v>
      </c>
    </row>
    <row r="57" spans="1:24" x14ac:dyDescent="0.25">
      <c r="A57" t="s">
        <v>143</v>
      </c>
      <c r="B57" t="s">
        <v>61</v>
      </c>
      <c r="C57" t="s">
        <v>92</v>
      </c>
      <c r="D57" t="s">
        <v>92</v>
      </c>
      <c r="E57" t="s">
        <v>93</v>
      </c>
      <c r="F57" t="s">
        <v>94</v>
      </c>
      <c r="G57" t="s">
        <v>95</v>
      </c>
      <c r="H57" s="12">
        <v>6.2675000000000001</v>
      </c>
      <c r="I57" s="12">
        <v>-75.568600000000004</v>
      </c>
      <c r="J57" t="s">
        <v>129</v>
      </c>
      <c r="K57" t="s">
        <v>97</v>
      </c>
      <c r="L57" t="s">
        <v>98</v>
      </c>
      <c r="M57">
        <v>11</v>
      </c>
      <c r="N57">
        <v>219</v>
      </c>
      <c r="O57">
        <v>254</v>
      </c>
      <c r="P57" s="13">
        <v>420.5</v>
      </c>
      <c r="Q57" s="13">
        <v>82.9</v>
      </c>
      <c r="R57">
        <v>72</v>
      </c>
      <c r="S57">
        <v>94</v>
      </c>
      <c r="T57" s="13">
        <v>82.8</v>
      </c>
      <c r="U57" s="13">
        <v>98.2</v>
      </c>
      <c r="V57" t="s">
        <v>99</v>
      </c>
      <c r="X57" s="13">
        <v>420.5</v>
      </c>
    </row>
    <row r="58" spans="1:24" x14ac:dyDescent="0.25">
      <c r="A58" t="s">
        <v>144</v>
      </c>
      <c r="B58" t="s">
        <v>61</v>
      </c>
      <c r="C58" t="s">
        <v>92</v>
      </c>
      <c r="D58" t="s">
        <v>92</v>
      </c>
      <c r="E58" t="s">
        <v>93</v>
      </c>
      <c r="F58" t="s">
        <v>94</v>
      </c>
      <c r="G58" t="s">
        <v>95</v>
      </c>
      <c r="H58" s="12">
        <v>6.2675000000000001</v>
      </c>
      <c r="I58" s="12">
        <v>-75.568600000000004</v>
      </c>
      <c r="J58" t="s">
        <v>129</v>
      </c>
      <c r="K58" t="s">
        <v>97</v>
      </c>
      <c r="L58" t="s">
        <v>98</v>
      </c>
      <c r="M58">
        <v>11</v>
      </c>
      <c r="N58">
        <v>181</v>
      </c>
      <c r="O58">
        <v>254</v>
      </c>
      <c r="P58" s="13">
        <v>343.8</v>
      </c>
      <c r="Q58" s="13">
        <v>80.5</v>
      </c>
      <c r="R58">
        <v>50</v>
      </c>
      <c r="S58">
        <v>74</v>
      </c>
      <c r="T58" s="13">
        <v>63.8</v>
      </c>
      <c r="U58" s="13">
        <v>89.1</v>
      </c>
      <c r="V58" t="s">
        <v>99</v>
      </c>
      <c r="X58" s="13">
        <v>343.8</v>
      </c>
    </row>
    <row r="59" spans="1:24" x14ac:dyDescent="0.25">
      <c r="A59" t="s">
        <v>145</v>
      </c>
      <c r="B59" t="s">
        <v>61</v>
      </c>
      <c r="C59" t="s">
        <v>92</v>
      </c>
      <c r="D59" t="s">
        <v>92</v>
      </c>
      <c r="E59" t="s">
        <v>93</v>
      </c>
      <c r="F59" t="s">
        <v>94</v>
      </c>
      <c r="G59" t="s">
        <v>95</v>
      </c>
      <c r="H59" s="12">
        <v>6.2675000000000001</v>
      </c>
      <c r="I59" s="12">
        <v>-75.568600000000004</v>
      </c>
      <c r="J59" t="s">
        <v>129</v>
      </c>
      <c r="K59" t="s">
        <v>97</v>
      </c>
      <c r="L59" t="s">
        <v>98</v>
      </c>
      <c r="M59">
        <v>11</v>
      </c>
      <c r="N59">
        <v>143</v>
      </c>
      <c r="O59">
        <v>254</v>
      </c>
      <c r="P59" s="13">
        <v>261.8</v>
      </c>
      <c r="Q59" s="13">
        <v>58.5</v>
      </c>
      <c r="R59">
        <v>36</v>
      </c>
      <c r="S59">
        <v>54</v>
      </c>
      <c r="T59" s="13">
        <v>51.7</v>
      </c>
      <c r="U59" s="13">
        <v>80</v>
      </c>
      <c r="V59" t="s">
        <v>99</v>
      </c>
      <c r="X59" s="13">
        <v>261.8</v>
      </c>
    </row>
    <row r="60" spans="1:24" x14ac:dyDescent="0.25">
      <c r="A60" t="s">
        <v>146</v>
      </c>
      <c r="B60" t="s">
        <v>61</v>
      </c>
      <c r="C60" t="s">
        <v>92</v>
      </c>
      <c r="D60" t="s">
        <v>92</v>
      </c>
      <c r="E60" t="s">
        <v>93</v>
      </c>
      <c r="F60" t="s">
        <v>94</v>
      </c>
      <c r="G60" t="s">
        <v>95</v>
      </c>
      <c r="H60" s="12">
        <v>6.2675000000000001</v>
      </c>
      <c r="I60" s="12">
        <v>-75.568600000000004</v>
      </c>
      <c r="J60" t="s">
        <v>129</v>
      </c>
      <c r="K60" t="s">
        <v>97</v>
      </c>
      <c r="L60" t="s">
        <v>98</v>
      </c>
      <c r="M60">
        <v>11</v>
      </c>
      <c r="N60">
        <v>106</v>
      </c>
      <c r="O60">
        <v>254</v>
      </c>
      <c r="P60" s="13">
        <v>209.3</v>
      </c>
      <c r="Q60" s="13">
        <v>51.2</v>
      </c>
      <c r="R60">
        <v>40</v>
      </c>
      <c r="S60">
        <v>36</v>
      </c>
      <c r="T60" s="13">
        <v>39.700000000000003</v>
      </c>
      <c r="U60" s="13">
        <v>43.6</v>
      </c>
      <c r="V60" t="s">
        <v>99</v>
      </c>
      <c r="X60" s="13">
        <v>209.3</v>
      </c>
    </row>
    <row r="61" spans="1:24" x14ac:dyDescent="0.25">
      <c r="A61" t="s">
        <v>147</v>
      </c>
      <c r="B61" t="s">
        <v>61</v>
      </c>
      <c r="C61" t="s">
        <v>92</v>
      </c>
      <c r="D61" t="s">
        <v>92</v>
      </c>
      <c r="E61" t="s">
        <v>93</v>
      </c>
      <c r="F61" t="s">
        <v>94</v>
      </c>
      <c r="G61" t="s">
        <v>95</v>
      </c>
      <c r="H61" s="12">
        <v>6.2675000000000001</v>
      </c>
      <c r="I61" s="12">
        <v>-75.568600000000004</v>
      </c>
      <c r="J61" t="s">
        <v>129</v>
      </c>
      <c r="K61" t="s">
        <v>97</v>
      </c>
      <c r="L61" t="s">
        <v>98</v>
      </c>
      <c r="M61">
        <v>11</v>
      </c>
      <c r="N61">
        <v>149</v>
      </c>
      <c r="O61">
        <v>254</v>
      </c>
      <c r="P61" s="13">
        <v>303</v>
      </c>
      <c r="Q61" s="13">
        <v>65.900000000000006</v>
      </c>
      <c r="R61">
        <v>32</v>
      </c>
      <c r="S61">
        <v>88</v>
      </c>
      <c r="T61" s="13">
        <v>60.3</v>
      </c>
      <c r="U61" s="13">
        <v>49.1</v>
      </c>
      <c r="V61" t="s">
        <v>99</v>
      </c>
      <c r="X61" s="13">
        <v>303</v>
      </c>
    </row>
    <row r="62" spans="1:24" x14ac:dyDescent="0.25">
      <c r="A62" t="s">
        <v>148</v>
      </c>
      <c r="B62" t="s">
        <v>61</v>
      </c>
      <c r="C62" t="s">
        <v>92</v>
      </c>
      <c r="D62" t="s">
        <v>92</v>
      </c>
      <c r="E62" t="s">
        <v>93</v>
      </c>
      <c r="F62" t="s">
        <v>94</v>
      </c>
      <c r="G62" t="s">
        <v>95</v>
      </c>
      <c r="H62" s="12">
        <v>6.2675000000000001</v>
      </c>
      <c r="I62" s="12">
        <v>-75.568600000000004</v>
      </c>
      <c r="J62" t="s">
        <v>129</v>
      </c>
      <c r="K62" t="s">
        <v>97</v>
      </c>
      <c r="L62" t="s">
        <v>98</v>
      </c>
      <c r="M62">
        <v>11</v>
      </c>
      <c r="N62">
        <v>183</v>
      </c>
      <c r="O62">
        <v>254</v>
      </c>
      <c r="P62" s="13">
        <v>337.9</v>
      </c>
      <c r="Q62" s="13">
        <v>61</v>
      </c>
      <c r="R62">
        <v>60</v>
      </c>
      <c r="S62">
        <v>76</v>
      </c>
      <c r="T62" s="13">
        <v>63.8</v>
      </c>
      <c r="U62" s="13">
        <v>96.4</v>
      </c>
      <c r="V62" t="s">
        <v>99</v>
      </c>
      <c r="X62" s="13">
        <v>337.9</v>
      </c>
    </row>
    <row r="63" spans="1:24" x14ac:dyDescent="0.25">
      <c r="A63" t="s">
        <v>149</v>
      </c>
      <c r="B63" t="s">
        <v>61</v>
      </c>
      <c r="C63" t="s">
        <v>92</v>
      </c>
      <c r="D63" t="s">
        <v>92</v>
      </c>
      <c r="E63" t="s">
        <v>93</v>
      </c>
      <c r="F63" t="s">
        <v>94</v>
      </c>
      <c r="G63" t="s">
        <v>95</v>
      </c>
      <c r="H63" s="12">
        <v>6.2675000000000001</v>
      </c>
      <c r="I63" s="12">
        <v>-75.568600000000004</v>
      </c>
      <c r="J63" t="s">
        <v>129</v>
      </c>
      <c r="K63" t="s">
        <v>97</v>
      </c>
      <c r="L63" t="s">
        <v>98</v>
      </c>
      <c r="M63">
        <v>11</v>
      </c>
      <c r="N63">
        <v>152</v>
      </c>
      <c r="O63">
        <v>254</v>
      </c>
      <c r="P63" s="13">
        <v>284.7</v>
      </c>
      <c r="Q63" s="13">
        <v>73.2</v>
      </c>
      <c r="R63">
        <v>24</v>
      </c>
      <c r="S63">
        <v>74</v>
      </c>
      <c r="T63" s="13">
        <v>48.3</v>
      </c>
      <c r="U63" s="13">
        <v>81.8</v>
      </c>
      <c r="V63" t="s">
        <v>99</v>
      </c>
      <c r="X63" s="13">
        <v>284.7</v>
      </c>
    </row>
    <row r="64" spans="1:24" x14ac:dyDescent="0.25">
      <c r="A64" t="s">
        <v>150</v>
      </c>
      <c r="B64" t="s">
        <v>61</v>
      </c>
      <c r="C64" t="s">
        <v>92</v>
      </c>
      <c r="D64" t="s">
        <v>92</v>
      </c>
      <c r="E64" t="s">
        <v>93</v>
      </c>
      <c r="F64" t="s">
        <v>94</v>
      </c>
      <c r="G64" t="s">
        <v>95</v>
      </c>
      <c r="H64" s="12">
        <v>6.2675000000000001</v>
      </c>
      <c r="I64" s="12">
        <v>-75.568600000000004</v>
      </c>
      <c r="J64" t="s">
        <v>129</v>
      </c>
      <c r="K64" t="s">
        <v>97</v>
      </c>
      <c r="L64" t="s">
        <v>98</v>
      </c>
      <c r="M64">
        <v>11</v>
      </c>
      <c r="N64">
        <v>165</v>
      </c>
      <c r="O64">
        <v>254</v>
      </c>
      <c r="P64" s="13">
        <v>316.3</v>
      </c>
      <c r="Q64" s="13">
        <v>68.3</v>
      </c>
      <c r="R64">
        <v>42</v>
      </c>
      <c r="S64">
        <v>78</v>
      </c>
      <c r="T64" s="13">
        <v>60.3</v>
      </c>
      <c r="U64" s="13">
        <v>76.400000000000006</v>
      </c>
      <c r="V64" t="s">
        <v>99</v>
      </c>
      <c r="X64" s="13">
        <v>316.3</v>
      </c>
    </row>
    <row r="65" spans="1:24" x14ac:dyDescent="0.25">
      <c r="A65" t="s">
        <v>151</v>
      </c>
      <c r="B65" t="s">
        <v>61</v>
      </c>
      <c r="C65" t="s">
        <v>92</v>
      </c>
      <c r="D65" t="s">
        <v>92</v>
      </c>
      <c r="E65" t="s">
        <v>93</v>
      </c>
      <c r="F65" t="s">
        <v>94</v>
      </c>
      <c r="G65" t="s">
        <v>95</v>
      </c>
      <c r="H65" s="12">
        <v>6.2675000000000001</v>
      </c>
      <c r="I65" s="12">
        <v>-75.568600000000004</v>
      </c>
      <c r="J65" t="s">
        <v>129</v>
      </c>
      <c r="K65" t="s">
        <v>97</v>
      </c>
      <c r="L65" t="s">
        <v>98</v>
      </c>
      <c r="M65">
        <v>11</v>
      </c>
      <c r="N65">
        <v>105</v>
      </c>
      <c r="O65">
        <v>254</v>
      </c>
      <c r="P65" s="13">
        <v>176.7</v>
      </c>
      <c r="Q65" s="13">
        <v>29.3</v>
      </c>
      <c r="R65">
        <v>32</v>
      </c>
      <c r="S65">
        <v>36</v>
      </c>
      <c r="T65" s="13">
        <v>31</v>
      </c>
      <c r="U65" s="13">
        <v>74.5</v>
      </c>
      <c r="V65" t="s">
        <v>99</v>
      </c>
      <c r="X65" s="13">
        <v>176.7</v>
      </c>
    </row>
    <row r="66" spans="1:24" x14ac:dyDescent="0.25">
      <c r="A66" t="s">
        <v>152</v>
      </c>
      <c r="B66" t="s">
        <v>61</v>
      </c>
      <c r="C66" t="s">
        <v>92</v>
      </c>
      <c r="D66" t="s">
        <v>92</v>
      </c>
      <c r="E66" t="s">
        <v>93</v>
      </c>
      <c r="F66" t="s">
        <v>94</v>
      </c>
      <c r="G66" t="s">
        <v>95</v>
      </c>
      <c r="H66" s="12">
        <v>6.2675000000000001</v>
      </c>
      <c r="I66" s="12">
        <v>-75.568600000000004</v>
      </c>
      <c r="J66" t="s">
        <v>129</v>
      </c>
      <c r="K66" t="s">
        <v>97</v>
      </c>
      <c r="L66" t="s">
        <v>98</v>
      </c>
      <c r="M66">
        <v>11</v>
      </c>
      <c r="N66">
        <v>144</v>
      </c>
      <c r="O66">
        <v>254</v>
      </c>
      <c r="P66" s="13">
        <v>263.5</v>
      </c>
      <c r="Q66" s="13">
        <v>58.5</v>
      </c>
      <c r="R66">
        <v>30</v>
      </c>
      <c r="S66">
        <v>58</v>
      </c>
      <c r="T66" s="13">
        <v>55.2</v>
      </c>
      <c r="U66" s="13">
        <v>80</v>
      </c>
      <c r="V66" t="s">
        <v>99</v>
      </c>
      <c r="X66" s="13">
        <v>263.5</v>
      </c>
    </row>
    <row r="67" spans="1:24" x14ac:dyDescent="0.25">
      <c r="A67" t="s">
        <v>153</v>
      </c>
      <c r="B67" t="s">
        <v>61</v>
      </c>
      <c r="C67" t="s">
        <v>92</v>
      </c>
      <c r="D67" t="s">
        <v>92</v>
      </c>
      <c r="E67" t="s">
        <v>93</v>
      </c>
      <c r="F67" t="s">
        <v>94</v>
      </c>
      <c r="G67" t="s">
        <v>95</v>
      </c>
      <c r="H67" s="12">
        <v>6.2675000000000001</v>
      </c>
      <c r="I67" s="12">
        <v>-75.568600000000004</v>
      </c>
      <c r="J67" t="s">
        <v>129</v>
      </c>
      <c r="K67" t="s">
        <v>97</v>
      </c>
      <c r="L67" t="s">
        <v>98</v>
      </c>
      <c r="M67">
        <v>11</v>
      </c>
      <c r="N67">
        <v>175</v>
      </c>
      <c r="O67">
        <v>254</v>
      </c>
      <c r="P67" s="13">
        <v>342.8</v>
      </c>
      <c r="Q67" s="13">
        <v>80.5</v>
      </c>
      <c r="R67">
        <v>56</v>
      </c>
      <c r="S67">
        <v>72</v>
      </c>
      <c r="T67" s="13">
        <v>63.8</v>
      </c>
      <c r="U67" s="13">
        <v>74.5</v>
      </c>
      <c r="V67" t="s">
        <v>99</v>
      </c>
      <c r="X67" s="13">
        <v>342.8</v>
      </c>
    </row>
    <row r="68" spans="1:24" x14ac:dyDescent="0.25">
      <c r="A68" t="s">
        <v>154</v>
      </c>
      <c r="B68" t="s">
        <v>61</v>
      </c>
      <c r="C68" t="s">
        <v>92</v>
      </c>
      <c r="D68" t="s">
        <v>92</v>
      </c>
      <c r="E68" t="s">
        <v>93</v>
      </c>
      <c r="F68" t="s">
        <v>94</v>
      </c>
      <c r="G68" t="s">
        <v>95</v>
      </c>
      <c r="H68" s="12">
        <v>6.2675000000000001</v>
      </c>
      <c r="I68" s="12">
        <v>-75.568600000000004</v>
      </c>
      <c r="J68" t="s">
        <v>129</v>
      </c>
      <c r="K68" t="s">
        <v>97</v>
      </c>
      <c r="L68" t="s">
        <v>98</v>
      </c>
      <c r="M68">
        <v>11</v>
      </c>
      <c r="N68">
        <v>169</v>
      </c>
      <c r="O68">
        <v>254</v>
      </c>
      <c r="P68" s="13">
        <v>319.39999999999998</v>
      </c>
      <c r="Q68" s="13">
        <v>73.2</v>
      </c>
      <c r="R68">
        <v>36</v>
      </c>
      <c r="S68">
        <v>76</v>
      </c>
      <c r="T68" s="13">
        <v>63.8</v>
      </c>
      <c r="U68" s="13">
        <v>83.6</v>
      </c>
      <c r="V68" t="s">
        <v>99</v>
      </c>
      <c r="X68" s="13">
        <v>319.39999999999998</v>
      </c>
    </row>
    <row r="69" spans="1:24" x14ac:dyDescent="0.25">
      <c r="A69" t="s">
        <v>155</v>
      </c>
      <c r="B69" t="s">
        <v>61</v>
      </c>
      <c r="C69" t="s">
        <v>92</v>
      </c>
      <c r="D69" t="s">
        <v>92</v>
      </c>
      <c r="E69" t="s">
        <v>93</v>
      </c>
      <c r="F69" t="s">
        <v>94</v>
      </c>
      <c r="G69" t="s">
        <v>95</v>
      </c>
      <c r="H69" s="12">
        <v>6.2675000000000001</v>
      </c>
      <c r="I69" s="12">
        <v>-75.568600000000004</v>
      </c>
      <c r="J69" t="s">
        <v>129</v>
      </c>
      <c r="K69" t="s">
        <v>97</v>
      </c>
      <c r="L69" t="s">
        <v>98</v>
      </c>
      <c r="M69">
        <v>11</v>
      </c>
      <c r="N69">
        <v>161</v>
      </c>
      <c r="O69">
        <v>254</v>
      </c>
      <c r="P69" s="13">
        <v>304.10000000000002</v>
      </c>
      <c r="Q69" s="13">
        <v>63.4</v>
      </c>
      <c r="R69">
        <v>40</v>
      </c>
      <c r="S69">
        <v>80</v>
      </c>
      <c r="T69" s="13">
        <v>53.4</v>
      </c>
      <c r="U69" s="13">
        <v>80</v>
      </c>
      <c r="V69" t="s">
        <v>99</v>
      </c>
      <c r="X69" s="13">
        <v>304.10000000000002</v>
      </c>
    </row>
    <row r="70" spans="1:24" x14ac:dyDescent="0.25">
      <c r="A70" t="s">
        <v>156</v>
      </c>
      <c r="B70" t="s">
        <v>61</v>
      </c>
      <c r="C70" t="s">
        <v>92</v>
      </c>
      <c r="D70" t="s">
        <v>92</v>
      </c>
      <c r="E70" t="s">
        <v>93</v>
      </c>
      <c r="F70" t="s">
        <v>94</v>
      </c>
      <c r="G70" t="s">
        <v>95</v>
      </c>
      <c r="H70" s="12">
        <v>6.2675000000000001</v>
      </c>
      <c r="I70" s="12">
        <v>-75.568600000000004</v>
      </c>
      <c r="J70" t="s">
        <v>157</v>
      </c>
      <c r="K70" t="s">
        <v>97</v>
      </c>
      <c r="L70" t="s">
        <v>98</v>
      </c>
      <c r="M70">
        <v>11</v>
      </c>
      <c r="N70">
        <v>134</v>
      </c>
      <c r="O70">
        <v>254</v>
      </c>
      <c r="P70" s="13">
        <v>248.1</v>
      </c>
      <c r="Q70" s="13">
        <v>53.7</v>
      </c>
      <c r="R70">
        <v>32</v>
      </c>
      <c r="S70">
        <v>70</v>
      </c>
      <c r="T70" s="13">
        <v>34.5</v>
      </c>
      <c r="U70" s="13">
        <v>74.5</v>
      </c>
      <c r="V70" t="s">
        <v>99</v>
      </c>
      <c r="X70" s="13">
        <v>248.1</v>
      </c>
    </row>
    <row r="71" spans="1:24" x14ac:dyDescent="0.25">
      <c r="A71" t="s">
        <v>158</v>
      </c>
      <c r="B71" t="s">
        <v>61</v>
      </c>
      <c r="C71" t="s">
        <v>92</v>
      </c>
      <c r="D71" t="s">
        <v>92</v>
      </c>
      <c r="E71" t="s">
        <v>93</v>
      </c>
      <c r="F71" t="s">
        <v>94</v>
      </c>
      <c r="G71" t="s">
        <v>95</v>
      </c>
      <c r="H71" s="12">
        <v>6.2675000000000001</v>
      </c>
      <c r="I71" s="12">
        <v>-75.568600000000004</v>
      </c>
      <c r="J71" t="s">
        <v>157</v>
      </c>
      <c r="K71" t="s">
        <v>97</v>
      </c>
      <c r="L71" t="s">
        <v>98</v>
      </c>
      <c r="M71">
        <v>11</v>
      </c>
      <c r="N71">
        <v>153</v>
      </c>
      <c r="O71">
        <v>254</v>
      </c>
      <c r="P71" s="13">
        <v>289.39999999999998</v>
      </c>
      <c r="Q71" s="13">
        <v>75.599999999999994</v>
      </c>
      <c r="R71">
        <v>34</v>
      </c>
      <c r="S71">
        <v>68</v>
      </c>
      <c r="T71" s="13">
        <v>46.6</v>
      </c>
      <c r="U71" s="13">
        <v>80</v>
      </c>
      <c r="V71" t="s">
        <v>99</v>
      </c>
      <c r="X71" s="13">
        <v>289.39999999999998</v>
      </c>
    </row>
    <row r="72" spans="1:24" x14ac:dyDescent="0.25">
      <c r="A72" t="s">
        <v>159</v>
      </c>
      <c r="B72" t="s">
        <v>61</v>
      </c>
      <c r="C72" t="s">
        <v>92</v>
      </c>
      <c r="D72" t="s">
        <v>92</v>
      </c>
      <c r="E72" t="s">
        <v>93</v>
      </c>
      <c r="F72" t="s">
        <v>94</v>
      </c>
      <c r="G72" t="s">
        <v>95</v>
      </c>
      <c r="H72" s="12">
        <v>6.2675000000000001</v>
      </c>
      <c r="I72" s="12">
        <v>-75.568600000000004</v>
      </c>
      <c r="J72" t="s">
        <v>157</v>
      </c>
      <c r="K72" t="s">
        <v>97</v>
      </c>
      <c r="L72" t="s">
        <v>98</v>
      </c>
      <c r="M72">
        <v>11</v>
      </c>
      <c r="N72">
        <v>203</v>
      </c>
      <c r="O72">
        <v>254</v>
      </c>
      <c r="P72" s="13">
        <v>386.4</v>
      </c>
      <c r="Q72" s="13">
        <v>82.9</v>
      </c>
      <c r="R72">
        <v>56</v>
      </c>
      <c r="S72">
        <v>88</v>
      </c>
      <c r="T72" s="13">
        <v>75.900000000000006</v>
      </c>
      <c r="U72" s="13">
        <v>96.4</v>
      </c>
      <c r="V72" t="s">
        <v>99</v>
      </c>
      <c r="X72" s="13">
        <v>386.4</v>
      </c>
    </row>
    <row r="73" spans="1:24" x14ac:dyDescent="0.25">
      <c r="A73" t="s">
        <v>160</v>
      </c>
      <c r="B73" t="s">
        <v>61</v>
      </c>
      <c r="C73" t="s">
        <v>92</v>
      </c>
      <c r="D73" t="s">
        <v>92</v>
      </c>
      <c r="E73" t="s">
        <v>93</v>
      </c>
      <c r="F73" t="s">
        <v>94</v>
      </c>
      <c r="G73" t="s">
        <v>95</v>
      </c>
      <c r="H73" s="12">
        <v>6.2675000000000001</v>
      </c>
      <c r="I73" s="12">
        <v>-75.568600000000004</v>
      </c>
      <c r="J73" t="s">
        <v>157</v>
      </c>
      <c r="K73" t="s">
        <v>97</v>
      </c>
      <c r="L73" t="s">
        <v>98</v>
      </c>
      <c r="M73">
        <v>11</v>
      </c>
      <c r="N73">
        <v>190</v>
      </c>
      <c r="O73">
        <v>254</v>
      </c>
      <c r="P73" s="13">
        <v>356.3</v>
      </c>
      <c r="Q73" s="13">
        <v>73.2</v>
      </c>
      <c r="R73">
        <v>56</v>
      </c>
      <c r="S73">
        <v>82</v>
      </c>
      <c r="T73" s="13">
        <v>65.5</v>
      </c>
      <c r="U73" s="13">
        <v>96.4</v>
      </c>
      <c r="V73" t="s">
        <v>99</v>
      </c>
      <c r="X73" s="13">
        <v>356.3</v>
      </c>
    </row>
    <row r="74" spans="1:24" x14ac:dyDescent="0.25">
      <c r="A74" t="s">
        <v>161</v>
      </c>
      <c r="B74" t="s">
        <v>61</v>
      </c>
      <c r="C74" t="s">
        <v>92</v>
      </c>
      <c r="D74" t="s">
        <v>92</v>
      </c>
      <c r="E74" t="s">
        <v>93</v>
      </c>
      <c r="F74" t="s">
        <v>94</v>
      </c>
      <c r="G74" t="s">
        <v>95</v>
      </c>
      <c r="H74" s="12">
        <v>6.2675000000000001</v>
      </c>
      <c r="I74" s="12">
        <v>-75.568600000000004</v>
      </c>
      <c r="J74" t="s">
        <v>157</v>
      </c>
      <c r="K74" t="s">
        <v>97</v>
      </c>
      <c r="L74" t="s">
        <v>98</v>
      </c>
      <c r="M74">
        <v>11</v>
      </c>
      <c r="N74">
        <v>146</v>
      </c>
      <c r="O74">
        <v>254</v>
      </c>
      <c r="P74" s="13">
        <v>260.3</v>
      </c>
      <c r="Q74" s="13">
        <v>48.8</v>
      </c>
      <c r="R74">
        <v>28</v>
      </c>
      <c r="S74">
        <v>60</v>
      </c>
      <c r="T74" s="13">
        <v>60.3</v>
      </c>
      <c r="U74" s="13">
        <v>85.5</v>
      </c>
      <c r="V74" t="s">
        <v>99</v>
      </c>
      <c r="X74" s="13">
        <v>260.3</v>
      </c>
    </row>
    <row r="75" spans="1:24" x14ac:dyDescent="0.25">
      <c r="A75" t="s">
        <v>162</v>
      </c>
      <c r="B75" t="s">
        <v>61</v>
      </c>
      <c r="C75" t="s">
        <v>92</v>
      </c>
      <c r="D75" t="s">
        <v>92</v>
      </c>
      <c r="E75" t="s">
        <v>93</v>
      </c>
      <c r="F75" t="s">
        <v>94</v>
      </c>
      <c r="G75" t="s">
        <v>95</v>
      </c>
      <c r="H75" s="12">
        <v>6.2675000000000001</v>
      </c>
      <c r="I75" s="12">
        <v>-75.568600000000004</v>
      </c>
      <c r="J75" t="s">
        <v>157</v>
      </c>
      <c r="K75" t="s">
        <v>97</v>
      </c>
      <c r="L75" t="s">
        <v>98</v>
      </c>
      <c r="M75">
        <v>11</v>
      </c>
      <c r="N75">
        <v>224</v>
      </c>
      <c r="O75">
        <v>254</v>
      </c>
      <c r="P75" s="13">
        <v>439.7</v>
      </c>
      <c r="Q75" s="13">
        <v>95.1</v>
      </c>
      <c r="R75">
        <v>78</v>
      </c>
      <c r="S75">
        <v>88</v>
      </c>
      <c r="T75" s="13">
        <v>89.7</v>
      </c>
      <c r="U75" s="13">
        <v>90.9</v>
      </c>
      <c r="V75" t="s">
        <v>99</v>
      </c>
      <c r="X75" s="13">
        <v>439.7</v>
      </c>
    </row>
    <row r="76" spans="1:24" x14ac:dyDescent="0.25">
      <c r="A76" t="s">
        <v>163</v>
      </c>
      <c r="B76" t="s">
        <v>61</v>
      </c>
      <c r="C76" t="s">
        <v>92</v>
      </c>
      <c r="D76" t="s">
        <v>92</v>
      </c>
      <c r="E76" t="s">
        <v>93</v>
      </c>
      <c r="F76" t="s">
        <v>94</v>
      </c>
      <c r="G76" t="s">
        <v>95</v>
      </c>
      <c r="H76" s="12">
        <v>6.2675000000000001</v>
      </c>
      <c r="I76" s="12">
        <v>-75.568600000000004</v>
      </c>
      <c r="J76" t="s">
        <v>157</v>
      </c>
      <c r="K76" t="s">
        <v>97</v>
      </c>
      <c r="L76" t="s">
        <v>98</v>
      </c>
      <c r="M76">
        <v>11</v>
      </c>
      <c r="N76">
        <v>135</v>
      </c>
      <c r="O76">
        <v>254</v>
      </c>
      <c r="P76" s="13">
        <v>268.60000000000002</v>
      </c>
      <c r="Q76" s="13">
        <v>61</v>
      </c>
      <c r="R76">
        <v>44</v>
      </c>
      <c r="S76">
        <v>70</v>
      </c>
      <c r="T76" s="13">
        <v>39.700000000000003</v>
      </c>
      <c r="U76" s="13">
        <v>54.5</v>
      </c>
      <c r="V76" t="s">
        <v>99</v>
      </c>
      <c r="X76" s="13">
        <v>268.60000000000002</v>
      </c>
    </row>
    <row r="77" spans="1:24" x14ac:dyDescent="0.25">
      <c r="A77" t="s">
        <v>164</v>
      </c>
      <c r="B77" t="s">
        <v>61</v>
      </c>
      <c r="C77" t="s">
        <v>92</v>
      </c>
      <c r="D77" t="s">
        <v>92</v>
      </c>
      <c r="E77" t="s">
        <v>93</v>
      </c>
      <c r="F77" t="s">
        <v>94</v>
      </c>
      <c r="G77" t="s">
        <v>95</v>
      </c>
      <c r="H77" s="12">
        <v>6.2675000000000001</v>
      </c>
      <c r="I77" s="12">
        <v>-75.568600000000004</v>
      </c>
      <c r="J77" t="s">
        <v>157</v>
      </c>
      <c r="K77" t="s">
        <v>97</v>
      </c>
      <c r="L77" t="s">
        <v>98</v>
      </c>
      <c r="M77">
        <v>11</v>
      </c>
      <c r="N77">
        <v>128</v>
      </c>
      <c r="O77">
        <v>254</v>
      </c>
      <c r="P77" s="13">
        <v>237.7</v>
      </c>
      <c r="Q77" s="13">
        <v>48.8</v>
      </c>
      <c r="R77">
        <v>40</v>
      </c>
      <c r="S77">
        <v>50</v>
      </c>
      <c r="T77" s="13">
        <v>44.8</v>
      </c>
      <c r="U77" s="13">
        <v>67.3</v>
      </c>
      <c r="V77" t="s">
        <v>99</v>
      </c>
      <c r="X77" s="13">
        <v>237.7</v>
      </c>
    </row>
    <row r="78" spans="1:24" x14ac:dyDescent="0.25">
      <c r="A78" t="s">
        <v>165</v>
      </c>
      <c r="B78" t="s">
        <v>61</v>
      </c>
      <c r="C78" t="s">
        <v>92</v>
      </c>
      <c r="D78" t="s">
        <v>92</v>
      </c>
      <c r="E78" t="s">
        <v>93</v>
      </c>
      <c r="F78" t="s">
        <v>94</v>
      </c>
      <c r="G78" t="s">
        <v>95</v>
      </c>
      <c r="H78" s="12">
        <v>6.2675000000000001</v>
      </c>
      <c r="I78" s="12">
        <v>-75.568600000000004</v>
      </c>
      <c r="J78" t="s">
        <v>157</v>
      </c>
      <c r="K78" t="s">
        <v>97</v>
      </c>
      <c r="L78" t="s">
        <v>98</v>
      </c>
      <c r="M78">
        <v>11</v>
      </c>
      <c r="N78">
        <v>173</v>
      </c>
      <c r="O78">
        <v>254</v>
      </c>
      <c r="P78" s="13">
        <v>327.10000000000002</v>
      </c>
      <c r="Q78" s="13">
        <v>78</v>
      </c>
      <c r="R78">
        <v>36</v>
      </c>
      <c r="S78">
        <v>88</v>
      </c>
      <c r="T78" s="13">
        <v>51.7</v>
      </c>
      <c r="U78" s="13">
        <v>89.1</v>
      </c>
      <c r="V78" t="s">
        <v>99</v>
      </c>
      <c r="X78" s="13">
        <v>327.10000000000002</v>
      </c>
    </row>
    <row r="79" spans="1:24" x14ac:dyDescent="0.25">
      <c r="A79" t="s">
        <v>166</v>
      </c>
      <c r="B79" t="s">
        <v>61</v>
      </c>
      <c r="C79" t="s">
        <v>92</v>
      </c>
      <c r="D79" t="s">
        <v>92</v>
      </c>
      <c r="E79" t="s">
        <v>93</v>
      </c>
      <c r="F79" t="s">
        <v>94</v>
      </c>
      <c r="G79" t="s">
        <v>95</v>
      </c>
      <c r="H79" s="12">
        <v>6.2675000000000001</v>
      </c>
      <c r="I79" s="12">
        <v>-75.568600000000004</v>
      </c>
      <c r="J79" t="s">
        <v>157</v>
      </c>
      <c r="K79" t="s">
        <v>97</v>
      </c>
      <c r="L79" t="s">
        <v>98</v>
      </c>
      <c r="M79">
        <v>11</v>
      </c>
      <c r="N79">
        <v>114</v>
      </c>
      <c r="O79">
        <v>254</v>
      </c>
      <c r="P79" s="13">
        <v>219.6</v>
      </c>
      <c r="Q79" s="13">
        <v>65.900000000000006</v>
      </c>
      <c r="R79">
        <v>34</v>
      </c>
      <c r="S79">
        <v>40</v>
      </c>
      <c r="T79" s="13">
        <v>31</v>
      </c>
      <c r="U79" s="13">
        <v>58.2</v>
      </c>
      <c r="V79" t="s">
        <v>99</v>
      </c>
      <c r="X79" s="13">
        <v>219.6</v>
      </c>
    </row>
    <row r="80" spans="1:24" x14ac:dyDescent="0.25">
      <c r="A80" t="s">
        <v>167</v>
      </c>
      <c r="B80" t="s">
        <v>61</v>
      </c>
      <c r="C80" t="s">
        <v>92</v>
      </c>
      <c r="D80" t="s">
        <v>92</v>
      </c>
      <c r="E80" t="s">
        <v>93</v>
      </c>
      <c r="F80" t="s">
        <v>94</v>
      </c>
      <c r="G80" t="s">
        <v>95</v>
      </c>
      <c r="H80" s="12">
        <v>6.2675000000000001</v>
      </c>
      <c r="I80" s="12">
        <v>-75.568600000000004</v>
      </c>
      <c r="J80" t="s">
        <v>157</v>
      </c>
      <c r="K80" t="s">
        <v>97</v>
      </c>
      <c r="L80" t="s">
        <v>98</v>
      </c>
      <c r="M80">
        <v>11</v>
      </c>
      <c r="N80">
        <v>156</v>
      </c>
      <c r="O80">
        <v>254</v>
      </c>
      <c r="P80" s="13">
        <v>290.3</v>
      </c>
      <c r="Q80" s="13">
        <v>68.3</v>
      </c>
      <c r="R80">
        <v>48</v>
      </c>
      <c r="S80">
        <v>54</v>
      </c>
      <c r="T80" s="13">
        <v>53.4</v>
      </c>
      <c r="U80" s="13">
        <v>83.6</v>
      </c>
      <c r="V80" t="s">
        <v>99</v>
      </c>
      <c r="X80" s="13">
        <v>290.3</v>
      </c>
    </row>
    <row r="81" spans="1:24" x14ac:dyDescent="0.25">
      <c r="A81" t="s">
        <v>168</v>
      </c>
      <c r="B81" t="s">
        <v>61</v>
      </c>
      <c r="C81" t="s">
        <v>92</v>
      </c>
      <c r="D81" t="s">
        <v>92</v>
      </c>
      <c r="E81" t="s">
        <v>93</v>
      </c>
      <c r="F81" t="s">
        <v>94</v>
      </c>
      <c r="G81" t="s">
        <v>95</v>
      </c>
      <c r="H81" s="12">
        <v>6.2675000000000001</v>
      </c>
      <c r="I81" s="12">
        <v>-75.568600000000004</v>
      </c>
      <c r="J81" t="s">
        <v>157</v>
      </c>
      <c r="K81" t="s">
        <v>97</v>
      </c>
      <c r="L81" t="s">
        <v>98</v>
      </c>
      <c r="M81">
        <v>11</v>
      </c>
      <c r="N81">
        <v>131</v>
      </c>
      <c r="O81">
        <v>254</v>
      </c>
      <c r="P81" s="13">
        <v>269.60000000000002</v>
      </c>
      <c r="Q81" s="13">
        <v>63.4</v>
      </c>
      <c r="R81">
        <v>46</v>
      </c>
      <c r="S81">
        <v>62</v>
      </c>
      <c r="T81" s="13">
        <v>48.3</v>
      </c>
      <c r="U81" s="13">
        <v>41.8</v>
      </c>
      <c r="V81" t="s">
        <v>99</v>
      </c>
      <c r="X81" s="13">
        <v>269.60000000000002</v>
      </c>
    </row>
    <row r="82" spans="1:24" x14ac:dyDescent="0.25">
      <c r="A82" t="s">
        <v>169</v>
      </c>
      <c r="B82" t="s">
        <v>61</v>
      </c>
      <c r="C82" t="s">
        <v>92</v>
      </c>
      <c r="D82" t="s">
        <v>92</v>
      </c>
      <c r="E82" t="s">
        <v>93</v>
      </c>
      <c r="F82" t="s">
        <v>94</v>
      </c>
      <c r="G82" t="s">
        <v>95</v>
      </c>
      <c r="H82" s="12">
        <v>6.2675000000000001</v>
      </c>
      <c r="I82" s="12">
        <v>-75.568600000000004</v>
      </c>
      <c r="J82" t="s">
        <v>157</v>
      </c>
      <c r="K82" t="s">
        <v>97</v>
      </c>
      <c r="L82" t="s">
        <v>98</v>
      </c>
      <c r="M82">
        <v>11</v>
      </c>
      <c r="N82">
        <v>183</v>
      </c>
      <c r="O82">
        <v>254</v>
      </c>
      <c r="P82" s="13">
        <v>337.9</v>
      </c>
      <c r="Q82" s="13">
        <v>56.1</v>
      </c>
      <c r="R82">
        <v>68</v>
      </c>
      <c r="S82">
        <v>70</v>
      </c>
      <c r="T82" s="13">
        <v>67.2</v>
      </c>
      <c r="U82" s="13">
        <v>94.5</v>
      </c>
      <c r="V82" t="s">
        <v>99</v>
      </c>
      <c r="X82" s="13">
        <v>337.9</v>
      </c>
    </row>
    <row r="83" spans="1:24" x14ac:dyDescent="0.25">
      <c r="A83" t="s">
        <v>170</v>
      </c>
      <c r="B83" t="s">
        <v>61</v>
      </c>
      <c r="C83" t="s">
        <v>92</v>
      </c>
      <c r="D83" t="s">
        <v>92</v>
      </c>
      <c r="E83" t="s">
        <v>93</v>
      </c>
      <c r="F83" t="s">
        <v>94</v>
      </c>
      <c r="G83" t="s">
        <v>95</v>
      </c>
      <c r="H83" s="12">
        <v>6.2675000000000001</v>
      </c>
      <c r="I83" s="12">
        <v>-75.568600000000004</v>
      </c>
      <c r="J83" t="s">
        <v>157</v>
      </c>
      <c r="K83" t="s">
        <v>97</v>
      </c>
      <c r="L83" t="s">
        <v>98</v>
      </c>
      <c r="M83">
        <v>11</v>
      </c>
      <c r="N83">
        <v>132</v>
      </c>
      <c r="O83">
        <v>254</v>
      </c>
      <c r="P83" s="13">
        <v>246.1</v>
      </c>
      <c r="Q83" s="13">
        <v>63.4</v>
      </c>
      <c r="R83">
        <v>32</v>
      </c>
      <c r="S83">
        <v>54</v>
      </c>
      <c r="T83" s="13">
        <v>39.700000000000003</v>
      </c>
      <c r="U83" s="13">
        <v>72.7</v>
      </c>
      <c r="V83" t="s">
        <v>99</v>
      </c>
      <c r="X83" s="13">
        <v>246.1</v>
      </c>
    </row>
    <row r="84" spans="1:24" x14ac:dyDescent="0.25">
      <c r="A84" t="s">
        <v>171</v>
      </c>
      <c r="B84" t="s">
        <v>61</v>
      </c>
      <c r="C84" t="s">
        <v>92</v>
      </c>
      <c r="D84" t="s">
        <v>92</v>
      </c>
      <c r="E84" t="s">
        <v>93</v>
      </c>
      <c r="F84" t="s">
        <v>94</v>
      </c>
      <c r="G84" t="s">
        <v>95</v>
      </c>
      <c r="H84" s="12">
        <v>6.2675000000000001</v>
      </c>
      <c r="I84" s="12">
        <v>-75.568600000000004</v>
      </c>
      <c r="J84" t="s">
        <v>157</v>
      </c>
      <c r="K84" t="s">
        <v>97</v>
      </c>
      <c r="L84" t="s">
        <v>98</v>
      </c>
      <c r="M84">
        <v>11</v>
      </c>
      <c r="N84">
        <v>145</v>
      </c>
      <c r="O84">
        <v>254</v>
      </c>
      <c r="P84" s="13">
        <v>265.89999999999998</v>
      </c>
      <c r="Q84" s="13">
        <v>56.1</v>
      </c>
      <c r="R84">
        <v>40</v>
      </c>
      <c r="S84">
        <v>72</v>
      </c>
      <c r="T84" s="13">
        <v>34.5</v>
      </c>
      <c r="U84" s="13">
        <v>83.6</v>
      </c>
      <c r="V84" t="s">
        <v>99</v>
      </c>
      <c r="X84" s="13">
        <v>265.89999999999998</v>
      </c>
    </row>
    <row r="85" spans="1:24" x14ac:dyDescent="0.25">
      <c r="A85" t="s">
        <v>172</v>
      </c>
      <c r="B85" t="s">
        <v>61</v>
      </c>
      <c r="C85" t="s">
        <v>92</v>
      </c>
      <c r="D85" t="s">
        <v>92</v>
      </c>
      <c r="E85" t="s">
        <v>93</v>
      </c>
      <c r="F85" t="s">
        <v>94</v>
      </c>
      <c r="G85" t="s">
        <v>95</v>
      </c>
      <c r="H85" s="12">
        <v>6.2675000000000001</v>
      </c>
      <c r="I85" s="12">
        <v>-75.568600000000004</v>
      </c>
      <c r="J85" t="s">
        <v>157</v>
      </c>
      <c r="K85" t="s">
        <v>97</v>
      </c>
      <c r="L85" t="s">
        <v>98</v>
      </c>
      <c r="M85">
        <v>11</v>
      </c>
      <c r="N85">
        <v>145</v>
      </c>
      <c r="O85">
        <v>254</v>
      </c>
      <c r="P85" s="13">
        <v>287.60000000000002</v>
      </c>
      <c r="Q85" s="13">
        <v>65.900000000000006</v>
      </c>
      <c r="R85">
        <v>38</v>
      </c>
      <c r="S85">
        <v>68</v>
      </c>
      <c r="T85" s="13">
        <v>58.6</v>
      </c>
      <c r="U85" s="13">
        <v>56.4</v>
      </c>
      <c r="V85" t="s">
        <v>99</v>
      </c>
      <c r="X85" s="13">
        <v>287.60000000000002</v>
      </c>
    </row>
    <row r="86" spans="1:24" x14ac:dyDescent="0.25">
      <c r="A86" t="s">
        <v>173</v>
      </c>
      <c r="B86" t="s">
        <v>61</v>
      </c>
      <c r="C86" t="s">
        <v>92</v>
      </c>
      <c r="D86" t="s">
        <v>92</v>
      </c>
      <c r="E86" t="s">
        <v>93</v>
      </c>
      <c r="F86" t="s">
        <v>94</v>
      </c>
      <c r="G86" t="s">
        <v>95</v>
      </c>
      <c r="H86" s="12">
        <v>6.2675000000000001</v>
      </c>
      <c r="I86" s="12">
        <v>-75.568600000000004</v>
      </c>
      <c r="J86" t="s">
        <v>157</v>
      </c>
      <c r="K86" t="s">
        <v>97</v>
      </c>
      <c r="L86" t="s">
        <v>98</v>
      </c>
      <c r="M86">
        <v>11</v>
      </c>
      <c r="N86">
        <v>152</v>
      </c>
      <c r="O86">
        <v>254</v>
      </c>
      <c r="P86" s="13">
        <v>282.2</v>
      </c>
      <c r="Q86" s="13">
        <v>61</v>
      </c>
      <c r="R86">
        <v>38</v>
      </c>
      <c r="S86">
        <v>62</v>
      </c>
      <c r="T86" s="13">
        <v>56.9</v>
      </c>
      <c r="U86" s="13">
        <v>80</v>
      </c>
      <c r="V86" t="s">
        <v>99</v>
      </c>
      <c r="X86" s="13">
        <v>282.2</v>
      </c>
    </row>
    <row r="87" spans="1:24" x14ac:dyDescent="0.25">
      <c r="A87" t="s">
        <v>174</v>
      </c>
      <c r="B87" t="s">
        <v>61</v>
      </c>
      <c r="C87" t="s">
        <v>92</v>
      </c>
      <c r="D87" t="s">
        <v>92</v>
      </c>
      <c r="E87" t="s">
        <v>93</v>
      </c>
      <c r="F87" t="s">
        <v>94</v>
      </c>
      <c r="G87" t="s">
        <v>95</v>
      </c>
      <c r="H87" s="12">
        <v>6.2675000000000001</v>
      </c>
      <c r="I87" s="12">
        <v>-75.568600000000004</v>
      </c>
      <c r="J87" t="s">
        <v>157</v>
      </c>
      <c r="K87" t="s">
        <v>97</v>
      </c>
      <c r="L87" t="s">
        <v>98</v>
      </c>
      <c r="M87">
        <v>11</v>
      </c>
      <c r="N87">
        <v>115</v>
      </c>
      <c r="O87">
        <v>254</v>
      </c>
      <c r="P87" s="13">
        <v>218</v>
      </c>
      <c r="Q87" s="13">
        <v>48.8</v>
      </c>
      <c r="R87">
        <v>24</v>
      </c>
      <c r="S87">
        <v>48</v>
      </c>
      <c r="T87" s="13">
        <v>50</v>
      </c>
      <c r="U87" s="13">
        <v>54.5</v>
      </c>
      <c r="V87" t="s">
        <v>99</v>
      </c>
      <c r="X87" s="13">
        <v>218</v>
      </c>
    </row>
    <row r="88" spans="1:24" x14ac:dyDescent="0.25">
      <c r="A88" t="s">
        <v>175</v>
      </c>
      <c r="B88" t="s">
        <v>61</v>
      </c>
      <c r="C88" t="s">
        <v>92</v>
      </c>
      <c r="D88" t="s">
        <v>92</v>
      </c>
      <c r="E88" t="s">
        <v>93</v>
      </c>
      <c r="F88" t="s">
        <v>94</v>
      </c>
      <c r="G88" t="s">
        <v>95</v>
      </c>
      <c r="H88" s="12">
        <v>6.2675000000000001</v>
      </c>
      <c r="I88" s="12">
        <v>-75.568600000000004</v>
      </c>
      <c r="J88" t="s">
        <v>157</v>
      </c>
      <c r="K88" t="s">
        <v>97</v>
      </c>
      <c r="L88" t="s">
        <v>98</v>
      </c>
      <c r="M88">
        <v>11</v>
      </c>
      <c r="N88">
        <v>160</v>
      </c>
      <c r="O88">
        <v>254</v>
      </c>
      <c r="P88" s="13">
        <v>313</v>
      </c>
      <c r="Q88" s="13">
        <v>75.599999999999994</v>
      </c>
      <c r="R88">
        <v>42</v>
      </c>
      <c r="S88">
        <v>72</v>
      </c>
      <c r="T88" s="13">
        <v>58.6</v>
      </c>
      <c r="U88" s="13">
        <v>69.099999999999994</v>
      </c>
      <c r="V88" t="s">
        <v>99</v>
      </c>
      <c r="X88" s="13">
        <v>313</v>
      </c>
    </row>
    <row r="89" spans="1:24" x14ac:dyDescent="0.25">
      <c r="A89" t="s">
        <v>176</v>
      </c>
      <c r="B89" t="s">
        <v>61</v>
      </c>
      <c r="C89" t="s">
        <v>92</v>
      </c>
      <c r="D89" t="s">
        <v>92</v>
      </c>
      <c r="E89" t="s">
        <v>93</v>
      </c>
      <c r="F89" t="s">
        <v>94</v>
      </c>
      <c r="G89" t="s">
        <v>95</v>
      </c>
      <c r="H89" s="12">
        <v>6.2675000000000001</v>
      </c>
      <c r="I89" s="12">
        <v>-75.568600000000004</v>
      </c>
      <c r="J89" t="s">
        <v>157</v>
      </c>
      <c r="K89" t="s">
        <v>97</v>
      </c>
      <c r="L89" t="s">
        <v>98</v>
      </c>
      <c r="M89">
        <v>11</v>
      </c>
      <c r="N89">
        <v>152</v>
      </c>
      <c r="O89">
        <v>254</v>
      </c>
      <c r="P89" s="13">
        <v>287.2</v>
      </c>
      <c r="Q89" s="13">
        <v>68.3</v>
      </c>
      <c r="R89">
        <v>38</v>
      </c>
      <c r="S89">
        <v>70</v>
      </c>
      <c r="T89" s="13">
        <v>46.6</v>
      </c>
      <c r="U89" s="13">
        <v>78.2</v>
      </c>
      <c r="V89" t="s">
        <v>99</v>
      </c>
      <c r="X89" s="13">
        <v>287.2</v>
      </c>
    </row>
    <row r="90" spans="1:24" x14ac:dyDescent="0.25">
      <c r="A90" t="s">
        <v>177</v>
      </c>
      <c r="B90" t="s">
        <v>61</v>
      </c>
      <c r="C90" t="s">
        <v>92</v>
      </c>
      <c r="D90" t="s">
        <v>92</v>
      </c>
      <c r="E90" t="s">
        <v>93</v>
      </c>
      <c r="F90" t="s">
        <v>94</v>
      </c>
      <c r="G90" t="s">
        <v>95</v>
      </c>
      <c r="H90" s="12">
        <v>6.2675000000000001</v>
      </c>
      <c r="I90" s="12">
        <v>-75.568600000000004</v>
      </c>
      <c r="J90" t="s">
        <v>157</v>
      </c>
      <c r="K90" t="s">
        <v>97</v>
      </c>
      <c r="L90" t="s">
        <v>98</v>
      </c>
      <c r="M90">
        <v>11</v>
      </c>
      <c r="N90">
        <v>99</v>
      </c>
      <c r="O90">
        <v>254</v>
      </c>
      <c r="P90" s="13">
        <v>206.6</v>
      </c>
      <c r="Q90" s="13">
        <v>58.5</v>
      </c>
      <c r="R90">
        <v>20</v>
      </c>
      <c r="S90">
        <v>54</v>
      </c>
      <c r="T90" s="13">
        <v>36.200000000000003</v>
      </c>
      <c r="U90" s="13">
        <v>30.9</v>
      </c>
      <c r="V90" t="s">
        <v>99</v>
      </c>
      <c r="X90" s="13">
        <v>206.6</v>
      </c>
    </row>
    <row r="91" spans="1:24" x14ac:dyDescent="0.25">
      <c r="A91" t="s">
        <v>178</v>
      </c>
      <c r="B91" t="s">
        <v>61</v>
      </c>
      <c r="C91" t="s">
        <v>92</v>
      </c>
      <c r="D91" t="s">
        <v>92</v>
      </c>
      <c r="E91" t="s">
        <v>93</v>
      </c>
      <c r="F91" t="s">
        <v>94</v>
      </c>
      <c r="G91" t="s">
        <v>95</v>
      </c>
      <c r="H91" s="12">
        <v>6.2675000000000001</v>
      </c>
      <c r="I91" s="12">
        <v>-75.568600000000004</v>
      </c>
      <c r="J91" t="s">
        <v>157</v>
      </c>
      <c r="K91" t="s">
        <v>97</v>
      </c>
      <c r="L91" t="s">
        <v>98</v>
      </c>
      <c r="M91">
        <v>11</v>
      </c>
      <c r="N91">
        <v>137</v>
      </c>
      <c r="O91">
        <v>254</v>
      </c>
      <c r="P91" s="13">
        <v>239.9</v>
      </c>
      <c r="Q91" s="13">
        <v>48.8</v>
      </c>
      <c r="R91">
        <v>30</v>
      </c>
      <c r="S91">
        <v>50</v>
      </c>
      <c r="T91" s="13">
        <v>50</v>
      </c>
      <c r="U91" s="13">
        <v>87.3</v>
      </c>
      <c r="V91" t="s">
        <v>99</v>
      </c>
      <c r="X91" s="13">
        <v>239.9</v>
      </c>
    </row>
    <row r="92" spans="1:24" x14ac:dyDescent="0.25">
      <c r="A92" t="s">
        <v>179</v>
      </c>
      <c r="B92" t="s">
        <v>61</v>
      </c>
      <c r="C92" t="s">
        <v>92</v>
      </c>
      <c r="D92" t="s">
        <v>92</v>
      </c>
      <c r="E92" t="s">
        <v>93</v>
      </c>
      <c r="F92" t="s">
        <v>94</v>
      </c>
      <c r="G92" t="s">
        <v>95</v>
      </c>
      <c r="H92" s="12">
        <v>6.2675000000000001</v>
      </c>
      <c r="I92" s="12">
        <v>-75.568600000000004</v>
      </c>
      <c r="J92" t="s">
        <v>157</v>
      </c>
      <c r="K92" t="s">
        <v>97</v>
      </c>
      <c r="L92" t="s">
        <v>98</v>
      </c>
      <c r="M92">
        <v>11</v>
      </c>
      <c r="N92">
        <v>153</v>
      </c>
      <c r="O92">
        <v>254</v>
      </c>
      <c r="P92" s="13">
        <v>289.3</v>
      </c>
      <c r="Q92" s="13">
        <v>61</v>
      </c>
      <c r="R92">
        <v>34</v>
      </c>
      <c r="S92">
        <v>66</v>
      </c>
      <c r="T92" s="13">
        <v>65.5</v>
      </c>
      <c r="U92" s="13">
        <v>72.7</v>
      </c>
      <c r="V92" t="s">
        <v>99</v>
      </c>
      <c r="X92" s="13">
        <v>289.3</v>
      </c>
    </row>
    <row r="93" spans="1:24" x14ac:dyDescent="0.25">
      <c r="A93" t="s">
        <v>180</v>
      </c>
      <c r="B93" t="s">
        <v>61</v>
      </c>
      <c r="C93" t="s">
        <v>92</v>
      </c>
      <c r="D93" t="s">
        <v>92</v>
      </c>
      <c r="E93" t="s">
        <v>93</v>
      </c>
      <c r="F93" t="s">
        <v>94</v>
      </c>
      <c r="G93" t="s">
        <v>95</v>
      </c>
      <c r="H93" s="12">
        <v>6.2675000000000001</v>
      </c>
      <c r="I93" s="12">
        <v>-75.568600000000004</v>
      </c>
      <c r="J93" t="s">
        <v>157</v>
      </c>
      <c r="K93" t="s">
        <v>97</v>
      </c>
      <c r="L93" t="s">
        <v>98</v>
      </c>
      <c r="M93">
        <v>11</v>
      </c>
      <c r="N93">
        <v>221</v>
      </c>
      <c r="O93">
        <v>254</v>
      </c>
      <c r="P93" s="13">
        <v>429.4</v>
      </c>
      <c r="Q93" s="13">
        <v>80.5</v>
      </c>
      <c r="R93">
        <v>82</v>
      </c>
      <c r="S93">
        <v>96</v>
      </c>
      <c r="T93" s="13">
        <v>82.8</v>
      </c>
      <c r="U93" s="13">
        <v>92.7</v>
      </c>
      <c r="V93" t="s">
        <v>99</v>
      </c>
      <c r="X93" s="13">
        <v>429.4</v>
      </c>
    </row>
    <row r="94" spans="1:24" x14ac:dyDescent="0.25">
      <c r="A94" t="s">
        <v>181</v>
      </c>
      <c r="B94" t="s">
        <v>61</v>
      </c>
      <c r="C94" t="s">
        <v>92</v>
      </c>
      <c r="D94" t="s">
        <v>92</v>
      </c>
      <c r="E94" t="s">
        <v>93</v>
      </c>
      <c r="F94" t="s">
        <v>94</v>
      </c>
      <c r="G94" t="s">
        <v>95</v>
      </c>
      <c r="H94" s="12">
        <v>6.2675000000000001</v>
      </c>
      <c r="I94" s="12">
        <v>-75.568600000000004</v>
      </c>
      <c r="J94" t="s">
        <v>157</v>
      </c>
      <c r="K94" t="s">
        <v>97</v>
      </c>
      <c r="L94" t="s">
        <v>98</v>
      </c>
      <c r="M94">
        <v>11</v>
      </c>
      <c r="N94">
        <v>192</v>
      </c>
      <c r="O94">
        <v>254</v>
      </c>
      <c r="P94" s="13">
        <v>360.5</v>
      </c>
      <c r="Q94" s="13">
        <v>75.599999999999994</v>
      </c>
      <c r="R94">
        <v>68</v>
      </c>
      <c r="S94">
        <v>74</v>
      </c>
      <c r="T94" s="13">
        <v>62.1</v>
      </c>
      <c r="U94" s="13">
        <v>98.2</v>
      </c>
      <c r="V94" t="s">
        <v>99</v>
      </c>
      <c r="X94" s="13">
        <v>360.5</v>
      </c>
    </row>
    <row r="95" spans="1:24" x14ac:dyDescent="0.25">
      <c r="A95" t="s">
        <v>182</v>
      </c>
      <c r="B95" t="s">
        <v>61</v>
      </c>
      <c r="C95" t="s">
        <v>92</v>
      </c>
      <c r="D95" t="s">
        <v>92</v>
      </c>
      <c r="E95" t="s">
        <v>93</v>
      </c>
      <c r="F95" t="s">
        <v>94</v>
      </c>
      <c r="G95" t="s">
        <v>95</v>
      </c>
      <c r="H95" s="12">
        <v>6.2675000000000001</v>
      </c>
      <c r="I95" s="12">
        <v>-75.568600000000004</v>
      </c>
      <c r="J95" t="s">
        <v>157</v>
      </c>
      <c r="K95" t="s">
        <v>97</v>
      </c>
      <c r="L95" t="s">
        <v>98</v>
      </c>
      <c r="M95">
        <v>11</v>
      </c>
      <c r="N95">
        <v>202</v>
      </c>
      <c r="O95">
        <v>254</v>
      </c>
      <c r="P95" s="13">
        <v>391.2</v>
      </c>
      <c r="Q95" s="13">
        <v>82.9</v>
      </c>
      <c r="R95">
        <v>70</v>
      </c>
      <c r="S95">
        <v>84</v>
      </c>
      <c r="T95" s="13">
        <v>72.400000000000006</v>
      </c>
      <c r="U95" s="13">
        <v>89.1</v>
      </c>
      <c r="V95" t="s">
        <v>99</v>
      </c>
      <c r="X95" s="13">
        <v>391.2</v>
      </c>
    </row>
    <row r="96" spans="1:24" x14ac:dyDescent="0.25">
      <c r="A96" t="s">
        <v>183</v>
      </c>
      <c r="B96" t="s">
        <v>61</v>
      </c>
      <c r="C96" t="s">
        <v>92</v>
      </c>
      <c r="D96" t="s">
        <v>92</v>
      </c>
      <c r="E96" t="s">
        <v>93</v>
      </c>
      <c r="F96" t="s">
        <v>94</v>
      </c>
      <c r="G96" t="s">
        <v>95</v>
      </c>
      <c r="H96" s="12">
        <v>6.2675000000000001</v>
      </c>
      <c r="I96" s="12">
        <v>-75.568600000000004</v>
      </c>
      <c r="J96" t="s">
        <v>157</v>
      </c>
      <c r="K96" t="s">
        <v>97</v>
      </c>
      <c r="L96" t="s">
        <v>98</v>
      </c>
      <c r="M96">
        <v>11</v>
      </c>
      <c r="N96">
        <v>150</v>
      </c>
      <c r="O96">
        <v>254</v>
      </c>
      <c r="P96" s="13">
        <v>289</v>
      </c>
      <c r="Q96" s="13">
        <v>68.3</v>
      </c>
      <c r="R96">
        <v>38</v>
      </c>
      <c r="S96">
        <v>82</v>
      </c>
      <c r="T96" s="13">
        <v>37.9</v>
      </c>
      <c r="U96" s="13">
        <v>72.7</v>
      </c>
      <c r="V96" t="s">
        <v>99</v>
      </c>
      <c r="X96" s="13">
        <v>289</v>
      </c>
    </row>
    <row r="97" spans="1:24" x14ac:dyDescent="0.25">
      <c r="A97" t="s">
        <v>184</v>
      </c>
      <c r="B97" t="s">
        <v>61</v>
      </c>
      <c r="C97" t="s">
        <v>92</v>
      </c>
      <c r="D97" t="s">
        <v>92</v>
      </c>
      <c r="E97" t="s">
        <v>93</v>
      </c>
      <c r="F97" t="s">
        <v>94</v>
      </c>
      <c r="G97" t="s">
        <v>95</v>
      </c>
      <c r="H97" s="12">
        <v>6.2675000000000001</v>
      </c>
      <c r="I97" s="12">
        <v>-75.568600000000004</v>
      </c>
      <c r="J97" t="s">
        <v>157</v>
      </c>
      <c r="K97" t="s">
        <v>97</v>
      </c>
      <c r="L97" t="s">
        <v>98</v>
      </c>
      <c r="M97">
        <v>11</v>
      </c>
      <c r="N97">
        <v>160</v>
      </c>
      <c r="O97">
        <v>254</v>
      </c>
      <c r="P97" s="13">
        <v>317.3</v>
      </c>
      <c r="Q97" s="13">
        <v>73.2</v>
      </c>
      <c r="R97">
        <v>38</v>
      </c>
      <c r="S97">
        <v>84</v>
      </c>
      <c r="T97" s="13">
        <v>58.6</v>
      </c>
      <c r="U97" s="13">
        <v>63.6</v>
      </c>
      <c r="V97" t="s">
        <v>99</v>
      </c>
      <c r="X97" s="13">
        <v>317.3</v>
      </c>
    </row>
    <row r="98" spans="1:24" x14ac:dyDescent="0.25">
      <c r="A98" t="s">
        <v>185</v>
      </c>
      <c r="B98" t="s">
        <v>61</v>
      </c>
      <c r="C98" t="s">
        <v>92</v>
      </c>
      <c r="D98" t="s">
        <v>92</v>
      </c>
      <c r="E98" t="s">
        <v>93</v>
      </c>
      <c r="F98" t="s">
        <v>94</v>
      </c>
      <c r="G98" t="s">
        <v>95</v>
      </c>
      <c r="H98" s="12">
        <v>6.2675000000000001</v>
      </c>
      <c r="I98" s="12">
        <v>-75.568600000000004</v>
      </c>
      <c r="J98" t="s">
        <v>157</v>
      </c>
      <c r="K98" t="s">
        <v>97</v>
      </c>
      <c r="L98" t="s">
        <v>98</v>
      </c>
      <c r="M98">
        <v>11</v>
      </c>
      <c r="N98">
        <v>143</v>
      </c>
      <c r="O98">
        <v>254</v>
      </c>
      <c r="P98" s="13">
        <v>254.9</v>
      </c>
      <c r="Q98" s="13">
        <v>56.1</v>
      </c>
      <c r="R98">
        <v>40</v>
      </c>
      <c r="S98">
        <v>44</v>
      </c>
      <c r="T98" s="13">
        <v>51.7</v>
      </c>
      <c r="U98" s="13">
        <v>87.3</v>
      </c>
      <c r="V98" t="s">
        <v>99</v>
      </c>
      <c r="X98" s="13">
        <v>254.9</v>
      </c>
    </row>
    <row r="99" spans="1:24" x14ac:dyDescent="0.25">
      <c r="A99" t="s">
        <v>186</v>
      </c>
      <c r="B99" t="s">
        <v>61</v>
      </c>
      <c r="C99" t="s">
        <v>92</v>
      </c>
      <c r="D99" t="s">
        <v>92</v>
      </c>
      <c r="E99" t="s">
        <v>93</v>
      </c>
      <c r="F99" t="s">
        <v>94</v>
      </c>
      <c r="G99" t="s">
        <v>95</v>
      </c>
      <c r="H99" s="12">
        <v>6.2675000000000001</v>
      </c>
      <c r="I99" s="12">
        <v>-75.568600000000004</v>
      </c>
      <c r="J99" t="s">
        <v>157</v>
      </c>
      <c r="K99" t="s">
        <v>97</v>
      </c>
      <c r="L99" t="s">
        <v>98</v>
      </c>
      <c r="M99">
        <v>11</v>
      </c>
      <c r="N99">
        <v>167</v>
      </c>
      <c r="O99">
        <v>254</v>
      </c>
      <c r="P99" s="13">
        <v>308.39999999999998</v>
      </c>
      <c r="Q99" s="13">
        <v>61</v>
      </c>
      <c r="R99">
        <v>54</v>
      </c>
      <c r="S99">
        <v>56</v>
      </c>
      <c r="T99" s="13">
        <v>67.2</v>
      </c>
      <c r="U99" s="13">
        <v>87.3</v>
      </c>
      <c r="V99" t="s">
        <v>99</v>
      </c>
      <c r="X99" s="13">
        <v>308.39999999999998</v>
      </c>
    </row>
    <row r="100" spans="1:24" x14ac:dyDescent="0.25">
      <c r="A100" t="s">
        <v>187</v>
      </c>
      <c r="B100" t="s">
        <v>61</v>
      </c>
      <c r="C100" t="s">
        <v>92</v>
      </c>
      <c r="D100" t="s">
        <v>92</v>
      </c>
      <c r="E100" t="s">
        <v>93</v>
      </c>
      <c r="F100" t="s">
        <v>94</v>
      </c>
      <c r="G100" t="s">
        <v>95</v>
      </c>
      <c r="H100" s="12">
        <v>6.2675000000000001</v>
      </c>
      <c r="I100" s="12">
        <v>-75.568600000000004</v>
      </c>
      <c r="J100" t="s">
        <v>157</v>
      </c>
      <c r="K100" t="s">
        <v>97</v>
      </c>
      <c r="L100" t="s">
        <v>98</v>
      </c>
      <c r="M100">
        <v>11</v>
      </c>
      <c r="N100">
        <v>148</v>
      </c>
      <c r="O100">
        <v>254</v>
      </c>
      <c r="P100" s="13">
        <v>268.3</v>
      </c>
      <c r="Q100" s="13">
        <v>51.2</v>
      </c>
      <c r="R100">
        <v>48</v>
      </c>
      <c r="S100">
        <v>52</v>
      </c>
      <c r="T100" s="13">
        <v>53.4</v>
      </c>
      <c r="U100" s="13">
        <v>83.6</v>
      </c>
      <c r="V100" t="s">
        <v>99</v>
      </c>
      <c r="X100" s="13">
        <v>268.3</v>
      </c>
    </row>
    <row r="101" spans="1:24" x14ac:dyDescent="0.25">
      <c r="A101" t="s">
        <v>188</v>
      </c>
      <c r="B101" t="s">
        <v>61</v>
      </c>
      <c r="C101" t="s">
        <v>92</v>
      </c>
      <c r="D101" t="s">
        <v>92</v>
      </c>
      <c r="E101" t="s">
        <v>93</v>
      </c>
      <c r="F101" t="s">
        <v>94</v>
      </c>
      <c r="G101" t="s">
        <v>95</v>
      </c>
      <c r="H101" s="12">
        <v>6.2675000000000001</v>
      </c>
      <c r="I101" s="12">
        <v>-75.568600000000004</v>
      </c>
      <c r="J101" t="s">
        <v>157</v>
      </c>
      <c r="K101" t="s">
        <v>97</v>
      </c>
      <c r="L101" t="s">
        <v>98</v>
      </c>
      <c r="M101">
        <v>11</v>
      </c>
      <c r="N101">
        <v>126</v>
      </c>
      <c r="O101">
        <v>254</v>
      </c>
      <c r="P101" s="13">
        <v>224.7</v>
      </c>
      <c r="Q101" s="13">
        <v>43.9</v>
      </c>
      <c r="R101">
        <v>36</v>
      </c>
      <c r="S101">
        <v>40</v>
      </c>
      <c r="T101" s="13">
        <v>50</v>
      </c>
      <c r="U101" s="13">
        <v>74.5</v>
      </c>
      <c r="V101" t="s">
        <v>99</v>
      </c>
      <c r="X101" s="13">
        <v>224.7</v>
      </c>
    </row>
    <row r="102" spans="1:24" x14ac:dyDescent="0.25">
      <c r="A102" t="s">
        <v>189</v>
      </c>
      <c r="B102" t="s">
        <v>61</v>
      </c>
      <c r="C102" t="s">
        <v>92</v>
      </c>
      <c r="D102" t="s">
        <v>92</v>
      </c>
      <c r="E102" t="s">
        <v>93</v>
      </c>
      <c r="F102" t="s">
        <v>94</v>
      </c>
      <c r="G102" t="s">
        <v>95</v>
      </c>
      <c r="H102" s="12">
        <v>6.2675000000000001</v>
      </c>
      <c r="I102" s="12">
        <v>-75.568600000000004</v>
      </c>
      <c r="J102" t="s">
        <v>190</v>
      </c>
      <c r="K102" t="s">
        <v>97</v>
      </c>
      <c r="L102" t="s">
        <v>98</v>
      </c>
      <c r="M102">
        <v>11</v>
      </c>
      <c r="N102">
        <v>152</v>
      </c>
      <c r="O102">
        <v>254</v>
      </c>
      <c r="P102" s="13">
        <v>277.7</v>
      </c>
      <c r="Q102" s="13">
        <v>43.9</v>
      </c>
      <c r="R102">
        <v>34</v>
      </c>
      <c r="S102">
        <v>74</v>
      </c>
      <c r="T102" s="13">
        <v>62.1</v>
      </c>
      <c r="U102" s="13">
        <v>80</v>
      </c>
      <c r="V102" t="s">
        <v>99</v>
      </c>
      <c r="X102" s="13">
        <v>277.7</v>
      </c>
    </row>
    <row r="103" spans="1:24" x14ac:dyDescent="0.25">
      <c r="A103" t="s">
        <v>191</v>
      </c>
      <c r="B103" t="s">
        <v>61</v>
      </c>
      <c r="C103" t="s">
        <v>92</v>
      </c>
      <c r="D103" t="s">
        <v>92</v>
      </c>
      <c r="E103" t="s">
        <v>93</v>
      </c>
      <c r="F103" t="s">
        <v>94</v>
      </c>
      <c r="G103" t="s">
        <v>95</v>
      </c>
      <c r="H103" s="12">
        <v>6.2675000000000001</v>
      </c>
      <c r="I103" s="12">
        <v>-75.568600000000004</v>
      </c>
      <c r="J103" t="s">
        <v>190</v>
      </c>
      <c r="K103" t="s">
        <v>97</v>
      </c>
      <c r="L103" t="s">
        <v>98</v>
      </c>
      <c r="M103">
        <v>11</v>
      </c>
      <c r="N103">
        <v>170</v>
      </c>
      <c r="O103">
        <v>254</v>
      </c>
      <c r="P103" s="13">
        <v>327.7</v>
      </c>
      <c r="Q103" s="13">
        <v>70.7</v>
      </c>
      <c r="R103">
        <v>44</v>
      </c>
      <c r="S103">
        <v>80</v>
      </c>
      <c r="T103" s="13">
        <v>63.8</v>
      </c>
      <c r="U103" s="13">
        <v>76.400000000000006</v>
      </c>
      <c r="V103" t="s">
        <v>99</v>
      </c>
      <c r="X103" s="13">
        <v>327.7</v>
      </c>
    </row>
    <row r="104" spans="1:24" x14ac:dyDescent="0.25">
      <c r="A104" t="s">
        <v>192</v>
      </c>
      <c r="B104" t="s">
        <v>61</v>
      </c>
      <c r="C104" t="s">
        <v>92</v>
      </c>
      <c r="D104" t="s">
        <v>92</v>
      </c>
      <c r="E104" t="s">
        <v>93</v>
      </c>
      <c r="F104" t="s">
        <v>94</v>
      </c>
      <c r="G104" t="s">
        <v>95</v>
      </c>
      <c r="H104" s="12">
        <v>6.2675000000000001</v>
      </c>
      <c r="I104" s="12">
        <v>-75.568600000000004</v>
      </c>
      <c r="J104" t="s">
        <v>190</v>
      </c>
      <c r="K104" t="s">
        <v>97</v>
      </c>
      <c r="L104" t="s">
        <v>98</v>
      </c>
      <c r="M104">
        <v>11</v>
      </c>
      <c r="N104">
        <v>132</v>
      </c>
      <c r="O104">
        <v>254</v>
      </c>
      <c r="P104" s="13">
        <v>262.2</v>
      </c>
      <c r="Q104" s="13">
        <v>75.599999999999994</v>
      </c>
      <c r="R104">
        <v>30</v>
      </c>
      <c r="S104">
        <v>50</v>
      </c>
      <c r="T104" s="13">
        <v>53.4</v>
      </c>
      <c r="U104" s="13">
        <v>54.5</v>
      </c>
      <c r="V104" t="s">
        <v>99</v>
      </c>
      <c r="X104" s="13">
        <v>262.2</v>
      </c>
    </row>
    <row r="105" spans="1:24" x14ac:dyDescent="0.25">
      <c r="A105" t="s">
        <v>193</v>
      </c>
      <c r="B105" t="s">
        <v>61</v>
      </c>
      <c r="C105" t="s">
        <v>92</v>
      </c>
      <c r="D105" t="s">
        <v>92</v>
      </c>
      <c r="E105" t="s">
        <v>93</v>
      </c>
      <c r="F105" t="s">
        <v>94</v>
      </c>
      <c r="G105" t="s">
        <v>95</v>
      </c>
      <c r="H105" s="12">
        <v>6.2675000000000001</v>
      </c>
      <c r="I105" s="12">
        <v>-75.568600000000004</v>
      </c>
      <c r="J105" t="s">
        <v>190</v>
      </c>
      <c r="K105" t="s">
        <v>97</v>
      </c>
      <c r="L105" t="s">
        <v>98</v>
      </c>
      <c r="M105">
        <v>11</v>
      </c>
      <c r="N105">
        <v>149</v>
      </c>
      <c r="O105">
        <v>254</v>
      </c>
      <c r="P105" s="13">
        <v>288.8</v>
      </c>
      <c r="Q105" s="13">
        <v>65.900000000000006</v>
      </c>
      <c r="R105">
        <v>40</v>
      </c>
      <c r="S105">
        <v>72</v>
      </c>
      <c r="T105" s="13">
        <v>50</v>
      </c>
      <c r="U105" s="13">
        <v>67.3</v>
      </c>
      <c r="V105" t="s">
        <v>99</v>
      </c>
      <c r="X105" s="13">
        <v>288.8</v>
      </c>
    </row>
    <row r="106" spans="1:24" x14ac:dyDescent="0.25">
      <c r="A106" t="s">
        <v>194</v>
      </c>
      <c r="B106" t="s">
        <v>61</v>
      </c>
      <c r="C106" t="s">
        <v>92</v>
      </c>
      <c r="D106" t="s">
        <v>92</v>
      </c>
      <c r="E106" t="s">
        <v>93</v>
      </c>
      <c r="F106" t="s">
        <v>94</v>
      </c>
      <c r="G106" t="s">
        <v>95</v>
      </c>
      <c r="H106" s="12">
        <v>6.2675000000000001</v>
      </c>
      <c r="I106" s="12">
        <v>-75.568600000000004</v>
      </c>
      <c r="J106" t="s">
        <v>190</v>
      </c>
      <c r="K106" t="s">
        <v>97</v>
      </c>
      <c r="L106" t="s">
        <v>98</v>
      </c>
      <c r="M106">
        <v>11</v>
      </c>
      <c r="N106">
        <v>164</v>
      </c>
      <c r="O106">
        <v>254</v>
      </c>
      <c r="P106" s="13">
        <v>314</v>
      </c>
      <c r="Q106" s="13">
        <v>73.2</v>
      </c>
      <c r="R106">
        <v>42</v>
      </c>
      <c r="S106">
        <v>74</v>
      </c>
      <c r="T106" s="13">
        <v>56.9</v>
      </c>
      <c r="U106" s="13">
        <v>78.2</v>
      </c>
      <c r="V106" t="s">
        <v>99</v>
      </c>
      <c r="X106" s="13">
        <v>314</v>
      </c>
    </row>
    <row r="107" spans="1:24" x14ac:dyDescent="0.25">
      <c r="A107" t="s">
        <v>195</v>
      </c>
      <c r="B107" t="s">
        <v>61</v>
      </c>
      <c r="C107" t="s">
        <v>92</v>
      </c>
      <c r="D107" t="s">
        <v>92</v>
      </c>
      <c r="E107" t="s">
        <v>93</v>
      </c>
      <c r="F107" t="s">
        <v>94</v>
      </c>
      <c r="G107" t="s">
        <v>95</v>
      </c>
      <c r="H107" s="12">
        <v>6.2675000000000001</v>
      </c>
      <c r="I107" s="12">
        <v>-75.568600000000004</v>
      </c>
      <c r="J107" t="s">
        <v>190</v>
      </c>
      <c r="K107" t="s">
        <v>97</v>
      </c>
      <c r="L107" t="s">
        <v>98</v>
      </c>
      <c r="M107">
        <v>11</v>
      </c>
      <c r="N107">
        <v>130</v>
      </c>
      <c r="O107">
        <v>254</v>
      </c>
      <c r="P107" s="13">
        <v>256.60000000000002</v>
      </c>
      <c r="Q107" s="13">
        <v>58.5</v>
      </c>
      <c r="R107">
        <v>40</v>
      </c>
      <c r="S107">
        <v>50</v>
      </c>
      <c r="T107" s="13">
        <v>56.9</v>
      </c>
      <c r="U107" s="13">
        <v>50.9</v>
      </c>
      <c r="V107" t="s">
        <v>99</v>
      </c>
      <c r="X107" s="13">
        <v>256.60000000000002</v>
      </c>
    </row>
    <row r="108" spans="1:24" x14ac:dyDescent="0.25">
      <c r="A108" t="s">
        <v>196</v>
      </c>
      <c r="B108" t="s">
        <v>61</v>
      </c>
      <c r="C108" t="s">
        <v>92</v>
      </c>
      <c r="D108" t="s">
        <v>92</v>
      </c>
      <c r="E108" t="s">
        <v>93</v>
      </c>
      <c r="F108" t="s">
        <v>94</v>
      </c>
      <c r="G108" t="s">
        <v>95</v>
      </c>
      <c r="H108" s="12">
        <v>6.2675000000000001</v>
      </c>
      <c r="I108" s="12">
        <v>-75.568600000000004</v>
      </c>
      <c r="J108" t="s">
        <v>190</v>
      </c>
      <c r="K108" t="s">
        <v>97</v>
      </c>
      <c r="L108" t="s">
        <v>132</v>
      </c>
      <c r="M108">
        <v>11</v>
      </c>
      <c r="N108">
        <v>55</v>
      </c>
      <c r="O108">
        <v>120</v>
      </c>
      <c r="P108" s="13">
        <v>217.8</v>
      </c>
      <c r="Q108" s="13">
        <v>58.5</v>
      </c>
      <c r="R108">
        <v>44</v>
      </c>
      <c r="S108">
        <v>20</v>
      </c>
      <c r="T108" s="13">
        <v>51.7</v>
      </c>
      <c r="U108" s="13"/>
      <c r="V108" t="s">
        <v>99</v>
      </c>
      <c r="X108" s="13">
        <v>217.8</v>
      </c>
    </row>
    <row r="109" spans="1:24" x14ac:dyDescent="0.25">
      <c r="A109" t="s">
        <v>197</v>
      </c>
      <c r="B109" t="s">
        <v>61</v>
      </c>
      <c r="C109" t="s">
        <v>92</v>
      </c>
      <c r="D109" t="s">
        <v>92</v>
      </c>
      <c r="E109" t="s">
        <v>93</v>
      </c>
      <c r="F109" t="s">
        <v>94</v>
      </c>
      <c r="G109" t="s">
        <v>95</v>
      </c>
      <c r="H109" s="12">
        <v>6.2675000000000001</v>
      </c>
      <c r="I109" s="12">
        <v>-75.568600000000004</v>
      </c>
      <c r="J109" t="s">
        <v>190</v>
      </c>
      <c r="K109" t="s">
        <v>97</v>
      </c>
      <c r="L109" t="s">
        <v>98</v>
      </c>
      <c r="M109">
        <v>11</v>
      </c>
      <c r="N109">
        <v>202</v>
      </c>
      <c r="O109">
        <v>254</v>
      </c>
      <c r="P109" s="13">
        <v>394.6</v>
      </c>
      <c r="Q109" s="13">
        <v>85.4</v>
      </c>
      <c r="R109">
        <v>86</v>
      </c>
      <c r="S109">
        <v>68</v>
      </c>
      <c r="T109" s="13">
        <v>74.099999999999994</v>
      </c>
      <c r="U109" s="13">
        <v>85.5</v>
      </c>
      <c r="V109" t="s">
        <v>99</v>
      </c>
      <c r="X109" s="13">
        <v>394.6</v>
      </c>
    </row>
    <row r="110" spans="1:24" x14ac:dyDescent="0.25">
      <c r="A110" t="s">
        <v>198</v>
      </c>
      <c r="B110" t="s">
        <v>61</v>
      </c>
      <c r="C110" t="s">
        <v>92</v>
      </c>
      <c r="D110" t="s">
        <v>92</v>
      </c>
      <c r="E110" t="s">
        <v>93</v>
      </c>
      <c r="F110" t="s">
        <v>94</v>
      </c>
      <c r="G110" t="s">
        <v>95</v>
      </c>
      <c r="H110" s="12">
        <v>6.2675000000000001</v>
      </c>
      <c r="I110" s="12">
        <v>-75.568600000000004</v>
      </c>
      <c r="J110" t="s">
        <v>190</v>
      </c>
      <c r="K110" t="s">
        <v>97</v>
      </c>
      <c r="L110" t="s">
        <v>98</v>
      </c>
      <c r="M110">
        <v>11</v>
      </c>
      <c r="N110">
        <v>182</v>
      </c>
      <c r="O110">
        <v>254</v>
      </c>
      <c r="P110" s="13">
        <v>341.2</v>
      </c>
      <c r="Q110" s="13">
        <v>70.7</v>
      </c>
      <c r="R110">
        <v>46</v>
      </c>
      <c r="S110">
        <v>86</v>
      </c>
      <c r="T110" s="13">
        <v>62.1</v>
      </c>
      <c r="U110" s="13">
        <v>92.7</v>
      </c>
      <c r="V110" t="s">
        <v>99</v>
      </c>
      <c r="X110" s="13">
        <v>341.2</v>
      </c>
    </row>
    <row r="111" spans="1:24" x14ac:dyDescent="0.25">
      <c r="A111" t="s">
        <v>199</v>
      </c>
      <c r="B111" t="s">
        <v>61</v>
      </c>
      <c r="C111" t="s">
        <v>92</v>
      </c>
      <c r="D111" t="s">
        <v>92</v>
      </c>
      <c r="E111" t="s">
        <v>93</v>
      </c>
      <c r="F111" t="s">
        <v>94</v>
      </c>
      <c r="G111" t="s">
        <v>95</v>
      </c>
      <c r="H111" s="12">
        <v>6.2675000000000001</v>
      </c>
      <c r="I111" s="12">
        <v>-75.568600000000004</v>
      </c>
      <c r="J111" t="s">
        <v>190</v>
      </c>
      <c r="K111" t="s">
        <v>97</v>
      </c>
      <c r="L111" t="s">
        <v>98</v>
      </c>
      <c r="M111">
        <v>11</v>
      </c>
      <c r="N111">
        <v>170</v>
      </c>
      <c r="O111">
        <v>254</v>
      </c>
      <c r="P111" s="13">
        <v>313.39999999999998</v>
      </c>
      <c r="Q111" s="13">
        <v>61</v>
      </c>
      <c r="R111">
        <v>44</v>
      </c>
      <c r="S111">
        <v>76</v>
      </c>
      <c r="T111" s="13">
        <v>60.3</v>
      </c>
      <c r="U111" s="13">
        <v>90.9</v>
      </c>
      <c r="V111" t="s">
        <v>99</v>
      </c>
      <c r="X111" s="13">
        <v>313.39999999999998</v>
      </c>
    </row>
    <row r="112" spans="1:24" x14ac:dyDescent="0.25">
      <c r="A112" t="s">
        <v>200</v>
      </c>
      <c r="B112" t="s">
        <v>61</v>
      </c>
      <c r="C112" t="s">
        <v>92</v>
      </c>
      <c r="D112" t="s">
        <v>92</v>
      </c>
      <c r="E112" t="s">
        <v>93</v>
      </c>
      <c r="F112" t="s">
        <v>94</v>
      </c>
      <c r="G112" t="s">
        <v>95</v>
      </c>
      <c r="H112" s="12">
        <v>6.2675000000000001</v>
      </c>
      <c r="I112" s="12">
        <v>-75.568600000000004</v>
      </c>
      <c r="J112" t="s">
        <v>190</v>
      </c>
      <c r="K112" t="s">
        <v>97</v>
      </c>
      <c r="L112" t="s">
        <v>98</v>
      </c>
      <c r="M112">
        <v>11</v>
      </c>
      <c r="N112">
        <v>174</v>
      </c>
      <c r="O112">
        <v>254</v>
      </c>
      <c r="P112" s="13">
        <v>332.8</v>
      </c>
      <c r="Q112" s="13">
        <v>80.5</v>
      </c>
      <c r="R112">
        <v>52</v>
      </c>
      <c r="S112">
        <v>66</v>
      </c>
      <c r="T112" s="13">
        <v>62.1</v>
      </c>
      <c r="U112" s="13">
        <v>83.6</v>
      </c>
      <c r="V112" t="s">
        <v>99</v>
      </c>
      <c r="X112" s="13">
        <v>332.8</v>
      </c>
    </row>
    <row r="113" spans="1:24" x14ac:dyDescent="0.25">
      <c r="A113" t="s">
        <v>201</v>
      </c>
      <c r="B113" t="s">
        <v>61</v>
      </c>
      <c r="C113" t="s">
        <v>92</v>
      </c>
      <c r="D113" t="s">
        <v>92</v>
      </c>
      <c r="E113" t="s">
        <v>93</v>
      </c>
      <c r="F113" t="s">
        <v>94</v>
      </c>
      <c r="G113" t="s">
        <v>95</v>
      </c>
      <c r="H113" s="12">
        <v>6.2675000000000001</v>
      </c>
      <c r="I113" s="12">
        <v>-75.568600000000004</v>
      </c>
      <c r="J113" t="s">
        <v>190</v>
      </c>
      <c r="K113" t="s">
        <v>97</v>
      </c>
      <c r="L113" t="s">
        <v>98</v>
      </c>
      <c r="M113">
        <v>11</v>
      </c>
      <c r="N113">
        <v>162</v>
      </c>
      <c r="O113">
        <v>254</v>
      </c>
      <c r="P113" s="13">
        <v>307.5</v>
      </c>
      <c r="Q113" s="13">
        <v>65.900000000000006</v>
      </c>
      <c r="R113">
        <v>44</v>
      </c>
      <c r="S113">
        <v>72</v>
      </c>
      <c r="T113" s="13">
        <v>58.6</v>
      </c>
      <c r="U113" s="13">
        <v>78.2</v>
      </c>
      <c r="V113" t="s">
        <v>99</v>
      </c>
      <c r="X113" s="13">
        <v>307.5</v>
      </c>
    </row>
    <row r="114" spans="1:24" x14ac:dyDescent="0.25">
      <c r="A114" t="s">
        <v>202</v>
      </c>
      <c r="B114" t="s">
        <v>61</v>
      </c>
      <c r="C114" t="s">
        <v>92</v>
      </c>
      <c r="D114" t="s">
        <v>92</v>
      </c>
      <c r="E114" t="s">
        <v>93</v>
      </c>
      <c r="F114" t="s">
        <v>94</v>
      </c>
      <c r="G114" t="s">
        <v>95</v>
      </c>
      <c r="H114" s="12">
        <v>6.2675000000000001</v>
      </c>
      <c r="I114" s="12">
        <v>-75.568600000000004</v>
      </c>
      <c r="J114" t="s">
        <v>190</v>
      </c>
      <c r="K114" t="s">
        <v>97</v>
      </c>
      <c r="L114" t="s">
        <v>98</v>
      </c>
      <c r="M114">
        <v>11</v>
      </c>
      <c r="N114">
        <v>173</v>
      </c>
      <c r="O114">
        <v>254</v>
      </c>
      <c r="P114" s="13">
        <v>328.1</v>
      </c>
      <c r="Q114" s="13">
        <v>65.900000000000006</v>
      </c>
      <c r="R114">
        <v>44</v>
      </c>
      <c r="S114">
        <v>88</v>
      </c>
      <c r="T114" s="13">
        <v>58.6</v>
      </c>
      <c r="U114" s="13">
        <v>83.6</v>
      </c>
      <c r="V114" t="s">
        <v>99</v>
      </c>
      <c r="X114" s="13">
        <v>328.1</v>
      </c>
    </row>
    <row r="115" spans="1:24" x14ac:dyDescent="0.25">
      <c r="A115" t="s">
        <v>203</v>
      </c>
      <c r="B115" t="s">
        <v>61</v>
      </c>
      <c r="C115" t="s">
        <v>92</v>
      </c>
      <c r="D115" t="s">
        <v>92</v>
      </c>
      <c r="E115" t="s">
        <v>93</v>
      </c>
      <c r="F115" t="s">
        <v>94</v>
      </c>
      <c r="G115" t="s">
        <v>95</v>
      </c>
      <c r="H115" s="12">
        <v>6.2675000000000001</v>
      </c>
      <c r="I115" s="12">
        <v>-75.568600000000004</v>
      </c>
      <c r="J115" t="s">
        <v>190</v>
      </c>
      <c r="K115" t="s">
        <v>97</v>
      </c>
      <c r="L115" t="s">
        <v>98</v>
      </c>
      <c r="M115">
        <v>11</v>
      </c>
      <c r="N115">
        <v>73</v>
      </c>
      <c r="O115">
        <v>254</v>
      </c>
      <c r="P115" s="13">
        <v>140</v>
      </c>
      <c r="Q115" s="13">
        <v>31.7</v>
      </c>
      <c r="R115">
        <v>20</v>
      </c>
      <c r="S115">
        <v>26</v>
      </c>
      <c r="T115" s="13">
        <v>32.799999999999997</v>
      </c>
      <c r="U115" s="13">
        <v>32.700000000000003</v>
      </c>
      <c r="V115" t="s">
        <v>99</v>
      </c>
      <c r="X115" s="13">
        <v>140</v>
      </c>
    </row>
    <row r="116" spans="1:24" x14ac:dyDescent="0.25">
      <c r="A116" t="s">
        <v>204</v>
      </c>
      <c r="B116" t="s">
        <v>61</v>
      </c>
      <c r="C116" t="s">
        <v>92</v>
      </c>
      <c r="D116" t="s">
        <v>92</v>
      </c>
      <c r="E116" t="s">
        <v>93</v>
      </c>
      <c r="F116" t="s">
        <v>94</v>
      </c>
      <c r="G116" t="s">
        <v>95</v>
      </c>
      <c r="H116" s="12">
        <v>6.2675000000000001</v>
      </c>
      <c r="I116" s="12">
        <v>-75.568600000000004</v>
      </c>
      <c r="J116" t="s">
        <v>190</v>
      </c>
      <c r="K116" t="s">
        <v>97</v>
      </c>
      <c r="L116" t="s">
        <v>98</v>
      </c>
      <c r="M116">
        <v>11</v>
      </c>
      <c r="N116">
        <v>133</v>
      </c>
      <c r="O116">
        <v>254</v>
      </c>
      <c r="P116" s="13">
        <v>260.3</v>
      </c>
      <c r="Q116" s="13">
        <v>53.7</v>
      </c>
      <c r="R116">
        <v>26</v>
      </c>
      <c r="S116">
        <v>68</v>
      </c>
      <c r="T116" s="13">
        <v>60.3</v>
      </c>
      <c r="U116" s="13">
        <v>52.7</v>
      </c>
      <c r="V116" t="s">
        <v>99</v>
      </c>
      <c r="X116" s="13">
        <v>260.3</v>
      </c>
    </row>
    <row r="117" spans="1:24" x14ac:dyDescent="0.25">
      <c r="A117" t="s">
        <v>205</v>
      </c>
      <c r="B117" t="s">
        <v>61</v>
      </c>
      <c r="C117" t="s">
        <v>92</v>
      </c>
      <c r="D117" t="s">
        <v>92</v>
      </c>
      <c r="E117" t="s">
        <v>93</v>
      </c>
      <c r="F117" t="s">
        <v>94</v>
      </c>
      <c r="G117" t="s">
        <v>95</v>
      </c>
      <c r="H117" s="12">
        <v>6.2675000000000001</v>
      </c>
      <c r="I117" s="12">
        <v>-75.568600000000004</v>
      </c>
      <c r="J117" t="s">
        <v>190</v>
      </c>
      <c r="K117" t="s">
        <v>97</v>
      </c>
      <c r="L117" t="s">
        <v>98</v>
      </c>
      <c r="M117">
        <v>11</v>
      </c>
      <c r="N117">
        <v>137</v>
      </c>
      <c r="O117">
        <v>254</v>
      </c>
      <c r="P117" s="13">
        <v>267.5</v>
      </c>
      <c r="Q117" s="13">
        <v>61</v>
      </c>
      <c r="R117">
        <v>46</v>
      </c>
      <c r="S117">
        <v>60</v>
      </c>
      <c r="T117" s="13">
        <v>44.8</v>
      </c>
      <c r="U117" s="13">
        <v>60</v>
      </c>
      <c r="V117" t="s">
        <v>99</v>
      </c>
      <c r="X117" s="13">
        <v>267.5</v>
      </c>
    </row>
    <row r="118" spans="1:24" x14ac:dyDescent="0.25">
      <c r="A118" t="s">
        <v>206</v>
      </c>
      <c r="B118" t="s">
        <v>61</v>
      </c>
      <c r="C118" t="s">
        <v>92</v>
      </c>
      <c r="D118" t="s">
        <v>92</v>
      </c>
      <c r="E118" t="s">
        <v>93</v>
      </c>
      <c r="F118" t="s">
        <v>94</v>
      </c>
      <c r="G118" t="s">
        <v>95</v>
      </c>
      <c r="H118" s="12">
        <v>6.2675000000000001</v>
      </c>
      <c r="I118" s="12">
        <v>-75.568600000000004</v>
      </c>
      <c r="J118" t="s">
        <v>190</v>
      </c>
      <c r="K118" t="s">
        <v>97</v>
      </c>
      <c r="L118" t="s">
        <v>98</v>
      </c>
      <c r="M118">
        <v>11</v>
      </c>
      <c r="N118">
        <v>124</v>
      </c>
      <c r="O118">
        <v>254</v>
      </c>
      <c r="P118" s="13">
        <v>242</v>
      </c>
      <c r="Q118" s="13">
        <v>36.6</v>
      </c>
      <c r="R118">
        <v>50</v>
      </c>
      <c r="S118">
        <v>62</v>
      </c>
      <c r="T118" s="13">
        <v>44.8</v>
      </c>
      <c r="U118" s="13">
        <v>49.1</v>
      </c>
      <c r="V118" t="s">
        <v>99</v>
      </c>
      <c r="X118" s="13">
        <v>242</v>
      </c>
    </row>
    <row r="119" spans="1:24" x14ac:dyDescent="0.25">
      <c r="A119" t="s">
        <v>207</v>
      </c>
      <c r="B119" t="s">
        <v>61</v>
      </c>
      <c r="C119" t="s">
        <v>92</v>
      </c>
      <c r="D119" t="s">
        <v>92</v>
      </c>
      <c r="E119" t="s">
        <v>93</v>
      </c>
      <c r="F119" t="s">
        <v>94</v>
      </c>
      <c r="G119" t="s">
        <v>95</v>
      </c>
      <c r="H119" s="12">
        <v>6.2675000000000001</v>
      </c>
      <c r="I119" s="12">
        <v>-75.568600000000004</v>
      </c>
      <c r="J119" t="s">
        <v>190</v>
      </c>
      <c r="K119" t="s">
        <v>97</v>
      </c>
      <c r="L119" t="s">
        <v>98</v>
      </c>
      <c r="M119">
        <v>11</v>
      </c>
      <c r="N119">
        <v>187</v>
      </c>
      <c r="O119">
        <v>254</v>
      </c>
      <c r="P119" s="13">
        <v>353.7</v>
      </c>
      <c r="Q119" s="13">
        <v>82.9</v>
      </c>
      <c r="R119">
        <v>50</v>
      </c>
      <c r="S119">
        <v>80</v>
      </c>
      <c r="T119" s="13">
        <v>62.1</v>
      </c>
      <c r="U119" s="13">
        <v>94.5</v>
      </c>
      <c r="V119" t="s">
        <v>99</v>
      </c>
      <c r="X119" s="13">
        <v>353.7</v>
      </c>
    </row>
    <row r="120" spans="1:24" x14ac:dyDescent="0.25">
      <c r="A120" t="s">
        <v>208</v>
      </c>
      <c r="B120" t="s">
        <v>61</v>
      </c>
      <c r="C120" t="s">
        <v>92</v>
      </c>
      <c r="D120" t="s">
        <v>92</v>
      </c>
      <c r="E120" t="s">
        <v>93</v>
      </c>
      <c r="F120" t="s">
        <v>94</v>
      </c>
      <c r="G120" t="s">
        <v>95</v>
      </c>
      <c r="H120" s="12">
        <v>6.2675000000000001</v>
      </c>
      <c r="I120" s="12">
        <v>-75.568600000000004</v>
      </c>
      <c r="J120" t="s">
        <v>190</v>
      </c>
      <c r="K120" t="s">
        <v>97</v>
      </c>
      <c r="L120" t="s">
        <v>98</v>
      </c>
      <c r="M120">
        <v>11</v>
      </c>
      <c r="N120">
        <v>153</v>
      </c>
      <c r="O120">
        <v>254</v>
      </c>
      <c r="P120" s="13">
        <v>282.2</v>
      </c>
      <c r="Q120" s="13">
        <v>61</v>
      </c>
      <c r="R120">
        <v>36</v>
      </c>
      <c r="S120">
        <v>60</v>
      </c>
      <c r="T120" s="13">
        <v>60.3</v>
      </c>
      <c r="U120" s="13">
        <v>81.8</v>
      </c>
      <c r="V120" t="s">
        <v>99</v>
      </c>
      <c r="X120" s="13">
        <v>282.2</v>
      </c>
    </row>
    <row r="121" spans="1:24" x14ac:dyDescent="0.25">
      <c r="A121" t="s">
        <v>209</v>
      </c>
      <c r="B121" t="s">
        <v>61</v>
      </c>
      <c r="C121" t="s">
        <v>92</v>
      </c>
      <c r="D121" t="s">
        <v>92</v>
      </c>
      <c r="E121" t="s">
        <v>93</v>
      </c>
      <c r="F121" t="s">
        <v>94</v>
      </c>
      <c r="G121" t="s">
        <v>95</v>
      </c>
      <c r="H121" s="12">
        <v>6.2675000000000001</v>
      </c>
      <c r="I121" s="12">
        <v>-75.568600000000004</v>
      </c>
      <c r="J121" t="s">
        <v>190</v>
      </c>
      <c r="K121" t="s">
        <v>97</v>
      </c>
      <c r="L121" t="s">
        <v>98</v>
      </c>
      <c r="M121">
        <v>11</v>
      </c>
      <c r="N121">
        <v>159</v>
      </c>
      <c r="O121">
        <v>254</v>
      </c>
      <c r="P121" s="13">
        <v>300.8</v>
      </c>
      <c r="Q121" s="13">
        <v>68.3</v>
      </c>
      <c r="R121">
        <v>30</v>
      </c>
      <c r="S121">
        <v>68</v>
      </c>
      <c r="T121" s="13">
        <v>69</v>
      </c>
      <c r="U121" s="13">
        <v>76.400000000000006</v>
      </c>
      <c r="V121" t="s">
        <v>99</v>
      </c>
      <c r="X121" s="13">
        <v>300.8</v>
      </c>
    </row>
    <row r="122" spans="1:24" x14ac:dyDescent="0.25">
      <c r="A122" t="s">
        <v>210</v>
      </c>
      <c r="B122" t="s">
        <v>61</v>
      </c>
      <c r="C122" t="s">
        <v>92</v>
      </c>
      <c r="D122" t="s">
        <v>92</v>
      </c>
      <c r="E122" t="s">
        <v>93</v>
      </c>
      <c r="F122" t="s">
        <v>94</v>
      </c>
      <c r="G122" t="s">
        <v>95</v>
      </c>
      <c r="H122" s="12">
        <v>6.2675000000000001</v>
      </c>
      <c r="I122" s="12">
        <v>-75.568600000000004</v>
      </c>
      <c r="J122" t="s">
        <v>190</v>
      </c>
      <c r="K122" t="s">
        <v>97</v>
      </c>
      <c r="L122" t="s">
        <v>132</v>
      </c>
      <c r="M122">
        <v>11</v>
      </c>
      <c r="N122">
        <v>65</v>
      </c>
      <c r="O122">
        <v>120</v>
      </c>
      <c r="P122" s="13">
        <v>267</v>
      </c>
      <c r="Q122" s="13">
        <v>56.1</v>
      </c>
      <c r="R122">
        <v>40</v>
      </c>
      <c r="S122">
        <v>52</v>
      </c>
      <c r="T122" s="13">
        <v>65.5</v>
      </c>
      <c r="U122" s="13"/>
      <c r="V122" t="s">
        <v>99</v>
      </c>
      <c r="X122" s="13">
        <v>267</v>
      </c>
    </row>
    <row r="123" spans="1:24" x14ac:dyDescent="0.25">
      <c r="A123" t="s">
        <v>211</v>
      </c>
      <c r="B123" t="s">
        <v>61</v>
      </c>
      <c r="C123" t="s">
        <v>92</v>
      </c>
      <c r="D123" t="s">
        <v>92</v>
      </c>
      <c r="E123" t="s">
        <v>93</v>
      </c>
      <c r="F123" t="s">
        <v>94</v>
      </c>
      <c r="G123" t="s">
        <v>95</v>
      </c>
      <c r="H123" s="12">
        <v>6.2675000000000001</v>
      </c>
      <c r="I123" s="12">
        <v>-75.568600000000004</v>
      </c>
      <c r="J123" t="s">
        <v>190</v>
      </c>
      <c r="K123" t="s">
        <v>97</v>
      </c>
      <c r="L123" t="s">
        <v>98</v>
      </c>
      <c r="M123">
        <v>11</v>
      </c>
      <c r="N123">
        <v>134</v>
      </c>
      <c r="O123">
        <v>254</v>
      </c>
      <c r="P123" s="13">
        <v>249.4</v>
      </c>
      <c r="Q123" s="13">
        <v>58.5</v>
      </c>
      <c r="R123">
        <v>26</v>
      </c>
      <c r="S123">
        <v>50</v>
      </c>
      <c r="T123" s="13">
        <v>58.6</v>
      </c>
      <c r="U123" s="13">
        <v>69.099999999999994</v>
      </c>
      <c r="V123" t="s">
        <v>99</v>
      </c>
      <c r="X123" s="13">
        <v>249.4</v>
      </c>
    </row>
    <row r="124" spans="1:24" x14ac:dyDescent="0.25">
      <c r="A124" t="s">
        <v>212</v>
      </c>
      <c r="B124" t="s">
        <v>61</v>
      </c>
      <c r="C124" t="s">
        <v>92</v>
      </c>
      <c r="D124" t="s">
        <v>92</v>
      </c>
      <c r="E124" t="s">
        <v>93</v>
      </c>
      <c r="F124" t="s">
        <v>94</v>
      </c>
      <c r="G124" t="s">
        <v>95</v>
      </c>
      <c r="H124" s="12">
        <v>6.2675000000000001</v>
      </c>
      <c r="I124" s="12">
        <v>-75.568600000000004</v>
      </c>
      <c r="J124" t="s">
        <v>190</v>
      </c>
      <c r="K124" t="s">
        <v>97</v>
      </c>
      <c r="L124" t="s">
        <v>98</v>
      </c>
      <c r="M124">
        <v>11</v>
      </c>
      <c r="N124">
        <v>98</v>
      </c>
      <c r="O124">
        <v>254</v>
      </c>
      <c r="P124" s="13">
        <v>190.8</v>
      </c>
      <c r="Q124" s="13">
        <v>41.5</v>
      </c>
      <c r="R124">
        <v>34</v>
      </c>
      <c r="S124">
        <v>38</v>
      </c>
      <c r="T124" s="13">
        <v>37.9</v>
      </c>
      <c r="U124" s="13">
        <v>41.8</v>
      </c>
      <c r="V124" t="s">
        <v>99</v>
      </c>
      <c r="X124" s="13">
        <v>190.8</v>
      </c>
    </row>
    <row r="125" spans="1:24" x14ac:dyDescent="0.25">
      <c r="A125" t="s">
        <v>213</v>
      </c>
      <c r="B125" t="s">
        <v>61</v>
      </c>
      <c r="C125" t="s">
        <v>92</v>
      </c>
      <c r="D125" t="s">
        <v>92</v>
      </c>
      <c r="E125" t="s">
        <v>93</v>
      </c>
      <c r="F125" t="s">
        <v>94</v>
      </c>
      <c r="G125" t="s">
        <v>95</v>
      </c>
      <c r="H125" s="12">
        <v>6.2675000000000001</v>
      </c>
      <c r="I125" s="12">
        <v>-75.568600000000004</v>
      </c>
      <c r="J125" t="s">
        <v>190</v>
      </c>
      <c r="K125" t="s">
        <v>97</v>
      </c>
      <c r="L125" t="s">
        <v>98</v>
      </c>
      <c r="M125">
        <v>11</v>
      </c>
      <c r="N125">
        <v>134</v>
      </c>
      <c r="O125">
        <v>254</v>
      </c>
      <c r="P125" s="13">
        <v>270.5</v>
      </c>
      <c r="Q125" s="13">
        <v>61</v>
      </c>
      <c r="R125">
        <v>32</v>
      </c>
      <c r="S125">
        <v>66</v>
      </c>
      <c r="T125" s="13">
        <v>60.3</v>
      </c>
      <c r="U125" s="13">
        <v>45.5</v>
      </c>
      <c r="V125" t="s">
        <v>99</v>
      </c>
      <c r="X125" s="13">
        <v>270.5</v>
      </c>
    </row>
    <row r="126" spans="1:24" x14ac:dyDescent="0.25">
      <c r="A126" t="s">
        <v>214</v>
      </c>
      <c r="B126" t="s">
        <v>61</v>
      </c>
      <c r="C126" t="s">
        <v>92</v>
      </c>
      <c r="D126" t="s">
        <v>92</v>
      </c>
      <c r="E126" t="s">
        <v>93</v>
      </c>
      <c r="F126" t="s">
        <v>94</v>
      </c>
      <c r="G126" t="s">
        <v>95</v>
      </c>
      <c r="H126" s="12">
        <v>6.2675000000000001</v>
      </c>
      <c r="I126" s="12">
        <v>-75.568600000000004</v>
      </c>
      <c r="J126" t="s">
        <v>190</v>
      </c>
      <c r="K126" t="s">
        <v>97</v>
      </c>
      <c r="L126" t="s">
        <v>98</v>
      </c>
      <c r="M126">
        <v>11</v>
      </c>
      <c r="N126">
        <v>113</v>
      </c>
      <c r="O126">
        <v>254</v>
      </c>
      <c r="P126" s="13">
        <v>226.9</v>
      </c>
      <c r="Q126" s="13">
        <v>70.7</v>
      </c>
      <c r="R126">
        <v>44</v>
      </c>
      <c r="S126">
        <v>38</v>
      </c>
      <c r="T126" s="13">
        <v>27.6</v>
      </c>
      <c r="U126" s="13">
        <v>49.1</v>
      </c>
      <c r="V126" t="s">
        <v>99</v>
      </c>
      <c r="X126" s="13">
        <v>226.9</v>
      </c>
    </row>
    <row r="127" spans="1:24" x14ac:dyDescent="0.25">
      <c r="A127" t="s">
        <v>215</v>
      </c>
      <c r="B127" t="s">
        <v>61</v>
      </c>
      <c r="C127" t="s">
        <v>92</v>
      </c>
      <c r="D127" t="s">
        <v>92</v>
      </c>
      <c r="E127" t="s">
        <v>93</v>
      </c>
      <c r="F127" t="s">
        <v>94</v>
      </c>
      <c r="G127" t="s">
        <v>95</v>
      </c>
      <c r="H127" s="12">
        <v>6.2675000000000001</v>
      </c>
      <c r="I127" s="12">
        <v>-75.568600000000004</v>
      </c>
      <c r="J127" t="s">
        <v>190</v>
      </c>
      <c r="K127" t="s">
        <v>97</v>
      </c>
      <c r="L127" t="s">
        <v>98</v>
      </c>
      <c r="M127">
        <v>11</v>
      </c>
      <c r="N127">
        <v>199</v>
      </c>
      <c r="O127">
        <v>254</v>
      </c>
      <c r="P127" s="13">
        <v>381.7</v>
      </c>
      <c r="Q127" s="13">
        <v>82.9</v>
      </c>
      <c r="R127">
        <v>60</v>
      </c>
      <c r="S127">
        <v>88</v>
      </c>
      <c r="T127" s="13">
        <v>69</v>
      </c>
      <c r="U127" s="13">
        <v>92.7</v>
      </c>
      <c r="V127" t="s">
        <v>99</v>
      </c>
      <c r="X127" s="13">
        <v>381.7</v>
      </c>
    </row>
    <row r="128" spans="1:24" x14ac:dyDescent="0.25">
      <c r="A128" t="s">
        <v>216</v>
      </c>
      <c r="B128" t="s">
        <v>61</v>
      </c>
      <c r="C128" t="s">
        <v>92</v>
      </c>
      <c r="D128" t="s">
        <v>92</v>
      </c>
      <c r="E128" t="s">
        <v>93</v>
      </c>
      <c r="F128" t="s">
        <v>94</v>
      </c>
      <c r="G128" t="s">
        <v>95</v>
      </c>
      <c r="H128" s="12">
        <v>6.2675000000000001</v>
      </c>
      <c r="I128" s="12">
        <v>-75.568600000000004</v>
      </c>
      <c r="J128" t="s">
        <v>190</v>
      </c>
      <c r="K128" t="s">
        <v>97</v>
      </c>
      <c r="L128" t="s">
        <v>98</v>
      </c>
      <c r="M128">
        <v>11</v>
      </c>
      <c r="N128">
        <v>184</v>
      </c>
      <c r="O128">
        <v>254</v>
      </c>
      <c r="P128" s="13">
        <v>348.1</v>
      </c>
      <c r="Q128" s="13">
        <v>70.7</v>
      </c>
      <c r="R128">
        <v>50</v>
      </c>
      <c r="S128">
        <v>84</v>
      </c>
      <c r="T128" s="13">
        <v>67.2</v>
      </c>
      <c r="U128" s="13">
        <v>89.1</v>
      </c>
      <c r="V128" t="s">
        <v>99</v>
      </c>
      <c r="X128" s="13">
        <v>348.1</v>
      </c>
    </row>
    <row r="129" spans="1:24" x14ac:dyDescent="0.25">
      <c r="A129" t="s">
        <v>217</v>
      </c>
      <c r="B129" t="s">
        <v>61</v>
      </c>
      <c r="C129" t="s">
        <v>92</v>
      </c>
      <c r="D129" t="s">
        <v>92</v>
      </c>
      <c r="E129" t="s">
        <v>93</v>
      </c>
      <c r="F129" t="s">
        <v>94</v>
      </c>
      <c r="G129" t="s">
        <v>95</v>
      </c>
      <c r="H129" s="12">
        <v>6.2675000000000001</v>
      </c>
      <c r="I129" s="12">
        <v>-75.568600000000004</v>
      </c>
      <c r="J129" t="s">
        <v>190</v>
      </c>
      <c r="K129" t="s">
        <v>97</v>
      </c>
      <c r="L129" t="s">
        <v>98</v>
      </c>
      <c r="M129">
        <v>11</v>
      </c>
      <c r="N129">
        <v>180</v>
      </c>
      <c r="O129">
        <v>254</v>
      </c>
      <c r="P129" s="13">
        <v>338.7</v>
      </c>
      <c r="Q129" s="13">
        <v>73.2</v>
      </c>
      <c r="R129">
        <v>54</v>
      </c>
      <c r="S129">
        <v>74</v>
      </c>
      <c r="T129" s="13">
        <v>62.1</v>
      </c>
      <c r="U129" s="13">
        <v>90.9</v>
      </c>
      <c r="V129" t="s">
        <v>99</v>
      </c>
      <c r="X129" s="13">
        <v>338.7</v>
      </c>
    </row>
    <row r="130" spans="1:24" x14ac:dyDescent="0.25">
      <c r="A130" t="s">
        <v>218</v>
      </c>
      <c r="B130" t="s">
        <v>61</v>
      </c>
      <c r="C130" t="s">
        <v>92</v>
      </c>
      <c r="D130" t="s">
        <v>92</v>
      </c>
      <c r="E130" t="s">
        <v>93</v>
      </c>
      <c r="F130" t="s">
        <v>94</v>
      </c>
      <c r="G130" t="s">
        <v>95</v>
      </c>
      <c r="H130" s="12">
        <v>6.2675000000000001</v>
      </c>
      <c r="I130" s="12">
        <v>-75.568600000000004</v>
      </c>
      <c r="J130" t="s">
        <v>190</v>
      </c>
      <c r="K130" t="s">
        <v>97</v>
      </c>
      <c r="L130" t="s">
        <v>98</v>
      </c>
      <c r="M130">
        <v>11</v>
      </c>
      <c r="N130">
        <v>160</v>
      </c>
      <c r="O130">
        <v>254</v>
      </c>
      <c r="P130" s="13">
        <v>309.7</v>
      </c>
      <c r="Q130" s="13">
        <v>70.7</v>
      </c>
      <c r="R130">
        <v>56</v>
      </c>
      <c r="S130">
        <v>72</v>
      </c>
      <c r="T130" s="13">
        <v>44.8</v>
      </c>
      <c r="U130" s="13">
        <v>74.5</v>
      </c>
      <c r="V130" t="s">
        <v>99</v>
      </c>
      <c r="X130" s="13">
        <v>309.7</v>
      </c>
    </row>
    <row r="131" spans="1:24" x14ac:dyDescent="0.25">
      <c r="A131" t="s">
        <v>219</v>
      </c>
      <c r="B131" t="s">
        <v>61</v>
      </c>
      <c r="C131" t="s">
        <v>92</v>
      </c>
      <c r="D131" t="s">
        <v>92</v>
      </c>
      <c r="E131" t="s">
        <v>93</v>
      </c>
      <c r="F131" t="s">
        <v>94</v>
      </c>
      <c r="G131" t="s">
        <v>95</v>
      </c>
      <c r="H131" s="12">
        <v>6.2675000000000001</v>
      </c>
      <c r="I131" s="12">
        <v>-75.568600000000004</v>
      </c>
      <c r="J131" t="s">
        <v>190</v>
      </c>
      <c r="K131" t="s">
        <v>97</v>
      </c>
      <c r="L131" t="s">
        <v>98</v>
      </c>
      <c r="M131">
        <v>11</v>
      </c>
      <c r="N131">
        <v>166</v>
      </c>
      <c r="O131">
        <v>254</v>
      </c>
      <c r="P131" s="13">
        <v>310.8</v>
      </c>
      <c r="Q131" s="13">
        <v>63.4</v>
      </c>
      <c r="R131">
        <v>38</v>
      </c>
      <c r="S131">
        <v>78</v>
      </c>
      <c r="T131" s="13">
        <v>62.1</v>
      </c>
      <c r="U131" s="13">
        <v>83.6</v>
      </c>
      <c r="V131" t="s">
        <v>99</v>
      </c>
      <c r="X131" s="13">
        <v>310.8</v>
      </c>
    </row>
    <row r="132" spans="1:24" x14ac:dyDescent="0.25">
      <c r="A132" t="s">
        <v>220</v>
      </c>
      <c r="B132" t="s">
        <v>61</v>
      </c>
      <c r="C132" t="s">
        <v>92</v>
      </c>
      <c r="D132" t="s">
        <v>92</v>
      </c>
      <c r="E132" t="s">
        <v>93</v>
      </c>
      <c r="F132" t="s">
        <v>94</v>
      </c>
      <c r="G132" t="s">
        <v>95</v>
      </c>
      <c r="H132" s="12">
        <v>6.2675000000000001</v>
      </c>
      <c r="I132" s="12">
        <v>-75.568600000000004</v>
      </c>
      <c r="J132" t="s">
        <v>190</v>
      </c>
      <c r="K132" t="s">
        <v>97</v>
      </c>
      <c r="L132" t="s">
        <v>98</v>
      </c>
      <c r="M132">
        <v>11</v>
      </c>
      <c r="N132">
        <v>144</v>
      </c>
      <c r="O132">
        <v>254</v>
      </c>
      <c r="P132" s="13">
        <v>287.5</v>
      </c>
      <c r="Q132" s="13">
        <v>65.900000000000006</v>
      </c>
      <c r="R132">
        <v>30</v>
      </c>
      <c r="S132">
        <v>80</v>
      </c>
      <c r="T132" s="13">
        <v>55.2</v>
      </c>
      <c r="U132" s="13">
        <v>54.5</v>
      </c>
      <c r="V132" t="s">
        <v>99</v>
      </c>
      <c r="X132" s="13">
        <v>287.5</v>
      </c>
    </row>
    <row r="133" spans="1:24" x14ac:dyDescent="0.25">
      <c r="A133" t="s">
        <v>221</v>
      </c>
      <c r="B133" t="s">
        <v>61</v>
      </c>
      <c r="C133" t="s">
        <v>92</v>
      </c>
      <c r="D133" t="s">
        <v>92</v>
      </c>
      <c r="E133" t="s">
        <v>93</v>
      </c>
      <c r="F133" t="s">
        <v>94</v>
      </c>
      <c r="G133" t="s">
        <v>95</v>
      </c>
      <c r="H133" s="12">
        <v>6.2675000000000001</v>
      </c>
      <c r="I133" s="12">
        <v>-75.568600000000004</v>
      </c>
      <c r="J133" t="s">
        <v>190</v>
      </c>
      <c r="K133" t="s">
        <v>97</v>
      </c>
      <c r="L133" t="s">
        <v>98</v>
      </c>
      <c r="M133">
        <v>11</v>
      </c>
      <c r="N133">
        <v>113</v>
      </c>
      <c r="O133">
        <v>254</v>
      </c>
      <c r="P133" s="13">
        <v>209.8</v>
      </c>
      <c r="Q133" s="13">
        <v>43.9</v>
      </c>
      <c r="R133">
        <v>32</v>
      </c>
      <c r="S133">
        <v>40</v>
      </c>
      <c r="T133" s="13">
        <v>46.6</v>
      </c>
      <c r="U133" s="13">
        <v>58.2</v>
      </c>
      <c r="V133" t="s">
        <v>99</v>
      </c>
      <c r="X133" s="13">
        <v>209.8</v>
      </c>
    </row>
    <row r="134" spans="1:24" x14ac:dyDescent="0.25">
      <c r="A134" t="s">
        <v>222</v>
      </c>
      <c r="B134" t="s">
        <v>61</v>
      </c>
      <c r="C134" t="s">
        <v>92</v>
      </c>
      <c r="D134" t="s">
        <v>92</v>
      </c>
      <c r="E134" t="s">
        <v>93</v>
      </c>
      <c r="F134" t="s">
        <v>94</v>
      </c>
      <c r="G134" t="s">
        <v>95</v>
      </c>
      <c r="H134" s="12">
        <v>6.2675000000000001</v>
      </c>
      <c r="I134" s="12">
        <v>-75.568600000000004</v>
      </c>
      <c r="J134" t="s">
        <v>190</v>
      </c>
      <c r="K134" t="s">
        <v>97</v>
      </c>
      <c r="L134" t="s">
        <v>98</v>
      </c>
      <c r="M134">
        <v>11</v>
      </c>
      <c r="N134">
        <v>164</v>
      </c>
      <c r="O134">
        <v>254</v>
      </c>
      <c r="P134" s="13">
        <v>312.10000000000002</v>
      </c>
      <c r="Q134" s="13">
        <v>56.1</v>
      </c>
      <c r="R134">
        <v>46</v>
      </c>
      <c r="S134">
        <v>78</v>
      </c>
      <c r="T134" s="13">
        <v>65.5</v>
      </c>
      <c r="U134" s="13">
        <v>74.5</v>
      </c>
      <c r="V134" t="s">
        <v>99</v>
      </c>
      <c r="X134" s="13">
        <v>312.10000000000002</v>
      </c>
    </row>
    <row r="135" spans="1:24" x14ac:dyDescent="0.25">
      <c r="A135" t="s">
        <v>223</v>
      </c>
      <c r="B135" t="s">
        <v>61</v>
      </c>
      <c r="C135" t="s">
        <v>92</v>
      </c>
      <c r="D135" t="s">
        <v>92</v>
      </c>
      <c r="E135" t="s">
        <v>93</v>
      </c>
      <c r="F135" t="s">
        <v>94</v>
      </c>
      <c r="G135" t="s">
        <v>95</v>
      </c>
      <c r="H135" s="12">
        <v>6.2675000000000001</v>
      </c>
      <c r="I135" s="12">
        <v>-75.568600000000004</v>
      </c>
      <c r="J135" t="s">
        <v>190</v>
      </c>
      <c r="K135" t="s">
        <v>97</v>
      </c>
      <c r="L135" t="s">
        <v>98</v>
      </c>
      <c r="M135">
        <v>11</v>
      </c>
      <c r="N135">
        <v>152</v>
      </c>
      <c r="O135">
        <v>254</v>
      </c>
      <c r="P135" s="13">
        <v>308.2</v>
      </c>
      <c r="Q135" s="13">
        <v>78</v>
      </c>
      <c r="R135">
        <v>40</v>
      </c>
      <c r="S135">
        <v>74</v>
      </c>
      <c r="T135" s="13">
        <v>56.9</v>
      </c>
      <c r="U135" s="13">
        <v>54.5</v>
      </c>
      <c r="V135" t="s">
        <v>99</v>
      </c>
      <c r="X135" s="13">
        <v>308.2</v>
      </c>
    </row>
    <row r="136" spans="1:24" x14ac:dyDescent="0.25">
      <c r="A136" t="s">
        <v>224</v>
      </c>
      <c r="B136" t="s">
        <v>61</v>
      </c>
      <c r="C136" t="s">
        <v>92</v>
      </c>
      <c r="D136" t="s">
        <v>92</v>
      </c>
      <c r="E136" t="s">
        <v>93</v>
      </c>
      <c r="F136" t="s">
        <v>94</v>
      </c>
      <c r="G136" t="s">
        <v>95</v>
      </c>
      <c r="H136" s="12">
        <v>6.2675000000000001</v>
      </c>
      <c r="I136" s="12">
        <v>-75.568600000000004</v>
      </c>
      <c r="J136" t="s">
        <v>190</v>
      </c>
      <c r="K136" t="s">
        <v>97</v>
      </c>
      <c r="L136" t="s">
        <v>98</v>
      </c>
      <c r="M136">
        <v>11</v>
      </c>
      <c r="N136">
        <v>188</v>
      </c>
      <c r="O136">
        <v>254</v>
      </c>
      <c r="P136" s="13">
        <v>347.2</v>
      </c>
      <c r="Q136" s="13">
        <v>68.3</v>
      </c>
      <c r="R136">
        <v>44</v>
      </c>
      <c r="S136">
        <v>88</v>
      </c>
      <c r="T136" s="13">
        <v>67.2</v>
      </c>
      <c r="U136" s="13">
        <v>100</v>
      </c>
      <c r="V136" t="s">
        <v>99</v>
      </c>
      <c r="X136" s="13">
        <v>347.2</v>
      </c>
    </row>
    <row r="137" spans="1:24" x14ac:dyDescent="0.25">
      <c r="A137" t="s">
        <v>225</v>
      </c>
      <c r="B137" t="s">
        <v>61</v>
      </c>
      <c r="C137" t="s">
        <v>92</v>
      </c>
      <c r="D137" t="s">
        <v>92</v>
      </c>
      <c r="E137" t="s">
        <v>93</v>
      </c>
      <c r="F137" t="s">
        <v>94</v>
      </c>
      <c r="G137" t="s">
        <v>95</v>
      </c>
      <c r="H137" s="12">
        <v>6.2675000000000001</v>
      </c>
      <c r="I137" s="12">
        <v>-75.568600000000004</v>
      </c>
      <c r="J137" t="s">
        <v>190</v>
      </c>
      <c r="K137" t="s">
        <v>97</v>
      </c>
      <c r="L137" t="s">
        <v>98</v>
      </c>
      <c r="M137">
        <v>11</v>
      </c>
      <c r="N137">
        <v>171</v>
      </c>
      <c r="O137">
        <v>254</v>
      </c>
      <c r="P137" s="13">
        <v>337.2</v>
      </c>
      <c r="Q137" s="13">
        <v>85.4</v>
      </c>
      <c r="R137">
        <v>38</v>
      </c>
      <c r="S137">
        <v>78</v>
      </c>
      <c r="T137" s="13">
        <v>67.2</v>
      </c>
      <c r="U137" s="13">
        <v>70.900000000000006</v>
      </c>
      <c r="V137" t="s">
        <v>99</v>
      </c>
      <c r="X137" s="13">
        <v>337.2</v>
      </c>
    </row>
    <row r="138" spans="1:24" x14ac:dyDescent="0.25">
      <c r="A138" t="s">
        <v>226</v>
      </c>
      <c r="B138" t="s">
        <v>61</v>
      </c>
      <c r="C138" t="s">
        <v>92</v>
      </c>
      <c r="D138" t="s">
        <v>92</v>
      </c>
      <c r="E138" t="s">
        <v>93</v>
      </c>
      <c r="F138" t="s">
        <v>94</v>
      </c>
      <c r="G138" t="s">
        <v>95</v>
      </c>
      <c r="H138" s="12">
        <v>6.2675000000000001</v>
      </c>
      <c r="I138" s="12">
        <v>-75.568600000000004</v>
      </c>
      <c r="J138" t="s">
        <v>190</v>
      </c>
      <c r="K138" t="s">
        <v>97</v>
      </c>
      <c r="L138" t="s">
        <v>98</v>
      </c>
      <c r="M138">
        <v>11</v>
      </c>
      <c r="N138">
        <v>165</v>
      </c>
      <c r="O138">
        <v>254</v>
      </c>
      <c r="P138" s="13">
        <v>348.3</v>
      </c>
      <c r="Q138" s="13">
        <v>65.900000000000006</v>
      </c>
      <c r="R138">
        <v>76</v>
      </c>
      <c r="S138">
        <v>80</v>
      </c>
      <c r="T138" s="13">
        <v>67.2</v>
      </c>
      <c r="U138" s="13">
        <v>38.200000000000003</v>
      </c>
      <c r="V138" t="s">
        <v>99</v>
      </c>
      <c r="X138" s="13">
        <v>348.3</v>
      </c>
    </row>
    <row r="139" spans="1:24" x14ac:dyDescent="0.25">
      <c r="A139" t="s">
        <v>227</v>
      </c>
      <c r="B139" t="s">
        <v>61</v>
      </c>
      <c r="C139" t="s">
        <v>92</v>
      </c>
      <c r="D139" t="s">
        <v>92</v>
      </c>
      <c r="E139" t="s">
        <v>93</v>
      </c>
      <c r="F139" t="s">
        <v>94</v>
      </c>
      <c r="G139" t="s">
        <v>95</v>
      </c>
      <c r="H139" s="12">
        <v>6.2675000000000001</v>
      </c>
      <c r="I139" s="12">
        <v>-75.568600000000004</v>
      </c>
      <c r="J139" t="s">
        <v>190</v>
      </c>
      <c r="K139" t="s">
        <v>97</v>
      </c>
      <c r="L139" t="s">
        <v>98</v>
      </c>
      <c r="M139">
        <v>11</v>
      </c>
      <c r="N139">
        <v>159</v>
      </c>
      <c r="O139">
        <v>254</v>
      </c>
      <c r="P139" s="13">
        <v>307.60000000000002</v>
      </c>
      <c r="Q139" s="13">
        <v>85.4</v>
      </c>
      <c r="R139">
        <v>36</v>
      </c>
      <c r="S139">
        <v>60</v>
      </c>
      <c r="T139" s="13">
        <v>60.3</v>
      </c>
      <c r="U139" s="13">
        <v>74.5</v>
      </c>
      <c r="V139" t="s">
        <v>99</v>
      </c>
      <c r="X139" s="13">
        <v>307.60000000000002</v>
      </c>
    </row>
    <row r="140" spans="1:24" x14ac:dyDescent="0.25">
      <c r="A140" t="s">
        <v>228</v>
      </c>
      <c r="B140" t="s">
        <v>61</v>
      </c>
      <c r="C140" t="s">
        <v>92</v>
      </c>
      <c r="D140" t="s">
        <v>92</v>
      </c>
      <c r="E140" t="s">
        <v>93</v>
      </c>
      <c r="F140" t="s">
        <v>94</v>
      </c>
      <c r="G140" t="s">
        <v>95</v>
      </c>
      <c r="H140" s="12">
        <v>6.2675000000000001</v>
      </c>
      <c r="I140" s="12">
        <v>-75.568600000000004</v>
      </c>
      <c r="J140" t="s">
        <v>190</v>
      </c>
      <c r="K140" t="s">
        <v>97</v>
      </c>
      <c r="L140" t="s">
        <v>98</v>
      </c>
      <c r="M140">
        <v>11</v>
      </c>
      <c r="N140">
        <v>167</v>
      </c>
      <c r="O140">
        <v>254</v>
      </c>
      <c r="P140" s="13">
        <v>320.8</v>
      </c>
      <c r="Q140" s="13">
        <v>46.3</v>
      </c>
      <c r="R140">
        <v>58</v>
      </c>
      <c r="S140">
        <v>88</v>
      </c>
      <c r="T140" s="13">
        <v>62.1</v>
      </c>
      <c r="U140" s="13">
        <v>70.900000000000006</v>
      </c>
      <c r="V140" t="s">
        <v>99</v>
      </c>
      <c r="X140" s="13">
        <v>320.8</v>
      </c>
    </row>
    <row r="141" spans="1:24" x14ac:dyDescent="0.25">
      <c r="A141" t="s">
        <v>229</v>
      </c>
      <c r="B141" t="s">
        <v>61</v>
      </c>
      <c r="C141" t="s">
        <v>92</v>
      </c>
      <c r="D141" t="s">
        <v>92</v>
      </c>
      <c r="E141" t="s">
        <v>93</v>
      </c>
      <c r="F141" t="s">
        <v>94</v>
      </c>
      <c r="G141" t="s">
        <v>95</v>
      </c>
      <c r="H141" s="12">
        <v>6.2675000000000001</v>
      </c>
      <c r="I141" s="12">
        <v>-75.568600000000004</v>
      </c>
      <c r="J141" t="s">
        <v>190</v>
      </c>
      <c r="K141" t="s">
        <v>97</v>
      </c>
      <c r="L141" t="s">
        <v>98</v>
      </c>
      <c r="M141">
        <v>11</v>
      </c>
      <c r="N141">
        <v>113</v>
      </c>
      <c r="O141">
        <v>254</v>
      </c>
      <c r="P141" s="13">
        <v>208.5</v>
      </c>
      <c r="Q141" s="13">
        <v>43.9</v>
      </c>
      <c r="R141">
        <v>32</v>
      </c>
      <c r="S141">
        <v>40</v>
      </c>
      <c r="T141" s="13">
        <v>44.8</v>
      </c>
      <c r="U141" s="13">
        <v>60</v>
      </c>
      <c r="V141" t="s">
        <v>99</v>
      </c>
      <c r="X141" s="13">
        <v>208.5</v>
      </c>
    </row>
    <row r="142" spans="1:24" x14ac:dyDescent="0.25">
      <c r="A142" t="s">
        <v>230</v>
      </c>
      <c r="B142" t="s">
        <v>61</v>
      </c>
      <c r="C142" t="s">
        <v>92</v>
      </c>
      <c r="D142" t="s">
        <v>92</v>
      </c>
      <c r="E142" t="s">
        <v>93</v>
      </c>
      <c r="F142" t="s">
        <v>94</v>
      </c>
      <c r="G142" t="s">
        <v>95</v>
      </c>
      <c r="H142" s="12">
        <v>6.2675000000000001</v>
      </c>
      <c r="I142" s="12">
        <v>-75.568600000000004</v>
      </c>
      <c r="J142" t="s">
        <v>190</v>
      </c>
      <c r="K142" t="s">
        <v>97</v>
      </c>
      <c r="L142" t="s">
        <v>98</v>
      </c>
      <c r="M142">
        <v>11</v>
      </c>
      <c r="N142">
        <v>130</v>
      </c>
      <c r="O142">
        <v>254</v>
      </c>
      <c r="P142" s="13">
        <v>253.9</v>
      </c>
      <c r="Q142" s="13">
        <v>56.1</v>
      </c>
      <c r="R142">
        <v>36</v>
      </c>
      <c r="S142">
        <v>58</v>
      </c>
      <c r="T142" s="13">
        <v>51.7</v>
      </c>
      <c r="U142" s="13">
        <v>54.5</v>
      </c>
      <c r="V142" t="s">
        <v>99</v>
      </c>
      <c r="X142" s="13">
        <v>253.9</v>
      </c>
    </row>
    <row r="143" spans="1:24" x14ac:dyDescent="0.25">
      <c r="A143" t="s">
        <v>231</v>
      </c>
      <c r="B143" t="s">
        <v>61</v>
      </c>
      <c r="C143" t="s">
        <v>92</v>
      </c>
      <c r="D143" t="s">
        <v>92</v>
      </c>
      <c r="E143" t="s">
        <v>93</v>
      </c>
      <c r="F143" t="s">
        <v>94</v>
      </c>
      <c r="G143" t="s">
        <v>95</v>
      </c>
      <c r="H143" s="12">
        <v>6.2675000000000001</v>
      </c>
      <c r="I143" s="12">
        <v>-75.568600000000004</v>
      </c>
      <c r="J143" t="s">
        <v>190</v>
      </c>
      <c r="K143" t="s">
        <v>97</v>
      </c>
      <c r="L143" t="s">
        <v>98</v>
      </c>
      <c r="M143">
        <v>11</v>
      </c>
      <c r="N143">
        <v>147</v>
      </c>
      <c r="O143">
        <v>254</v>
      </c>
      <c r="P143" s="13">
        <v>274.3</v>
      </c>
      <c r="Q143" s="13">
        <v>63.4</v>
      </c>
      <c r="R143">
        <v>36</v>
      </c>
      <c r="S143">
        <v>56</v>
      </c>
      <c r="T143" s="13">
        <v>56.9</v>
      </c>
      <c r="U143" s="13">
        <v>76.400000000000006</v>
      </c>
      <c r="V143" t="s">
        <v>99</v>
      </c>
      <c r="X143" s="13">
        <v>274.3</v>
      </c>
    </row>
    <row r="144" spans="1:24" x14ac:dyDescent="0.25">
      <c r="A144" t="s">
        <v>232</v>
      </c>
      <c r="B144" t="s">
        <v>61</v>
      </c>
      <c r="C144" t="s">
        <v>92</v>
      </c>
      <c r="D144" t="s">
        <v>92</v>
      </c>
      <c r="E144" t="s">
        <v>93</v>
      </c>
      <c r="F144" t="s">
        <v>94</v>
      </c>
      <c r="G144" t="s">
        <v>95</v>
      </c>
      <c r="H144" s="12">
        <v>6.2675000000000001</v>
      </c>
      <c r="I144" s="12">
        <v>-75.568600000000004</v>
      </c>
      <c r="J144" t="s">
        <v>190</v>
      </c>
      <c r="K144" t="s">
        <v>97</v>
      </c>
      <c r="L144" t="s">
        <v>98</v>
      </c>
      <c r="M144">
        <v>11</v>
      </c>
      <c r="N144">
        <v>135</v>
      </c>
      <c r="O144">
        <v>254</v>
      </c>
      <c r="P144" s="13">
        <v>255</v>
      </c>
      <c r="Q144" s="13">
        <v>63.4</v>
      </c>
      <c r="R144">
        <v>36</v>
      </c>
      <c r="S144">
        <v>52</v>
      </c>
      <c r="T144" s="13">
        <v>46.6</v>
      </c>
      <c r="U144" s="13">
        <v>69.099999999999994</v>
      </c>
      <c r="V144" t="s">
        <v>99</v>
      </c>
      <c r="X144" s="13">
        <v>255</v>
      </c>
    </row>
    <row r="145" spans="1:24" x14ac:dyDescent="0.25">
      <c r="A145" t="s">
        <v>233</v>
      </c>
      <c r="B145" t="s">
        <v>61</v>
      </c>
      <c r="C145" t="s">
        <v>92</v>
      </c>
      <c r="D145" t="s">
        <v>92</v>
      </c>
      <c r="E145" t="s">
        <v>93</v>
      </c>
      <c r="F145" t="s">
        <v>94</v>
      </c>
      <c r="G145" t="s">
        <v>95</v>
      </c>
      <c r="H145" s="12">
        <v>6.2675000000000001</v>
      </c>
      <c r="I145" s="12">
        <v>-75.568600000000004</v>
      </c>
      <c r="J145" t="s">
        <v>190</v>
      </c>
      <c r="K145" t="s">
        <v>97</v>
      </c>
      <c r="L145" t="s">
        <v>132</v>
      </c>
      <c r="M145">
        <v>11</v>
      </c>
      <c r="N145">
        <v>76</v>
      </c>
      <c r="O145">
        <v>120</v>
      </c>
      <c r="P145" s="13">
        <v>311.10000000000002</v>
      </c>
      <c r="Q145" s="13">
        <v>73.2</v>
      </c>
      <c r="R145">
        <v>40</v>
      </c>
      <c r="S145">
        <v>84</v>
      </c>
      <c r="T145" s="13">
        <v>51.7</v>
      </c>
      <c r="U145" s="13"/>
      <c r="V145" t="s">
        <v>99</v>
      </c>
      <c r="X145" s="13">
        <v>311.10000000000002</v>
      </c>
    </row>
    <row r="146" spans="1:24" x14ac:dyDescent="0.25">
      <c r="A146" t="s">
        <v>234</v>
      </c>
      <c r="B146" t="s">
        <v>61</v>
      </c>
      <c r="C146" t="s">
        <v>92</v>
      </c>
      <c r="D146" t="s">
        <v>92</v>
      </c>
      <c r="E146" t="s">
        <v>93</v>
      </c>
      <c r="F146" t="s">
        <v>94</v>
      </c>
      <c r="G146" t="s">
        <v>95</v>
      </c>
      <c r="H146" s="12">
        <v>6.2675000000000001</v>
      </c>
      <c r="I146" s="12">
        <v>-75.568600000000004</v>
      </c>
      <c r="J146" t="s">
        <v>190</v>
      </c>
      <c r="K146" t="s">
        <v>97</v>
      </c>
      <c r="L146" t="s">
        <v>98</v>
      </c>
      <c r="M146">
        <v>11</v>
      </c>
      <c r="N146">
        <v>88</v>
      </c>
      <c r="O146">
        <v>254</v>
      </c>
      <c r="P146" s="13">
        <v>170.8</v>
      </c>
      <c r="Q146" s="13">
        <v>43.9</v>
      </c>
      <c r="R146">
        <v>28</v>
      </c>
      <c r="S146">
        <v>22</v>
      </c>
      <c r="T146" s="13">
        <v>41.4</v>
      </c>
      <c r="U146" s="13">
        <v>38.200000000000003</v>
      </c>
      <c r="V146" t="s">
        <v>99</v>
      </c>
      <c r="X146" s="13">
        <v>170.8</v>
      </c>
    </row>
    <row r="147" spans="1:24" x14ac:dyDescent="0.25">
      <c r="A147" t="s">
        <v>235</v>
      </c>
      <c r="B147" t="s">
        <v>61</v>
      </c>
      <c r="C147" t="s">
        <v>92</v>
      </c>
      <c r="D147" t="s">
        <v>92</v>
      </c>
      <c r="E147" t="s">
        <v>93</v>
      </c>
      <c r="F147" t="s">
        <v>94</v>
      </c>
      <c r="G147" t="s">
        <v>95</v>
      </c>
      <c r="H147" s="12">
        <v>6.2675000000000001</v>
      </c>
      <c r="I147" s="12">
        <v>-75.568600000000004</v>
      </c>
      <c r="J147" t="s">
        <v>190</v>
      </c>
      <c r="K147" t="s">
        <v>97</v>
      </c>
      <c r="L147" t="s">
        <v>98</v>
      </c>
      <c r="M147">
        <v>11</v>
      </c>
      <c r="N147">
        <v>156</v>
      </c>
      <c r="O147">
        <v>254</v>
      </c>
      <c r="P147" s="13">
        <v>288.39999999999998</v>
      </c>
      <c r="Q147" s="13">
        <v>51.2</v>
      </c>
      <c r="R147">
        <v>34</v>
      </c>
      <c r="S147">
        <v>76</v>
      </c>
      <c r="T147" s="13">
        <v>62.1</v>
      </c>
      <c r="U147" s="13">
        <v>80</v>
      </c>
      <c r="V147" t="s">
        <v>99</v>
      </c>
      <c r="X147" s="13">
        <v>288.39999999999998</v>
      </c>
    </row>
    <row r="148" spans="1:24" x14ac:dyDescent="0.25">
      <c r="A148" t="s">
        <v>236</v>
      </c>
      <c r="B148" t="s">
        <v>61</v>
      </c>
      <c r="C148" t="s">
        <v>92</v>
      </c>
      <c r="D148" t="s">
        <v>92</v>
      </c>
      <c r="E148" t="s">
        <v>93</v>
      </c>
      <c r="F148" t="s">
        <v>94</v>
      </c>
      <c r="G148" t="s">
        <v>95</v>
      </c>
      <c r="H148" s="12">
        <v>6.2675000000000001</v>
      </c>
      <c r="I148" s="12">
        <v>-75.568600000000004</v>
      </c>
      <c r="J148" t="s">
        <v>190</v>
      </c>
      <c r="K148" t="s">
        <v>97</v>
      </c>
      <c r="L148" t="s">
        <v>98</v>
      </c>
      <c r="M148">
        <v>11</v>
      </c>
      <c r="N148">
        <v>160</v>
      </c>
      <c r="O148">
        <v>254</v>
      </c>
      <c r="P148" s="13">
        <v>291</v>
      </c>
      <c r="Q148" s="13">
        <v>61</v>
      </c>
      <c r="R148">
        <v>28</v>
      </c>
      <c r="S148">
        <v>76</v>
      </c>
      <c r="T148" s="13">
        <v>56.9</v>
      </c>
      <c r="U148" s="13">
        <v>90.9</v>
      </c>
      <c r="V148" t="s">
        <v>99</v>
      </c>
      <c r="X148" s="13">
        <v>291</v>
      </c>
    </row>
    <row r="149" spans="1:24" x14ac:dyDescent="0.25">
      <c r="A149" t="s">
        <v>237</v>
      </c>
      <c r="B149" t="s">
        <v>61</v>
      </c>
      <c r="C149" t="s">
        <v>92</v>
      </c>
      <c r="D149" t="s">
        <v>92</v>
      </c>
      <c r="E149" t="s">
        <v>93</v>
      </c>
      <c r="F149" t="s">
        <v>94</v>
      </c>
      <c r="G149" t="s">
        <v>95</v>
      </c>
      <c r="H149" s="12">
        <v>6.2675000000000001</v>
      </c>
      <c r="I149" s="12">
        <v>-75.568600000000004</v>
      </c>
      <c r="J149" t="s">
        <v>190</v>
      </c>
      <c r="K149" t="s">
        <v>97</v>
      </c>
      <c r="L149" t="s">
        <v>98</v>
      </c>
      <c r="M149">
        <v>11</v>
      </c>
      <c r="N149">
        <v>156</v>
      </c>
      <c r="O149">
        <v>254</v>
      </c>
      <c r="P149" s="13">
        <v>303.7</v>
      </c>
      <c r="Q149" s="13">
        <v>70.7</v>
      </c>
      <c r="R149">
        <v>30</v>
      </c>
      <c r="S149">
        <v>70</v>
      </c>
      <c r="T149" s="13">
        <v>70.7</v>
      </c>
      <c r="U149" s="13">
        <v>65.5</v>
      </c>
      <c r="V149" t="s">
        <v>99</v>
      </c>
      <c r="X149" s="13">
        <v>303.7</v>
      </c>
    </row>
    <row r="150" spans="1:24" x14ac:dyDescent="0.25">
      <c r="A150" t="s">
        <v>238</v>
      </c>
      <c r="B150" t="s">
        <v>61</v>
      </c>
      <c r="C150" t="s">
        <v>92</v>
      </c>
      <c r="D150" t="s">
        <v>92</v>
      </c>
      <c r="E150" t="s">
        <v>93</v>
      </c>
      <c r="F150" t="s">
        <v>94</v>
      </c>
      <c r="G150" t="s">
        <v>95</v>
      </c>
      <c r="H150" s="12">
        <v>6.2675000000000001</v>
      </c>
      <c r="I150" s="12">
        <v>-75.568600000000004</v>
      </c>
      <c r="J150" t="s">
        <v>190</v>
      </c>
      <c r="K150" t="s">
        <v>97</v>
      </c>
      <c r="L150" t="s">
        <v>98</v>
      </c>
      <c r="M150">
        <v>11</v>
      </c>
      <c r="N150">
        <v>152</v>
      </c>
      <c r="O150">
        <v>254</v>
      </c>
      <c r="P150" s="13">
        <v>292.39999999999998</v>
      </c>
      <c r="Q150" s="13">
        <v>61</v>
      </c>
      <c r="R150">
        <v>46</v>
      </c>
      <c r="S150">
        <v>78</v>
      </c>
      <c r="T150" s="13">
        <v>44.8</v>
      </c>
      <c r="U150" s="13">
        <v>70.900000000000006</v>
      </c>
      <c r="V150" t="s">
        <v>99</v>
      </c>
      <c r="X150" s="13">
        <v>292.39999999999998</v>
      </c>
    </row>
    <row r="151" spans="1:24" x14ac:dyDescent="0.25">
      <c r="A151" t="s">
        <v>239</v>
      </c>
      <c r="B151" t="s">
        <v>61</v>
      </c>
      <c r="C151" t="s">
        <v>92</v>
      </c>
      <c r="D151" t="s">
        <v>92</v>
      </c>
      <c r="E151" t="s">
        <v>93</v>
      </c>
      <c r="F151" t="s">
        <v>94</v>
      </c>
      <c r="G151" t="s">
        <v>95</v>
      </c>
      <c r="H151" s="12">
        <v>6.2675000000000001</v>
      </c>
      <c r="I151" s="12">
        <v>-75.568600000000004</v>
      </c>
      <c r="J151" t="s">
        <v>190</v>
      </c>
      <c r="K151" t="s">
        <v>97</v>
      </c>
      <c r="L151" t="s">
        <v>98</v>
      </c>
      <c r="M151">
        <v>11</v>
      </c>
      <c r="N151">
        <v>108</v>
      </c>
      <c r="O151">
        <v>254</v>
      </c>
      <c r="P151" s="13">
        <v>215.8</v>
      </c>
      <c r="Q151" s="13">
        <v>63.4</v>
      </c>
      <c r="R151">
        <v>30</v>
      </c>
      <c r="S151">
        <v>36</v>
      </c>
      <c r="T151" s="13">
        <v>43.1</v>
      </c>
      <c r="U151" s="13">
        <v>43.6</v>
      </c>
      <c r="V151" t="s">
        <v>99</v>
      </c>
      <c r="X151" s="13">
        <v>215.8</v>
      </c>
    </row>
    <row r="152" spans="1:24" x14ac:dyDescent="0.25">
      <c r="A152" t="s">
        <v>240</v>
      </c>
      <c r="B152" t="s">
        <v>61</v>
      </c>
      <c r="C152" t="s">
        <v>92</v>
      </c>
      <c r="D152" t="s">
        <v>92</v>
      </c>
      <c r="E152" t="s">
        <v>93</v>
      </c>
      <c r="F152" t="s">
        <v>94</v>
      </c>
      <c r="G152" t="s">
        <v>95</v>
      </c>
      <c r="H152" s="12">
        <v>6.2675000000000001</v>
      </c>
      <c r="I152" s="12">
        <v>-75.568600000000004</v>
      </c>
      <c r="J152" t="s">
        <v>190</v>
      </c>
      <c r="K152" t="s">
        <v>97</v>
      </c>
      <c r="L152" t="s">
        <v>98</v>
      </c>
      <c r="M152">
        <v>11</v>
      </c>
      <c r="N152">
        <v>141</v>
      </c>
      <c r="O152">
        <v>254</v>
      </c>
      <c r="P152" s="13">
        <v>278.60000000000002</v>
      </c>
      <c r="Q152" s="13">
        <v>56.1</v>
      </c>
      <c r="R152">
        <v>30</v>
      </c>
      <c r="S152">
        <v>82</v>
      </c>
      <c r="T152" s="13">
        <v>55.2</v>
      </c>
      <c r="U152" s="13">
        <v>54.5</v>
      </c>
      <c r="V152" t="s">
        <v>99</v>
      </c>
      <c r="X152" s="13">
        <v>278.60000000000002</v>
      </c>
    </row>
    <row r="153" spans="1:24" x14ac:dyDescent="0.25">
      <c r="A153" t="s">
        <v>241</v>
      </c>
      <c r="B153" t="s">
        <v>61</v>
      </c>
      <c r="C153" t="s">
        <v>92</v>
      </c>
      <c r="D153" t="s">
        <v>92</v>
      </c>
      <c r="E153" t="s">
        <v>93</v>
      </c>
      <c r="F153" t="s">
        <v>94</v>
      </c>
      <c r="G153" t="s">
        <v>95</v>
      </c>
      <c r="H153" s="12">
        <v>6.2675000000000001</v>
      </c>
      <c r="I153" s="12">
        <v>-75.568600000000004</v>
      </c>
      <c r="J153" t="s">
        <v>242</v>
      </c>
      <c r="K153" t="s">
        <v>97</v>
      </c>
      <c r="L153" t="s">
        <v>98</v>
      </c>
      <c r="M153">
        <v>11</v>
      </c>
      <c r="N153">
        <v>164</v>
      </c>
      <c r="O153">
        <v>254</v>
      </c>
      <c r="P153" s="13">
        <v>321</v>
      </c>
      <c r="Q153" s="13">
        <v>51.2</v>
      </c>
      <c r="R153">
        <v>62</v>
      </c>
      <c r="S153">
        <v>80</v>
      </c>
      <c r="T153" s="13">
        <v>63.8</v>
      </c>
      <c r="U153" s="13">
        <v>63.6</v>
      </c>
      <c r="V153" t="s">
        <v>99</v>
      </c>
      <c r="X153" s="13">
        <v>321</v>
      </c>
    </row>
    <row r="154" spans="1:24" x14ac:dyDescent="0.25">
      <c r="A154" t="s">
        <v>243</v>
      </c>
      <c r="B154" t="s">
        <v>61</v>
      </c>
      <c r="C154" t="s">
        <v>92</v>
      </c>
      <c r="D154" t="s">
        <v>92</v>
      </c>
      <c r="E154" t="s">
        <v>93</v>
      </c>
      <c r="F154" t="s">
        <v>94</v>
      </c>
      <c r="G154" t="s">
        <v>95</v>
      </c>
      <c r="H154" s="12">
        <v>6.2675000000000001</v>
      </c>
      <c r="I154" s="12">
        <v>-75.568600000000004</v>
      </c>
      <c r="J154" t="s">
        <v>242</v>
      </c>
      <c r="K154" t="s">
        <v>97</v>
      </c>
      <c r="L154" t="s">
        <v>98</v>
      </c>
      <c r="M154">
        <v>11</v>
      </c>
      <c r="N154">
        <v>142</v>
      </c>
      <c r="O154">
        <v>254</v>
      </c>
      <c r="P154" s="13">
        <v>267.7</v>
      </c>
      <c r="Q154" s="13">
        <v>51.2</v>
      </c>
      <c r="R154">
        <v>32</v>
      </c>
      <c r="S154">
        <v>66</v>
      </c>
      <c r="T154" s="13">
        <v>60.3</v>
      </c>
      <c r="U154" s="13">
        <v>67.3</v>
      </c>
      <c r="V154" t="s">
        <v>99</v>
      </c>
      <c r="X154" s="13">
        <v>267.7</v>
      </c>
    </row>
    <row r="155" spans="1:24" x14ac:dyDescent="0.25">
      <c r="A155" t="s">
        <v>244</v>
      </c>
      <c r="B155" t="s">
        <v>61</v>
      </c>
      <c r="C155" t="s">
        <v>92</v>
      </c>
      <c r="D155" t="s">
        <v>92</v>
      </c>
      <c r="E155" t="s">
        <v>93</v>
      </c>
      <c r="F155" t="s">
        <v>94</v>
      </c>
      <c r="G155" t="s">
        <v>95</v>
      </c>
      <c r="H155" s="12">
        <v>6.2675000000000001</v>
      </c>
      <c r="I155" s="12">
        <v>-75.568600000000004</v>
      </c>
      <c r="J155" t="s">
        <v>242</v>
      </c>
      <c r="K155" t="s">
        <v>97</v>
      </c>
      <c r="L155" t="s">
        <v>98</v>
      </c>
      <c r="M155">
        <v>11</v>
      </c>
      <c r="N155">
        <v>187</v>
      </c>
      <c r="O155">
        <v>254</v>
      </c>
      <c r="P155" s="13">
        <v>361.2</v>
      </c>
      <c r="Q155" s="13">
        <v>75.599999999999994</v>
      </c>
      <c r="R155">
        <v>58</v>
      </c>
      <c r="S155">
        <v>78</v>
      </c>
      <c r="T155" s="13">
        <v>74.099999999999994</v>
      </c>
      <c r="U155" s="13">
        <v>81.8</v>
      </c>
      <c r="V155" t="s">
        <v>99</v>
      </c>
      <c r="X155" s="13">
        <v>361.2</v>
      </c>
    </row>
    <row r="156" spans="1:24" x14ac:dyDescent="0.25">
      <c r="A156" t="s">
        <v>245</v>
      </c>
      <c r="B156" t="s">
        <v>61</v>
      </c>
      <c r="C156" t="s">
        <v>92</v>
      </c>
      <c r="D156" t="s">
        <v>92</v>
      </c>
      <c r="E156" t="s">
        <v>93</v>
      </c>
      <c r="F156" t="s">
        <v>94</v>
      </c>
      <c r="G156" t="s">
        <v>95</v>
      </c>
      <c r="H156" s="12">
        <v>6.2675000000000001</v>
      </c>
      <c r="I156" s="12">
        <v>-75.568600000000004</v>
      </c>
      <c r="J156" t="s">
        <v>242</v>
      </c>
      <c r="K156" t="s">
        <v>97</v>
      </c>
      <c r="L156" t="s">
        <v>98</v>
      </c>
      <c r="M156">
        <v>11</v>
      </c>
      <c r="N156">
        <v>124</v>
      </c>
      <c r="O156">
        <v>254</v>
      </c>
      <c r="P156" s="13">
        <v>245</v>
      </c>
      <c r="Q156" s="13">
        <v>46.3</v>
      </c>
      <c r="R156">
        <v>48</v>
      </c>
      <c r="S156">
        <v>54</v>
      </c>
      <c r="T156" s="13">
        <v>48.3</v>
      </c>
      <c r="U156" s="13">
        <v>47.3</v>
      </c>
      <c r="V156" t="s">
        <v>99</v>
      </c>
      <c r="X156" s="13">
        <v>245</v>
      </c>
    </row>
    <row r="157" spans="1:24" x14ac:dyDescent="0.25">
      <c r="A157" t="s">
        <v>246</v>
      </c>
      <c r="B157" t="s">
        <v>61</v>
      </c>
      <c r="C157" t="s">
        <v>92</v>
      </c>
      <c r="D157" t="s">
        <v>92</v>
      </c>
      <c r="E157" t="s">
        <v>93</v>
      </c>
      <c r="F157" t="s">
        <v>94</v>
      </c>
      <c r="G157" t="s">
        <v>95</v>
      </c>
      <c r="H157" s="12">
        <v>6.2675000000000001</v>
      </c>
      <c r="I157" s="12">
        <v>-75.568600000000004</v>
      </c>
      <c r="J157" t="s">
        <v>242</v>
      </c>
      <c r="K157" t="s">
        <v>97</v>
      </c>
      <c r="L157" t="s">
        <v>132</v>
      </c>
      <c r="M157">
        <v>11</v>
      </c>
      <c r="N157">
        <v>58</v>
      </c>
      <c r="O157">
        <v>120</v>
      </c>
      <c r="P157" s="13">
        <v>234</v>
      </c>
      <c r="Q157" s="13">
        <v>53.7</v>
      </c>
      <c r="R157">
        <v>32</v>
      </c>
      <c r="S157">
        <v>36</v>
      </c>
      <c r="T157" s="13">
        <v>65.5</v>
      </c>
      <c r="U157" s="13"/>
      <c r="V157" t="s">
        <v>99</v>
      </c>
      <c r="X157" s="13">
        <v>234</v>
      </c>
    </row>
    <row r="158" spans="1:24" x14ac:dyDescent="0.25">
      <c r="A158" t="s">
        <v>247</v>
      </c>
      <c r="B158" t="s">
        <v>61</v>
      </c>
      <c r="C158" t="s">
        <v>92</v>
      </c>
      <c r="D158" t="s">
        <v>92</v>
      </c>
      <c r="E158" t="s">
        <v>93</v>
      </c>
      <c r="F158" t="s">
        <v>94</v>
      </c>
      <c r="G158" t="s">
        <v>95</v>
      </c>
      <c r="H158" s="12">
        <v>6.2675000000000001</v>
      </c>
      <c r="I158" s="12">
        <v>-75.568600000000004</v>
      </c>
      <c r="J158" t="s">
        <v>242</v>
      </c>
      <c r="K158" t="s">
        <v>97</v>
      </c>
      <c r="L158" t="s">
        <v>98</v>
      </c>
      <c r="M158">
        <v>11</v>
      </c>
      <c r="N158">
        <v>131</v>
      </c>
      <c r="O158">
        <v>254</v>
      </c>
      <c r="P158" s="13">
        <v>257</v>
      </c>
      <c r="Q158" s="13">
        <v>63.4</v>
      </c>
      <c r="R158">
        <v>40</v>
      </c>
      <c r="S158">
        <v>54</v>
      </c>
      <c r="T158" s="13">
        <v>46.6</v>
      </c>
      <c r="U158" s="13">
        <v>56.4</v>
      </c>
      <c r="V158" t="s">
        <v>99</v>
      </c>
      <c r="X158" s="13">
        <v>257</v>
      </c>
    </row>
    <row r="159" spans="1:24" x14ac:dyDescent="0.25">
      <c r="A159" t="s">
        <v>248</v>
      </c>
      <c r="B159" t="s">
        <v>61</v>
      </c>
      <c r="C159" t="s">
        <v>92</v>
      </c>
      <c r="D159" t="s">
        <v>92</v>
      </c>
      <c r="E159" t="s">
        <v>93</v>
      </c>
      <c r="F159" t="s">
        <v>94</v>
      </c>
      <c r="G159" t="s">
        <v>95</v>
      </c>
      <c r="H159" s="12">
        <v>6.2675000000000001</v>
      </c>
      <c r="I159" s="12">
        <v>-75.568600000000004</v>
      </c>
      <c r="J159" t="s">
        <v>242</v>
      </c>
      <c r="K159" t="s">
        <v>97</v>
      </c>
      <c r="L159" t="s">
        <v>98</v>
      </c>
      <c r="M159">
        <v>11</v>
      </c>
      <c r="N159">
        <v>134</v>
      </c>
      <c r="O159">
        <v>254</v>
      </c>
      <c r="P159" s="13">
        <v>259.39999999999998</v>
      </c>
      <c r="Q159" s="13">
        <v>63.4</v>
      </c>
      <c r="R159">
        <v>40</v>
      </c>
      <c r="S159">
        <v>56</v>
      </c>
      <c r="T159" s="13">
        <v>44.8</v>
      </c>
      <c r="U159" s="13">
        <v>61.8</v>
      </c>
      <c r="V159" t="s">
        <v>99</v>
      </c>
      <c r="X159" s="13">
        <v>259.39999999999998</v>
      </c>
    </row>
    <row r="160" spans="1:24" x14ac:dyDescent="0.25">
      <c r="A160" t="s">
        <v>249</v>
      </c>
      <c r="B160" t="s">
        <v>61</v>
      </c>
      <c r="C160" t="s">
        <v>92</v>
      </c>
      <c r="D160" t="s">
        <v>92</v>
      </c>
      <c r="E160" t="s">
        <v>93</v>
      </c>
      <c r="F160" t="s">
        <v>94</v>
      </c>
      <c r="G160" t="s">
        <v>95</v>
      </c>
      <c r="H160" s="12">
        <v>6.2675000000000001</v>
      </c>
      <c r="I160" s="12">
        <v>-75.568600000000004</v>
      </c>
      <c r="J160" t="s">
        <v>242</v>
      </c>
      <c r="K160" t="s">
        <v>97</v>
      </c>
      <c r="L160" t="s">
        <v>98</v>
      </c>
      <c r="M160">
        <v>11</v>
      </c>
      <c r="N160">
        <v>145</v>
      </c>
      <c r="O160">
        <v>254</v>
      </c>
      <c r="P160" s="13">
        <v>271.39999999999998</v>
      </c>
      <c r="Q160" s="13">
        <v>68.3</v>
      </c>
      <c r="R160">
        <v>40</v>
      </c>
      <c r="S160">
        <v>56</v>
      </c>
      <c r="T160" s="13">
        <v>44.8</v>
      </c>
      <c r="U160" s="13">
        <v>78.2</v>
      </c>
      <c r="V160" t="s">
        <v>99</v>
      </c>
      <c r="X160" s="13">
        <v>271.39999999999998</v>
      </c>
    </row>
    <row r="161" spans="1:24" x14ac:dyDescent="0.25">
      <c r="A161" t="s">
        <v>250</v>
      </c>
      <c r="B161" t="s">
        <v>61</v>
      </c>
      <c r="C161" t="s">
        <v>92</v>
      </c>
      <c r="D161" t="s">
        <v>92</v>
      </c>
      <c r="E161" t="s">
        <v>93</v>
      </c>
      <c r="F161" t="s">
        <v>94</v>
      </c>
      <c r="G161" t="s">
        <v>95</v>
      </c>
      <c r="H161" s="12">
        <v>6.2675000000000001</v>
      </c>
      <c r="I161" s="12">
        <v>-75.568600000000004</v>
      </c>
      <c r="J161" t="s">
        <v>242</v>
      </c>
      <c r="K161" t="s">
        <v>97</v>
      </c>
      <c r="L161" t="s">
        <v>98</v>
      </c>
      <c r="M161">
        <v>11</v>
      </c>
      <c r="N161">
        <v>128</v>
      </c>
      <c r="O161">
        <v>254</v>
      </c>
      <c r="P161" s="13">
        <v>231.2</v>
      </c>
      <c r="Q161" s="13">
        <v>56.1</v>
      </c>
      <c r="R161">
        <v>38</v>
      </c>
      <c r="S161">
        <v>52</v>
      </c>
      <c r="T161" s="13">
        <v>27.6</v>
      </c>
      <c r="U161" s="13">
        <v>80</v>
      </c>
      <c r="V161" t="s">
        <v>99</v>
      </c>
      <c r="X161" s="13">
        <v>231.2</v>
      </c>
    </row>
    <row r="162" spans="1:24" x14ac:dyDescent="0.25">
      <c r="A162" t="s">
        <v>251</v>
      </c>
      <c r="B162" t="s">
        <v>61</v>
      </c>
      <c r="C162" t="s">
        <v>92</v>
      </c>
      <c r="D162" t="s">
        <v>92</v>
      </c>
      <c r="E162" t="s">
        <v>93</v>
      </c>
      <c r="F162" t="s">
        <v>94</v>
      </c>
      <c r="G162" t="s">
        <v>95</v>
      </c>
      <c r="H162" s="12">
        <v>6.2675000000000001</v>
      </c>
      <c r="I162" s="12">
        <v>-75.568600000000004</v>
      </c>
      <c r="J162" t="s">
        <v>242</v>
      </c>
      <c r="K162" t="s">
        <v>97</v>
      </c>
      <c r="L162" t="s">
        <v>98</v>
      </c>
      <c r="M162">
        <v>11</v>
      </c>
      <c r="N162">
        <v>127</v>
      </c>
      <c r="O162">
        <v>254</v>
      </c>
      <c r="P162" s="13">
        <v>251.4</v>
      </c>
      <c r="Q162" s="13">
        <v>68.3</v>
      </c>
      <c r="R162">
        <v>34</v>
      </c>
      <c r="S162">
        <v>48</v>
      </c>
      <c r="T162" s="13">
        <v>50</v>
      </c>
      <c r="U162" s="13">
        <v>52.7</v>
      </c>
      <c r="V162" t="s">
        <v>99</v>
      </c>
      <c r="X162" s="13">
        <v>251.4</v>
      </c>
    </row>
    <row r="163" spans="1:24" x14ac:dyDescent="0.25">
      <c r="A163" t="s">
        <v>252</v>
      </c>
      <c r="B163" t="s">
        <v>61</v>
      </c>
      <c r="C163" t="s">
        <v>92</v>
      </c>
      <c r="D163" t="s">
        <v>92</v>
      </c>
      <c r="E163" t="s">
        <v>93</v>
      </c>
      <c r="F163" t="s">
        <v>94</v>
      </c>
      <c r="G163" t="s">
        <v>95</v>
      </c>
      <c r="H163" s="12">
        <v>6.2675000000000001</v>
      </c>
      <c r="I163" s="12">
        <v>-75.568600000000004</v>
      </c>
      <c r="J163" t="s">
        <v>242</v>
      </c>
      <c r="K163" t="s">
        <v>97</v>
      </c>
      <c r="L163" t="s">
        <v>98</v>
      </c>
      <c r="M163">
        <v>11</v>
      </c>
      <c r="N163">
        <v>154</v>
      </c>
      <c r="O163">
        <v>254</v>
      </c>
      <c r="P163" s="13">
        <v>287.10000000000002</v>
      </c>
      <c r="Q163" s="13">
        <v>61</v>
      </c>
      <c r="R163">
        <v>36</v>
      </c>
      <c r="S163">
        <v>62</v>
      </c>
      <c r="T163" s="13">
        <v>63.8</v>
      </c>
      <c r="U163" s="13">
        <v>78.2</v>
      </c>
      <c r="V163" t="s">
        <v>99</v>
      </c>
      <c r="X163" s="13">
        <v>287.10000000000002</v>
      </c>
    </row>
    <row r="164" spans="1:24" x14ac:dyDescent="0.25">
      <c r="A164" t="s">
        <v>253</v>
      </c>
      <c r="B164" t="s">
        <v>61</v>
      </c>
      <c r="C164" t="s">
        <v>92</v>
      </c>
      <c r="D164" t="s">
        <v>92</v>
      </c>
      <c r="E164" t="s">
        <v>93</v>
      </c>
      <c r="F164" t="s">
        <v>94</v>
      </c>
      <c r="G164" t="s">
        <v>95</v>
      </c>
      <c r="H164" s="12">
        <v>6.2675000000000001</v>
      </c>
      <c r="I164" s="12">
        <v>-75.568600000000004</v>
      </c>
      <c r="J164" t="s">
        <v>242</v>
      </c>
      <c r="K164" t="s">
        <v>97</v>
      </c>
      <c r="L164" t="s">
        <v>132</v>
      </c>
      <c r="M164">
        <v>11</v>
      </c>
      <c r="N164">
        <v>53</v>
      </c>
      <c r="O164">
        <v>120</v>
      </c>
      <c r="P164" s="13">
        <v>218.8</v>
      </c>
      <c r="Q164" s="13">
        <v>43.9</v>
      </c>
      <c r="R164">
        <v>32</v>
      </c>
      <c r="S164">
        <v>44</v>
      </c>
      <c r="T164" s="13">
        <v>55.2</v>
      </c>
      <c r="U164" s="13"/>
      <c r="V164" t="s">
        <v>99</v>
      </c>
      <c r="X164" s="13">
        <v>218.8</v>
      </c>
    </row>
    <row r="165" spans="1:24" x14ac:dyDescent="0.25">
      <c r="A165" t="s">
        <v>254</v>
      </c>
      <c r="B165" t="s">
        <v>61</v>
      </c>
      <c r="C165" t="s">
        <v>92</v>
      </c>
      <c r="D165" t="s">
        <v>92</v>
      </c>
      <c r="E165" t="s">
        <v>93</v>
      </c>
      <c r="F165" t="s">
        <v>94</v>
      </c>
      <c r="G165" t="s">
        <v>95</v>
      </c>
      <c r="H165" s="12">
        <v>6.2675000000000001</v>
      </c>
      <c r="I165" s="12">
        <v>-75.568600000000004</v>
      </c>
      <c r="J165" t="s">
        <v>242</v>
      </c>
      <c r="K165" t="s">
        <v>97</v>
      </c>
      <c r="L165" t="s">
        <v>98</v>
      </c>
      <c r="M165">
        <v>11</v>
      </c>
      <c r="N165">
        <v>178</v>
      </c>
      <c r="O165">
        <v>254</v>
      </c>
      <c r="P165" s="13">
        <v>330.4</v>
      </c>
      <c r="Q165" s="13">
        <v>58.5</v>
      </c>
      <c r="R165">
        <v>58</v>
      </c>
      <c r="S165">
        <v>74</v>
      </c>
      <c r="T165" s="13">
        <v>65.5</v>
      </c>
      <c r="U165" s="13">
        <v>90.9</v>
      </c>
      <c r="V165" t="s">
        <v>99</v>
      </c>
      <c r="X165" s="13">
        <v>330.4</v>
      </c>
    </row>
    <row r="166" spans="1:24" x14ac:dyDescent="0.25">
      <c r="A166" t="s">
        <v>255</v>
      </c>
      <c r="B166" t="s">
        <v>61</v>
      </c>
      <c r="C166" t="s">
        <v>92</v>
      </c>
      <c r="D166" t="s">
        <v>92</v>
      </c>
      <c r="E166" t="s">
        <v>93</v>
      </c>
      <c r="F166" t="s">
        <v>94</v>
      </c>
      <c r="G166" t="s">
        <v>95</v>
      </c>
      <c r="H166" s="12">
        <v>6.2675000000000001</v>
      </c>
      <c r="I166" s="12">
        <v>-75.568600000000004</v>
      </c>
      <c r="J166" t="s">
        <v>242</v>
      </c>
      <c r="K166" t="s">
        <v>97</v>
      </c>
      <c r="L166" t="s">
        <v>98</v>
      </c>
      <c r="M166">
        <v>11</v>
      </c>
      <c r="N166">
        <v>178</v>
      </c>
      <c r="O166">
        <v>254</v>
      </c>
      <c r="P166" s="13">
        <v>329.9</v>
      </c>
      <c r="Q166" s="13">
        <v>56.1</v>
      </c>
      <c r="R166">
        <v>58</v>
      </c>
      <c r="S166">
        <v>76</v>
      </c>
      <c r="T166" s="13">
        <v>65.5</v>
      </c>
      <c r="U166" s="13">
        <v>90.9</v>
      </c>
      <c r="V166" t="s">
        <v>99</v>
      </c>
      <c r="X166" s="13">
        <v>329.9</v>
      </c>
    </row>
    <row r="167" spans="1:24" x14ac:dyDescent="0.25">
      <c r="A167" t="s">
        <v>256</v>
      </c>
      <c r="B167" t="s">
        <v>61</v>
      </c>
      <c r="C167" t="s">
        <v>92</v>
      </c>
      <c r="D167" t="s">
        <v>92</v>
      </c>
      <c r="E167" t="s">
        <v>93</v>
      </c>
      <c r="F167" t="s">
        <v>94</v>
      </c>
      <c r="G167" t="s">
        <v>95</v>
      </c>
      <c r="H167" s="12">
        <v>6.2675000000000001</v>
      </c>
      <c r="I167" s="12">
        <v>-75.568600000000004</v>
      </c>
      <c r="J167" t="s">
        <v>242</v>
      </c>
      <c r="K167" t="s">
        <v>97</v>
      </c>
      <c r="L167" t="s">
        <v>98</v>
      </c>
      <c r="M167">
        <v>11</v>
      </c>
      <c r="N167">
        <v>138</v>
      </c>
      <c r="O167">
        <v>254</v>
      </c>
      <c r="P167" s="13">
        <v>246.6</v>
      </c>
      <c r="Q167" s="13">
        <v>43.9</v>
      </c>
      <c r="R167">
        <v>24</v>
      </c>
      <c r="S167">
        <v>72</v>
      </c>
      <c r="T167" s="13">
        <v>46.6</v>
      </c>
      <c r="U167" s="13">
        <v>81.8</v>
      </c>
      <c r="V167" t="s">
        <v>99</v>
      </c>
      <c r="X167" s="13">
        <v>246.6</v>
      </c>
    </row>
    <row r="168" spans="1:24" x14ac:dyDescent="0.25">
      <c r="A168" t="s">
        <v>257</v>
      </c>
      <c r="B168" t="s">
        <v>61</v>
      </c>
      <c r="C168" t="s">
        <v>92</v>
      </c>
      <c r="D168" t="s">
        <v>92</v>
      </c>
      <c r="E168" t="s">
        <v>93</v>
      </c>
      <c r="F168" t="s">
        <v>94</v>
      </c>
      <c r="G168" t="s">
        <v>95</v>
      </c>
      <c r="H168" s="12">
        <v>6.2675000000000001</v>
      </c>
      <c r="I168" s="12">
        <v>-75.568600000000004</v>
      </c>
      <c r="J168" t="s">
        <v>242</v>
      </c>
      <c r="K168" t="s">
        <v>97</v>
      </c>
      <c r="L168" t="s">
        <v>98</v>
      </c>
      <c r="M168">
        <v>11</v>
      </c>
      <c r="N168">
        <v>154</v>
      </c>
      <c r="O168">
        <v>254</v>
      </c>
      <c r="P168" s="13">
        <v>295.60000000000002</v>
      </c>
      <c r="Q168" s="13">
        <v>58.5</v>
      </c>
      <c r="R168">
        <v>50</v>
      </c>
      <c r="S168">
        <v>66</v>
      </c>
      <c r="T168" s="13">
        <v>58.6</v>
      </c>
      <c r="U168" s="13">
        <v>69.099999999999994</v>
      </c>
      <c r="V168" t="s">
        <v>99</v>
      </c>
      <c r="X168" s="13">
        <v>295.60000000000002</v>
      </c>
    </row>
    <row r="169" spans="1:24" x14ac:dyDescent="0.25">
      <c r="A169" t="s">
        <v>258</v>
      </c>
      <c r="B169" t="s">
        <v>61</v>
      </c>
      <c r="C169" t="s">
        <v>92</v>
      </c>
      <c r="D169" t="s">
        <v>92</v>
      </c>
      <c r="E169" t="s">
        <v>93</v>
      </c>
      <c r="F169" t="s">
        <v>94</v>
      </c>
      <c r="G169" t="s">
        <v>95</v>
      </c>
      <c r="H169" s="12">
        <v>6.2675000000000001</v>
      </c>
      <c r="I169" s="12">
        <v>-75.568600000000004</v>
      </c>
      <c r="J169" t="s">
        <v>242</v>
      </c>
      <c r="K169" t="s">
        <v>97</v>
      </c>
      <c r="L169" t="s">
        <v>98</v>
      </c>
      <c r="M169">
        <v>11</v>
      </c>
      <c r="N169">
        <v>112</v>
      </c>
      <c r="O169">
        <v>254</v>
      </c>
      <c r="P169" s="13">
        <v>224.4</v>
      </c>
      <c r="Q169" s="13">
        <v>46.3</v>
      </c>
      <c r="R169">
        <v>48</v>
      </c>
      <c r="S169">
        <v>50</v>
      </c>
      <c r="T169" s="13">
        <v>36.200000000000003</v>
      </c>
      <c r="U169" s="13">
        <v>41.8</v>
      </c>
      <c r="V169" t="s">
        <v>99</v>
      </c>
      <c r="X169" s="13">
        <v>224.4</v>
      </c>
    </row>
    <row r="170" spans="1:24" x14ac:dyDescent="0.25">
      <c r="A170" t="s">
        <v>259</v>
      </c>
      <c r="B170" t="s">
        <v>61</v>
      </c>
      <c r="C170" t="s">
        <v>92</v>
      </c>
      <c r="D170" t="s">
        <v>92</v>
      </c>
      <c r="E170" t="s">
        <v>93</v>
      </c>
      <c r="F170" t="s">
        <v>94</v>
      </c>
      <c r="G170" t="s">
        <v>95</v>
      </c>
      <c r="H170" s="12">
        <v>6.2675000000000001</v>
      </c>
      <c r="I170" s="12">
        <v>-75.568600000000004</v>
      </c>
      <c r="J170" t="s">
        <v>242</v>
      </c>
      <c r="K170" t="s">
        <v>97</v>
      </c>
      <c r="L170" t="s">
        <v>98</v>
      </c>
      <c r="M170">
        <v>11</v>
      </c>
      <c r="N170">
        <v>136</v>
      </c>
      <c r="O170">
        <v>254</v>
      </c>
      <c r="P170" s="13">
        <v>259</v>
      </c>
      <c r="Q170" s="13">
        <v>68.3</v>
      </c>
      <c r="R170">
        <v>42</v>
      </c>
      <c r="S170">
        <v>48</v>
      </c>
      <c r="T170" s="13">
        <v>43.1</v>
      </c>
      <c r="U170" s="13">
        <v>69.099999999999994</v>
      </c>
      <c r="V170" t="s">
        <v>99</v>
      </c>
      <c r="X170" s="13">
        <v>259</v>
      </c>
    </row>
    <row r="171" spans="1:24" x14ac:dyDescent="0.25">
      <c r="A171" t="s">
        <v>260</v>
      </c>
      <c r="B171" t="s">
        <v>61</v>
      </c>
      <c r="C171" t="s">
        <v>92</v>
      </c>
      <c r="D171" t="s">
        <v>92</v>
      </c>
      <c r="E171" t="s">
        <v>93</v>
      </c>
      <c r="F171" t="s">
        <v>94</v>
      </c>
      <c r="G171" t="s">
        <v>95</v>
      </c>
      <c r="H171" s="12">
        <v>6.2675000000000001</v>
      </c>
      <c r="I171" s="12">
        <v>-75.568600000000004</v>
      </c>
      <c r="J171" t="s">
        <v>242</v>
      </c>
      <c r="K171" t="s">
        <v>97</v>
      </c>
      <c r="L171" t="s">
        <v>98</v>
      </c>
      <c r="M171">
        <v>11</v>
      </c>
      <c r="N171">
        <v>129</v>
      </c>
      <c r="O171">
        <v>254</v>
      </c>
      <c r="P171" s="13">
        <v>232.2</v>
      </c>
      <c r="Q171" s="13">
        <v>56.1</v>
      </c>
      <c r="R171">
        <v>34</v>
      </c>
      <c r="S171">
        <v>42</v>
      </c>
      <c r="T171" s="13">
        <v>43.1</v>
      </c>
      <c r="U171" s="13">
        <v>78.2</v>
      </c>
      <c r="V171" t="s">
        <v>99</v>
      </c>
      <c r="X171" s="13">
        <v>232.2</v>
      </c>
    </row>
    <row r="172" spans="1:24" x14ac:dyDescent="0.25">
      <c r="A172" t="s">
        <v>261</v>
      </c>
      <c r="B172" t="s">
        <v>61</v>
      </c>
      <c r="C172" t="s">
        <v>92</v>
      </c>
      <c r="D172" t="s">
        <v>92</v>
      </c>
      <c r="E172" t="s">
        <v>93</v>
      </c>
      <c r="F172" t="s">
        <v>94</v>
      </c>
      <c r="G172" t="s">
        <v>95</v>
      </c>
      <c r="H172" s="12">
        <v>6.2675000000000001</v>
      </c>
      <c r="I172" s="12">
        <v>-75.568600000000004</v>
      </c>
      <c r="J172" t="s">
        <v>242</v>
      </c>
      <c r="K172" t="s">
        <v>97</v>
      </c>
      <c r="L172" t="s">
        <v>98</v>
      </c>
      <c r="M172">
        <v>11</v>
      </c>
      <c r="N172">
        <v>105</v>
      </c>
      <c r="O172">
        <v>254</v>
      </c>
      <c r="P172" s="13">
        <v>175.4</v>
      </c>
      <c r="Q172" s="13">
        <v>24.4</v>
      </c>
      <c r="R172">
        <v>34</v>
      </c>
      <c r="S172">
        <v>36</v>
      </c>
      <c r="T172" s="13">
        <v>32.799999999999997</v>
      </c>
      <c r="U172" s="13">
        <v>74.5</v>
      </c>
      <c r="V172" t="s">
        <v>99</v>
      </c>
      <c r="X172" s="13">
        <v>175.4</v>
      </c>
    </row>
    <row r="173" spans="1:24" x14ac:dyDescent="0.25">
      <c r="A173" t="s">
        <v>262</v>
      </c>
      <c r="B173" t="s">
        <v>61</v>
      </c>
      <c r="C173" t="s">
        <v>92</v>
      </c>
      <c r="D173" t="s">
        <v>92</v>
      </c>
      <c r="E173" t="s">
        <v>93</v>
      </c>
      <c r="F173" t="s">
        <v>94</v>
      </c>
      <c r="G173" t="s">
        <v>95</v>
      </c>
      <c r="H173" s="12">
        <v>6.2675000000000001</v>
      </c>
      <c r="I173" s="12">
        <v>-75.568600000000004</v>
      </c>
      <c r="J173" t="s">
        <v>129</v>
      </c>
      <c r="K173" t="s">
        <v>97</v>
      </c>
      <c r="L173" t="s">
        <v>263</v>
      </c>
      <c r="M173">
        <v>11</v>
      </c>
      <c r="N173">
        <v>82</v>
      </c>
      <c r="O173">
        <v>134</v>
      </c>
      <c r="P173" s="13">
        <v>269.2</v>
      </c>
      <c r="Q173" s="13"/>
      <c r="R173">
        <v>28</v>
      </c>
      <c r="S173">
        <v>68</v>
      </c>
      <c r="T173" s="13">
        <v>58.6</v>
      </c>
      <c r="U173" s="13">
        <v>74.5</v>
      </c>
      <c r="V173" t="s">
        <v>99</v>
      </c>
      <c r="X173" s="13">
        <v>269.2</v>
      </c>
    </row>
    <row r="174" spans="1:24" x14ac:dyDescent="0.25">
      <c r="A174" t="s">
        <v>264</v>
      </c>
      <c r="B174" t="s">
        <v>61</v>
      </c>
      <c r="C174" t="s">
        <v>92</v>
      </c>
      <c r="D174" t="s">
        <v>92</v>
      </c>
      <c r="E174" t="s">
        <v>93</v>
      </c>
      <c r="F174" t="s">
        <v>94</v>
      </c>
      <c r="G174" t="s">
        <v>95</v>
      </c>
      <c r="H174" s="12">
        <v>6.2675000000000001</v>
      </c>
      <c r="I174" s="12">
        <v>-75.568600000000004</v>
      </c>
      <c r="J174" t="s">
        <v>190</v>
      </c>
      <c r="K174" t="s">
        <v>97</v>
      </c>
      <c r="L174" t="s">
        <v>263</v>
      </c>
      <c r="M174">
        <v>11</v>
      </c>
      <c r="N174">
        <v>50</v>
      </c>
      <c r="O174">
        <v>134</v>
      </c>
      <c r="P174" s="13">
        <v>175.5</v>
      </c>
      <c r="Q174" s="13"/>
      <c r="R174">
        <v>24</v>
      </c>
      <c r="S174">
        <v>48</v>
      </c>
      <c r="T174" s="13">
        <v>31</v>
      </c>
      <c r="U174" s="13">
        <v>41.8</v>
      </c>
      <c r="V174" t="s">
        <v>99</v>
      </c>
      <c r="X174" s="13">
        <v>175.5</v>
      </c>
    </row>
    <row r="175" spans="1:24" x14ac:dyDescent="0.25">
      <c r="A175" t="s">
        <v>265</v>
      </c>
      <c r="B175" t="s">
        <v>61</v>
      </c>
      <c r="C175" t="s">
        <v>92</v>
      </c>
      <c r="D175" t="s">
        <v>92</v>
      </c>
      <c r="E175" t="s">
        <v>93</v>
      </c>
      <c r="F175" t="s">
        <v>94</v>
      </c>
      <c r="G175" t="s">
        <v>95</v>
      </c>
      <c r="H175" s="12">
        <v>6.2675000000000001</v>
      </c>
      <c r="I175" s="12">
        <v>-75.568600000000004</v>
      </c>
      <c r="J175" t="s">
        <v>190</v>
      </c>
      <c r="K175" t="s">
        <v>97</v>
      </c>
      <c r="L175" t="s">
        <v>263</v>
      </c>
      <c r="M175">
        <v>11</v>
      </c>
      <c r="N175">
        <v>91</v>
      </c>
      <c r="O175">
        <v>134</v>
      </c>
      <c r="P175" s="13">
        <v>327.5</v>
      </c>
      <c r="Q175" s="13"/>
      <c r="R175">
        <v>48</v>
      </c>
      <c r="S175">
        <v>84</v>
      </c>
      <c r="T175" s="13">
        <v>62.1</v>
      </c>
      <c r="U175" s="13">
        <v>72.7</v>
      </c>
      <c r="V175" t="s">
        <v>99</v>
      </c>
      <c r="X175" s="13">
        <v>327.5</v>
      </c>
    </row>
    <row r="176" spans="1:24" x14ac:dyDescent="0.25">
      <c r="A176" t="s">
        <v>266</v>
      </c>
      <c r="B176" t="s">
        <v>61</v>
      </c>
      <c r="C176" t="s">
        <v>92</v>
      </c>
      <c r="D176" t="s">
        <v>92</v>
      </c>
      <c r="E176" t="s">
        <v>93</v>
      </c>
      <c r="F176" t="s">
        <v>94</v>
      </c>
      <c r="G176" t="s">
        <v>95</v>
      </c>
      <c r="H176" s="12">
        <v>6.2675000000000001</v>
      </c>
      <c r="I176" s="12">
        <v>-75.568600000000004</v>
      </c>
      <c r="J176" t="s">
        <v>190</v>
      </c>
      <c r="K176" t="s">
        <v>97</v>
      </c>
      <c r="L176" t="s">
        <v>263</v>
      </c>
      <c r="M176">
        <v>11</v>
      </c>
      <c r="N176">
        <v>75</v>
      </c>
      <c r="O176">
        <v>134</v>
      </c>
      <c r="P176" s="13">
        <v>245.8</v>
      </c>
      <c r="Q176" s="13"/>
      <c r="R176">
        <v>44</v>
      </c>
      <c r="S176">
        <v>52</v>
      </c>
      <c r="T176" s="13">
        <v>44.8</v>
      </c>
      <c r="U176" s="13">
        <v>69.099999999999994</v>
      </c>
      <c r="V176" t="s">
        <v>99</v>
      </c>
      <c r="X176" s="13">
        <v>245.8</v>
      </c>
    </row>
    <row r="177" spans="1:24" x14ac:dyDescent="0.25">
      <c r="A177" t="s">
        <v>267</v>
      </c>
      <c r="B177" t="s">
        <v>61</v>
      </c>
      <c r="C177" t="s">
        <v>92</v>
      </c>
      <c r="D177" t="s">
        <v>92</v>
      </c>
      <c r="E177" t="s">
        <v>93</v>
      </c>
      <c r="F177" t="s">
        <v>94</v>
      </c>
      <c r="G177" t="s">
        <v>95</v>
      </c>
      <c r="H177" s="12">
        <v>6.2675000000000001</v>
      </c>
      <c r="I177" s="12">
        <v>-75.568600000000004</v>
      </c>
      <c r="J177" t="s">
        <v>190</v>
      </c>
      <c r="K177" t="s">
        <v>97</v>
      </c>
      <c r="L177" t="s">
        <v>98</v>
      </c>
      <c r="M177">
        <v>11</v>
      </c>
      <c r="N177">
        <v>0</v>
      </c>
      <c r="O177">
        <v>254</v>
      </c>
      <c r="P177" s="13">
        <v>0</v>
      </c>
      <c r="Q177" s="13">
        <v>0</v>
      </c>
      <c r="R177">
        <v>0</v>
      </c>
      <c r="S177">
        <v>0</v>
      </c>
      <c r="T177" s="13">
        <v>0</v>
      </c>
      <c r="U177" s="13">
        <v>0</v>
      </c>
      <c r="V177" t="s">
        <v>268</v>
      </c>
      <c r="W177" t="s">
        <v>269</v>
      </c>
      <c r="X177" s="13"/>
    </row>
    <row r="178" spans="1:24" x14ac:dyDescent="0.25">
      <c r="A178" t="s">
        <v>270</v>
      </c>
      <c r="B178" t="s">
        <v>61</v>
      </c>
      <c r="C178" t="s">
        <v>92</v>
      </c>
      <c r="D178" t="s">
        <v>92</v>
      </c>
      <c r="E178" t="s">
        <v>93</v>
      </c>
      <c r="F178" t="s">
        <v>94</v>
      </c>
      <c r="G178" t="s">
        <v>95</v>
      </c>
      <c r="H178" s="12">
        <v>6.2675000000000001</v>
      </c>
      <c r="I178" s="12">
        <v>-75.568600000000004</v>
      </c>
      <c r="J178" t="s">
        <v>271</v>
      </c>
      <c r="K178" t="s">
        <v>97</v>
      </c>
      <c r="L178" t="s">
        <v>98</v>
      </c>
      <c r="M178">
        <v>11</v>
      </c>
      <c r="N178">
        <v>164</v>
      </c>
      <c r="O178">
        <v>254</v>
      </c>
      <c r="P178" s="13">
        <v>304</v>
      </c>
      <c r="Q178" s="13">
        <v>56.1</v>
      </c>
      <c r="R178">
        <v>46</v>
      </c>
      <c r="S178">
        <v>60</v>
      </c>
      <c r="T178" s="13">
        <v>74.099999999999994</v>
      </c>
      <c r="U178" s="13">
        <v>81.8</v>
      </c>
      <c r="V178" t="s">
        <v>99</v>
      </c>
      <c r="X178" s="13">
        <v>304</v>
      </c>
    </row>
    <row r="179" spans="1:24" x14ac:dyDescent="0.25">
      <c r="A179" t="s">
        <v>272</v>
      </c>
      <c r="B179" t="s">
        <v>61</v>
      </c>
      <c r="C179" t="s">
        <v>92</v>
      </c>
      <c r="D179" t="s">
        <v>92</v>
      </c>
      <c r="E179" t="s">
        <v>93</v>
      </c>
      <c r="F179" t="s">
        <v>94</v>
      </c>
      <c r="G179" t="s">
        <v>95</v>
      </c>
      <c r="H179" s="12">
        <v>6.2675000000000001</v>
      </c>
      <c r="I179" s="12">
        <v>-75.568600000000004</v>
      </c>
      <c r="J179" t="s">
        <v>271</v>
      </c>
      <c r="K179" t="s">
        <v>97</v>
      </c>
      <c r="L179" t="s">
        <v>98</v>
      </c>
      <c r="M179">
        <v>11</v>
      </c>
      <c r="N179">
        <v>123</v>
      </c>
      <c r="O179">
        <v>254</v>
      </c>
      <c r="P179" s="13">
        <v>243.7</v>
      </c>
      <c r="Q179" s="13">
        <v>51.2</v>
      </c>
      <c r="R179">
        <v>50</v>
      </c>
      <c r="S179">
        <v>54</v>
      </c>
      <c r="T179" s="13">
        <v>39.700000000000003</v>
      </c>
      <c r="U179" s="13">
        <v>49.1</v>
      </c>
      <c r="V179" t="s">
        <v>99</v>
      </c>
      <c r="X179" s="13">
        <v>243.7</v>
      </c>
    </row>
    <row r="180" spans="1:24" x14ac:dyDescent="0.25">
      <c r="A180" t="s">
        <v>273</v>
      </c>
      <c r="B180" t="s">
        <v>61</v>
      </c>
      <c r="C180" t="s">
        <v>92</v>
      </c>
      <c r="D180" t="s">
        <v>92</v>
      </c>
      <c r="E180" t="s">
        <v>93</v>
      </c>
      <c r="F180" t="s">
        <v>94</v>
      </c>
      <c r="G180" t="s">
        <v>95</v>
      </c>
      <c r="H180" s="12">
        <v>6.2675000000000001</v>
      </c>
      <c r="I180" s="12">
        <v>-75.568600000000004</v>
      </c>
      <c r="J180" t="s">
        <v>271</v>
      </c>
      <c r="K180" t="s">
        <v>97</v>
      </c>
      <c r="L180" t="s">
        <v>98</v>
      </c>
      <c r="M180">
        <v>11</v>
      </c>
      <c r="N180">
        <v>179</v>
      </c>
      <c r="O180">
        <v>254</v>
      </c>
      <c r="P180" s="13">
        <v>333.6</v>
      </c>
      <c r="Q180" s="13">
        <v>87.8</v>
      </c>
      <c r="R180">
        <v>36</v>
      </c>
      <c r="S180">
        <v>74</v>
      </c>
      <c r="T180" s="13">
        <v>58.6</v>
      </c>
      <c r="U180" s="13">
        <v>98.2</v>
      </c>
      <c r="V180" t="s">
        <v>99</v>
      </c>
      <c r="X180" s="13">
        <v>333.6</v>
      </c>
    </row>
    <row r="181" spans="1:24" x14ac:dyDescent="0.25">
      <c r="A181" t="s">
        <v>274</v>
      </c>
      <c r="B181" t="s">
        <v>62</v>
      </c>
      <c r="C181" t="s">
        <v>275</v>
      </c>
      <c r="D181" t="s">
        <v>276</v>
      </c>
      <c r="E181" t="s">
        <v>62</v>
      </c>
      <c r="F181" t="s">
        <v>94</v>
      </c>
      <c r="G181" t="s">
        <v>277</v>
      </c>
      <c r="H181" s="12">
        <v>6.1700511999999996</v>
      </c>
      <c r="I181" s="12">
        <v>-75.5922482</v>
      </c>
      <c r="K181" t="s">
        <v>97</v>
      </c>
      <c r="M181">
        <v>11</v>
      </c>
      <c r="P181" s="13">
        <v>316</v>
      </c>
      <c r="Q181" s="13">
        <v>68</v>
      </c>
      <c r="R181">
        <v>42</v>
      </c>
      <c r="S181">
        <v>74</v>
      </c>
      <c r="T181" s="13">
        <v>66</v>
      </c>
      <c r="U181" s="13">
        <v>71</v>
      </c>
      <c r="V181" t="s">
        <v>99</v>
      </c>
      <c r="X181" s="13">
        <v>316</v>
      </c>
    </row>
    <row r="182" spans="1:24" x14ac:dyDescent="0.25">
      <c r="A182" t="s">
        <v>278</v>
      </c>
      <c r="B182" t="s">
        <v>62</v>
      </c>
      <c r="C182" t="s">
        <v>275</v>
      </c>
      <c r="D182" t="s">
        <v>276</v>
      </c>
      <c r="E182" t="s">
        <v>62</v>
      </c>
      <c r="F182" t="s">
        <v>94</v>
      </c>
      <c r="G182" t="s">
        <v>277</v>
      </c>
      <c r="H182" s="12">
        <v>6.1700511999999996</v>
      </c>
      <c r="I182" s="12">
        <v>-75.5922482</v>
      </c>
      <c r="K182" t="s">
        <v>97</v>
      </c>
      <c r="M182">
        <v>11</v>
      </c>
      <c r="P182" s="13">
        <v>313</v>
      </c>
      <c r="Q182" s="13">
        <v>80</v>
      </c>
      <c r="R182">
        <v>40</v>
      </c>
      <c r="S182">
        <v>66</v>
      </c>
      <c r="T182" s="13">
        <v>55</v>
      </c>
      <c r="U182" s="13">
        <v>89</v>
      </c>
      <c r="V182" t="s">
        <v>99</v>
      </c>
      <c r="X182" s="13">
        <v>313</v>
      </c>
    </row>
    <row r="183" spans="1:24" x14ac:dyDescent="0.25">
      <c r="A183" t="s">
        <v>279</v>
      </c>
      <c r="B183" t="s">
        <v>62</v>
      </c>
      <c r="C183" t="s">
        <v>275</v>
      </c>
      <c r="D183" t="s">
        <v>276</v>
      </c>
      <c r="E183" t="s">
        <v>62</v>
      </c>
      <c r="F183" t="s">
        <v>94</v>
      </c>
      <c r="G183" t="s">
        <v>277</v>
      </c>
      <c r="H183" s="12">
        <v>6.1700511999999996</v>
      </c>
      <c r="I183" s="12">
        <v>-75.5922482</v>
      </c>
      <c r="K183" t="s">
        <v>97</v>
      </c>
      <c r="M183">
        <v>11</v>
      </c>
      <c r="P183" s="13">
        <v>309</v>
      </c>
      <c r="Q183" s="13">
        <v>71</v>
      </c>
      <c r="R183">
        <v>40</v>
      </c>
      <c r="S183">
        <v>84</v>
      </c>
      <c r="T183" s="13">
        <v>43</v>
      </c>
      <c r="U183" s="13">
        <v>89</v>
      </c>
      <c r="V183" t="s">
        <v>99</v>
      </c>
      <c r="X183" s="13">
        <v>309</v>
      </c>
    </row>
    <row r="184" spans="1:24" x14ac:dyDescent="0.25">
      <c r="A184" t="s">
        <v>280</v>
      </c>
      <c r="B184" t="s">
        <v>62</v>
      </c>
      <c r="C184" t="s">
        <v>275</v>
      </c>
      <c r="D184" t="s">
        <v>276</v>
      </c>
      <c r="E184" t="s">
        <v>62</v>
      </c>
      <c r="F184" t="s">
        <v>94</v>
      </c>
      <c r="G184" t="s">
        <v>277</v>
      </c>
      <c r="H184" s="12">
        <v>6.1700511999999996</v>
      </c>
      <c r="I184" s="12">
        <v>-75.5922482</v>
      </c>
      <c r="K184" t="s">
        <v>97</v>
      </c>
      <c r="M184">
        <v>11</v>
      </c>
      <c r="P184" s="13">
        <v>304</v>
      </c>
      <c r="Q184" s="13">
        <v>83</v>
      </c>
      <c r="R184">
        <v>32</v>
      </c>
      <c r="S184">
        <v>68</v>
      </c>
      <c r="T184" s="13">
        <v>52</v>
      </c>
      <c r="U184" s="13">
        <v>87</v>
      </c>
      <c r="V184" t="s">
        <v>99</v>
      </c>
      <c r="X184" s="13">
        <v>304</v>
      </c>
    </row>
    <row r="185" spans="1:24" x14ac:dyDescent="0.25">
      <c r="A185" t="s">
        <v>281</v>
      </c>
      <c r="B185" t="s">
        <v>62</v>
      </c>
      <c r="C185" t="s">
        <v>275</v>
      </c>
      <c r="D185" t="s">
        <v>276</v>
      </c>
      <c r="E185" t="s">
        <v>62</v>
      </c>
      <c r="F185" t="s">
        <v>94</v>
      </c>
      <c r="G185" t="s">
        <v>277</v>
      </c>
      <c r="H185" s="12">
        <v>6.1700511999999996</v>
      </c>
      <c r="I185" s="12">
        <v>-75.5922482</v>
      </c>
      <c r="K185" t="s">
        <v>97</v>
      </c>
      <c r="M185">
        <v>11</v>
      </c>
      <c r="P185" s="13">
        <v>300</v>
      </c>
      <c r="Q185" s="13">
        <v>78</v>
      </c>
      <c r="R185">
        <v>28</v>
      </c>
      <c r="S185">
        <v>82</v>
      </c>
      <c r="T185" s="13">
        <v>41</v>
      </c>
      <c r="U185" s="13">
        <v>91</v>
      </c>
      <c r="V185" t="s">
        <v>99</v>
      </c>
      <c r="X185" s="13">
        <v>300</v>
      </c>
    </row>
    <row r="186" spans="1:24" x14ac:dyDescent="0.25">
      <c r="A186" t="s">
        <v>282</v>
      </c>
      <c r="B186" t="s">
        <v>62</v>
      </c>
      <c r="C186" t="s">
        <v>275</v>
      </c>
      <c r="D186" t="s">
        <v>276</v>
      </c>
      <c r="E186" t="s">
        <v>62</v>
      </c>
      <c r="F186" t="s">
        <v>94</v>
      </c>
      <c r="G186" t="s">
        <v>277</v>
      </c>
      <c r="H186" s="12">
        <v>6.1700511999999996</v>
      </c>
      <c r="I186" s="12">
        <v>-75.5922482</v>
      </c>
      <c r="K186" t="s">
        <v>97</v>
      </c>
      <c r="M186">
        <v>11</v>
      </c>
      <c r="P186" s="13">
        <v>273</v>
      </c>
      <c r="Q186" s="13">
        <v>51</v>
      </c>
      <c r="R186">
        <v>26</v>
      </c>
      <c r="S186">
        <v>58</v>
      </c>
      <c r="T186" s="13">
        <v>74</v>
      </c>
      <c r="U186" s="13">
        <v>82</v>
      </c>
      <c r="V186" t="s">
        <v>99</v>
      </c>
      <c r="X186" s="13">
        <v>273</v>
      </c>
    </row>
    <row r="187" spans="1:24" x14ac:dyDescent="0.25">
      <c r="A187" t="s">
        <v>283</v>
      </c>
      <c r="B187" t="s">
        <v>62</v>
      </c>
      <c r="C187" t="s">
        <v>275</v>
      </c>
      <c r="D187" t="s">
        <v>276</v>
      </c>
      <c r="E187" t="s">
        <v>62</v>
      </c>
      <c r="F187" t="s">
        <v>94</v>
      </c>
      <c r="G187" t="s">
        <v>277</v>
      </c>
      <c r="H187" s="12">
        <v>6.1700511999999996</v>
      </c>
      <c r="I187" s="12">
        <v>-75.5922482</v>
      </c>
      <c r="K187" t="s">
        <v>97</v>
      </c>
      <c r="M187">
        <v>11</v>
      </c>
      <c r="P187" s="13">
        <v>265</v>
      </c>
      <c r="Q187" s="13">
        <v>66</v>
      </c>
      <c r="R187">
        <v>30</v>
      </c>
      <c r="S187">
        <v>74</v>
      </c>
      <c r="T187" s="13">
        <v>41</v>
      </c>
      <c r="U187" s="13">
        <v>56</v>
      </c>
      <c r="V187" t="s">
        <v>99</v>
      </c>
      <c r="X187" s="13">
        <v>265</v>
      </c>
    </row>
    <row r="188" spans="1:24" x14ac:dyDescent="0.25">
      <c r="A188" t="s">
        <v>284</v>
      </c>
      <c r="B188" t="s">
        <v>62</v>
      </c>
      <c r="C188" t="s">
        <v>275</v>
      </c>
      <c r="D188" t="s">
        <v>276</v>
      </c>
      <c r="E188" t="s">
        <v>62</v>
      </c>
      <c r="F188" t="s">
        <v>94</v>
      </c>
      <c r="G188" t="s">
        <v>277</v>
      </c>
      <c r="H188" s="12">
        <v>6.1700511999999996</v>
      </c>
      <c r="I188" s="12">
        <v>-75.5922482</v>
      </c>
      <c r="K188" t="s">
        <v>97</v>
      </c>
      <c r="M188">
        <v>11</v>
      </c>
      <c r="P188" s="13">
        <v>261</v>
      </c>
      <c r="Q188" s="13">
        <v>66</v>
      </c>
      <c r="R188">
        <v>28</v>
      </c>
      <c r="S188">
        <v>70</v>
      </c>
      <c r="T188" s="13">
        <v>38</v>
      </c>
      <c r="U188" s="13">
        <v>73</v>
      </c>
      <c r="V188" t="s">
        <v>99</v>
      </c>
      <c r="X188" s="13">
        <v>261</v>
      </c>
    </row>
    <row r="189" spans="1:24" x14ac:dyDescent="0.25">
      <c r="A189" t="s">
        <v>285</v>
      </c>
      <c r="B189" t="s">
        <v>62</v>
      </c>
      <c r="C189" t="s">
        <v>275</v>
      </c>
      <c r="D189" t="s">
        <v>276</v>
      </c>
      <c r="E189" t="s">
        <v>62</v>
      </c>
      <c r="F189" t="s">
        <v>94</v>
      </c>
      <c r="G189" t="s">
        <v>277</v>
      </c>
      <c r="H189" s="12">
        <v>6.1700511999999996</v>
      </c>
      <c r="I189" s="12">
        <v>-75.5922482</v>
      </c>
      <c r="K189" t="s">
        <v>97</v>
      </c>
      <c r="M189">
        <v>11</v>
      </c>
      <c r="P189" s="13">
        <v>260</v>
      </c>
      <c r="Q189" s="13">
        <v>63</v>
      </c>
      <c r="R189">
        <v>28</v>
      </c>
      <c r="S189">
        <v>72</v>
      </c>
      <c r="T189" s="13">
        <v>38</v>
      </c>
      <c r="U189" s="13">
        <v>73</v>
      </c>
      <c r="V189" t="s">
        <v>99</v>
      </c>
      <c r="X189" s="13">
        <v>260</v>
      </c>
    </row>
    <row r="190" spans="1:24" x14ac:dyDescent="0.25">
      <c r="A190" t="s">
        <v>286</v>
      </c>
      <c r="B190" t="s">
        <v>62</v>
      </c>
      <c r="C190" t="s">
        <v>275</v>
      </c>
      <c r="D190" t="s">
        <v>276</v>
      </c>
      <c r="E190" t="s">
        <v>62</v>
      </c>
      <c r="F190" t="s">
        <v>94</v>
      </c>
      <c r="G190" t="s">
        <v>277</v>
      </c>
      <c r="H190" s="12">
        <v>6.1700511999999996</v>
      </c>
      <c r="I190" s="12">
        <v>-75.5922482</v>
      </c>
      <c r="K190" t="s">
        <v>97</v>
      </c>
      <c r="M190">
        <v>11</v>
      </c>
      <c r="P190" s="13">
        <v>260</v>
      </c>
      <c r="Q190" s="13">
        <v>51</v>
      </c>
      <c r="R190">
        <v>34</v>
      </c>
      <c r="S190">
        <v>72</v>
      </c>
      <c r="T190" s="13">
        <v>53</v>
      </c>
      <c r="U190" s="13">
        <v>44</v>
      </c>
      <c r="V190" t="s">
        <v>99</v>
      </c>
      <c r="X190" s="13">
        <v>260</v>
      </c>
    </row>
    <row r="191" spans="1:24" x14ac:dyDescent="0.25">
      <c r="A191" t="s">
        <v>287</v>
      </c>
      <c r="B191" t="s">
        <v>62</v>
      </c>
      <c r="C191" t="s">
        <v>275</v>
      </c>
      <c r="D191" t="s">
        <v>276</v>
      </c>
      <c r="E191" t="s">
        <v>62</v>
      </c>
      <c r="F191" t="s">
        <v>94</v>
      </c>
      <c r="G191" t="s">
        <v>277</v>
      </c>
      <c r="H191" s="12">
        <v>6.1700511999999996</v>
      </c>
      <c r="I191" s="12">
        <v>-75.5922482</v>
      </c>
      <c r="K191" t="s">
        <v>97</v>
      </c>
      <c r="M191">
        <v>11</v>
      </c>
      <c r="P191" s="13">
        <v>259</v>
      </c>
      <c r="Q191" s="13">
        <v>56</v>
      </c>
      <c r="R191">
        <v>24</v>
      </c>
      <c r="S191">
        <v>64</v>
      </c>
      <c r="T191" s="13">
        <v>55</v>
      </c>
      <c r="U191" s="13">
        <v>76</v>
      </c>
      <c r="V191" t="s">
        <v>99</v>
      </c>
      <c r="X191" s="13">
        <v>259</v>
      </c>
    </row>
    <row r="192" spans="1:24" x14ac:dyDescent="0.25">
      <c r="A192" t="s">
        <v>288</v>
      </c>
      <c r="B192" t="s">
        <v>62</v>
      </c>
      <c r="C192" t="s">
        <v>275</v>
      </c>
      <c r="D192" t="s">
        <v>276</v>
      </c>
      <c r="E192" t="s">
        <v>62</v>
      </c>
      <c r="F192" t="s">
        <v>94</v>
      </c>
      <c r="G192" t="s">
        <v>277</v>
      </c>
      <c r="H192" s="12">
        <v>6.1700511999999996</v>
      </c>
      <c r="I192" s="12">
        <v>-75.5922482</v>
      </c>
      <c r="K192" t="s">
        <v>97</v>
      </c>
      <c r="M192">
        <v>11</v>
      </c>
      <c r="P192" s="13">
        <v>258</v>
      </c>
      <c r="Q192" s="13">
        <v>37</v>
      </c>
      <c r="R192">
        <v>52</v>
      </c>
      <c r="S192">
        <v>46</v>
      </c>
      <c r="T192" s="13">
        <v>60</v>
      </c>
      <c r="U192" s="13">
        <v>87</v>
      </c>
      <c r="V192" t="s">
        <v>99</v>
      </c>
      <c r="X192" s="13">
        <v>258</v>
      </c>
    </row>
    <row r="193" spans="1:24" x14ac:dyDescent="0.25">
      <c r="A193" t="s">
        <v>289</v>
      </c>
      <c r="B193" t="s">
        <v>62</v>
      </c>
      <c r="C193" t="s">
        <v>275</v>
      </c>
      <c r="D193" t="s">
        <v>276</v>
      </c>
      <c r="E193" t="s">
        <v>62</v>
      </c>
      <c r="F193" t="s">
        <v>94</v>
      </c>
      <c r="G193" t="s">
        <v>277</v>
      </c>
      <c r="H193" s="12">
        <v>6.1700511999999996</v>
      </c>
      <c r="I193" s="12">
        <v>-75.5922482</v>
      </c>
      <c r="K193" t="s">
        <v>97</v>
      </c>
      <c r="M193">
        <v>11</v>
      </c>
      <c r="P193" s="13">
        <v>258</v>
      </c>
      <c r="Q193" s="13">
        <v>71</v>
      </c>
      <c r="R193">
        <v>48</v>
      </c>
      <c r="S193">
        <v>46</v>
      </c>
      <c r="T193" s="13">
        <v>41</v>
      </c>
      <c r="U193" s="13">
        <v>53</v>
      </c>
      <c r="V193" t="s">
        <v>99</v>
      </c>
      <c r="X193" s="13">
        <v>258</v>
      </c>
    </row>
    <row r="194" spans="1:24" x14ac:dyDescent="0.25">
      <c r="A194" t="s">
        <v>290</v>
      </c>
      <c r="B194" t="s">
        <v>62</v>
      </c>
      <c r="C194" t="s">
        <v>275</v>
      </c>
      <c r="D194" t="s">
        <v>276</v>
      </c>
      <c r="E194" t="s">
        <v>62</v>
      </c>
      <c r="F194" t="s">
        <v>94</v>
      </c>
      <c r="G194" t="s">
        <v>277</v>
      </c>
      <c r="H194" s="12">
        <v>6.1700511999999996</v>
      </c>
      <c r="I194" s="12">
        <v>-75.5922482</v>
      </c>
      <c r="K194" t="s">
        <v>97</v>
      </c>
      <c r="M194">
        <v>11</v>
      </c>
      <c r="P194" s="13">
        <v>255</v>
      </c>
      <c r="Q194" s="13">
        <v>59</v>
      </c>
      <c r="R194">
        <v>36</v>
      </c>
      <c r="S194">
        <v>60</v>
      </c>
      <c r="T194" s="13">
        <v>48</v>
      </c>
      <c r="U194" s="13">
        <v>55</v>
      </c>
      <c r="V194" t="s">
        <v>99</v>
      </c>
      <c r="X194" s="13">
        <v>255</v>
      </c>
    </row>
    <row r="195" spans="1:24" x14ac:dyDescent="0.25">
      <c r="A195" t="s">
        <v>291</v>
      </c>
      <c r="B195" t="s">
        <v>62</v>
      </c>
      <c r="C195" t="s">
        <v>275</v>
      </c>
      <c r="D195" t="s">
        <v>276</v>
      </c>
      <c r="E195" t="s">
        <v>62</v>
      </c>
      <c r="F195" t="s">
        <v>94</v>
      </c>
      <c r="G195" t="s">
        <v>277</v>
      </c>
      <c r="H195" s="12">
        <v>6.1700511999999996</v>
      </c>
      <c r="I195" s="12">
        <v>-75.5922482</v>
      </c>
      <c r="K195" t="s">
        <v>97</v>
      </c>
      <c r="M195">
        <v>11</v>
      </c>
      <c r="P195" s="13">
        <v>254</v>
      </c>
      <c r="Q195" s="13">
        <v>76</v>
      </c>
      <c r="R195">
        <v>34</v>
      </c>
      <c r="S195">
        <v>56</v>
      </c>
      <c r="T195" s="13">
        <v>28</v>
      </c>
      <c r="U195" s="13">
        <v>82</v>
      </c>
      <c r="V195" t="s">
        <v>99</v>
      </c>
      <c r="X195" s="13">
        <v>254</v>
      </c>
    </row>
    <row r="196" spans="1:24" x14ac:dyDescent="0.25">
      <c r="A196" t="s">
        <v>292</v>
      </c>
      <c r="B196" t="s">
        <v>62</v>
      </c>
      <c r="C196" t="s">
        <v>275</v>
      </c>
      <c r="D196" t="s">
        <v>276</v>
      </c>
      <c r="E196" t="s">
        <v>62</v>
      </c>
      <c r="F196" t="s">
        <v>94</v>
      </c>
      <c r="G196" t="s">
        <v>277</v>
      </c>
      <c r="H196" s="12">
        <v>6.1700511999999996</v>
      </c>
      <c r="I196" s="12">
        <v>-75.5922482</v>
      </c>
      <c r="K196" t="s">
        <v>97</v>
      </c>
      <c r="M196">
        <v>11</v>
      </c>
      <c r="P196" s="13">
        <v>248</v>
      </c>
      <c r="Q196" s="13">
        <v>61</v>
      </c>
      <c r="R196">
        <v>30</v>
      </c>
      <c r="S196">
        <v>50</v>
      </c>
      <c r="T196" s="13">
        <v>43</v>
      </c>
      <c r="U196" s="13">
        <v>93</v>
      </c>
      <c r="V196" t="s">
        <v>99</v>
      </c>
      <c r="X196" s="13">
        <v>248</v>
      </c>
    </row>
    <row r="197" spans="1:24" x14ac:dyDescent="0.25">
      <c r="A197" t="s">
        <v>293</v>
      </c>
      <c r="B197" t="s">
        <v>62</v>
      </c>
      <c r="C197" t="s">
        <v>275</v>
      </c>
      <c r="D197" t="s">
        <v>276</v>
      </c>
      <c r="E197" t="s">
        <v>62</v>
      </c>
      <c r="F197" t="s">
        <v>94</v>
      </c>
      <c r="G197" t="s">
        <v>277</v>
      </c>
      <c r="H197" s="12">
        <v>6.1700511999999996</v>
      </c>
      <c r="I197" s="12">
        <v>-75.5922482</v>
      </c>
      <c r="K197" t="s">
        <v>97</v>
      </c>
      <c r="M197">
        <v>11</v>
      </c>
      <c r="P197" s="13">
        <v>247</v>
      </c>
      <c r="Q197" s="13">
        <v>66</v>
      </c>
      <c r="R197">
        <v>32</v>
      </c>
      <c r="S197">
        <v>62</v>
      </c>
      <c r="T197" s="13">
        <v>31</v>
      </c>
      <c r="U197" s="13">
        <v>69</v>
      </c>
      <c r="V197" t="s">
        <v>99</v>
      </c>
      <c r="X197" s="13">
        <v>247</v>
      </c>
    </row>
    <row r="198" spans="1:24" x14ac:dyDescent="0.25">
      <c r="A198" t="s">
        <v>294</v>
      </c>
      <c r="B198" t="s">
        <v>62</v>
      </c>
      <c r="C198" t="s">
        <v>275</v>
      </c>
      <c r="D198" t="s">
        <v>276</v>
      </c>
      <c r="E198" t="s">
        <v>62</v>
      </c>
      <c r="F198" t="s">
        <v>94</v>
      </c>
      <c r="G198" t="s">
        <v>277</v>
      </c>
      <c r="H198" s="12">
        <v>6.1700511999999996</v>
      </c>
      <c r="I198" s="12">
        <v>-75.5922482</v>
      </c>
      <c r="K198" t="s">
        <v>97</v>
      </c>
      <c r="M198">
        <v>11</v>
      </c>
      <c r="P198" s="13">
        <v>246</v>
      </c>
      <c r="Q198" s="13">
        <v>66</v>
      </c>
      <c r="R198">
        <v>34</v>
      </c>
      <c r="S198">
        <v>56</v>
      </c>
      <c r="T198" s="13">
        <v>47</v>
      </c>
      <c r="U198" s="13">
        <v>33</v>
      </c>
      <c r="V198" t="s">
        <v>99</v>
      </c>
      <c r="X198" s="13">
        <v>246</v>
      </c>
    </row>
    <row r="199" spans="1:24" x14ac:dyDescent="0.25">
      <c r="A199" t="s">
        <v>295</v>
      </c>
      <c r="B199" t="s">
        <v>62</v>
      </c>
      <c r="C199" t="s">
        <v>275</v>
      </c>
      <c r="D199" t="s">
        <v>276</v>
      </c>
      <c r="E199" t="s">
        <v>62</v>
      </c>
      <c r="F199" t="s">
        <v>94</v>
      </c>
      <c r="G199" t="s">
        <v>277</v>
      </c>
      <c r="H199" s="12">
        <v>6.1700511999999996</v>
      </c>
      <c r="I199" s="12">
        <v>-75.5922482</v>
      </c>
      <c r="K199" t="s">
        <v>97</v>
      </c>
      <c r="M199">
        <v>11</v>
      </c>
      <c r="P199" s="13">
        <v>244</v>
      </c>
      <c r="Q199" s="13">
        <v>73</v>
      </c>
      <c r="R199">
        <v>36</v>
      </c>
      <c r="S199">
        <v>50</v>
      </c>
      <c r="T199" s="13">
        <v>40</v>
      </c>
      <c r="U199" s="13">
        <v>38</v>
      </c>
      <c r="V199" t="s">
        <v>99</v>
      </c>
      <c r="X199" s="13">
        <v>244</v>
      </c>
    </row>
    <row r="200" spans="1:24" x14ac:dyDescent="0.25">
      <c r="A200" t="s">
        <v>296</v>
      </c>
      <c r="B200" t="s">
        <v>62</v>
      </c>
      <c r="C200" t="s">
        <v>275</v>
      </c>
      <c r="D200" t="s">
        <v>276</v>
      </c>
      <c r="E200" t="s">
        <v>62</v>
      </c>
      <c r="F200" t="s">
        <v>94</v>
      </c>
      <c r="G200" t="s">
        <v>277</v>
      </c>
      <c r="H200" s="12">
        <v>6.1700511999999996</v>
      </c>
      <c r="I200" s="12">
        <v>-75.5922482</v>
      </c>
      <c r="K200" t="s">
        <v>97</v>
      </c>
      <c r="M200">
        <v>11</v>
      </c>
      <c r="P200" s="13">
        <v>241</v>
      </c>
      <c r="Q200" s="13">
        <v>29</v>
      </c>
      <c r="R200">
        <v>40</v>
      </c>
      <c r="S200">
        <v>54</v>
      </c>
      <c r="T200" s="13">
        <v>62</v>
      </c>
      <c r="U200" s="13">
        <v>71</v>
      </c>
      <c r="V200" t="s">
        <v>99</v>
      </c>
      <c r="X200" s="13">
        <v>241</v>
      </c>
    </row>
    <row r="201" spans="1:24" x14ac:dyDescent="0.25">
      <c r="A201" t="s">
        <v>297</v>
      </c>
      <c r="B201" t="s">
        <v>62</v>
      </c>
      <c r="C201" t="s">
        <v>275</v>
      </c>
      <c r="D201" t="s">
        <v>276</v>
      </c>
      <c r="E201" t="s">
        <v>62</v>
      </c>
      <c r="F201" t="s">
        <v>94</v>
      </c>
      <c r="G201" t="s">
        <v>277</v>
      </c>
      <c r="H201" s="12">
        <v>6.1700511999999996</v>
      </c>
      <c r="I201" s="12">
        <v>-75.5922482</v>
      </c>
      <c r="K201" t="s">
        <v>97</v>
      </c>
      <c r="M201">
        <v>11</v>
      </c>
      <c r="P201" s="13">
        <v>240</v>
      </c>
      <c r="Q201" s="13">
        <v>44</v>
      </c>
      <c r="R201">
        <v>44</v>
      </c>
      <c r="S201">
        <v>60</v>
      </c>
      <c r="T201" s="13">
        <v>36</v>
      </c>
      <c r="U201" s="13">
        <v>71</v>
      </c>
      <c r="V201" t="s">
        <v>99</v>
      </c>
      <c r="X201" s="13">
        <v>240</v>
      </c>
    </row>
    <row r="202" spans="1:24" x14ac:dyDescent="0.25">
      <c r="A202" t="s">
        <v>298</v>
      </c>
      <c r="B202" t="s">
        <v>62</v>
      </c>
      <c r="C202" t="s">
        <v>275</v>
      </c>
      <c r="D202" t="s">
        <v>276</v>
      </c>
      <c r="E202" t="s">
        <v>62</v>
      </c>
      <c r="F202" t="s">
        <v>94</v>
      </c>
      <c r="G202" t="s">
        <v>277</v>
      </c>
      <c r="H202" s="12">
        <v>6.1700511999999996</v>
      </c>
      <c r="I202" s="12">
        <v>-75.5922482</v>
      </c>
      <c r="K202" t="s">
        <v>97</v>
      </c>
      <c r="M202">
        <v>11</v>
      </c>
      <c r="P202" s="13">
        <v>239</v>
      </c>
      <c r="Q202" s="13">
        <v>73</v>
      </c>
      <c r="R202">
        <v>46</v>
      </c>
      <c r="S202">
        <v>52</v>
      </c>
      <c r="T202" s="13">
        <v>12</v>
      </c>
      <c r="U202" s="13">
        <v>71</v>
      </c>
      <c r="V202" t="s">
        <v>99</v>
      </c>
      <c r="X202" s="13">
        <v>239</v>
      </c>
    </row>
    <row r="203" spans="1:24" x14ac:dyDescent="0.25">
      <c r="A203" t="s">
        <v>299</v>
      </c>
      <c r="B203" t="s">
        <v>62</v>
      </c>
      <c r="C203" t="s">
        <v>275</v>
      </c>
      <c r="D203" t="s">
        <v>276</v>
      </c>
      <c r="E203" t="s">
        <v>62</v>
      </c>
      <c r="F203" t="s">
        <v>94</v>
      </c>
      <c r="G203" t="s">
        <v>277</v>
      </c>
      <c r="H203" s="12">
        <v>6.1700511999999996</v>
      </c>
      <c r="I203" s="12">
        <v>-75.5922482</v>
      </c>
      <c r="K203" t="s">
        <v>97</v>
      </c>
      <c r="M203">
        <v>11</v>
      </c>
      <c r="P203" s="13">
        <v>234</v>
      </c>
      <c r="Q203" s="13">
        <v>68</v>
      </c>
      <c r="R203">
        <v>24</v>
      </c>
      <c r="S203">
        <v>50</v>
      </c>
      <c r="T203" s="13">
        <v>34</v>
      </c>
      <c r="U203" s="13">
        <v>78</v>
      </c>
      <c r="V203" t="s">
        <v>99</v>
      </c>
      <c r="X203" s="13">
        <v>234</v>
      </c>
    </row>
    <row r="204" spans="1:24" x14ac:dyDescent="0.25">
      <c r="A204" t="s">
        <v>300</v>
      </c>
      <c r="B204" t="s">
        <v>62</v>
      </c>
      <c r="C204" t="s">
        <v>275</v>
      </c>
      <c r="D204" t="s">
        <v>276</v>
      </c>
      <c r="E204" t="s">
        <v>62</v>
      </c>
      <c r="F204" t="s">
        <v>94</v>
      </c>
      <c r="G204" t="s">
        <v>277</v>
      </c>
      <c r="H204" s="12">
        <v>6.1700511999999996</v>
      </c>
      <c r="I204" s="12">
        <v>-75.5922482</v>
      </c>
      <c r="K204" t="s">
        <v>97</v>
      </c>
      <c r="M204">
        <v>11</v>
      </c>
      <c r="P204" s="13">
        <v>224</v>
      </c>
      <c r="Q204" s="13">
        <v>59</v>
      </c>
      <c r="R204">
        <v>40</v>
      </c>
      <c r="S204">
        <v>44</v>
      </c>
      <c r="T204" s="13">
        <v>40</v>
      </c>
      <c r="U204" s="13">
        <v>36</v>
      </c>
      <c r="V204" t="s">
        <v>99</v>
      </c>
      <c r="X204" s="13">
        <v>224</v>
      </c>
    </row>
    <row r="205" spans="1:24" x14ac:dyDescent="0.25">
      <c r="A205" t="s">
        <v>301</v>
      </c>
      <c r="B205" t="s">
        <v>62</v>
      </c>
      <c r="C205" t="s">
        <v>275</v>
      </c>
      <c r="D205" t="s">
        <v>276</v>
      </c>
      <c r="E205" t="s">
        <v>62</v>
      </c>
      <c r="F205" t="s">
        <v>94</v>
      </c>
      <c r="G205" t="s">
        <v>277</v>
      </c>
      <c r="H205" s="12">
        <v>6.1700511999999996</v>
      </c>
      <c r="I205" s="12">
        <v>-75.5922482</v>
      </c>
      <c r="K205" t="s">
        <v>97</v>
      </c>
      <c r="M205">
        <v>11</v>
      </c>
      <c r="P205" s="13">
        <v>223</v>
      </c>
      <c r="Q205" s="13">
        <v>51</v>
      </c>
      <c r="R205">
        <v>32</v>
      </c>
      <c r="S205">
        <v>56</v>
      </c>
      <c r="T205" s="13">
        <v>34</v>
      </c>
      <c r="U205" s="13">
        <v>58</v>
      </c>
      <c r="V205" t="s">
        <v>99</v>
      </c>
      <c r="X205" s="13">
        <v>223</v>
      </c>
    </row>
    <row r="206" spans="1:24" x14ac:dyDescent="0.25">
      <c r="A206" t="s">
        <v>302</v>
      </c>
      <c r="B206" t="s">
        <v>62</v>
      </c>
      <c r="C206" t="s">
        <v>275</v>
      </c>
      <c r="D206" t="s">
        <v>276</v>
      </c>
      <c r="E206" t="s">
        <v>62</v>
      </c>
      <c r="F206" t="s">
        <v>94</v>
      </c>
      <c r="G206" t="s">
        <v>277</v>
      </c>
      <c r="H206" s="12">
        <v>6.1700511999999996</v>
      </c>
      <c r="I206" s="12">
        <v>-75.5922482</v>
      </c>
      <c r="K206" t="s">
        <v>97</v>
      </c>
      <c r="M206">
        <v>11</v>
      </c>
      <c r="P206" s="13">
        <v>217</v>
      </c>
      <c r="Q206" s="13">
        <v>54</v>
      </c>
      <c r="R206">
        <v>36</v>
      </c>
      <c r="S206">
        <v>46</v>
      </c>
      <c r="T206" s="13">
        <v>33</v>
      </c>
      <c r="U206" s="13">
        <v>60</v>
      </c>
      <c r="V206" t="s">
        <v>99</v>
      </c>
      <c r="X206" s="13">
        <v>217</v>
      </c>
    </row>
    <row r="207" spans="1:24" x14ac:dyDescent="0.25">
      <c r="A207" t="s">
        <v>303</v>
      </c>
      <c r="B207" t="s">
        <v>62</v>
      </c>
      <c r="C207" t="s">
        <v>275</v>
      </c>
      <c r="D207" t="s">
        <v>276</v>
      </c>
      <c r="E207" t="s">
        <v>62</v>
      </c>
      <c r="F207" t="s">
        <v>94</v>
      </c>
      <c r="G207" t="s">
        <v>277</v>
      </c>
      <c r="H207" s="12">
        <v>6.1700511999999996</v>
      </c>
      <c r="I207" s="12">
        <v>-75.5922482</v>
      </c>
      <c r="K207" t="s">
        <v>97</v>
      </c>
      <c r="M207">
        <v>11</v>
      </c>
      <c r="P207" s="13">
        <v>215</v>
      </c>
      <c r="Q207" s="13">
        <v>66</v>
      </c>
      <c r="R207">
        <v>34</v>
      </c>
      <c r="S207">
        <v>30</v>
      </c>
      <c r="T207" s="13">
        <v>34</v>
      </c>
      <c r="U207" s="13">
        <v>67</v>
      </c>
      <c r="V207" t="s">
        <v>99</v>
      </c>
      <c r="X207" s="13">
        <v>215</v>
      </c>
    </row>
    <row r="208" spans="1:24" x14ac:dyDescent="0.25">
      <c r="A208" t="s">
        <v>304</v>
      </c>
      <c r="B208" t="s">
        <v>62</v>
      </c>
      <c r="C208" t="s">
        <v>275</v>
      </c>
      <c r="D208" t="s">
        <v>276</v>
      </c>
      <c r="E208" t="s">
        <v>62</v>
      </c>
      <c r="F208" t="s">
        <v>94</v>
      </c>
      <c r="G208" t="s">
        <v>277</v>
      </c>
      <c r="H208" s="12">
        <v>6.1700511999999996</v>
      </c>
      <c r="I208" s="12">
        <v>-75.5922482</v>
      </c>
      <c r="K208" t="s">
        <v>97</v>
      </c>
      <c r="M208">
        <v>11</v>
      </c>
      <c r="P208" s="13">
        <v>213</v>
      </c>
      <c r="Q208" s="13">
        <v>46</v>
      </c>
      <c r="R208">
        <v>34</v>
      </c>
      <c r="S208">
        <v>44</v>
      </c>
      <c r="T208" s="13">
        <v>36</v>
      </c>
      <c r="U208" s="13">
        <v>73</v>
      </c>
      <c r="V208" t="s">
        <v>99</v>
      </c>
      <c r="X208" s="13">
        <v>213</v>
      </c>
    </row>
    <row r="209" spans="1:24" x14ac:dyDescent="0.25">
      <c r="A209" t="s">
        <v>305</v>
      </c>
      <c r="B209" t="s">
        <v>62</v>
      </c>
      <c r="C209" t="s">
        <v>275</v>
      </c>
      <c r="D209" t="s">
        <v>276</v>
      </c>
      <c r="E209" t="s">
        <v>62</v>
      </c>
      <c r="F209" t="s">
        <v>94</v>
      </c>
      <c r="G209" t="s">
        <v>277</v>
      </c>
      <c r="H209" s="12">
        <v>6.1700511999999996</v>
      </c>
      <c r="I209" s="12">
        <v>-75.5922482</v>
      </c>
      <c r="K209" t="s">
        <v>97</v>
      </c>
      <c r="M209">
        <v>11</v>
      </c>
      <c r="P209" s="13">
        <v>213</v>
      </c>
      <c r="Q209" s="13">
        <v>54</v>
      </c>
      <c r="R209">
        <v>40</v>
      </c>
      <c r="S209">
        <v>42</v>
      </c>
      <c r="T209" s="13">
        <v>34</v>
      </c>
      <c r="U209" s="13">
        <v>44</v>
      </c>
      <c r="V209" t="s">
        <v>99</v>
      </c>
      <c r="X209" s="13">
        <v>213</v>
      </c>
    </row>
    <row r="210" spans="1:24" x14ac:dyDescent="0.25">
      <c r="A210" t="s">
        <v>306</v>
      </c>
      <c r="B210" t="s">
        <v>62</v>
      </c>
      <c r="C210" t="s">
        <v>275</v>
      </c>
      <c r="D210" t="s">
        <v>276</v>
      </c>
      <c r="E210" t="s">
        <v>62</v>
      </c>
      <c r="F210" t="s">
        <v>94</v>
      </c>
      <c r="G210" t="s">
        <v>277</v>
      </c>
      <c r="H210" s="12">
        <v>6.1700511999999996</v>
      </c>
      <c r="I210" s="12">
        <v>-75.5922482</v>
      </c>
      <c r="K210" t="s">
        <v>97</v>
      </c>
      <c r="M210">
        <v>11</v>
      </c>
      <c r="P210" s="13">
        <v>212</v>
      </c>
      <c r="Q210" s="13">
        <v>66</v>
      </c>
      <c r="R210">
        <v>32</v>
      </c>
      <c r="S210">
        <v>38</v>
      </c>
      <c r="T210" s="13">
        <v>28</v>
      </c>
      <c r="U210" s="13">
        <v>62</v>
      </c>
      <c r="V210" t="s">
        <v>99</v>
      </c>
      <c r="X210" s="13">
        <v>212</v>
      </c>
    </row>
    <row r="211" spans="1:24" x14ac:dyDescent="0.25">
      <c r="A211" t="s">
        <v>307</v>
      </c>
      <c r="B211" t="s">
        <v>62</v>
      </c>
      <c r="C211" t="s">
        <v>275</v>
      </c>
      <c r="D211" t="s">
        <v>276</v>
      </c>
      <c r="E211" t="s">
        <v>62</v>
      </c>
      <c r="F211" t="s">
        <v>94</v>
      </c>
      <c r="G211" t="s">
        <v>277</v>
      </c>
      <c r="H211" s="12">
        <v>6.1700511999999996</v>
      </c>
      <c r="I211" s="12">
        <v>-75.5922482</v>
      </c>
      <c r="K211" t="s">
        <v>97</v>
      </c>
      <c r="M211">
        <v>11</v>
      </c>
      <c r="P211" s="13">
        <v>212</v>
      </c>
      <c r="Q211" s="13">
        <v>61</v>
      </c>
      <c r="R211">
        <v>34</v>
      </c>
      <c r="S211">
        <v>44</v>
      </c>
      <c r="T211" s="13">
        <v>33</v>
      </c>
      <c r="U211" s="13">
        <v>36</v>
      </c>
      <c r="V211" t="s">
        <v>99</v>
      </c>
      <c r="X211" s="13">
        <v>212</v>
      </c>
    </row>
    <row r="212" spans="1:24" x14ac:dyDescent="0.25">
      <c r="A212" t="s">
        <v>308</v>
      </c>
      <c r="B212" t="s">
        <v>62</v>
      </c>
      <c r="C212" t="s">
        <v>275</v>
      </c>
      <c r="D212" t="s">
        <v>276</v>
      </c>
      <c r="E212" t="s">
        <v>62</v>
      </c>
      <c r="F212" t="s">
        <v>94</v>
      </c>
      <c r="G212" t="s">
        <v>277</v>
      </c>
      <c r="H212" s="12">
        <v>6.1700511999999996</v>
      </c>
      <c r="I212" s="12">
        <v>-75.5922482</v>
      </c>
      <c r="K212" t="s">
        <v>97</v>
      </c>
      <c r="M212">
        <v>11</v>
      </c>
      <c r="P212" s="13">
        <v>212</v>
      </c>
      <c r="Q212" s="13">
        <v>49</v>
      </c>
      <c r="R212">
        <v>30</v>
      </c>
      <c r="S212">
        <v>62</v>
      </c>
      <c r="T212" s="13">
        <v>26</v>
      </c>
      <c r="U212" s="13">
        <v>51</v>
      </c>
      <c r="V212" t="s">
        <v>99</v>
      </c>
      <c r="X212" s="13">
        <v>212</v>
      </c>
    </row>
    <row r="213" spans="1:24" x14ac:dyDescent="0.25">
      <c r="A213" t="s">
        <v>309</v>
      </c>
      <c r="B213" t="s">
        <v>62</v>
      </c>
      <c r="C213" t="s">
        <v>275</v>
      </c>
      <c r="D213" t="s">
        <v>276</v>
      </c>
      <c r="E213" t="s">
        <v>62</v>
      </c>
      <c r="F213" t="s">
        <v>94</v>
      </c>
      <c r="G213" t="s">
        <v>277</v>
      </c>
      <c r="H213" s="12">
        <v>6.1700511999999996</v>
      </c>
      <c r="I213" s="12">
        <v>-75.5922482</v>
      </c>
      <c r="K213" t="s">
        <v>97</v>
      </c>
      <c r="M213">
        <v>11</v>
      </c>
      <c r="P213" s="13">
        <v>211</v>
      </c>
      <c r="Q213" s="13">
        <v>71</v>
      </c>
      <c r="R213">
        <v>30</v>
      </c>
      <c r="S213">
        <v>22</v>
      </c>
      <c r="T213" s="13">
        <v>43</v>
      </c>
      <c r="U213" s="13">
        <v>51</v>
      </c>
      <c r="V213" t="s">
        <v>99</v>
      </c>
      <c r="X213" s="13">
        <v>211</v>
      </c>
    </row>
    <row r="214" spans="1:24" x14ac:dyDescent="0.25">
      <c r="A214" t="s">
        <v>310</v>
      </c>
      <c r="B214" t="s">
        <v>62</v>
      </c>
      <c r="C214" t="s">
        <v>275</v>
      </c>
      <c r="D214" t="s">
        <v>276</v>
      </c>
      <c r="E214" t="s">
        <v>62</v>
      </c>
      <c r="F214" t="s">
        <v>94</v>
      </c>
      <c r="G214" t="s">
        <v>277</v>
      </c>
      <c r="H214" s="12">
        <v>6.1700511999999996</v>
      </c>
      <c r="I214" s="12">
        <v>-75.5922482</v>
      </c>
      <c r="K214" t="s">
        <v>97</v>
      </c>
      <c r="M214">
        <v>11</v>
      </c>
      <c r="P214" s="13">
        <v>208</v>
      </c>
      <c r="Q214" s="13">
        <v>54</v>
      </c>
      <c r="R214">
        <v>30</v>
      </c>
      <c r="S214">
        <v>34</v>
      </c>
      <c r="T214" s="13">
        <v>40</v>
      </c>
      <c r="U214" s="13">
        <v>69</v>
      </c>
      <c r="V214" t="s">
        <v>99</v>
      </c>
      <c r="X214" s="13">
        <v>208</v>
      </c>
    </row>
    <row r="215" spans="1:24" x14ac:dyDescent="0.25">
      <c r="A215" t="s">
        <v>311</v>
      </c>
      <c r="B215" t="s">
        <v>62</v>
      </c>
      <c r="C215" t="s">
        <v>275</v>
      </c>
      <c r="D215" t="s">
        <v>276</v>
      </c>
      <c r="E215" t="s">
        <v>62</v>
      </c>
      <c r="F215" t="s">
        <v>94</v>
      </c>
      <c r="G215" t="s">
        <v>277</v>
      </c>
      <c r="H215" s="12">
        <v>6.1700511999999996</v>
      </c>
      <c r="I215" s="12">
        <v>-75.5922482</v>
      </c>
      <c r="K215" t="s">
        <v>97</v>
      </c>
      <c r="M215">
        <v>11</v>
      </c>
      <c r="P215" s="13">
        <v>206</v>
      </c>
      <c r="Q215" s="13">
        <v>46</v>
      </c>
      <c r="R215">
        <v>36</v>
      </c>
      <c r="S215">
        <v>26</v>
      </c>
      <c r="T215" s="13">
        <v>52</v>
      </c>
      <c r="U215" s="13">
        <v>55</v>
      </c>
      <c r="V215" t="s">
        <v>99</v>
      </c>
      <c r="X215" s="13">
        <v>206</v>
      </c>
    </row>
    <row r="216" spans="1:24" x14ac:dyDescent="0.25">
      <c r="A216" t="s">
        <v>312</v>
      </c>
      <c r="B216" t="s">
        <v>62</v>
      </c>
      <c r="C216" t="s">
        <v>275</v>
      </c>
      <c r="D216" t="s">
        <v>276</v>
      </c>
      <c r="E216" t="s">
        <v>62</v>
      </c>
      <c r="F216" t="s">
        <v>94</v>
      </c>
      <c r="G216" t="s">
        <v>277</v>
      </c>
      <c r="H216" s="12">
        <v>6.1700511999999996</v>
      </c>
      <c r="I216" s="12">
        <v>-75.5922482</v>
      </c>
      <c r="K216" t="s">
        <v>97</v>
      </c>
      <c r="M216">
        <v>11</v>
      </c>
      <c r="P216" s="13">
        <v>203</v>
      </c>
      <c r="Q216" s="13">
        <v>56</v>
      </c>
      <c r="R216">
        <v>30</v>
      </c>
      <c r="S216">
        <v>56</v>
      </c>
      <c r="T216" s="13">
        <v>22</v>
      </c>
      <c r="U216" s="13">
        <v>35</v>
      </c>
      <c r="V216" t="s">
        <v>99</v>
      </c>
      <c r="X216" s="13">
        <v>203</v>
      </c>
    </row>
    <row r="217" spans="1:24" x14ac:dyDescent="0.25">
      <c r="A217" t="s">
        <v>313</v>
      </c>
      <c r="B217" t="s">
        <v>62</v>
      </c>
      <c r="C217" t="s">
        <v>275</v>
      </c>
      <c r="D217" t="s">
        <v>276</v>
      </c>
      <c r="E217" t="s">
        <v>62</v>
      </c>
      <c r="F217" t="s">
        <v>94</v>
      </c>
      <c r="G217" t="s">
        <v>277</v>
      </c>
      <c r="H217" s="12">
        <v>6.1700511999999996</v>
      </c>
      <c r="I217" s="12">
        <v>-75.5922482</v>
      </c>
      <c r="K217" t="s">
        <v>97</v>
      </c>
      <c r="M217">
        <v>11</v>
      </c>
      <c r="P217" s="13">
        <v>201</v>
      </c>
      <c r="Q217" s="13">
        <v>63</v>
      </c>
      <c r="R217">
        <v>34</v>
      </c>
      <c r="S217">
        <v>12</v>
      </c>
      <c r="T217" s="13">
        <v>38</v>
      </c>
      <c r="U217" s="13">
        <v>80</v>
      </c>
      <c r="V217" t="s">
        <v>99</v>
      </c>
      <c r="X217" s="13">
        <v>201</v>
      </c>
    </row>
    <row r="218" spans="1:24" x14ac:dyDescent="0.25">
      <c r="A218" t="s">
        <v>314</v>
      </c>
      <c r="B218" t="s">
        <v>62</v>
      </c>
      <c r="C218" t="s">
        <v>275</v>
      </c>
      <c r="D218" t="s">
        <v>276</v>
      </c>
      <c r="E218" t="s">
        <v>62</v>
      </c>
      <c r="F218" t="s">
        <v>94</v>
      </c>
      <c r="G218" t="s">
        <v>277</v>
      </c>
      <c r="H218" s="12">
        <v>6.1700511999999996</v>
      </c>
      <c r="I218" s="12">
        <v>-75.5922482</v>
      </c>
      <c r="K218" t="s">
        <v>97</v>
      </c>
      <c r="M218">
        <v>11</v>
      </c>
      <c r="P218" s="13">
        <v>200</v>
      </c>
      <c r="Q218" s="13">
        <v>54</v>
      </c>
      <c r="R218">
        <v>30</v>
      </c>
      <c r="S218">
        <v>44</v>
      </c>
      <c r="T218" s="13">
        <v>29</v>
      </c>
      <c r="U218" s="13">
        <v>49</v>
      </c>
      <c r="V218" t="s">
        <v>99</v>
      </c>
      <c r="X218" s="13">
        <v>200</v>
      </c>
    </row>
    <row r="219" spans="1:24" x14ac:dyDescent="0.25">
      <c r="A219" t="s">
        <v>315</v>
      </c>
      <c r="B219" t="s">
        <v>62</v>
      </c>
      <c r="C219" t="s">
        <v>275</v>
      </c>
      <c r="D219" t="s">
        <v>276</v>
      </c>
      <c r="E219" t="s">
        <v>62</v>
      </c>
      <c r="F219" t="s">
        <v>94</v>
      </c>
      <c r="G219" t="s">
        <v>277</v>
      </c>
      <c r="H219" s="12">
        <v>6.1700511999999996</v>
      </c>
      <c r="I219" s="12">
        <v>-75.5922482</v>
      </c>
      <c r="K219" t="s">
        <v>97</v>
      </c>
      <c r="M219">
        <v>11</v>
      </c>
      <c r="P219" s="13">
        <v>199</v>
      </c>
      <c r="Q219" s="13">
        <v>41</v>
      </c>
      <c r="R219">
        <v>28</v>
      </c>
      <c r="S219">
        <v>44</v>
      </c>
      <c r="T219" s="13">
        <v>41</v>
      </c>
      <c r="U219" s="13">
        <v>53</v>
      </c>
      <c r="V219" t="s">
        <v>99</v>
      </c>
      <c r="X219" s="13">
        <v>199</v>
      </c>
    </row>
    <row r="220" spans="1:24" x14ac:dyDescent="0.25">
      <c r="A220" t="s">
        <v>316</v>
      </c>
      <c r="B220" t="s">
        <v>62</v>
      </c>
      <c r="C220" t="s">
        <v>275</v>
      </c>
      <c r="D220" t="s">
        <v>276</v>
      </c>
      <c r="E220" t="s">
        <v>62</v>
      </c>
      <c r="F220" t="s">
        <v>94</v>
      </c>
      <c r="G220" t="s">
        <v>277</v>
      </c>
      <c r="H220" s="12">
        <v>6.1700511999999996</v>
      </c>
      <c r="I220" s="12">
        <v>-75.5922482</v>
      </c>
      <c r="K220" t="s">
        <v>97</v>
      </c>
      <c r="M220">
        <v>11</v>
      </c>
      <c r="P220" s="13">
        <v>199</v>
      </c>
      <c r="Q220" s="13">
        <v>78</v>
      </c>
      <c r="R220">
        <v>38</v>
      </c>
      <c r="S220">
        <v>10</v>
      </c>
      <c r="T220" s="13">
        <v>31</v>
      </c>
      <c r="U220" s="13">
        <v>45</v>
      </c>
      <c r="V220" t="s">
        <v>99</v>
      </c>
      <c r="X220" s="13">
        <v>199</v>
      </c>
    </row>
    <row r="221" spans="1:24" x14ac:dyDescent="0.25">
      <c r="A221" t="s">
        <v>317</v>
      </c>
      <c r="B221" t="s">
        <v>62</v>
      </c>
      <c r="C221" t="s">
        <v>275</v>
      </c>
      <c r="D221" t="s">
        <v>276</v>
      </c>
      <c r="E221" t="s">
        <v>62</v>
      </c>
      <c r="F221" t="s">
        <v>94</v>
      </c>
      <c r="G221" t="s">
        <v>277</v>
      </c>
      <c r="H221" s="12">
        <v>6.1700511999999996</v>
      </c>
      <c r="I221" s="12">
        <v>-75.5922482</v>
      </c>
      <c r="K221" t="s">
        <v>97</v>
      </c>
      <c r="M221">
        <v>11</v>
      </c>
      <c r="P221" s="13">
        <v>198</v>
      </c>
      <c r="Q221" s="13">
        <v>61</v>
      </c>
      <c r="R221">
        <v>46</v>
      </c>
      <c r="S221">
        <v>28</v>
      </c>
      <c r="T221" s="13">
        <v>24</v>
      </c>
      <c r="U221" s="13">
        <v>36</v>
      </c>
      <c r="V221" t="s">
        <v>99</v>
      </c>
      <c r="X221" s="13">
        <v>198</v>
      </c>
    </row>
    <row r="222" spans="1:24" x14ac:dyDescent="0.25">
      <c r="A222" t="s">
        <v>318</v>
      </c>
      <c r="B222" t="s">
        <v>62</v>
      </c>
      <c r="C222" t="s">
        <v>275</v>
      </c>
      <c r="D222" t="s">
        <v>276</v>
      </c>
      <c r="E222" t="s">
        <v>62</v>
      </c>
      <c r="F222" t="s">
        <v>94</v>
      </c>
      <c r="G222" t="s">
        <v>277</v>
      </c>
      <c r="H222" s="12">
        <v>6.1700511999999996</v>
      </c>
      <c r="I222" s="12">
        <v>-75.5922482</v>
      </c>
      <c r="K222" t="s">
        <v>97</v>
      </c>
      <c r="M222">
        <v>11</v>
      </c>
      <c r="P222" s="13">
        <v>196</v>
      </c>
      <c r="Q222" s="13">
        <v>46</v>
      </c>
      <c r="R222">
        <v>26</v>
      </c>
      <c r="S222">
        <v>48</v>
      </c>
      <c r="T222" s="13">
        <v>40</v>
      </c>
      <c r="U222" s="13">
        <v>31</v>
      </c>
      <c r="V222" t="s">
        <v>99</v>
      </c>
      <c r="X222" s="13">
        <v>196</v>
      </c>
    </row>
    <row r="223" spans="1:24" x14ac:dyDescent="0.25">
      <c r="A223" t="s">
        <v>319</v>
      </c>
      <c r="B223" t="s">
        <v>62</v>
      </c>
      <c r="C223" t="s">
        <v>275</v>
      </c>
      <c r="D223" t="s">
        <v>276</v>
      </c>
      <c r="E223" t="s">
        <v>62</v>
      </c>
      <c r="F223" t="s">
        <v>94</v>
      </c>
      <c r="G223" t="s">
        <v>277</v>
      </c>
      <c r="H223" s="12">
        <v>6.1700511999999996</v>
      </c>
      <c r="I223" s="12">
        <v>-75.5922482</v>
      </c>
      <c r="K223" t="s">
        <v>97</v>
      </c>
      <c r="M223">
        <v>11</v>
      </c>
      <c r="P223" s="13">
        <v>196</v>
      </c>
      <c r="Q223" s="13">
        <v>51</v>
      </c>
      <c r="R223">
        <v>46</v>
      </c>
      <c r="S223">
        <v>32</v>
      </c>
      <c r="T223" s="13">
        <v>29</v>
      </c>
      <c r="U223" s="13">
        <v>35</v>
      </c>
      <c r="V223" t="s">
        <v>99</v>
      </c>
      <c r="X223" s="13">
        <v>196</v>
      </c>
    </row>
    <row r="224" spans="1:24" x14ac:dyDescent="0.25">
      <c r="A224" t="s">
        <v>320</v>
      </c>
      <c r="B224" t="s">
        <v>62</v>
      </c>
      <c r="C224" t="s">
        <v>275</v>
      </c>
      <c r="D224" t="s">
        <v>276</v>
      </c>
      <c r="E224" t="s">
        <v>62</v>
      </c>
      <c r="F224" t="s">
        <v>94</v>
      </c>
      <c r="G224" t="s">
        <v>277</v>
      </c>
      <c r="H224" s="12">
        <v>6.1700511999999996</v>
      </c>
      <c r="I224" s="12">
        <v>-75.5922482</v>
      </c>
      <c r="K224" t="s">
        <v>97</v>
      </c>
      <c r="M224">
        <v>11</v>
      </c>
      <c r="P224" s="13">
        <v>195</v>
      </c>
      <c r="Q224" s="13">
        <v>56</v>
      </c>
      <c r="R224">
        <v>30</v>
      </c>
      <c r="S224">
        <v>28</v>
      </c>
      <c r="T224" s="13">
        <v>36</v>
      </c>
      <c r="U224" s="13">
        <v>56</v>
      </c>
      <c r="V224" t="s">
        <v>99</v>
      </c>
      <c r="X224" s="13">
        <v>195</v>
      </c>
    </row>
    <row r="225" spans="1:24" x14ac:dyDescent="0.25">
      <c r="A225" t="s">
        <v>321</v>
      </c>
      <c r="B225" t="s">
        <v>62</v>
      </c>
      <c r="C225" t="s">
        <v>275</v>
      </c>
      <c r="D225" t="s">
        <v>276</v>
      </c>
      <c r="E225" t="s">
        <v>62</v>
      </c>
      <c r="F225" t="s">
        <v>94</v>
      </c>
      <c r="G225" t="s">
        <v>277</v>
      </c>
      <c r="H225" s="12">
        <v>6.1700511999999996</v>
      </c>
      <c r="I225" s="12">
        <v>-75.5922482</v>
      </c>
      <c r="K225" t="s">
        <v>97</v>
      </c>
      <c r="M225">
        <v>11</v>
      </c>
      <c r="P225" s="13">
        <v>191</v>
      </c>
      <c r="Q225" s="13">
        <v>27</v>
      </c>
      <c r="R225">
        <v>22</v>
      </c>
      <c r="S225">
        <v>56</v>
      </c>
      <c r="T225" s="13">
        <v>36</v>
      </c>
      <c r="U225" s="13">
        <v>75</v>
      </c>
      <c r="V225" t="s">
        <v>99</v>
      </c>
      <c r="X225" s="13">
        <v>191</v>
      </c>
    </row>
    <row r="226" spans="1:24" x14ac:dyDescent="0.25">
      <c r="A226" t="s">
        <v>322</v>
      </c>
      <c r="B226" t="s">
        <v>62</v>
      </c>
      <c r="C226" t="s">
        <v>275</v>
      </c>
      <c r="D226" t="s">
        <v>276</v>
      </c>
      <c r="E226" t="s">
        <v>62</v>
      </c>
      <c r="F226" t="s">
        <v>94</v>
      </c>
      <c r="G226" t="s">
        <v>277</v>
      </c>
      <c r="H226" s="12">
        <v>6.1700511999999996</v>
      </c>
      <c r="I226" s="12">
        <v>-75.5922482</v>
      </c>
      <c r="K226" t="s">
        <v>97</v>
      </c>
      <c r="M226">
        <v>11</v>
      </c>
      <c r="P226" s="13">
        <v>191</v>
      </c>
      <c r="Q226" s="13">
        <v>49</v>
      </c>
      <c r="R226">
        <v>28</v>
      </c>
      <c r="S226">
        <v>28</v>
      </c>
      <c r="T226" s="13">
        <v>33</v>
      </c>
      <c r="U226" s="13">
        <v>84</v>
      </c>
      <c r="V226" t="s">
        <v>99</v>
      </c>
      <c r="X226" s="13">
        <v>191</v>
      </c>
    </row>
    <row r="227" spans="1:24" x14ac:dyDescent="0.25">
      <c r="A227" t="s">
        <v>323</v>
      </c>
      <c r="B227" t="s">
        <v>62</v>
      </c>
      <c r="C227" t="s">
        <v>275</v>
      </c>
      <c r="D227" t="s">
        <v>276</v>
      </c>
      <c r="E227" t="s">
        <v>62</v>
      </c>
      <c r="F227" t="s">
        <v>94</v>
      </c>
      <c r="G227" t="s">
        <v>277</v>
      </c>
      <c r="H227" s="12">
        <v>6.1700511999999996</v>
      </c>
      <c r="I227" s="12">
        <v>-75.5922482</v>
      </c>
      <c r="K227" t="s">
        <v>97</v>
      </c>
      <c r="M227">
        <v>11</v>
      </c>
      <c r="P227" s="13">
        <v>189</v>
      </c>
      <c r="Q227" s="13">
        <v>54</v>
      </c>
      <c r="R227">
        <v>28</v>
      </c>
      <c r="S227">
        <v>38</v>
      </c>
      <c r="T227" s="13">
        <v>28</v>
      </c>
      <c r="U227" s="13">
        <v>49</v>
      </c>
      <c r="V227" t="s">
        <v>99</v>
      </c>
      <c r="X227" s="13">
        <v>189</v>
      </c>
    </row>
    <row r="228" spans="1:24" x14ac:dyDescent="0.25">
      <c r="A228" t="s">
        <v>324</v>
      </c>
      <c r="B228" t="s">
        <v>62</v>
      </c>
      <c r="C228" t="s">
        <v>275</v>
      </c>
      <c r="D228" t="s">
        <v>276</v>
      </c>
      <c r="E228" t="s">
        <v>62</v>
      </c>
      <c r="F228" t="s">
        <v>94</v>
      </c>
      <c r="G228" t="s">
        <v>277</v>
      </c>
      <c r="H228" s="12">
        <v>6.1700511999999996</v>
      </c>
      <c r="I228" s="12">
        <v>-75.5922482</v>
      </c>
      <c r="K228" t="s">
        <v>97</v>
      </c>
      <c r="M228">
        <v>11</v>
      </c>
      <c r="P228" s="13">
        <v>187</v>
      </c>
      <c r="Q228" s="13">
        <v>54</v>
      </c>
      <c r="R228">
        <v>38</v>
      </c>
      <c r="S228">
        <v>32</v>
      </c>
      <c r="T228" s="13">
        <v>24</v>
      </c>
      <c r="U228" s="13">
        <v>44</v>
      </c>
      <c r="V228" t="s">
        <v>99</v>
      </c>
      <c r="X228" s="13">
        <v>187</v>
      </c>
    </row>
    <row r="229" spans="1:24" x14ac:dyDescent="0.25">
      <c r="A229" t="s">
        <v>325</v>
      </c>
      <c r="B229" t="s">
        <v>62</v>
      </c>
      <c r="C229" t="s">
        <v>275</v>
      </c>
      <c r="D229" t="s">
        <v>276</v>
      </c>
      <c r="E229" t="s">
        <v>62</v>
      </c>
      <c r="F229" t="s">
        <v>94</v>
      </c>
      <c r="G229" t="s">
        <v>277</v>
      </c>
      <c r="H229" s="12">
        <v>6.1700511999999996</v>
      </c>
      <c r="I229" s="12">
        <v>-75.5922482</v>
      </c>
      <c r="K229" t="s">
        <v>97</v>
      </c>
      <c r="M229">
        <v>11</v>
      </c>
      <c r="P229" s="13">
        <v>185</v>
      </c>
      <c r="Q229" s="13">
        <v>37</v>
      </c>
      <c r="R229">
        <v>42</v>
      </c>
      <c r="S229">
        <v>36</v>
      </c>
      <c r="T229" s="13">
        <v>33</v>
      </c>
      <c r="U229" s="13">
        <v>38</v>
      </c>
      <c r="V229" t="s">
        <v>99</v>
      </c>
      <c r="X229" s="13">
        <v>185</v>
      </c>
    </row>
    <row r="230" spans="1:24" x14ac:dyDescent="0.25">
      <c r="A230" t="s">
        <v>326</v>
      </c>
      <c r="B230" t="s">
        <v>62</v>
      </c>
      <c r="C230" t="s">
        <v>275</v>
      </c>
      <c r="D230" t="s">
        <v>276</v>
      </c>
      <c r="E230" t="s">
        <v>62</v>
      </c>
      <c r="F230" t="s">
        <v>94</v>
      </c>
      <c r="G230" t="s">
        <v>277</v>
      </c>
      <c r="H230" s="12">
        <v>6.1700511999999996</v>
      </c>
      <c r="I230" s="12">
        <v>-75.5922482</v>
      </c>
      <c r="K230" t="s">
        <v>97</v>
      </c>
      <c r="M230">
        <v>11</v>
      </c>
      <c r="P230" s="13">
        <v>183</v>
      </c>
      <c r="Q230" s="13">
        <v>51</v>
      </c>
      <c r="R230">
        <v>28</v>
      </c>
      <c r="S230">
        <v>32</v>
      </c>
      <c r="T230" s="13">
        <v>36</v>
      </c>
      <c r="U230" s="13">
        <v>33</v>
      </c>
      <c r="V230" t="s">
        <v>99</v>
      </c>
      <c r="X230" s="13">
        <v>183</v>
      </c>
    </row>
    <row r="231" spans="1:24" x14ac:dyDescent="0.25">
      <c r="A231" t="s">
        <v>327</v>
      </c>
      <c r="B231" t="s">
        <v>62</v>
      </c>
      <c r="C231" t="s">
        <v>275</v>
      </c>
      <c r="D231" t="s">
        <v>276</v>
      </c>
      <c r="E231" t="s">
        <v>62</v>
      </c>
      <c r="F231" t="s">
        <v>94</v>
      </c>
      <c r="G231" t="s">
        <v>277</v>
      </c>
      <c r="H231" s="12">
        <v>6.1700511999999996</v>
      </c>
      <c r="I231" s="12">
        <v>-75.5922482</v>
      </c>
      <c r="K231" t="s">
        <v>97</v>
      </c>
      <c r="M231">
        <v>11</v>
      </c>
      <c r="P231" s="13">
        <v>178</v>
      </c>
      <c r="Q231" s="13">
        <v>61</v>
      </c>
      <c r="R231">
        <v>38</v>
      </c>
      <c r="S231">
        <v>14</v>
      </c>
      <c r="T231" s="13">
        <v>31</v>
      </c>
      <c r="U231" s="13">
        <v>31</v>
      </c>
      <c r="V231" t="s">
        <v>99</v>
      </c>
      <c r="X231" s="13">
        <v>178</v>
      </c>
    </row>
    <row r="232" spans="1:24" x14ac:dyDescent="0.25">
      <c r="A232" t="s">
        <v>328</v>
      </c>
      <c r="B232" t="s">
        <v>62</v>
      </c>
      <c r="C232" t="s">
        <v>275</v>
      </c>
      <c r="D232" t="s">
        <v>276</v>
      </c>
      <c r="E232" t="s">
        <v>62</v>
      </c>
      <c r="F232" t="s">
        <v>94</v>
      </c>
      <c r="G232" t="s">
        <v>277</v>
      </c>
      <c r="H232" s="12">
        <v>6.1700511999999996</v>
      </c>
      <c r="I232" s="12">
        <v>-75.5922482</v>
      </c>
      <c r="K232" t="s">
        <v>97</v>
      </c>
      <c r="M232">
        <v>11</v>
      </c>
      <c r="P232" s="13">
        <v>178</v>
      </c>
      <c r="Q232" s="13">
        <v>34</v>
      </c>
      <c r="R232">
        <v>38</v>
      </c>
      <c r="S232">
        <v>26</v>
      </c>
      <c r="T232" s="13">
        <v>40</v>
      </c>
      <c r="U232" s="13">
        <v>49</v>
      </c>
      <c r="V232" t="s">
        <v>99</v>
      </c>
      <c r="X232" s="13">
        <v>178</v>
      </c>
    </row>
    <row r="233" spans="1:24" x14ac:dyDescent="0.25">
      <c r="A233" t="s">
        <v>329</v>
      </c>
      <c r="B233" t="s">
        <v>62</v>
      </c>
      <c r="C233" t="s">
        <v>275</v>
      </c>
      <c r="D233" t="s">
        <v>276</v>
      </c>
      <c r="E233" t="s">
        <v>62</v>
      </c>
      <c r="F233" t="s">
        <v>94</v>
      </c>
      <c r="G233" t="s">
        <v>277</v>
      </c>
      <c r="H233" s="12">
        <v>6.1700511999999996</v>
      </c>
      <c r="I233" s="12">
        <v>-75.5922482</v>
      </c>
      <c r="K233" t="s">
        <v>97</v>
      </c>
      <c r="M233">
        <v>11</v>
      </c>
      <c r="P233" s="13">
        <v>176</v>
      </c>
      <c r="Q233" s="13">
        <v>63</v>
      </c>
      <c r="R233">
        <v>34</v>
      </c>
      <c r="S233">
        <v>20</v>
      </c>
      <c r="T233" s="13">
        <v>19</v>
      </c>
      <c r="U233" s="13">
        <v>47</v>
      </c>
      <c r="V233" t="s">
        <v>99</v>
      </c>
      <c r="X233" s="13">
        <v>176</v>
      </c>
    </row>
    <row r="234" spans="1:24" x14ac:dyDescent="0.25">
      <c r="A234" t="s">
        <v>330</v>
      </c>
      <c r="B234" t="s">
        <v>62</v>
      </c>
      <c r="C234" t="s">
        <v>275</v>
      </c>
      <c r="D234" t="s">
        <v>276</v>
      </c>
      <c r="E234" t="s">
        <v>62</v>
      </c>
      <c r="F234" t="s">
        <v>94</v>
      </c>
      <c r="G234" t="s">
        <v>277</v>
      </c>
      <c r="H234" s="12">
        <v>6.1700511999999996</v>
      </c>
      <c r="I234" s="12">
        <v>-75.5922482</v>
      </c>
      <c r="K234" t="s">
        <v>97</v>
      </c>
      <c r="M234">
        <v>11</v>
      </c>
      <c r="P234" s="13">
        <v>174</v>
      </c>
      <c r="Q234" s="13">
        <v>41</v>
      </c>
      <c r="R234">
        <v>32</v>
      </c>
      <c r="S234">
        <v>30</v>
      </c>
      <c r="T234" s="13">
        <v>31</v>
      </c>
      <c r="U234" s="13">
        <v>49</v>
      </c>
      <c r="V234" t="s">
        <v>99</v>
      </c>
      <c r="X234" s="13">
        <v>174</v>
      </c>
    </row>
    <row r="235" spans="1:24" x14ac:dyDescent="0.25">
      <c r="A235" t="s">
        <v>331</v>
      </c>
      <c r="B235" t="s">
        <v>62</v>
      </c>
      <c r="C235" t="s">
        <v>275</v>
      </c>
      <c r="D235" t="s">
        <v>276</v>
      </c>
      <c r="E235" t="s">
        <v>62</v>
      </c>
      <c r="F235" t="s">
        <v>94</v>
      </c>
      <c r="G235" t="s">
        <v>277</v>
      </c>
      <c r="H235" s="12">
        <v>6.1700511999999996</v>
      </c>
      <c r="I235" s="12">
        <v>-75.5922482</v>
      </c>
      <c r="K235" t="s">
        <v>97</v>
      </c>
      <c r="M235">
        <v>11</v>
      </c>
      <c r="P235" s="13">
        <v>173</v>
      </c>
      <c r="Q235" s="13">
        <v>37</v>
      </c>
      <c r="R235">
        <v>34</v>
      </c>
      <c r="S235">
        <v>36</v>
      </c>
      <c r="T235" s="13">
        <v>28</v>
      </c>
      <c r="U235" s="13">
        <v>47</v>
      </c>
      <c r="V235" t="s">
        <v>99</v>
      </c>
      <c r="X235" s="13">
        <v>173</v>
      </c>
    </row>
    <row r="236" spans="1:24" x14ac:dyDescent="0.25">
      <c r="A236" t="s">
        <v>332</v>
      </c>
      <c r="B236" t="s">
        <v>62</v>
      </c>
      <c r="C236" t="s">
        <v>275</v>
      </c>
      <c r="D236" t="s">
        <v>276</v>
      </c>
      <c r="E236" t="s">
        <v>62</v>
      </c>
      <c r="F236" t="s">
        <v>94</v>
      </c>
      <c r="G236" t="s">
        <v>277</v>
      </c>
      <c r="H236" s="12">
        <v>6.1700511999999996</v>
      </c>
      <c r="I236" s="12">
        <v>-75.5922482</v>
      </c>
      <c r="K236" t="s">
        <v>97</v>
      </c>
      <c r="M236">
        <v>11</v>
      </c>
      <c r="P236" s="13">
        <v>171</v>
      </c>
      <c r="Q236" s="13">
        <v>44</v>
      </c>
      <c r="R236">
        <v>24</v>
      </c>
      <c r="S236">
        <v>36</v>
      </c>
      <c r="T236" s="13">
        <v>28</v>
      </c>
      <c r="U236" s="13">
        <v>51</v>
      </c>
      <c r="V236" t="s">
        <v>99</v>
      </c>
      <c r="X236" s="13">
        <v>171</v>
      </c>
    </row>
    <row r="237" spans="1:24" x14ac:dyDescent="0.25">
      <c r="A237" t="s">
        <v>333</v>
      </c>
      <c r="B237" t="s">
        <v>62</v>
      </c>
      <c r="C237" t="s">
        <v>275</v>
      </c>
      <c r="D237" t="s">
        <v>276</v>
      </c>
      <c r="E237" t="s">
        <v>62</v>
      </c>
      <c r="F237" t="s">
        <v>94</v>
      </c>
      <c r="G237" t="s">
        <v>277</v>
      </c>
      <c r="H237" s="12">
        <v>6.1700511999999996</v>
      </c>
      <c r="I237" s="12">
        <v>-75.5922482</v>
      </c>
      <c r="K237" t="s">
        <v>97</v>
      </c>
      <c r="M237">
        <v>11</v>
      </c>
      <c r="P237" s="13">
        <v>170</v>
      </c>
      <c r="Q237" s="13">
        <v>51</v>
      </c>
      <c r="R237">
        <v>32</v>
      </c>
      <c r="S237">
        <v>24</v>
      </c>
      <c r="T237" s="13">
        <v>22</v>
      </c>
      <c r="U237" s="13">
        <v>53</v>
      </c>
      <c r="V237" t="s">
        <v>99</v>
      </c>
      <c r="X237" s="13">
        <v>170</v>
      </c>
    </row>
    <row r="238" spans="1:24" x14ac:dyDescent="0.25">
      <c r="A238" t="s">
        <v>334</v>
      </c>
      <c r="B238" t="s">
        <v>62</v>
      </c>
      <c r="C238" t="s">
        <v>275</v>
      </c>
      <c r="D238" t="s">
        <v>276</v>
      </c>
      <c r="E238" t="s">
        <v>62</v>
      </c>
      <c r="F238" t="s">
        <v>94</v>
      </c>
      <c r="G238" t="s">
        <v>277</v>
      </c>
      <c r="H238" s="12">
        <v>6.1700511999999996</v>
      </c>
      <c r="I238" s="12">
        <v>-75.5922482</v>
      </c>
      <c r="K238" t="s">
        <v>97</v>
      </c>
      <c r="M238">
        <v>11</v>
      </c>
      <c r="P238" s="13">
        <v>168</v>
      </c>
      <c r="Q238" s="13">
        <v>39</v>
      </c>
      <c r="R238">
        <v>34</v>
      </c>
      <c r="S238">
        <v>26</v>
      </c>
      <c r="T238" s="13">
        <v>31</v>
      </c>
      <c r="U238" s="13">
        <v>47</v>
      </c>
      <c r="V238" t="s">
        <v>99</v>
      </c>
      <c r="X238" s="13">
        <v>168</v>
      </c>
    </row>
    <row r="239" spans="1:24" x14ac:dyDescent="0.25">
      <c r="A239" t="s">
        <v>335</v>
      </c>
      <c r="B239" t="s">
        <v>62</v>
      </c>
      <c r="C239" t="s">
        <v>275</v>
      </c>
      <c r="D239" t="s">
        <v>276</v>
      </c>
      <c r="E239" t="s">
        <v>62</v>
      </c>
      <c r="F239" t="s">
        <v>94</v>
      </c>
      <c r="G239" t="s">
        <v>277</v>
      </c>
      <c r="H239" s="12">
        <v>6.1700511999999996</v>
      </c>
      <c r="I239" s="12">
        <v>-75.5922482</v>
      </c>
      <c r="K239" t="s">
        <v>97</v>
      </c>
      <c r="M239">
        <v>11</v>
      </c>
      <c r="P239" s="13">
        <v>168</v>
      </c>
      <c r="Q239" s="13">
        <v>29</v>
      </c>
      <c r="R239">
        <v>28</v>
      </c>
      <c r="S239">
        <v>32</v>
      </c>
      <c r="T239" s="13">
        <v>41</v>
      </c>
      <c r="U239" s="13">
        <v>45</v>
      </c>
      <c r="V239" t="s">
        <v>99</v>
      </c>
      <c r="X239" s="13">
        <v>168</v>
      </c>
    </row>
    <row r="240" spans="1:24" x14ac:dyDescent="0.25">
      <c r="A240" t="s">
        <v>336</v>
      </c>
      <c r="B240" t="s">
        <v>62</v>
      </c>
      <c r="C240" t="s">
        <v>275</v>
      </c>
      <c r="D240" t="s">
        <v>276</v>
      </c>
      <c r="E240" t="s">
        <v>62</v>
      </c>
      <c r="F240" t="s">
        <v>94</v>
      </c>
      <c r="G240" t="s">
        <v>277</v>
      </c>
      <c r="H240" s="12">
        <v>6.1700511999999996</v>
      </c>
      <c r="I240" s="12">
        <v>-75.5922482</v>
      </c>
      <c r="K240" t="s">
        <v>97</v>
      </c>
      <c r="M240">
        <v>11</v>
      </c>
      <c r="P240" s="13">
        <v>164</v>
      </c>
      <c r="Q240" s="13">
        <v>29</v>
      </c>
      <c r="R240">
        <v>30</v>
      </c>
      <c r="S240">
        <v>34</v>
      </c>
      <c r="T240" s="13">
        <v>40</v>
      </c>
      <c r="U240" s="13">
        <v>27</v>
      </c>
      <c r="V240" t="s">
        <v>99</v>
      </c>
      <c r="X240" s="13">
        <v>164</v>
      </c>
    </row>
    <row r="241" spans="1:24" x14ac:dyDescent="0.25">
      <c r="A241" t="s">
        <v>337</v>
      </c>
      <c r="B241" t="s">
        <v>62</v>
      </c>
      <c r="C241" t="s">
        <v>275</v>
      </c>
      <c r="D241" t="s">
        <v>276</v>
      </c>
      <c r="E241" t="s">
        <v>62</v>
      </c>
      <c r="F241" t="s">
        <v>94</v>
      </c>
      <c r="G241" t="s">
        <v>277</v>
      </c>
      <c r="H241" s="12">
        <v>6.1700511999999996</v>
      </c>
      <c r="I241" s="12">
        <v>-75.5922482</v>
      </c>
      <c r="K241" t="s">
        <v>97</v>
      </c>
      <c r="M241">
        <v>11</v>
      </c>
      <c r="P241" s="13">
        <v>163</v>
      </c>
      <c r="Q241" s="13">
        <v>34</v>
      </c>
      <c r="R241">
        <v>32</v>
      </c>
      <c r="S241">
        <v>36</v>
      </c>
      <c r="T241" s="13">
        <v>26</v>
      </c>
      <c r="U241" s="13">
        <v>40</v>
      </c>
      <c r="V241" t="s">
        <v>99</v>
      </c>
      <c r="X241" s="13">
        <v>163</v>
      </c>
    </row>
    <row r="242" spans="1:24" x14ac:dyDescent="0.25">
      <c r="A242" t="s">
        <v>338</v>
      </c>
      <c r="B242" t="s">
        <v>62</v>
      </c>
      <c r="C242" t="s">
        <v>275</v>
      </c>
      <c r="D242" t="s">
        <v>276</v>
      </c>
      <c r="E242" t="s">
        <v>62</v>
      </c>
      <c r="F242" t="s">
        <v>94</v>
      </c>
      <c r="G242" t="s">
        <v>277</v>
      </c>
      <c r="H242" s="12">
        <v>6.1700511999999996</v>
      </c>
      <c r="I242" s="12">
        <v>-75.5922482</v>
      </c>
      <c r="K242" t="s">
        <v>97</v>
      </c>
      <c r="M242">
        <v>11</v>
      </c>
      <c r="P242" s="13">
        <v>158</v>
      </c>
      <c r="Q242" s="13">
        <v>39</v>
      </c>
      <c r="R242">
        <v>20</v>
      </c>
      <c r="S242">
        <v>30</v>
      </c>
      <c r="T242" s="13">
        <v>36</v>
      </c>
      <c r="U242" s="13">
        <v>35</v>
      </c>
      <c r="V242" t="s">
        <v>99</v>
      </c>
      <c r="X242" s="13">
        <v>158</v>
      </c>
    </row>
    <row r="243" spans="1:24" x14ac:dyDescent="0.25">
      <c r="A243" t="s">
        <v>339</v>
      </c>
      <c r="B243" t="s">
        <v>62</v>
      </c>
      <c r="C243" t="s">
        <v>275</v>
      </c>
      <c r="D243" t="s">
        <v>276</v>
      </c>
      <c r="E243" t="s">
        <v>62</v>
      </c>
      <c r="F243" t="s">
        <v>94</v>
      </c>
      <c r="G243" t="s">
        <v>277</v>
      </c>
      <c r="H243" s="12">
        <v>6.1700511999999996</v>
      </c>
      <c r="I243" s="12">
        <v>-75.5922482</v>
      </c>
      <c r="K243" t="s">
        <v>97</v>
      </c>
      <c r="M243">
        <v>11</v>
      </c>
      <c r="P243" s="13">
        <v>157</v>
      </c>
      <c r="Q243" s="13">
        <v>24</v>
      </c>
      <c r="R243">
        <v>30</v>
      </c>
      <c r="S243">
        <v>38</v>
      </c>
      <c r="T243" s="13">
        <v>28</v>
      </c>
      <c r="U243" s="13">
        <v>47</v>
      </c>
      <c r="V243" t="s">
        <v>99</v>
      </c>
      <c r="X243" s="13">
        <v>157</v>
      </c>
    </row>
    <row r="244" spans="1:24" x14ac:dyDescent="0.25">
      <c r="A244" t="s">
        <v>340</v>
      </c>
      <c r="B244" t="s">
        <v>62</v>
      </c>
      <c r="C244" t="s">
        <v>275</v>
      </c>
      <c r="D244" t="s">
        <v>276</v>
      </c>
      <c r="E244" t="s">
        <v>62</v>
      </c>
      <c r="F244" t="s">
        <v>94</v>
      </c>
      <c r="G244" t="s">
        <v>277</v>
      </c>
      <c r="H244" s="12">
        <v>6.1700511999999996</v>
      </c>
      <c r="I244" s="12">
        <v>-75.5922482</v>
      </c>
      <c r="K244" t="s">
        <v>97</v>
      </c>
      <c r="M244">
        <v>11</v>
      </c>
      <c r="P244" s="13">
        <v>149</v>
      </c>
      <c r="Q244" s="13">
        <v>29</v>
      </c>
      <c r="R244">
        <v>24</v>
      </c>
      <c r="S244">
        <v>40</v>
      </c>
      <c r="T244" s="13">
        <v>24</v>
      </c>
      <c r="U244" s="13">
        <v>36</v>
      </c>
      <c r="V244" t="s">
        <v>99</v>
      </c>
      <c r="X244" s="13">
        <v>149</v>
      </c>
    </row>
    <row r="245" spans="1:24" x14ac:dyDescent="0.25">
      <c r="A245" t="s">
        <v>341</v>
      </c>
      <c r="B245" t="s">
        <v>62</v>
      </c>
      <c r="C245" t="s">
        <v>275</v>
      </c>
      <c r="D245" t="s">
        <v>276</v>
      </c>
      <c r="E245" t="s">
        <v>62</v>
      </c>
      <c r="F245" t="s">
        <v>94</v>
      </c>
      <c r="G245" t="s">
        <v>277</v>
      </c>
      <c r="H245" s="12">
        <v>6.1700511999999996</v>
      </c>
      <c r="I245" s="12">
        <v>-75.5922482</v>
      </c>
      <c r="K245" t="s">
        <v>97</v>
      </c>
      <c r="M245">
        <v>11</v>
      </c>
      <c r="P245" s="13">
        <v>139</v>
      </c>
      <c r="Q245" s="13">
        <v>32</v>
      </c>
      <c r="R245">
        <v>22</v>
      </c>
      <c r="S245">
        <v>30</v>
      </c>
      <c r="T245" s="13">
        <v>22</v>
      </c>
      <c r="U245" s="13">
        <v>44</v>
      </c>
      <c r="V245" t="s">
        <v>99</v>
      </c>
      <c r="X245" s="13">
        <v>139</v>
      </c>
    </row>
    <row r="246" spans="1:24" x14ac:dyDescent="0.25">
      <c r="A246" t="s">
        <v>342</v>
      </c>
      <c r="B246" t="s">
        <v>62</v>
      </c>
      <c r="C246" t="s">
        <v>275</v>
      </c>
      <c r="D246" t="s">
        <v>276</v>
      </c>
      <c r="E246" t="s">
        <v>62</v>
      </c>
      <c r="F246" t="s">
        <v>94</v>
      </c>
      <c r="G246" t="s">
        <v>277</v>
      </c>
      <c r="H246" s="12">
        <v>6.1700511999999996</v>
      </c>
      <c r="I246" s="12">
        <v>-75.5922482</v>
      </c>
      <c r="K246" t="s">
        <v>97</v>
      </c>
      <c r="M246">
        <v>11</v>
      </c>
      <c r="P246" s="13">
        <v>124</v>
      </c>
      <c r="Q246" s="13">
        <v>0</v>
      </c>
      <c r="R246">
        <v>10</v>
      </c>
      <c r="S246">
        <v>48</v>
      </c>
      <c r="T246" s="13">
        <v>22</v>
      </c>
      <c r="U246" s="13">
        <v>82</v>
      </c>
      <c r="V246" t="s">
        <v>99</v>
      </c>
      <c r="X246" s="13">
        <v>124</v>
      </c>
    </row>
    <row r="247" spans="1:24" x14ac:dyDescent="0.25">
      <c r="A247" t="s">
        <v>343</v>
      </c>
      <c r="B247" t="s">
        <v>62</v>
      </c>
      <c r="C247" t="s">
        <v>275</v>
      </c>
      <c r="D247" t="s">
        <v>276</v>
      </c>
      <c r="E247" t="s">
        <v>62</v>
      </c>
      <c r="F247" t="s">
        <v>94</v>
      </c>
      <c r="G247" t="s">
        <v>277</v>
      </c>
      <c r="H247" s="12">
        <v>6.1700511999999996</v>
      </c>
      <c r="I247" s="12">
        <v>-75.5922482</v>
      </c>
      <c r="K247" t="s">
        <v>97</v>
      </c>
      <c r="M247">
        <v>11</v>
      </c>
      <c r="P247" s="13">
        <v>123</v>
      </c>
      <c r="Q247" s="13">
        <v>37</v>
      </c>
      <c r="R247">
        <v>18</v>
      </c>
      <c r="S247">
        <v>24</v>
      </c>
      <c r="T247" s="13">
        <v>21</v>
      </c>
      <c r="U247" s="13">
        <v>22</v>
      </c>
      <c r="V247" t="s">
        <v>99</v>
      </c>
      <c r="X247" s="13">
        <v>123</v>
      </c>
    </row>
    <row r="248" spans="1:24" x14ac:dyDescent="0.25">
      <c r="A248" t="s">
        <v>344</v>
      </c>
      <c r="B248" t="s">
        <v>62</v>
      </c>
      <c r="C248" t="s">
        <v>275</v>
      </c>
      <c r="D248" t="s">
        <v>276</v>
      </c>
      <c r="E248" t="s">
        <v>62</v>
      </c>
      <c r="F248" t="s">
        <v>94</v>
      </c>
      <c r="G248" t="s">
        <v>277</v>
      </c>
      <c r="H248" s="12">
        <v>6.1700511999999996</v>
      </c>
      <c r="I248" s="12">
        <v>-75.5922482</v>
      </c>
      <c r="K248" t="s">
        <v>97</v>
      </c>
      <c r="M248">
        <v>11</v>
      </c>
      <c r="P248" s="13">
        <v>115</v>
      </c>
      <c r="Q248" s="13">
        <v>0</v>
      </c>
      <c r="R248">
        <v>16</v>
      </c>
      <c r="S248">
        <v>40</v>
      </c>
      <c r="T248" s="13">
        <v>28</v>
      </c>
      <c r="U248" s="13">
        <v>49</v>
      </c>
      <c r="V248" t="s">
        <v>99</v>
      </c>
      <c r="X248" s="13">
        <v>115</v>
      </c>
    </row>
    <row r="249" spans="1:24" x14ac:dyDescent="0.25">
      <c r="A249" t="s">
        <v>345</v>
      </c>
      <c r="B249" t="s">
        <v>62</v>
      </c>
      <c r="C249" t="s">
        <v>275</v>
      </c>
      <c r="D249" t="s">
        <v>276</v>
      </c>
      <c r="E249" t="s">
        <v>62</v>
      </c>
      <c r="F249" t="s">
        <v>94</v>
      </c>
      <c r="G249" t="s">
        <v>277</v>
      </c>
      <c r="H249" s="12">
        <v>6.1700511999999996</v>
      </c>
      <c r="I249" s="12">
        <v>-75.5922482</v>
      </c>
      <c r="K249" t="s">
        <v>97</v>
      </c>
      <c r="M249">
        <v>11</v>
      </c>
      <c r="P249" s="13">
        <v>94</v>
      </c>
      <c r="Q249" s="13">
        <v>0</v>
      </c>
      <c r="R249">
        <v>12</v>
      </c>
      <c r="S249">
        <v>24</v>
      </c>
      <c r="T249" s="13">
        <v>21</v>
      </c>
      <c r="U249" s="13">
        <v>75</v>
      </c>
      <c r="V249" t="s">
        <v>99</v>
      </c>
      <c r="X249" s="13">
        <v>94</v>
      </c>
    </row>
    <row r="250" spans="1:24" x14ac:dyDescent="0.25">
      <c r="A250" t="s">
        <v>346</v>
      </c>
      <c r="B250" t="s">
        <v>62</v>
      </c>
      <c r="C250" t="s">
        <v>347</v>
      </c>
      <c r="D250" t="s">
        <v>348</v>
      </c>
      <c r="E250" t="s">
        <v>62</v>
      </c>
      <c r="F250" t="s">
        <v>94</v>
      </c>
      <c r="G250" t="s">
        <v>277</v>
      </c>
      <c r="H250" s="12">
        <v>6.1534646999999998</v>
      </c>
      <c r="I250" s="12">
        <v>-75.584702699999994</v>
      </c>
      <c r="K250" t="s">
        <v>97</v>
      </c>
      <c r="M250">
        <v>11</v>
      </c>
      <c r="P250" s="13">
        <v>308</v>
      </c>
      <c r="Q250" s="13">
        <v>78</v>
      </c>
      <c r="R250">
        <v>72</v>
      </c>
      <c r="S250">
        <v>30</v>
      </c>
      <c r="T250" s="13">
        <v>57</v>
      </c>
      <c r="U250" s="13">
        <v>91</v>
      </c>
      <c r="V250" t="s">
        <v>99</v>
      </c>
      <c r="X250" s="13">
        <v>308</v>
      </c>
    </row>
    <row r="251" spans="1:24" x14ac:dyDescent="0.25">
      <c r="A251" t="s">
        <v>349</v>
      </c>
      <c r="B251" t="s">
        <v>62</v>
      </c>
      <c r="C251" t="s">
        <v>347</v>
      </c>
      <c r="D251" t="s">
        <v>348</v>
      </c>
      <c r="E251" t="s">
        <v>62</v>
      </c>
      <c r="F251" t="s">
        <v>94</v>
      </c>
      <c r="G251" t="s">
        <v>277</v>
      </c>
      <c r="H251" s="12">
        <v>6.1534646999999998</v>
      </c>
      <c r="I251" s="12">
        <v>-75.584702699999994</v>
      </c>
      <c r="K251" t="s">
        <v>97</v>
      </c>
      <c r="M251">
        <v>11</v>
      </c>
      <c r="P251" s="13">
        <v>278</v>
      </c>
      <c r="Q251" s="13">
        <v>71</v>
      </c>
      <c r="R251">
        <v>48</v>
      </c>
      <c r="S251">
        <v>52</v>
      </c>
      <c r="T251" s="13">
        <v>53</v>
      </c>
      <c r="U251" s="13">
        <v>49</v>
      </c>
      <c r="V251" t="s">
        <v>99</v>
      </c>
      <c r="X251" s="13">
        <v>278</v>
      </c>
    </row>
    <row r="252" spans="1:24" x14ac:dyDescent="0.25">
      <c r="A252" t="s">
        <v>350</v>
      </c>
      <c r="B252" t="s">
        <v>62</v>
      </c>
      <c r="C252" t="s">
        <v>347</v>
      </c>
      <c r="D252" t="s">
        <v>348</v>
      </c>
      <c r="E252" t="s">
        <v>62</v>
      </c>
      <c r="F252" t="s">
        <v>94</v>
      </c>
      <c r="G252" t="s">
        <v>277</v>
      </c>
      <c r="H252" s="12">
        <v>6.1534646999999998</v>
      </c>
      <c r="I252" s="12">
        <v>-75.584702699999994</v>
      </c>
      <c r="K252" t="s">
        <v>97</v>
      </c>
      <c r="M252">
        <v>11</v>
      </c>
      <c r="P252" s="13">
        <v>270</v>
      </c>
      <c r="Q252" s="13">
        <v>66</v>
      </c>
      <c r="R252">
        <v>38</v>
      </c>
      <c r="S252">
        <v>66</v>
      </c>
      <c r="T252" s="13">
        <v>36</v>
      </c>
      <c r="U252" s="13">
        <v>84</v>
      </c>
      <c r="V252" t="s">
        <v>99</v>
      </c>
      <c r="X252" s="13">
        <v>270</v>
      </c>
    </row>
    <row r="253" spans="1:24" x14ac:dyDescent="0.25">
      <c r="A253" t="s">
        <v>351</v>
      </c>
      <c r="B253" t="s">
        <v>62</v>
      </c>
      <c r="C253" t="s">
        <v>347</v>
      </c>
      <c r="D253" t="s">
        <v>348</v>
      </c>
      <c r="E253" t="s">
        <v>62</v>
      </c>
      <c r="F253" t="s">
        <v>94</v>
      </c>
      <c r="G253" t="s">
        <v>277</v>
      </c>
      <c r="H253" s="12">
        <v>6.1534646999999998</v>
      </c>
      <c r="I253" s="12">
        <v>-75.584702699999994</v>
      </c>
      <c r="K253" t="s">
        <v>97</v>
      </c>
      <c r="M253">
        <v>11</v>
      </c>
      <c r="P253" s="13">
        <v>254</v>
      </c>
      <c r="Q253" s="13">
        <v>76</v>
      </c>
      <c r="R253">
        <v>28</v>
      </c>
      <c r="S253">
        <v>40</v>
      </c>
      <c r="T253" s="13">
        <v>48</v>
      </c>
      <c r="U253" s="13">
        <v>85</v>
      </c>
      <c r="V253" t="s">
        <v>99</v>
      </c>
      <c r="X253" s="13">
        <v>254</v>
      </c>
    </row>
    <row r="254" spans="1:24" x14ac:dyDescent="0.25">
      <c r="A254" t="s">
        <v>352</v>
      </c>
      <c r="B254" t="s">
        <v>62</v>
      </c>
      <c r="C254" t="s">
        <v>347</v>
      </c>
      <c r="D254" t="s">
        <v>348</v>
      </c>
      <c r="E254" t="s">
        <v>62</v>
      </c>
      <c r="F254" t="s">
        <v>94</v>
      </c>
      <c r="G254" t="s">
        <v>277</v>
      </c>
      <c r="H254" s="12">
        <v>6.1534646999999998</v>
      </c>
      <c r="I254" s="12">
        <v>-75.584702699999994</v>
      </c>
      <c r="K254" t="s">
        <v>97</v>
      </c>
      <c r="M254">
        <v>11</v>
      </c>
      <c r="P254" s="13">
        <v>254</v>
      </c>
      <c r="Q254" s="13">
        <v>71</v>
      </c>
      <c r="R254">
        <v>32</v>
      </c>
      <c r="S254">
        <v>60</v>
      </c>
      <c r="T254" s="13">
        <v>41</v>
      </c>
      <c r="U254" s="13">
        <v>47</v>
      </c>
      <c r="V254" t="s">
        <v>99</v>
      </c>
      <c r="X254" s="13">
        <v>254</v>
      </c>
    </row>
    <row r="255" spans="1:24" x14ac:dyDescent="0.25">
      <c r="A255" t="s">
        <v>353</v>
      </c>
      <c r="B255" t="s">
        <v>62</v>
      </c>
      <c r="C255" t="s">
        <v>347</v>
      </c>
      <c r="D255" t="s">
        <v>348</v>
      </c>
      <c r="E255" t="s">
        <v>62</v>
      </c>
      <c r="F255" t="s">
        <v>94</v>
      </c>
      <c r="G255" t="s">
        <v>277</v>
      </c>
      <c r="H255" s="12">
        <v>6.1534646999999998</v>
      </c>
      <c r="I255" s="12">
        <v>-75.584702699999994</v>
      </c>
      <c r="K255" t="s">
        <v>97</v>
      </c>
      <c r="M255">
        <v>11</v>
      </c>
      <c r="P255" s="13">
        <v>248</v>
      </c>
      <c r="Q255" s="13">
        <v>61</v>
      </c>
      <c r="R255">
        <v>44</v>
      </c>
      <c r="S255">
        <v>52</v>
      </c>
      <c r="T255" s="13">
        <v>41</v>
      </c>
      <c r="U255" s="13">
        <v>49</v>
      </c>
      <c r="V255" t="s">
        <v>99</v>
      </c>
      <c r="X255" s="13">
        <v>248</v>
      </c>
    </row>
    <row r="256" spans="1:24" x14ac:dyDescent="0.25">
      <c r="A256" t="s">
        <v>354</v>
      </c>
      <c r="B256" t="s">
        <v>62</v>
      </c>
      <c r="C256" t="s">
        <v>347</v>
      </c>
      <c r="D256" t="s">
        <v>348</v>
      </c>
      <c r="E256" t="s">
        <v>62</v>
      </c>
      <c r="F256" t="s">
        <v>94</v>
      </c>
      <c r="G256" t="s">
        <v>277</v>
      </c>
      <c r="H256" s="12">
        <v>6.1534646999999998</v>
      </c>
      <c r="I256" s="12">
        <v>-75.584702699999994</v>
      </c>
      <c r="K256" t="s">
        <v>97</v>
      </c>
      <c r="M256">
        <v>11</v>
      </c>
      <c r="P256" s="13">
        <v>245</v>
      </c>
      <c r="Q256" s="13">
        <v>76</v>
      </c>
      <c r="R256">
        <v>40</v>
      </c>
      <c r="S256">
        <v>18</v>
      </c>
      <c r="T256" s="13">
        <v>60</v>
      </c>
      <c r="U256" s="13">
        <v>55</v>
      </c>
      <c r="V256" t="s">
        <v>99</v>
      </c>
      <c r="X256" s="13">
        <v>245</v>
      </c>
    </row>
    <row r="257" spans="1:24" x14ac:dyDescent="0.25">
      <c r="A257" t="s">
        <v>355</v>
      </c>
      <c r="B257" t="s">
        <v>62</v>
      </c>
      <c r="C257" t="s">
        <v>347</v>
      </c>
      <c r="D257" t="s">
        <v>348</v>
      </c>
      <c r="E257" t="s">
        <v>62</v>
      </c>
      <c r="F257" t="s">
        <v>94</v>
      </c>
      <c r="G257" t="s">
        <v>277</v>
      </c>
      <c r="H257" s="12">
        <v>6.1534646999999998</v>
      </c>
      <c r="I257" s="12">
        <v>-75.584702699999994</v>
      </c>
      <c r="K257" t="s">
        <v>97</v>
      </c>
      <c r="M257">
        <v>11</v>
      </c>
      <c r="P257" s="13">
        <v>243</v>
      </c>
      <c r="Q257" s="13">
        <v>49</v>
      </c>
      <c r="R257">
        <v>38</v>
      </c>
      <c r="S257">
        <v>52</v>
      </c>
      <c r="T257" s="13">
        <v>59</v>
      </c>
      <c r="U257" s="13">
        <v>40</v>
      </c>
      <c r="V257" t="s">
        <v>99</v>
      </c>
      <c r="X257" s="13">
        <v>243</v>
      </c>
    </row>
    <row r="258" spans="1:24" x14ac:dyDescent="0.25">
      <c r="A258" t="s">
        <v>356</v>
      </c>
      <c r="B258" t="s">
        <v>62</v>
      </c>
      <c r="C258" t="s">
        <v>347</v>
      </c>
      <c r="D258" t="s">
        <v>348</v>
      </c>
      <c r="E258" t="s">
        <v>62</v>
      </c>
      <c r="F258" t="s">
        <v>94</v>
      </c>
      <c r="G258" t="s">
        <v>277</v>
      </c>
      <c r="H258" s="12">
        <v>6.1534646999999998</v>
      </c>
      <c r="I258" s="12">
        <v>-75.584702699999994</v>
      </c>
      <c r="K258" t="s">
        <v>97</v>
      </c>
      <c r="M258">
        <v>11</v>
      </c>
      <c r="P258" s="13">
        <v>241</v>
      </c>
      <c r="Q258" s="13">
        <v>68</v>
      </c>
      <c r="R258">
        <v>26</v>
      </c>
      <c r="S258">
        <v>58</v>
      </c>
      <c r="T258" s="13">
        <v>31</v>
      </c>
      <c r="U258" s="13">
        <v>76</v>
      </c>
      <c r="V258" t="s">
        <v>99</v>
      </c>
      <c r="X258" s="13">
        <v>241</v>
      </c>
    </row>
    <row r="259" spans="1:24" x14ac:dyDescent="0.25">
      <c r="A259" t="s">
        <v>357</v>
      </c>
      <c r="B259" t="s">
        <v>62</v>
      </c>
      <c r="C259" t="s">
        <v>347</v>
      </c>
      <c r="D259" t="s">
        <v>348</v>
      </c>
      <c r="E259" t="s">
        <v>62</v>
      </c>
      <c r="F259" t="s">
        <v>94</v>
      </c>
      <c r="G259" t="s">
        <v>277</v>
      </c>
      <c r="H259" s="12">
        <v>6.1534646999999998</v>
      </c>
      <c r="I259" s="12">
        <v>-75.584702699999994</v>
      </c>
      <c r="K259" t="s">
        <v>97</v>
      </c>
      <c r="M259">
        <v>11</v>
      </c>
      <c r="P259" s="13">
        <v>229</v>
      </c>
      <c r="Q259" s="13">
        <v>71</v>
      </c>
      <c r="R259">
        <v>32</v>
      </c>
      <c r="S259">
        <v>38</v>
      </c>
      <c r="T259" s="13">
        <v>47</v>
      </c>
      <c r="U259" s="13">
        <v>35</v>
      </c>
      <c r="V259" t="s">
        <v>99</v>
      </c>
      <c r="X259" s="13">
        <v>229</v>
      </c>
    </row>
    <row r="260" spans="1:24" x14ac:dyDescent="0.25">
      <c r="A260" t="s">
        <v>358</v>
      </c>
      <c r="B260" t="s">
        <v>62</v>
      </c>
      <c r="C260" t="s">
        <v>347</v>
      </c>
      <c r="D260" t="s">
        <v>348</v>
      </c>
      <c r="E260" t="s">
        <v>62</v>
      </c>
      <c r="F260" t="s">
        <v>94</v>
      </c>
      <c r="G260" t="s">
        <v>277</v>
      </c>
      <c r="H260" s="12">
        <v>6.1534646999999998</v>
      </c>
      <c r="I260" s="12">
        <v>-75.584702699999994</v>
      </c>
      <c r="K260" t="s">
        <v>97</v>
      </c>
      <c r="M260">
        <v>11</v>
      </c>
      <c r="P260" s="13">
        <v>228</v>
      </c>
      <c r="Q260" s="13">
        <v>39</v>
      </c>
      <c r="R260">
        <v>42</v>
      </c>
      <c r="S260">
        <v>62</v>
      </c>
      <c r="T260" s="13">
        <v>31</v>
      </c>
      <c r="U260" s="13">
        <v>71</v>
      </c>
      <c r="V260" t="s">
        <v>99</v>
      </c>
      <c r="X260" s="13">
        <v>228</v>
      </c>
    </row>
    <row r="261" spans="1:24" x14ac:dyDescent="0.25">
      <c r="A261" t="s">
        <v>359</v>
      </c>
      <c r="B261" t="s">
        <v>62</v>
      </c>
      <c r="C261" t="s">
        <v>347</v>
      </c>
      <c r="D261" t="s">
        <v>348</v>
      </c>
      <c r="E261" t="s">
        <v>62</v>
      </c>
      <c r="F261" t="s">
        <v>94</v>
      </c>
      <c r="G261" t="s">
        <v>277</v>
      </c>
      <c r="H261" s="12">
        <v>6.1534646999999998</v>
      </c>
      <c r="I261" s="12">
        <v>-75.584702699999994</v>
      </c>
      <c r="K261" t="s">
        <v>97</v>
      </c>
      <c r="M261">
        <v>11</v>
      </c>
      <c r="P261" s="13">
        <v>225</v>
      </c>
      <c r="Q261" s="13">
        <v>22</v>
      </c>
      <c r="R261">
        <v>42</v>
      </c>
      <c r="S261">
        <v>56</v>
      </c>
      <c r="T261" s="13">
        <v>66</v>
      </c>
      <c r="U261" s="13">
        <v>29</v>
      </c>
      <c r="V261" t="s">
        <v>99</v>
      </c>
      <c r="X261" s="13">
        <v>225</v>
      </c>
    </row>
    <row r="262" spans="1:24" x14ac:dyDescent="0.25">
      <c r="A262" t="s">
        <v>360</v>
      </c>
      <c r="B262" t="s">
        <v>62</v>
      </c>
      <c r="C262" t="s">
        <v>347</v>
      </c>
      <c r="D262" t="s">
        <v>348</v>
      </c>
      <c r="E262" t="s">
        <v>62</v>
      </c>
      <c r="F262" t="s">
        <v>94</v>
      </c>
      <c r="G262" t="s">
        <v>277</v>
      </c>
      <c r="H262" s="12">
        <v>6.1534646999999998</v>
      </c>
      <c r="I262" s="12">
        <v>-75.584702699999994</v>
      </c>
      <c r="K262" t="s">
        <v>97</v>
      </c>
      <c r="M262">
        <v>11</v>
      </c>
      <c r="P262" s="13">
        <v>224</v>
      </c>
      <c r="Q262" s="13">
        <v>61</v>
      </c>
      <c r="R262">
        <v>32</v>
      </c>
      <c r="S262">
        <v>44</v>
      </c>
      <c r="T262" s="13">
        <v>45</v>
      </c>
      <c r="U262" s="13">
        <v>38</v>
      </c>
      <c r="V262" t="s">
        <v>99</v>
      </c>
      <c r="X262" s="13">
        <v>224</v>
      </c>
    </row>
    <row r="263" spans="1:24" x14ac:dyDescent="0.25">
      <c r="A263" t="s">
        <v>361</v>
      </c>
      <c r="B263" t="s">
        <v>62</v>
      </c>
      <c r="C263" t="s">
        <v>347</v>
      </c>
      <c r="D263" t="s">
        <v>348</v>
      </c>
      <c r="E263" t="s">
        <v>62</v>
      </c>
      <c r="F263" t="s">
        <v>94</v>
      </c>
      <c r="G263" t="s">
        <v>277</v>
      </c>
      <c r="H263" s="12">
        <v>6.1534646999999998</v>
      </c>
      <c r="I263" s="12">
        <v>-75.584702699999994</v>
      </c>
      <c r="K263" t="s">
        <v>97</v>
      </c>
      <c r="M263">
        <v>11</v>
      </c>
      <c r="P263" s="13">
        <v>223</v>
      </c>
      <c r="Q263" s="13">
        <v>59</v>
      </c>
      <c r="R263">
        <v>18</v>
      </c>
      <c r="S263">
        <v>38</v>
      </c>
      <c r="T263" s="13">
        <v>60</v>
      </c>
      <c r="U263" s="13">
        <v>56</v>
      </c>
      <c r="V263" t="s">
        <v>99</v>
      </c>
      <c r="X263" s="13">
        <v>223</v>
      </c>
    </row>
    <row r="264" spans="1:24" x14ac:dyDescent="0.25">
      <c r="A264" t="s">
        <v>362</v>
      </c>
      <c r="B264" t="s">
        <v>62</v>
      </c>
      <c r="C264" t="s">
        <v>347</v>
      </c>
      <c r="D264" t="s">
        <v>348</v>
      </c>
      <c r="E264" t="s">
        <v>62</v>
      </c>
      <c r="F264" t="s">
        <v>94</v>
      </c>
      <c r="G264" t="s">
        <v>277</v>
      </c>
      <c r="H264" s="12">
        <v>6.1534646999999998</v>
      </c>
      <c r="I264" s="12">
        <v>-75.584702699999994</v>
      </c>
      <c r="K264" t="s">
        <v>97</v>
      </c>
      <c r="M264">
        <v>11</v>
      </c>
      <c r="P264" s="13">
        <v>223</v>
      </c>
      <c r="Q264" s="13">
        <v>71</v>
      </c>
      <c r="R264">
        <v>32</v>
      </c>
      <c r="S264">
        <v>28</v>
      </c>
      <c r="T264" s="13">
        <v>38</v>
      </c>
      <c r="U264" s="13">
        <v>73</v>
      </c>
      <c r="V264" t="s">
        <v>99</v>
      </c>
      <c r="X264" s="13">
        <v>223</v>
      </c>
    </row>
    <row r="265" spans="1:24" x14ac:dyDescent="0.25">
      <c r="A265" t="s">
        <v>363</v>
      </c>
      <c r="B265" t="s">
        <v>62</v>
      </c>
      <c r="C265" t="s">
        <v>347</v>
      </c>
      <c r="D265" t="s">
        <v>348</v>
      </c>
      <c r="E265" t="s">
        <v>62</v>
      </c>
      <c r="F265" t="s">
        <v>94</v>
      </c>
      <c r="G265" t="s">
        <v>277</v>
      </c>
      <c r="H265" s="12">
        <v>6.1534646999999998</v>
      </c>
      <c r="I265" s="12">
        <v>-75.584702699999994</v>
      </c>
      <c r="K265" t="s">
        <v>97</v>
      </c>
      <c r="M265">
        <v>11</v>
      </c>
      <c r="P265" s="13">
        <v>222</v>
      </c>
      <c r="Q265" s="13">
        <v>59</v>
      </c>
      <c r="R265">
        <v>34</v>
      </c>
      <c r="S265">
        <v>54</v>
      </c>
      <c r="T265" s="13">
        <v>22</v>
      </c>
      <c r="U265" s="13">
        <v>69</v>
      </c>
      <c r="V265" t="s">
        <v>99</v>
      </c>
      <c r="X265" s="13">
        <v>222</v>
      </c>
    </row>
    <row r="266" spans="1:24" x14ac:dyDescent="0.25">
      <c r="A266" t="s">
        <v>364</v>
      </c>
      <c r="B266" t="s">
        <v>62</v>
      </c>
      <c r="C266" t="s">
        <v>347</v>
      </c>
      <c r="D266" t="s">
        <v>348</v>
      </c>
      <c r="E266" t="s">
        <v>62</v>
      </c>
      <c r="F266" t="s">
        <v>94</v>
      </c>
      <c r="G266" t="s">
        <v>277</v>
      </c>
      <c r="H266" s="12">
        <v>6.1534646999999998</v>
      </c>
      <c r="I266" s="12">
        <v>-75.584702699999994</v>
      </c>
      <c r="K266" t="s">
        <v>97</v>
      </c>
      <c r="M266">
        <v>11</v>
      </c>
      <c r="P266" s="13">
        <v>221</v>
      </c>
      <c r="Q266" s="13">
        <v>51</v>
      </c>
      <c r="R266">
        <v>46</v>
      </c>
      <c r="S266">
        <v>54</v>
      </c>
      <c r="T266" s="13">
        <v>28</v>
      </c>
      <c r="U266" s="13">
        <v>38</v>
      </c>
      <c r="V266" t="s">
        <v>99</v>
      </c>
      <c r="X266" s="13">
        <v>221</v>
      </c>
    </row>
    <row r="267" spans="1:24" x14ac:dyDescent="0.25">
      <c r="A267" t="s">
        <v>365</v>
      </c>
      <c r="B267" t="s">
        <v>62</v>
      </c>
      <c r="C267" t="s">
        <v>347</v>
      </c>
      <c r="D267" t="s">
        <v>348</v>
      </c>
      <c r="E267" t="s">
        <v>62</v>
      </c>
      <c r="F267" t="s">
        <v>94</v>
      </c>
      <c r="G267" t="s">
        <v>277</v>
      </c>
      <c r="H267" s="12">
        <v>6.1534646999999998</v>
      </c>
      <c r="I267" s="12">
        <v>-75.584702699999994</v>
      </c>
      <c r="K267" t="s">
        <v>97</v>
      </c>
      <c r="M267">
        <v>11</v>
      </c>
      <c r="P267" s="13">
        <v>220</v>
      </c>
      <c r="Q267" s="13">
        <v>61</v>
      </c>
      <c r="R267">
        <v>42</v>
      </c>
      <c r="S267">
        <v>40</v>
      </c>
      <c r="T267" s="13">
        <v>33</v>
      </c>
      <c r="U267" s="13">
        <v>44</v>
      </c>
      <c r="V267" t="s">
        <v>99</v>
      </c>
      <c r="X267" s="13">
        <v>220</v>
      </c>
    </row>
    <row r="268" spans="1:24" x14ac:dyDescent="0.25">
      <c r="A268" t="s">
        <v>366</v>
      </c>
      <c r="B268" t="s">
        <v>62</v>
      </c>
      <c r="C268" t="s">
        <v>347</v>
      </c>
      <c r="D268" t="s">
        <v>348</v>
      </c>
      <c r="E268" t="s">
        <v>62</v>
      </c>
      <c r="F268" t="s">
        <v>94</v>
      </c>
      <c r="G268" t="s">
        <v>277</v>
      </c>
      <c r="H268" s="12">
        <v>6.1534646999999998</v>
      </c>
      <c r="I268" s="12">
        <v>-75.584702699999994</v>
      </c>
      <c r="K268" t="s">
        <v>97</v>
      </c>
      <c r="M268">
        <v>11</v>
      </c>
      <c r="P268" s="13">
        <v>214</v>
      </c>
      <c r="Q268" s="13">
        <v>61</v>
      </c>
      <c r="R268">
        <v>28</v>
      </c>
      <c r="S268">
        <v>30</v>
      </c>
      <c r="T268" s="13">
        <v>52</v>
      </c>
      <c r="U268" s="13">
        <v>44</v>
      </c>
      <c r="V268" t="s">
        <v>99</v>
      </c>
      <c r="X268" s="13">
        <v>214</v>
      </c>
    </row>
    <row r="269" spans="1:24" x14ac:dyDescent="0.25">
      <c r="A269" t="s">
        <v>367</v>
      </c>
      <c r="B269" t="s">
        <v>62</v>
      </c>
      <c r="C269" t="s">
        <v>347</v>
      </c>
      <c r="D269" t="s">
        <v>348</v>
      </c>
      <c r="E269" t="s">
        <v>62</v>
      </c>
      <c r="F269" t="s">
        <v>94</v>
      </c>
      <c r="G269" t="s">
        <v>277</v>
      </c>
      <c r="H269" s="12">
        <v>6.1534646999999998</v>
      </c>
      <c r="I269" s="12">
        <v>-75.584702699999994</v>
      </c>
      <c r="K269" t="s">
        <v>97</v>
      </c>
      <c r="M269">
        <v>11</v>
      </c>
      <c r="P269" s="13">
        <v>212</v>
      </c>
      <c r="Q269" s="13">
        <v>46</v>
      </c>
      <c r="R269">
        <v>28</v>
      </c>
      <c r="S269">
        <v>36</v>
      </c>
      <c r="T269" s="13">
        <v>50</v>
      </c>
      <c r="U269" s="13">
        <v>69</v>
      </c>
      <c r="V269" t="s">
        <v>99</v>
      </c>
      <c r="X269" s="13">
        <v>212</v>
      </c>
    </row>
    <row r="270" spans="1:24" x14ac:dyDescent="0.25">
      <c r="A270" t="s">
        <v>368</v>
      </c>
      <c r="B270" t="s">
        <v>62</v>
      </c>
      <c r="C270" t="s">
        <v>347</v>
      </c>
      <c r="D270" t="s">
        <v>348</v>
      </c>
      <c r="E270" t="s">
        <v>62</v>
      </c>
      <c r="F270" t="s">
        <v>94</v>
      </c>
      <c r="G270" t="s">
        <v>277</v>
      </c>
      <c r="H270" s="12">
        <v>6.1534646999999998</v>
      </c>
      <c r="I270" s="12">
        <v>-75.584702699999994</v>
      </c>
      <c r="K270" t="s">
        <v>97</v>
      </c>
      <c r="M270">
        <v>11</v>
      </c>
      <c r="P270" s="13">
        <v>211</v>
      </c>
      <c r="Q270" s="13">
        <v>76</v>
      </c>
      <c r="R270">
        <v>30</v>
      </c>
      <c r="S270">
        <v>36</v>
      </c>
      <c r="T270" s="13">
        <v>16</v>
      </c>
      <c r="U270" s="13">
        <v>76</v>
      </c>
      <c r="V270" t="s">
        <v>99</v>
      </c>
      <c r="X270" s="13">
        <v>211</v>
      </c>
    </row>
    <row r="271" spans="1:24" x14ac:dyDescent="0.25">
      <c r="A271" t="s">
        <v>369</v>
      </c>
      <c r="B271" t="s">
        <v>62</v>
      </c>
      <c r="C271" t="s">
        <v>347</v>
      </c>
      <c r="D271" t="s">
        <v>348</v>
      </c>
      <c r="E271" t="s">
        <v>62</v>
      </c>
      <c r="F271" t="s">
        <v>94</v>
      </c>
      <c r="G271" t="s">
        <v>277</v>
      </c>
      <c r="H271" s="12">
        <v>6.1534646999999998</v>
      </c>
      <c r="I271" s="12">
        <v>-75.584702699999994</v>
      </c>
      <c r="K271" t="s">
        <v>97</v>
      </c>
      <c r="M271">
        <v>11</v>
      </c>
      <c r="P271" s="13">
        <v>210</v>
      </c>
      <c r="Q271" s="13">
        <v>56</v>
      </c>
      <c r="R271">
        <v>36</v>
      </c>
      <c r="S271">
        <v>36</v>
      </c>
      <c r="T271" s="13">
        <v>38</v>
      </c>
      <c r="U271" s="13">
        <v>49</v>
      </c>
      <c r="V271" t="s">
        <v>99</v>
      </c>
      <c r="X271" s="13">
        <v>210</v>
      </c>
    </row>
    <row r="272" spans="1:24" x14ac:dyDescent="0.25">
      <c r="A272" t="s">
        <v>370</v>
      </c>
      <c r="B272" t="s">
        <v>62</v>
      </c>
      <c r="C272" t="s">
        <v>347</v>
      </c>
      <c r="D272" t="s">
        <v>348</v>
      </c>
      <c r="E272" t="s">
        <v>62</v>
      </c>
      <c r="F272" t="s">
        <v>94</v>
      </c>
      <c r="G272" t="s">
        <v>277</v>
      </c>
      <c r="H272" s="12">
        <v>6.1534646999999998</v>
      </c>
      <c r="I272" s="12">
        <v>-75.584702699999994</v>
      </c>
      <c r="K272" t="s">
        <v>97</v>
      </c>
      <c r="M272">
        <v>11</v>
      </c>
      <c r="P272" s="13">
        <v>210</v>
      </c>
      <c r="Q272" s="13">
        <v>49</v>
      </c>
      <c r="R272">
        <v>34</v>
      </c>
      <c r="S272">
        <v>40</v>
      </c>
      <c r="T272" s="13">
        <v>41</v>
      </c>
      <c r="U272" s="13">
        <v>55</v>
      </c>
      <c r="V272" t="s">
        <v>99</v>
      </c>
      <c r="X272" s="13">
        <v>210</v>
      </c>
    </row>
    <row r="273" spans="1:24" x14ac:dyDescent="0.25">
      <c r="A273" t="s">
        <v>371</v>
      </c>
      <c r="B273" t="s">
        <v>62</v>
      </c>
      <c r="C273" t="s">
        <v>347</v>
      </c>
      <c r="D273" t="s">
        <v>348</v>
      </c>
      <c r="E273" t="s">
        <v>62</v>
      </c>
      <c r="F273" t="s">
        <v>94</v>
      </c>
      <c r="G273" t="s">
        <v>277</v>
      </c>
      <c r="H273" s="12">
        <v>6.1534646999999998</v>
      </c>
      <c r="I273" s="12">
        <v>-75.584702699999994</v>
      </c>
      <c r="K273" t="s">
        <v>97</v>
      </c>
      <c r="M273">
        <v>11</v>
      </c>
      <c r="P273" s="13">
        <v>205</v>
      </c>
      <c r="Q273" s="13">
        <v>68</v>
      </c>
      <c r="R273">
        <v>34</v>
      </c>
      <c r="S273">
        <v>30</v>
      </c>
      <c r="T273" s="13">
        <v>31</v>
      </c>
      <c r="U273" s="13">
        <v>44</v>
      </c>
      <c r="V273" t="s">
        <v>99</v>
      </c>
      <c r="X273" s="13">
        <v>205</v>
      </c>
    </row>
    <row r="274" spans="1:24" x14ac:dyDescent="0.25">
      <c r="A274" t="s">
        <v>372</v>
      </c>
      <c r="B274" t="s">
        <v>62</v>
      </c>
      <c r="C274" t="s">
        <v>347</v>
      </c>
      <c r="D274" t="s">
        <v>348</v>
      </c>
      <c r="E274" t="s">
        <v>62</v>
      </c>
      <c r="F274" t="s">
        <v>94</v>
      </c>
      <c r="G274" t="s">
        <v>277</v>
      </c>
      <c r="H274" s="12">
        <v>6.1534646999999998</v>
      </c>
      <c r="I274" s="12">
        <v>-75.584702699999994</v>
      </c>
      <c r="K274" t="s">
        <v>97</v>
      </c>
      <c r="M274">
        <v>11</v>
      </c>
      <c r="P274" s="13">
        <v>205</v>
      </c>
      <c r="Q274" s="13">
        <v>51</v>
      </c>
      <c r="R274">
        <v>48</v>
      </c>
      <c r="S274">
        <v>24</v>
      </c>
      <c r="T274" s="13">
        <v>36</v>
      </c>
      <c r="U274" s="13">
        <v>55</v>
      </c>
      <c r="V274" t="s">
        <v>99</v>
      </c>
      <c r="X274" s="13">
        <v>205</v>
      </c>
    </row>
    <row r="275" spans="1:24" x14ac:dyDescent="0.25">
      <c r="A275" t="s">
        <v>373</v>
      </c>
      <c r="B275" t="s">
        <v>62</v>
      </c>
      <c r="C275" t="s">
        <v>347</v>
      </c>
      <c r="D275" t="s">
        <v>348</v>
      </c>
      <c r="E275" t="s">
        <v>62</v>
      </c>
      <c r="F275" t="s">
        <v>94</v>
      </c>
      <c r="G275" t="s">
        <v>277</v>
      </c>
      <c r="H275" s="12">
        <v>6.1534646999999998</v>
      </c>
      <c r="I275" s="12">
        <v>-75.584702699999994</v>
      </c>
      <c r="K275" t="s">
        <v>97</v>
      </c>
      <c r="M275">
        <v>11</v>
      </c>
      <c r="P275" s="13">
        <v>203</v>
      </c>
      <c r="Q275" s="13">
        <v>54</v>
      </c>
      <c r="R275">
        <v>28</v>
      </c>
      <c r="S275">
        <v>44</v>
      </c>
      <c r="T275" s="13">
        <v>41</v>
      </c>
      <c r="U275" s="13">
        <v>25</v>
      </c>
      <c r="V275" t="s">
        <v>99</v>
      </c>
      <c r="X275" s="13">
        <v>203</v>
      </c>
    </row>
    <row r="276" spans="1:24" x14ac:dyDescent="0.25">
      <c r="A276" t="s">
        <v>374</v>
      </c>
      <c r="B276" t="s">
        <v>62</v>
      </c>
      <c r="C276" t="s">
        <v>347</v>
      </c>
      <c r="D276" t="s">
        <v>348</v>
      </c>
      <c r="E276" t="s">
        <v>62</v>
      </c>
      <c r="F276" t="s">
        <v>94</v>
      </c>
      <c r="G276" t="s">
        <v>277</v>
      </c>
      <c r="H276" s="12">
        <v>6.1534646999999998</v>
      </c>
      <c r="I276" s="12">
        <v>-75.584702699999994</v>
      </c>
      <c r="K276" t="s">
        <v>97</v>
      </c>
      <c r="M276">
        <v>11</v>
      </c>
      <c r="P276" s="13">
        <v>200</v>
      </c>
      <c r="Q276" s="13">
        <v>59</v>
      </c>
      <c r="R276">
        <v>28</v>
      </c>
      <c r="S276">
        <v>32</v>
      </c>
      <c r="T276" s="13">
        <v>43</v>
      </c>
      <c r="U276" s="13">
        <v>36</v>
      </c>
      <c r="V276" t="s">
        <v>99</v>
      </c>
      <c r="X276" s="13">
        <v>200</v>
      </c>
    </row>
    <row r="277" spans="1:24" x14ac:dyDescent="0.25">
      <c r="A277" t="s">
        <v>375</v>
      </c>
      <c r="B277" t="s">
        <v>62</v>
      </c>
      <c r="C277" t="s">
        <v>347</v>
      </c>
      <c r="D277" t="s">
        <v>348</v>
      </c>
      <c r="E277" t="s">
        <v>62</v>
      </c>
      <c r="F277" t="s">
        <v>94</v>
      </c>
      <c r="G277" t="s">
        <v>277</v>
      </c>
      <c r="H277" s="12">
        <v>6.1534646999999998</v>
      </c>
      <c r="I277" s="12">
        <v>-75.584702699999994</v>
      </c>
      <c r="K277" t="s">
        <v>97</v>
      </c>
      <c r="M277">
        <v>11</v>
      </c>
      <c r="P277" s="13">
        <v>196</v>
      </c>
      <c r="Q277" s="13">
        <v>44</v>
      </c>
      <c r="R277">
        <v>30</v>
      </c>
      <c r="S277">
        <v>30</v>
      </c>
      <c r="T277" s="13">
        <v>50</v>
      </c>
      <c r="U277" s="13">
        <v>49</v>
      </c>
      <c r="V277" t="s">
        <v>99</v>
      </c>
      <c r="X277" s="13">
        <v>196</v>
      </c>
    </row>
    <row r="278" spans="1:24" x14ac:dyDescent="0.25">
      <c r="A278" t="s">
        <v>376</v>
      </c>
      <c r="B278" t="s">
        <v>62</v>
      </c>
      <c r="C278" t="s">
        <v>347</v>
      </c>
      <c r="D278" t="s">
        <v>348</v>
      </c>
      <c r="E278" t="s">
        <v>62</v>
      </c>
      <c r="F278" t="s">
        <v>94</v>
      </c>
      <c r="G278" t="s">
        <v>277</v>
      </c>
      <c r="H278" s="12">
        <v>6.1534646999999998</v>
      </c>
      <c r="I278" s="12">
        <v>-75.584702699999994</v>
      </c>
      <c r="K278" t="s">
        <v>97</v>
      </c>
      <c r="M278">
        <v>11</v>
      </c>
      <c r="P278" s="13">
        <v>193</v>
      </c>
      <c r="Q278" s="13">
        <v>54</v>
      </c>
      <c r="R278">
        <v>28</v>
      </c>
      <c r="S278">
        <v>30</v>
      </c>
      <c r="T278" s="13">
        <v>36</v>
      </c>
      <c r="U278" s="13">
        <v>58</v>
      </c>
      <c r="V278" t="s">
        <v>99</v>
      </c>
      <c r="X278" s="13">
        <v>193</v>
      </c>
    </row>
    <row r="279" spans="1:24" x14ac:dyDescent="0.25">
      <c r="A279" t="s">
        <v>377</v>
      </c>
      <c r="B279" t="s">
        <v>62</v>
      </c>
      <c r="C279" t="s">
        <v>347</v>
      </c>
      <c r="D279" t="s">
        <v>348</v>
      </c>
      <c r="E279" t="s">
        <v>62</v>
      </c>
      <c r="F279" t="s">
        <v>94</v>
      </c>
      <c r="G279" t="s">
        <v>277</v>
      </c>
      <c r="H279" s="12">
        <v>6.1534646999999998</v>
      </c>
      <c r="I279" s="12">
        <v>-75.584702699999994</v>
      </c>
      <c r="K279" t="s">
        <v>97</v>
      </c>
      <c r="M279">
        <v>11</v>
      </c>
      <c r="P279" s="13">
        <v>191</v>
      </c>
      <c r="Q279" s="13">
        <v>49</v>
      </c>
      <c r="R279">
        <v>38</v>
      </c>
      <c r="S279">
        <v>32</v>
      </c>
      <c r="T279" s="13">
        <v>29</v>
      </c>
      <c r="U279" s="13">
        <v>53</v>
      </c>
      <c r="V279" t="s">
        <v>99</v>
      </c>
      <c r="X279" s="13">
        <v>191</v>
      </c>
    </row>
    <row r="280" spans="1:24" x14ac:dyDescent="0.25">
      <c r="A280" t="s">
        <v>378</v>
      </c>
      <c r="B280" t="s">
        <v>62</v>
      </c>
      <c r="C280" t="s">
        <v>347</v>
      </c>
      <c r="D280" t="s">
        <v>348</v>
      </c>
      <c r="E280" t="s">
        <v>62</v>
      </c>
      <c r="F280" t="s">
        <v>94</v>
      </c>
      <c r="G280" t="s">
        <v>277</v>
      </c>
      <c r="H280" s="12">
        <v>6.1534646999999998</v>
      </c>
      <c r="I280" s="12">
        <v>-75.584702699999994</v>
      </c>
      <c r="K280" t="s">
        <v>97</v>
      </c>
      <c r="M280">
        <v>11</v>
      </c>
      <c r="P280" s="13">
        <v>191</v>
      </c>
      <c r="Q280" s="13">
        <v>49</v>
      </c>
      <c r="R280">
        <v>30</v>
      </c>
      <c r="S280">
        <v>18</v>
      </c>
      <c r="T280" s="13">
        <v>50</v>
      </c>
      <c r="U280" s="13">
        <v>56</v>
      </c>
      <c r="V280" t="s">
        <v>99</v>
      </c>
      <c r="X280" s="13">
        <v>191</v>
      </c>
    </row>
    <row r="281" spans="1:24" x14ac:dyDescent="0.25">
      <c r="A281" t="s">
        <v>379</v>
      </c>
      <c r="B281" t="s">
        <v>62</v>
      </c>
      <c r="C281" t="s">
        <v>347</v>
      </c>
      <c r="D281" t="s">
        <v>348</v>
      </c>
      <c r="E281" t="s">
        <v>62</v>
      </c>
      <c r="F281" t="s">
        <v>94</v>
      </c>
      <c r="G281" t="s">
        <v>277</v>
      </c>
      <c r="H281" s="12">
        <v>6.1534646999999998</v>
      </c>
      <c r="I281" s="12">
        <v>-75.584702699999994</v>
      </c>
      <c r="K281" t="s">
        <v>97</v>
      </c>
      <c r="M281">
        <v>11</v>
      </c>
      <c r="P281" s="13">
        <v>189</v>
      </c>
      <c r="Q281" s="13">
        <v>22</v>
      </c>
      <c r="R281">
        <v>38</v>
      </c>
      <c r="S281">
        <v>54</v>
      </c>
      <c r="T281" s="13">
        <v>40</v>
      </c>
      <c r="U281" s="13">
        <v>31</v>
      </c>
      <c r="V281" t="s">
        <v>99</v>
      </c>
      <c r="X281" s="13">
        <v>189</v>
      </c>
    </row>
    <row r="282" spans="1:24" x14ac:dyDescent="0.25">
      <c r="A282" t="s">
        <v>380</v>
      </c>
      <c r="B282" t="s">
        <v>62</v>
      </c>
      <c r="C282" t="s">
        <v>347</v>
      </c>
      <c r="D282" t="s">
        <v>348</v>
      </c>
      <c r="E282" t="s">
        <v>62</v>
      </c>
      <c r="F282" t="s">
        <v>94</v>
      </c>
      <c r="G282" t="s">
        <v>277</v>
      </c>
      <c r="H282" s="12">
        <v>6.1534646999999998</v>
      </c>
      <c r="I282" s="12">
        <v>-75.584702699999994</v>
      </c>
      <c r="K282" t="s">
        <v>97</v>
      </c>
      <c r="M282">
        <v>11</v>
      </c>
      <c r="P282" s="13">
        <v>188</v>
      </c>
      <c r="Q282" s="13">
        <v>46</v>
      </c>
      <c r="R282">
        <v>30</v>
      </c>
      <c r="S282">
        <v>36</v>
      </c>
      <c r="T282" s="13">
        <v>34</v>
      </c>
      <c r="U282" s="13">
        <v>49</v>
      </c>
      <c r="V282" t="s">
        <v>99</v>
      </c>
      <c r="X282" s="13">
        <v>188</v>
      </c>
    </row>
    <row r="283" spans="1:24" x14ac:dyDescent="0.25">
      <c r="A283" t="s">
        <v>381</v>
      </c>
      <c r="B283" t="s">
        <v>62</v>
      </c>
      <c r="C283" t="s">
        <v>347</v>
      </c>
      <c r="D283" t="s">
        <v>348</v>
      </c>
      <c r="E283" t="s">
        <v>62</v>
      </c>
      <c r="F283" t="s">
        <v>94</v>
      </c>
      <c r="G283" t="s">
        <v>277</v>
      </c>
      <c r="H283" s="12">
        <v>6.1534646999999998</v>
      </c>
      <c r="I283" s="12">
        <v>-75.584702699999994</v>
      </c>
      <c r="K283" t="s">
        <v>97</v>
      </c>
      <c r="M283">
        <v>11</v>
      </c>
      <c r="P283" s="13">
        <v>188</v>
      </c>
      <c r="Q283" s="13">
        <v>41</v>
      </c>
      <c r="R283">
        <v>38</v>
      </c>
      <c r="S283">
        <v>34</v>
      </c>
      <c r="T283" s="13">
        <v>36</v>
      </c>
      <c r="U283" s="13">
        <v>40</v>
      </c>
      <c r="V283" t="s">
        <v>99</v>
      </c>
      <c r="X283" s="13">
        <v>188</v>
      </c>
    </row>
    <row r="284" spans="1:24" x14ac:dyDescent="0.25">
      <c r="A284" t="s">
        <v>382</v>
      </c>
      <c r="B284" t="s">
        <v>62</v>
      </c>
      <c r="C284" t="s">
        <v>347</v>
      </c>
      <c r="D284" t="s">
        <v>348</v>
      </c>
      <c r="E284" t="s">
        <v>62</v>
      </c>
      <c r="F284" t="s">
        <v>94</v>
      </c>
      <c r="G284" t="s">
        <v>277</v>
      </c>
      <c r="H284" s="12">
        <v>6.1534646999999998</v>
      </c>
      <c r="I284" s="12">
        <v>-75.584702699999994</v>
      </c>
      <c r="K284" t="s">
        <v>97</v>
      </c>
      <c r="M284">
        <v>11</v>
      </c>
      <c r="P284" s="13">
        <v>188</v>
      </c>
      <c r="Q284" s="13">
        <v>41</v>
      </c>
      <c r="R284">
        <v>22</v>
      </c>
      <c r="S284">
        <v>56</v>
      </c>
      <c r="T284" s="13">
        <v>33</v>
      </c>
      <c r="U284" s="13">
        <v>31</v>
      </c>
      <c r="V284" t="s">
        <v>99</v>
      </c>
      <c r="X284" s="13">
        <v>188</v>
      </c>
    </row>
    <row r="285" spans="1:24" x14ac:dyDescent="0.25">
      <c r="A285" t="s">
        <v>383</v>
      </c>
      <c r="B285" t="s">
        <v>62</v>
      </c>
      <c r="C285" t="s">
        <v>347</v>
      </c>
      <c r="D285" t="s">
        <v>348</v>
      </c>
      <c r="E285" t="s">
        <v>62</v>
      </c>
      <c r="F285" t="s">
        <v>94</v>
      </c>
      <c r="G285" t="s">
        <v>277</v>
      </c>
      <c r="H285" s="12">
        <v>6.1534646999999998</v>
      </c>
      <c r="I285" s="12">
        <v>-75.584702699999994</v>
      </c>
      <c r="K285" t="s">
        <v>97</v>
      </c>
      <c r="M285">
        <v>11</v>
      </c>
      <c r="P285" s="13">
        <v>186</v>
      </c>
      <c r="Q285" s="13">
        <v>41</v>
      </c>
      <c r="R285">
        <v>26</v>
      </c>
      <c r="S285">
        <v>30</v>
      </c>
      <c r="T285" s="13">
        <v>41</v>
      </c>
      <c r="U285" s="13">
        <v>67</v>
      </c>
      <c r="V285" t="s">
        <v>99</v>
      </c>
      <c r="X285" s="13">
        <v>186</v>
      </c>
    </row>
    <row r="286" spans="1:24" x14ac:dyDescent="0.25">
      <c r="A286" t="s">
        <v>384</v>
      </c>
      <c r="B286" t="s">
        <v>62</v>
      </c>
      <c r="C286" t="s">
        <v>347</v>
      </c>
      <c r="D286" t="s">
        <v>348</v>
      </c>
      <c r="E286" t="s">
        <v>62</v>
      </c>
      <c r="F286" t="s">
        <v>94</v>
      </c>
      <c r="G286" t="s">
        <v>277</v>
      </c>
      <c r="H286" s="12">
        <v>6.1534646999999998</v>
      </c>
      <c r="I286" s="12">
        <v>-75.584702699999994</v>
      </c>
      <c r="K286" t="s">
        <v>97</v>
      </c>
      <c r="M286">
        <v>11</v>
      </c>
      <c r="P286" s="13">
        <v>185</v>
      </c>
      <c r="Q286" s="13">
        <v>39</v>
      </c>
      <c r="R286">
        <v>18</v>
      </c>
      <c r="S286">
        <v>40</v>
      </c>
      <c r="T286" s="13">
        <v>50</v>
      </c>
      <c r="U286" s="13">
        <v>40</v>
      </c>
      <c r="V286" t="s">
        <v>99</v>
      </c>
      <c r="X286" s="13">
        <v>185</v>
      </c>
    </row>
    <row r="287" spans="1:24" x14ac:dyDescent="0.25">
      <c r="A287" t="s">
        <v>385</v>
      </c>
      <c r="B287" t="s">
        <v>62</v>
      </c>
      <c r="C287" t="s">
        <v>347</v>
      </c>
      <c r="D287" t="s">
        <v>348</v>
      </c>
      <c r="E287" t="s">
        <v>62</v>
      </c>
      <c r="F287" t="s">
        <v>94</v>
      </c>
      <c r="G287" t="s">
        <v>277</v>
      </c>
      <c r="H287" s="12">
        <v>6.1534646999999998</v>
      </c>
      <c r="I287" s="12">
        <v>-75.584702699999994</v>
      </c>
      <c r="K287" t="s">
        <v>97</v>
      </c>
      <c r="M287">
        <v>11</v>
      </c>
      <c r="P287" s="13">
        <v>183</v>
      </c>
      <c r="Q287" s="13">
        <v>51</v>
      </c>
      <c r="R287">
        <v>36</v>
      </c>
      <c r="S287">
        <v>22</v>
      </c>
      <c r="T287" s="13">
        <v>38</v>
      </c>
      <c r="U287" s="13">
        <v>35</v>
      </c>
      <c r="V287" t="s">
        <v>99</v>
      </c>
      <c r="X287" s="13">
        <v>183</v>
      </c>
    </row>
    <row r="288" spans="1:24" x14ac:dyDescent="0.25">
      <c r="A288" t="s">
        <v>386</v>
      </c>
      <c r="B288" t="s">
        <v>62</v>
      </c>
      <c r="C288" t="s">
        <v>347</v>
      </c>
      <c r="D288" t="s">
        <v>348</v>
      </c>
      <c r="E288" t="s">
        <v>62</v>
      </c>
      <c r="F288" t="s">
        <v>94</v>
      </c>
      <c r="G288" t="s">
        <v>277</v>
      </c>
      <c r="H288" s="12">
        <v>6.1534646999999998</v>
      </c>
      <c r="I288" s="12">
        <v>-75.584702699999994</v>
      </c>
      <c r="K288" t="s">
        <v>97</v>
      </c>
      <c r="M288">
        <v>11</v>
      </c>
      <c r="P288" s="13">
        <v>181</v>
      </c>
      <c r="Q288" s="13">
        <v>54</v>
      </c>
      <c r="R288">
        <v>26</v>
      </c>
      <c r="S288">
        <v>32</v>
      </c>
      <c r="T288" s="13">
        <v>34</v>
      </c>
      <c r="U288" s="13">
        <v>33</v>
      </c>
      <c r="V288" t="s">
        <v>99</v>
      </c>
      <c r="X288" s="13">
        <v>181</v>
      </c>
    </row>
    <row r="289" spans="1:24" x14ac:dyDescent="0.25">
      <c r="A289" t="s">
        <v>387</v>
      </c>
      <c r="B289" t="s">
        <v>62</v>
      </c>
      <c r="C289" t="s">
        <v>347</v>
      </c>
      <c r="D289" t="s">
        <v>348</v>
      </c>
      <c r="E289" t="s">
        <v>62</v>
      </c>
      <c r="F289" t="s">
        <v>94</v>
      </c>
      <c r="G289" t="s">
        <v>277</v>
      </c>
      <c r="H289" s="12">
        <v>6.1534646999999998</v>
      </c>
      <c r="I289" s="12">
        <v>-75.584702699999994</v>
      </c>
      <c r="K289" t="s">
        <v>97</v>
      </c>
      <c r="M289">
        <v>11</v>
      </c>
      <c r="P289" s="13">
        <v>181</v>
      </c>
      <c r="Q289" s="13">
        <v>41</v>
      </c>
      <c r="R289">
        <v>26</v>
      </c>
      <c r="S289">
        <v>50</v>
      </c>
      <c r="T289" s="13">
        <v>29</v>
      </c>
      <c r="U289" s="13">
        <v>29</v>
      </c>
      <c r="V289" t="s">
        <v>99</v>
      </c>
      <c r="X289" s="13">
        <v>181</v>
      </c>
    </row>
    <row r="290" spans="1:24" x14ac:dyDescent="0.25">
      <c r="A290" t="s">
        <v>388</v>
      </c>
      <c r="B290" t="s">
        <v>62</v>
      </c>
      <c r="C290" t="s">
        <v>347</v>
      </c>
      <c r="D290" t="s">
        <v>348</v>
      </c>
      <c r="E290" t="s">
        <v>62</v>
      </c>
      <c r="F290" t="s">
        <v>94</v>
      </c>
      <c r="G290" t="s">
        <v>277</v>
      </c>
      <c r="H290" s="12">
        <v>6.1534646999999998</v>
      </c>
      <c r="I290" s="12">
        <v>-75.584702699999994</v>
      </c>
      <c r="K290" t="s">
        <v>97</v>
      </c>
      <c r="M290">
        <v>11</v>
      </c>
      <c r="P290" s="13">
        <v>180</v>
      </c>
      <c r="Q290" s="13">
        <v>41</v>
      </c>
      <c r="R290">
        <v>34</v>
      </c>
      <c r="S290">
        <v>34</v>
      </c>
      <c r="T290" s="13">
        <v>31</v>
      </c>
      <c r="U290" s="13">
        <v>47</v>
      </c>
      <c r="V290" t="s">
        <v>99</v>
      </c>
      <c r="X290" s="13">
        <v>180</v>
      </c>
    </row>
    <row r="291" spans="1:24" x14ac:dyDescent="0.25">
      <c r="A291" t="s">
        <v>389</v>
      </c>
      <c r="B291" t="s">
        <v>62</v>
      </c>
      <c r="C291" t="s">
        <v>347</v>
      </c>
      <c r="D291" t="s">
        <v>348</v>
      </c>
      <c r="E291" t="s">
        <v>62</v>
      </c>
      <c r="F291" t="s">
        <v>94</v>
      </c>
      <c r="G291" t="s">
        <v>277</v>
      </c>
      <c r="H291" s="12">
        <v>6.1534646999999998</v>
      </c>
      <c r="I291" s="12">
        <v>-75.584702699999994</v>
      </c>
      <c r="K291" t="s">
        <v>97</v>
      </c>
      <c r="M291">
        <v>11</v>
      </c>
      <c r="P291" s="13">
        <v>179</v>
      </c>
      <c r="Q291" s="13">
        <v>71</v>
      </c>
      <c r="R291">
        <v>18</v>
      </c>
      <c r="S291">
        <v>22</v>
      </c>
      <c r="T291" s="13">
        <v>33</v>
      </c>
      <c r="U291" s="13">
        <v>35</v>
      </c>
      <c r="V291" t="s">
        <v>99</v>
      </c>
      <c r="X291" s="13">
        <v>179</v>
      </c>
    </row>
    <row r="292" spans="1:24" x14ac:dyDescent="0.25">
      <c r="A292" t="s">
        <v>390</v>
      </c>
      <c r="B292" t="s">
        <v>62</v>
      </c>
      <c r="C292" t="s">
        <v>347</v>
      </c>
      <c r="D292" t="s">
        <v>348</v>
      </c>
      <c r="E292" t="s">
        <v>62</v>
      </c>
      <c r="F292" t="s">
        <v>94</v>
      </c>
      <c r="G292" t="s">
        <v>277</v>
      </c>
      <c r="H292" s="12">
        <v>6.1534646999999998</v>
      </c>
      <c r="I292" s="12">
        <v>-75.584702699999994</v>
      </c>
      <c r="K292" t="s">
        <v>97</v>
      </c>
      <c r="M292">
        <v>11</v>
      </c>
      <c r="P292" s="13">
        <v>175</v>
      </c>
      <c r="Q292" s="13">
        <v>44</v>
      </c>
      <c r="R292">
        <v>26</v>
      </c>
      <c r="S292">
        <v>34</v>
      </c>
      <c r="T292" s="13">
        <v>33</v>
      </c>
      <c r="U292" s="13">
        <v>45</v>
      </c>
      <c r="V292" t="s">
        <v>99</v>
      </c>
      <c r="X292" s="13">
        <v>175</v>
      </c>
    </row>
    <row r="293" spans="1:24" x14ac:dyDescent="0.25">
      <c r="A293" t="s">
        <v>391</v>
      </c>
      <c r="B293" t="s">
        <v>62</v>
      </c>
      <c r="C293" t="s">
        <v>347</v>
      </c>
      <c r="D293" t="s">
        <v>348</v>
      </c>
      <c r="E293" t="s">
        <v>62</v>
      </c>
      <c r="F293" t="s">
        <v>94</v>
      </c>
      <c r="G293" t="s">
        <v>277</v>
      </c>
      <c r="H293" s="12">
        <v>6.1534646999999998</v>
      </c>
      <c r="I293" s="12">
        <v>-75.584702699999994</v>
      </c>
      <c r="K293" t="s">
        <v>97</v>
      </c>
      <c r="M293">
        <v>11</v>
      </c>
      <c r="P293" s="13">
        <v>174</v>
      </c>
      <c r="Q293" s="13">
        <v>46</v>
      </c>
      <c r="R293">
        <v>34</v>
      </c>
      <c r="S293">
        <v>32</v>
      </c>
      <c r="T293" s="13">
        <v>24</v>
      </c>
      <c r="U293" s="13">
        <v>44</v>
      </c>
      <c r="V293" t="s">
        <v>99</v>
      </c>
      <c r="X293" s="13">
        <v>174</v>
      </c>
    </row>
    <row r="294" spans="1:24" x14ac:dyDescent="0.25">
      <c r="A294" t="s">
        <v>392</v>
      </c>
      <c r="B294" t="s">
        <v>62</v>
      </c>
      <c r="C294" t="s">
        <v>347</v>
      </c>
      <c r="D294" t="s">
        <v>348</v>
      </c>
      <c r="E294" t="s">
        <v>62</v>
      </c>
      <c r="F294" t="s">
        <v>94</v>
      </c>
      <c r="G294" t="s">
        <v>277</v>
      </c>
      <c r="H294" s="12">
        <v>6.1534646999999998</v>
      </c>
      <c r="I294" s="12">
        <v>-75.584702699999994</v>
      </c>
      <c r="K294" t="s">
        <v>97</v>
      </c>
      <c r="M294">
        <v>11</v>
      </c>
      <c r="P294" s="13">
        <v>173</v>
      </c>
      <c r="Q294" s="13">
        <v>39</v>
      </c>
      <c r="R294">
        <v>38</v>
      </c>
      <c r="S294">
        <v>40</v>
      </c>
      <c r="T294" s="13">
        <v>22</v>
      </c>
      <c r="U294" s="13">
        <v>33</v>
      </c>
      <c r="V294" t="s">
        <v>99</v>
      </c>
      <c r="X294" s="13">
        <v>173</v>
      </c>
    </row>
    <row r="295" spans="1:24" x14ac:dyDescent="0.25">
      <c r="A295" t="s">
        <v>393</v>
      </c>
      <c r="B295" t="s">
        <v>62</v>
      </c>
      <c r="C295" t="s">
        <v>347</v>
      </c>
      <c r="D295" t="s">
        <v>348</v>
      </c>
      <c r="E295" t="s">
        <v>62</v>
      </c>
      <c r="F295" t="s">
        <v>94</v>
      </c>
      <c r="G295" t="s">
        <v>277</v>
      </c>
      <c r="H295" s="12">
        <v>6.1534646999999998</v>
      </c>
      <c r="I295" s="12">
        <v>-75.584702699999994</v>
      </c>
      <c r="K295" t="s">
        <v>97</v>
      </c>
      <c r="M295">
        <v>11</v>
      </c>
      <c r="P295" s="13">
        <v>173</v>
      </c>
      <c r="Q295" s="13">
        <v>39</v>
      </c>
      <c r="R295">
        <v>28</v>
      </c>
      <c r="S295">
        <v>32</v>
      </c>
      <c r="T295" s="13">
        <v>38</v>
      </c>
      <c r="U295" s="13">
        <v>40</v>
      </c>
      <c r="V295" t="s">
        <v>99</v>
      </c>
      <c r="X295" s="13">
        <v>173</v>
      </c>
    </row>
    <row r="296" spans="1:24" x14ac:dyDescent="0.25">
      <c r="A296" t="s">
        <v>394</v>
      </c>
      <c r="B296" t="s">
        <v>62</v>
      </c>
      <c r="C296" t="s">
        <v>347</v>
      </c>
      <c r="D296" t="s">
        <v>348</v>
      </c>
      <c r="E296" t="s">
        <v>62</v>
      </c>
      <c r="F296" t="s">
        <v>94</v>
      </c>
      <c r="G296" t="s">
        <v>277</v>
      </c>
      <c r="H296" s="12">
        <v>6.1534646999999998</v>
      </c>
      <c r="I296" s="12">
        <v>-75.584702699999994</v>
      </c>
      <c r="K296" t="s">
        <v>97</v>
      </c>
      <c r="M296">
        <v>11</v>
      </c>
      <c r="P296" s="13">
        <v>171</v>
      </c>
      <c r="Q296" s="13">
        <v>34</v>
      </c>
      <c r="R296">
        <v>40</v>
      </c>
      <c r="S296">
        <v>22</v>
      </c>
      <c r="T296" s="13">
        <v>41</v>
      </c>
      <c r="U296" s="13">
        <v>31</v>
      </c>
      <c r="V296" t="s">
        <v>99</v>
      </c>
      <c r="X296" s="13">
        <v>171</v>
      </c>
    </row>
    <row r="297" spans="1:24" x14ac:dyDescent="0.25">
      <c r="A297" t="s">
        <v>395</v>
      </c>
      <c r="B297" t="s">
        <v>62</v>
      </c>
      <c r="C297" t="s">
        <v>347</v>
      </c>
      <c r="D297" t="s">
        <v>348</v>
      </c>
      <c r="E297" t="s">
        <v>62</v>
      </c>
      <c r="F297" t="s">
        <v>94</v>
      </c>
      <c r="G297" t="s">
        <v>277</v>
      </c>
      <c r="H297" s="12">
        <v>6.1534646999999998</v>
      </c>
      <c r="I297" s="12">
        <v>-75.584702699999994</v>
      </c>
      <c r="K297" t="s">
        <v>97</v>
      </c>
      <c r="M297">
        <v>11</v>
      </c>
      <c r="P297" s="13">
        <v>170</v>
      </c>
      <c r="Q297" s="13">
        <v>54</v>
      </c>
      <c r="R297">
        <v>24</v>
      </c>
      <c r="S297">
        <v>30</v>
      </c>
      <c r="T297" s="13">
        <v>31</v>
      </c>
      <c r="U297" s="13">
        <v>25</v>
      </c>
      <c r="V297" t="s">
        <v>99</v>
      </c>
      <c r="X297" s="13">
        <v>170</v>
      </c>
    </row>
    <row r="298" spans="1:24" x14ac:dyDescent="0.25">
      <c r="A298" t="s">
        <v>396</v>
      </c>
      <c r="B298" t="s">
        <v>62</v>
      </c>
      <c r="C298" t="s">
        <v>347</v>
      </c>
      <c r="D298" t="s">
        <v>348</v>
      </c>
      <c r="E298" t="s">
        <v>62</v>
      </c>
      <c r="F298" t="s">
        <v>94</v>
      </c>
      <c r="G298" t="s">
        <v>277</v>
      </c>
      <c r="H298" s="12">
        <v>6.1534646999999998</v>
      </c>
      <c r="I298" s="12">
        <v>-75.584702699999994</v>
      </c>
      <c r="K298" t="s">
        <v>97</v>
      </c>
      <c r="M298">
        <v>11</v>
      </c>
      <c r="P298" s="13">
        <v>167</v>
      </c>
      <c r="Q298" s="13">
        <v>39</v>
      </c>
      <c r="R298">
        <v>28</v>
      </c>
      <c r="S298">
        <v>34</v>
      </c>
      <c r="T298" s="13">
        <v>29</v>
      </c>
      <c r="U298" s="13">
        <v>44</v>
      </c>
      <c r="V298" t="s">
        <v>99</v>
      </c>
      <c r="X298" s="13">
        <v>167</v>
      </c>
    </row>
    <row r="299" spans="1:24" x14ac:dyDescent="0.25">
      <c r="A299" t="s">
        <v>397</v>
      </c>
      <c r="B299" t="s">
        <v>62</v>
      </c>
      <c r="C299" t="s">
        <v>347</v>
      </c>
      <c r="D299" t="s">
        <v>348</v>
      </c>
      <c r="E299" t="s">
        <v>62</v>
      </c>
      <c r="F299" t="s">
        <v>94</v>
      </c>
      <c r="G299" t="s">
        <v>277</v>
      </c>
      <c r="H299" s="12">
        <v>6.1534646999999998</v>
      </c>
      <c r="I299" s="12">
        <v>-75.584702699999994</v>
      </c>
      <c r="K299" t="s">
        <v>97</v>
      </c>
      <c r="M299">
        <v>11</v>
      </c>
      <c r="P299" s="13">
        <v>165</v>
      </c>
      <c r="Q299" s="13">
        <v>49</v>
      </c>
      <c r="R299">
        <v>28</v>
      </c>
      <c r="S299">
        <v>14</v>
      </c>
      <c r="T299" s="13">
        <v>40</v>
      </c>
      <c r="U299" s="13">
        <v>38</v>
      </c>
      <c r="V299" t="s">
        <v>99</v>
      </c>
      <c r="X299" s="13">
        <v>165</v>
      </c>
    </row>
    <row r="300" spans="1:24" x14ac:dyDescent="0.25">
      <c r="A300" t="s">
        <v>398</v>
      </c>
      <c r="B300" t="s">
        <v>62</v>
      </c>
      <c r="C300" t="s">
        <v>347</v>
      </c>
      <c r="D300" t="s">
        <v>348</v>
      </c>
      <c r="E300" t="s">
        <v>62</v>
      </c>
      <c r="F300" t="s">
        <v>94</v>
      </c>
      <c r="G300" t="s">
        <v>277</v>
      </c>
      <c r="H300" s="12">
        <v>6.1534646999999998</v>
      </c>
      <c r="I300" s="12">
        <v>-75.584702699999994</v>
      </c>
      <c r="K300" t="s">
        <v>97</v>
      </c>
      <c r="M300">
        <v>11</v>
      </c>
      <c r="P300" s="13">
        <v>165</v>
      </c>
      <c r="Q300" s="13">
        <v>46</v>
      </c>
      <c r="R300">
        <v>32</v>
      </c>
      <c r="S300">
        <v>22</v>
      </c>
      <c r="T300" s="13">
        <v>31</v>
      </c>
      <c r="U300" s="13">
        <v>35</v>
      </c>
      <c r="V300" t="s">
        <v>99</v>
      </c>
      <c r="X300" s="13">
        <v>165</v>
      </c>
    </row>
    <row r="301" spans="1:24" x14ac:dyDescent="0.25">
      <c r="A301" t="s">
        <v>399</v>
      </c>
      <c r="B301" t="s">
        <v>62</v>
      </c>
      <c r="C301" t="s">
        <v>347</v>
      </c>
      <c r="D301" t="s">
        <v>348</v>
      </c>
      <c r="E301" t="s">
        <v>62</v>
      </c>
      <c r="F301" t="s">
        <v>94</v>
      </c>
      <c r="G301" t="s">
        <v>277</v>
      </c>
      <c r="H301" s="12">
        <v>6.1534646999999998</v>
      </c>
      <c r="I301" s="12">
        <v>-75.584702699999994</v>
      </c>
      <c r="K301" t="s">
        <v>97</v>
      </c>
      <c r="M301">
        <v>11</v>
      </c>
      <c r="P301" s="13">
        <v>155</v>
      </c>
      <c r="Q301" s="13">
        <v>46</v>
      </c>
      <c r="R301">
        <v>22</v>
      </c>
      <c r="S301">
        <v>28</v>
      </c>
      <c r="T301" s="13">
        <v>28</v>
      </c>
      <c r="U301" s="13">
        <v>31</v>
      </c>
      <c r="V301" t="s">
        <v>99</v>
      </c>
      <c r="X301" s="13">
        <v>155</v>
      </c>
    </row>
    <row r="302" spans="1:24" x14ac:dyDescent="0.25">
      <c r="A302" t="s">
        <v>400</v>
      </c>
      <c r="B302" t="s">
        <v>62</v>
      </c>
      <c r="C302" t="s">
        <v>347</v>
      </c>
      <c r="D302" t="s">
        <v>348</v>
      </c>
      <c r="E302" t="s">
        <v>62</v>
      </c>
      <c r="F302" t="s">
        <v>94</v>
      </c>
      <c r="G302" t="s">
        <v>277</v>
      </c>
      <c r="H302" s="12">
        <v>6.1534646999999998</v>
      </c>
      <c r="I302" s="12">
        <v>-75.584702699999994</v>
      </c>
      <c r="K302" t="s">
        <v>97</v>
      </c>
      <c r="M302">
        <v>11</v>
      </c>
      <c r="P302" s="13">
        <v>155</v>
      </c>
      <c r="Q302" s="13">
        <v>37</v>
      </c>
      <c r="R302">
        <v>30</v>
      </c>
      <c r="S302">
        <v>30</v>
      </c>
      <c r="T302" s="13">
        <v>24</v>
      </c>
      <c r="U302" s="13">
        <v>40</v>
      </c>
      <c r="V302" t="s">
        <v>99</v>
      </c>
      <c r="X302" s="13">
        <v>155</v>
      </c>
    </row>
    <row r="303" spans="1:24" x14ac:dyDescent="0.25">
      <c r="A303" t="s">
        <v>401</v>
      </c>
      <c r="B303" t="s">
        <v>62</v>
      </c>
      <c r="C303" t="s">
        <v>347</v>
      </c>
      <c r="D303" t="s">
        <v>348</v>
      </c>
      <c r="E303" t="s">
        <v>62</v>
      </c>
      <c r="F303" t="s">
        <v>94</v>
      </c>
      <c r="G303" t="s">
        <v>277</v>
      </c>
      <c r="H303" s="12">
        <v>6.1534646999999998</v>
      </c>
      <c r="I303" s="12">
        <v>-75.584702699999994</v>
      </c>
      <c r="K303" t="s">
        <v>97</v>
      </c>
      <c r="M303">
        <v>11</v>
      </c>
      <c r="P303" s="13">
        <v>153</v>
      </c>
      <c r="Q303" s="13">
        <v>29</v>
      </c>
      <c r="R303">
        <v>30</v>
      </c>
      <c r="S303">
        <v>22</v>
      </c>
      <c r="T303" s="13">
        <v>38</v>
      </c>
      <c r="U303" s="13">
        <v>40</v>
      </c>
      <c r="V303" t="s">
        <v>99</v>
      </c>
      <c r="X303" s="13">
        <v>153</v>
      </c>
    </row>
    <row r="304" spans="1:24" x14ac:dyDescent="0.25">
      <c r="A304" t="s">
        <v>402</v>
      </c>
      <c r="B304" t="s">
        <v>62</v>
      </c>
      <c r="C304" t="s">
        <v>347</v>
      </c>
      <c r="D304" t="s">
        <v>348</v>
      </c>
      <c r="E304" t="s">
        <v>62</v>
      </c>
      <c r="F304" t="s">
        <v>94</v>
      </c>
      <c r="G304" t="s">
        <v>277</v>
      </c>
      <c r="H304" s="12">
        <v>6.1534646999999998</v>
      </c>
      <c r="I304" s="12">
        <v>-75.584702699999994</v>
      </c>
      <c r="K304" t="s">
        <v>97</v>
      </c>
      <c r="M304">
        <v>11</v>
      </c>
      <c r="P304" s="13">
        <v>152</v>
      </c>
      <c r="Q304" s="13">
        <v>20</v>
      </c>
      <c r="R304">
        <v>26</v>
      </c>
      <c r="S304">
        <v>34</v>
      </c>
      <c r="T304" s="13">
        <v>36</v>
      </c>
      <c r="U304" s="13">
        <v>49</v>
      </c>
      <c r="V304" t="s">
        <v>99</v>
      </c>
      <c r="X304" s="13">
        <v>152</v>
      </c>
    </row>
    <row r="305" spans="1:24" x14ac:dyDescent="0.25">
      <c r="A305" t="s">
        <v>403</v>
      </c>
      <c r="B305" t="s">
        <v>62</v>
      </c>
      <c r="C305" t="s">
        <v>347</v>
      </c>
      <c r="D305" t="s">
        <v>348</v>
      </c>
      <c r="E305" t="s">
        <v>62</v>
      </c>
      <c r="F305" t="s">
        <v>94</v>
      </c>
      <c r="G305" t="s">
        <v>277</v>
      </c>
      <c r="H305" s="12">
        <v>6.1534646999999998</v>
      </c>
      <c r="I305" s="12">
        <v>-75.584702699999994</v>
      </c>
      <c r="K305" t="s">
        <v>97</v>
      </c>
      <c r="M305">
        <v>11</v>
      </c>
      <c r="P305" s="13">
        <v>151</v>
      </c>
      <c r="Q305" s="13">
        <v>49</v>
      </c>
      <c r="R305">
        <v>22</v>
      </c>
      <c r="S305">
        <v>24</v>
      </c>
      <c r="T305" s="13">
        <v>29</v>
      </c>
      <c r="U305" s="13">
        <v>20</v>
      </c>
      <c r="V305" t="s">
        <v>99</v>
      </c>
      <c r="X305" s="13">
        <v>151</v>
      </c>
    </row>
    <row r="306" spans="1:24" x14ac:dyDescent="0.25">
      <c r="A306" t="s">
        <v>404</v>
      </c>
      <c r="B306" t="s">
        <v>62</v>
      </c>
      <c r="C306" t="s">
        <v>347</v>
      </c>
      <c r="D306" t="s">
        <v>348</v>
      </c>
      <c r="E306" t="s">
        <v>62</v>
      </c>
      <c r="F306" t="s">
        <v>94</v>
      </c>
      <c r="G306" t="s">
        <v>277</v>
      </c>
      <c r="H306" s="12">
        <v>6.1534646999999998</v>
      </c>
      <c r="I306" s="12">
        <v>-75.584702699999994</v>
      </c>
      <c r="K306" t="s">
        <v>97</v>
      </c>
      <c r="M306">
        <v>11</v>
      </c>
      <c r="P306" s="13">
        <v>144</v>
      </c>
      <c r="Q306" s="13">
        <v>34</v>
      </c>
      <c r="R306">
        <v>26</v>
      </c>
      <c r="S306">
        <v>36</v>
      </c>
      <c r="T306" s="13">
        <v>16</v>
      </c>
      <c r="U306" s="13">
        <v>40</v>
      </c>
      <c r="V306" t="s">
        <v>99</v>
      </c>
      <c r="X306" s="13">
        <v>144</v>
      </c>
    </row>
    <row r="307" spans="1:24" x14ac:dyDescent="0.25">
      <c r="A307" t="s">
        <v>405</v>
      </c>
      <c r="B307" t="s">
        <v>62</v>
      </c>
      <c r="C307" t="s">
        <v>347</v>
      </c>
      <c r="D307" t="s">
        <v>348</v>
      </c>
      <c r="E307" t="s">
        <v>62</v>
      </c>
      <c r="F307" t="s">
        <v>94</v>
      </c>
      <c r="G307" t="s">
        <v>277</v>
      </c>
      <c r="H307" s="12">
        <v>6.1534646999999998</v>
      </c>
      <c r="I307" s="12">
        <v>-75.584702699999994</v>
      </c>
      <c r="K307" t="s">
        <v>97</v>
      </c>
      <c r="M307">
        <v>11</v>
      </c>
      <c r="P307" s="13">
        <v>144</v>
      </c>
      <c r="Q307" s="13">
        <v>27</v>
      </c>
      <c r="R307">
        <v>34</v>
      </c>
      <c r="S307">
        <v>22</v>
      </c>
      <c r="T307" s="13">
        <v>29</v>
      </c>
      <c r="U307" s="13">
        <v>38</v>
      </c>
      <c r="V307" t="s">
        <v>99</v>
      </c>
      <c r="X307" s="13">
        <v>144</v>
      </c>
    </row>
    <row r="308" spans="1:24" x14ac:dyDescent="0.25">
      <c r="A308" t="s">
        <v>406</v>
      </c>
      <c r="B308" t="s">
        <v>62</v>
      </c>
      <c r="C308" t="s">
        <v>347</v>
      </c>
      <c r="D308" t="s">
        <v>348</v>
      </c>
      <c r="E308" t="s">
        <v>62</v>
      </c>
      <c r="F308" t="s">
        <v>94</v>
      </c>
      <c r="G308" t="s">
        <v>277</v>
      </c>
      <c r="H308" s="12">
        <v>6.1534646999999998</v>
      </c>
      <c r="I308" s="12">
        <v>-75.584702699999994</v>
      </c>
      <c r="K308" t="s">
        <v>97</v>
      </c>
      <c r="M308">
        <v>11</v>
      </c>
      <c r="P308" s="13">
        <v>143</v>
      </c>
      <c r="Q308" s="13">
        <v>39</v>
      </c>
      <c r="R308">
        <v>24</v>
      </c>
      <c r="S308">
        <v>24</v>
      </c>
      <c r="T308" s="13">
        <v>22</v>
      </c>
      <c r="U308" s="13">
        <v>44</v>
      </c>
      <c r="V308" t="s">
        <v>99</v>
      </c>
      <c r="X308" s="13">
        <v>143</v>
      </c>
    </row>
    <row r="309" spans="1:24" x14ac:dyDescent="0.25">
      <c r="A309" t="s">
        <v>407</v>
      </c>
      <c r="B309" t="s">
        <v>62</v>
      </c>
      <c r="C309" t="s">
        <v>347</v>
      </c>
      <c r="D309" t="s">
        <v>348</v>
      </c>
      <c r="E309" t="s">
        <v>62</v>
      </c>
      <c r="F309" t="s">
        <v>94</v>
      </c>
      <c r="G309" t="s">
        <v>277</v>
      </c>
      <c r="H309" s="12">
        <v>6.1534646999999998</v>
      </c>
      <c r="I309" s="12">
        <v>-75.584702699999994</v>
      </c>
      <c r="K309" t="s">
        <v>97</v>
      </c>
      <c r="M309">
        <v>11</v>
      </c>
      <c r="P309" s="13">
        <v>141</v>
      </c>
      <c r="Q309" s="13">
        <v>15</v>
      </c>
      <c r="R309">
        <v>26</v>
      </c>
      <c r="S309">
        <v>26</v>
      </c>
      <c r="T309" s="13">
        <v>38</v>
      </c>
      <c r="U309" s="13">
        <v>53</v>
      </c>
      <c r="V309" t="s">
        <v>99</v>
      </c>
      <c r="X309" s="13">
        <v>141</v>
      </c>
    </row>
    <row r="310" spans="1:24" x14ac:dyDescent="0.25">
      <c r="A310" t="s">
        <v>408</v>
      </c>
      <c r="B310" t="s">
        <v>62</v>
      </c>
      <c r="C310" t="s">
        <v>347</v>
      </c>
      <c r="D310" t="s">
        <v>348</v>
      </c>
      <c r="E310" t="s">
        <v>62</v>
      </c>
      <c r="F310" t="s">
        <v>94</v>
      </c>
      <c r="G310" t="s">
        <v>277</v>
      </c>
      <c r="H310" s="12">
        <v>6.1534646999999998</v>
      </c>
      <c r="I310" s="12">
        <v>-75.584702699999994</v>
      </c>
      <c r="K310" t="s">
        <v>97</v>
      </c>
      <c r="M310">
        <v>11</v>
      </c>
      <c r="P310" s="13">
        <v>134</v>
      </c>
      <c r="Q310" s="13">
        <v>24</v>
      </c>
      <c r="R310">
        <v>32</v>
      </c>
      <c r="S310">
        <v>22</v>
      </c>
      <c r="T310" s="13">
        <v>26</v>
      </c>
      <c r="U310" s="13">
        <v>36</v>
      </c>
      <c r="V310" t="s">
        <v>99</v>
      </c>
      <c r="X310" s="13">
        <v>134</v>
      </c>
    </row>
    <row r="311" spans="1:24" x14ac:dyDescent="0.25">
      <c r="A311" t="s">
        <v>409</v>
      </c>
      <c r="B311" t="s">
        <v>62</v>
      </c>
      <c r="C311" t="s">
        <v>347</v>
      </c>
      <c r="D311" t="s">
        <v>348</v>
      </c>
      <c r="E311" t="s">
        <v>62</v>
      </c>
      <c r="F311" t="s">
        <v>94</v>
      </c>
      <c r="G311" t="s">
        <v>277</v>
      </c>
      <c r="H311" s="12">
        <v>6.1534646999999998</v>
      </c>
      <c r="I311" s="12">
        <v>-75.584702699999994</v>
      </c>
      <c r="K311" t="s">
        <v>97</v>
      </c>
      <c r="M311">
        <v>11</v>
      </c>
      <c r="P311" s="13">
        <v>130</v>
      </c>
      <c r="Q311" s="13">
        <v>27</v>
      </c>
      <c r="R311">
        <v>30</v>
      </c>
      <c r="S311">
        <v>22</v>
      </c>
      <c r="T311" s="13">
        <v>21</v>
      </c>
      <c r="U311" s="13">
        <v>38</v>
      </c>
      <c r="V311" t="s">
        <v>99</v>
      </c>
      <c r="X311" s="13">
        <v>130</v>
      </c>
    </row>
    <row r="312" spans="1:24" x14ac:dyDescent="0.25">
      <c r="A312" t="s">
        <v>410</v>
      </c>
      <c r="B312" t="s">
        <v>62</v>
      </c>
      <c r="C312" t="s">
        <v>347</v>
      </c>
      <c r="D312" t="s">
        <v>348</v>
      </c>
      <c r="E312" t="s">
        <v>62</v>
      </c>
      <c r="F312" t="s">
        <v>94</v>
      </c>
      <c r="G312" t="s">
        <v>277</v>
      </c>
      <c r="H312" s="12">
        <v>6.1534646999999998</v>
      </c>
      <c r="I312" s="12">
        <v>-75.584702699999994</v>
      </c>
      <c r="K312" t="s">
        <v>97</v>
      </c>
      <c r="M312">
        <v>11</v>
      </c>
      <c r="P312" s="13">
        <v>128</v>
      </c>
      <c r="Q312" s="13">
        <v>22</v>
      </c>
      <c r="R312">
        <v>16</v>
      </c>
      <c r="S312">
        <v>22</v>
      </c>
      <c r="T312" s="13">
        <v>33</v>
      </c>
      <c r="U312" s="13">
        <v>55</v>
      </c>
      <c r="V312" t="s">
        <v>99</v>
      </c>
      <c r="X312" s="13">
        <v>128</v>
      </c>
    </row>
    <row r="313" spans="1:24" x14ac:dyDescent="0.25">
      <c r="A313" t="s">
        <v>411</v>
      </c>
      <c r="B313" t="s">
        <v>62</v>
      </c>
      <c r="C313" t="s">
        <v>347</v>
      </c>
      <c r="D313" t="s">
        <v>348</v>
      </c>
      <c r="E313" t="s">
        <v>62</v>
      </c>
      <c r="F313" t="s">
        <v>94</v>
      </c>
      <c r="G313" t="s">
        <v>277</v>
      </c>
      <c r="H313" s="12">
        <v>6.1534646999999998</v>
      </c>
      <c r="I313" s="12">
        <v>-75.584702699999994</v>
      </c>
      <c r="K313" t="s">
        <v>97</v>
      </c>
      <c r="M313">
        <v>11</v>
      </c>
      <c r="P313" s="13">
        <v>127</v>
      </c>
      <c r="Q313" s="13">
        <v>17</v>
      </c>
      <c r="R313">
        <v>26</v>
      </c>
      <c r="S313">
        <v>24</v>
      </c>
      <c r="T313" s="13">
        <v>29</v>
      </c>
      <c r="U313" s="13">
        <v>42</v>
      </c>
      <c r="V313" t="s">
        <v>99</v>
      </c>
      <c r="X313" s="13">
        <v>127</v>
      </c>
    </row>
    <row r="314" spans="1:24" x14ac:dyDescent="0.25">
      <c r="A314" t="s">
        <v>412</v>
      </c>
      <c r="B314" t="s">
        <v>62</v>
      </c>
      <c r="C314" t="s">
        <v>347</v>
      </c>
      <c r="D314" t="s">
        <v>348</v>
      </c>
      <c r="E314" t="s">
        <v>62</v>
      </c>
      <c r="F314" t="s">
        <v>94</v>
      </c>
      <c r="G314" t="s">
        <v>277</v>
      </c>
      <c r="H314" s="12">
        <v>6.1534646999999998</v>
      </c>
      <c r="I314" s="12">
        <v>-75.584702699999994</v>
      </c>
      <c r="K314" t="s">
        <v>97</v>
      </c>
      <c r="M314">
        <v>11</v>
      </c>
      <c r="P314" s="13">
        <v>127</v>
      </c>
      <c r="Q314" s="13">
        <v>46</v>
      </c>
      <c r="R314">
        <v>28</v>
      </c>
      <c r="S314">
        <v>10</v>
      </c>
      <c r="T314" s="13">
        <v>26</v>
      </c>
      <c r="U314" s="13">
        <v>0</v>
      </c>
      <c r="V314" t="s">
        <v>99</v>
      </c>
      <c r="X314" s="13">
        <v>127</v>
      </c>
    </row>
    <row r="315" spans="1:24" x14ac:dyDescent="0.25">
      <c r="A315" t="s">
        <v>413</v>
      </c>
      <c r="B315" t="s">
        <v>62</v>
      </c>
      <c r="C315" t="s">
        <v>347</v>
      </c>
      <c r="D315" t="s">
        <v>348</v>
      </c>
      <c r="E315" t="s">
        <v>62</v>
      </c>
      <c r="F315" t="s">
        <v>94</v>
      </c>
      <c r="G315" t="s">
        <v>277</v>
      </c>
      <c r="H315" s="12">
        <v>6.1534646999999998</v>
      </c>
      <c r="I315" s="12">
        <v>-75.584702699999994</v>
      </c>
      <c r="K315" t="s">
        <v>97</v>
      </c>
      <c r="M315">
        <v>11</v>
      </c>
      <c r="P315" s="13">
        <v>125</v>
      </c>
      <c r="Q315" s="13">
        <v>32</v>
      </c>
      <c r="R315">
        <v>18</v>
      </c>
      <c r="S315">
        <v>12</v>
      </c>
      <c r="T315" s="13">
        <v>34</v>
      </c>
      <c r="U315" s="13">
        <v>36</v>
      </c>
      <c r="V315" t="s">
        <v>99</v>
      </c>
      <c r="X315" s="13">
        <v>125</v>
      </c>
    </row>
    <row r="316" spans="1:24" x14ac:dyDescent="0.25">
      <c r="A316" t="s">
        <v>414</v>
      </c>
      <c r="B316" t="s">
        <v>62</v>
      </c>
      <c r="C316" t="s">
        <v>347</v>
      </c>
      <c r="D316" t="s">
        <v>348</v>
      </c>
      <c r="E316" t="s">
        <v>62</v>
      </c>
      <c r="F316" t="s">
        <v>94</v>
      </c>
      <c r="G316" t="s">
        <v>277</v>
      </c>
      <c r="H316" s="12">
        <v>6.1534646999999998</v>
      </c>
      <c r="I316" s="12">
        <v>-75.584702699999994</v>
      </c>
      <c r="K316" t="s">
        <v>97</v>
      </c>
      <c r="M316">
        <v>11</v>
      </c>
      <c r="P316" s="13">
        <v>123</v>
      </c>
      <c r="Q316" s="13">
        <v>29</v>
      </c>
      <c r="R316">
        <v>10</v>
      </c>
      <c r="S316">
        <v>24</v>
      </c>
      <c r="T316" s="13">
        <v>28</v>
      </c>
      <c r="U316" s="13">
        <v>47</v>
      </c>
      <c r="V316" t="s">
        <v>99</v>
      </c>
      <c r="X316" s="13">
        <v>123</v>
      </c>
    </row>
    <row r="317" spans="1:24" x14ac:dyDescent="0.25">
      <c r="A317" t="s">
        <v>415</v>
      </c>
      <c r="B317" t="s">
        <v>62</v>
      </c>
      <c r="C317" t="s">
        <v>347</v>
      </c>
      <c r="D317" t="s">
        <v>348</v>
      </c>
      <c r="E317" t="s">
        <v>62</v>
      </c>
      <c r="F317" t="s">
        <v>94</v>
      </c>
      <c r="G317" t="s">
        <v>277</v>
      </c>
      <c r="H317" s="12">
        <v>6.1534646999999998</v>
      </c>
      <c r="I317" s="12">
        <v>-75.584702699999994</v>
      </c>
      <c r="K317" t="s">
        <v>97</v>
      </c>
      <c r="M317">
        <v>11</v>
      </c>
      <c r="P317" s="13">
        <v>117</v>
      </c>
      <c r="Q317" s="13">
        <v>22</v>
      </c>
      <c r="R317">
        <v>20</v>
      </c>
      <c r="S317">
        <v>22</v>
      </c>
      <c r="T317" s="13">
        <v>29</v>
      </c>
      <c r="U317" s="13">
        <v>25</v>
      </c>
      <c r="V317" t="s">
        <v>99</v>
      </c>
      <c r="X317" s="13">
        <v>117</v>
      </c>
    </row>
    <row r="318" spans="1:24" x14ac:dyDescent="0.25">
      <c r="A318" t="s">
        <v>416</v>
      </c>
      <c r="B318" t="s">
        <v>62</v>
      </c>
      <c r="C318" t="s">
        <v>347</v>
      </c>
      <c r="D318" t="s">
        <v>348</v>
      </c>
      <c r="E318" t="s">
        <v>62</v>
      </c>
      <c r="F318" t="s">
        <v>94</v>
      </c>
      <c r="G318" t="s">
        <v>277</v>
      </c>
      <c r="H318" s="12">
        <v>6.1534646999999998</v>
      </c>
      <c r="I318" s="12">
        <v>-75.584702699999994</v>
      </c>
      <c r="K318" t="s">
        <v>97</v>
      </c>
      <c r="M318">
        <v>11</v>
      </c>
      <c r="P318" s="13">
        <v>114</v>
      </c>
      <c r="Q318" s="13">
        <v>27</v>
      </c>
      <c r="R318">
        <v>20</v>
      </c>
      <c r="S318">
        <v>16</v>
      </c>
      <c r="T318" s="13">
        <v>26</v>
      </c>
      <c r="U318" s="13">
        <v>31</v>
      </c>
      <c r="V318" t="s">
        <v>99</v>
      </c>
      <c r="X318" s="13">
        <v>114</v>
      </c>
    </row>
    <row r="319" spans="1:24" x14ac:dyDescent="0.25">
      <c r="A319" t="s">
        <v>417</v>
      </c>
      <c r="B319" t="s">
        <v>62</v>
      </c>
      <c r="C319" t="s">
        <v>347</v>
      </c>
      <c r="D319" t="s">
        <v>348</v>
      </c>
      <c r="E319" t="s">
        <v>62</v>
      </c>
      <c r="F319" t="s">
        <v>94</v>
      </c>
      <c r="G319" t="s">
        <v>277</v>
      </c>
      <c r="H319" s="12">
        <v>6.1534646999999998</v>
      </c>
      <c r="I319" s="12">
        <v>-75.584702699999994</v>
      </c>
      <c r="K319" t="s">
        <v>97</v>
      </c>
      <c r="M319">
        <v>11</v>
      </c>
      <c r="P319" s="13">
        <v>114</v>
      </c>
      <c r="Q319" s="13">
        <v>54</v>
      </c>
      <c r="R319">
        <v>18</v>
      </c>
      <c r="S319">
        <v>20</v>
      </c>
      <c r="T319" s="13">
        <v>7</v>
      </c>
      <c r="U319" s="13">
        <v>0</v>
      </c>
      <c r="V319" t="s">
        <v>99</v>
      </c>
      <c r="X319" s="13">
        <v>114</v>
      </c>
    </row>
    <row r="320" spans="1:24" x14ac:dyDescent="0.25">
      <c r="A320" t="s">
        <v>418</v>
      </c>
      <c r="B320" t="s">
        <v>62</v>
      </c>
      <c r="C320" t="s">
        <v>347</v>
      </c>
      <c r="D320" t="s">
        <v>348</v>
      </c>
      <c r="E320" t="s">
        <v>62</v>
      </c>
      <c r="F320" t="s">
        <v>94</v>
      </c>
      <c r="G320" t="s">
        <v>277</v>
      </c>
      <c r="H320" s="12">
        <v>6.1534646999999998</v>
      </c>
      <c r="I320" s="12">
        <v>-75.584702699999994</v>
      </c>
      <c r="K320" t="s">
        <v>97</v>
      </c>
      <c r="M320">
        <v>11</v>
      </c>
      <c r="P320" s="13">
        <v>112</v>
      </c>
      <c r="Q320" s="13">
        <v>17</v>
      </c>
      <c r="R320">
        <v>22</v>
      </c>
      <c r="S320">
        <v>16</v>
      </c>
      <c r="T320" s="13">
        <v>28</v>
      </c>
      <c r="U320" s="13">
        <v>44</v>
      </c>
      <c r="V320" t="s">
        <v>99</v>
      </c>
      <c r="X320" s="13">
        <v>112</v>
      </c>
    </row>
    <row r="321" spans="1:24" x14ac:dyDescent="0.25">
      <c r="A321" t="s">
        <v>419</v>
      </c>
      <c r="B321" t="s">
        <v>62</v>
      </c>
      <c r="C321" t="s">
        <v>347</v>
      </c>
      <c r="D321" t="s">
        <v>348</v>
      </c>
      <c r="E321" t="s">
        <v>62</v>
      </c>
      <c r="F321" t="s">
        <v>94</v>
      </c>
      <c r="G321" t="s">
        <v>277</v>
      </c>
      <c r="H321" s="12">
        <v>6.1534646999999998</v>
      </c>
      <c r="I321" s="12">
        <v>-75.584702699999994</v>
      </c>
      <c r="K321" t="s">
        <v>97</v>
      </c>
      <c r="M321">
        <v>11</v>
      </c>
      <c r="P321" s="13">
        <v>63</v>
      </c>
      <c r="Q321" s="13">
        <v>0</v>
      </c>
      <c r="R321">
        <v>16</v>
      </c>
      <c r="S321">
        <v>6</v>
      </c>
      <c r="T321" s="13">
        <v>19</v>
      </c>
      <c r="U321" s="13">
        <v>40</v>
      </c>
      <c r="V321" t="s">
        <v>99</v>
      </c>
      <c r="X321" s="13">
        <v>63</v>
      </c>
    </row>
    <row r="322" spans="1:24" x14ac:dyDescent="0.25">
      <c r="A322" t="s">
        <v>420</v>
      </c>
      <c r="B322" t="s">
        <v>62</v>
      </c>
      <c r="C322" t="s">
        <v>421</v>
      </c>
      <c r="D322" t="s">
        <v>422</v>
      </c>
      <c r="E322" t="s">
        <v>62</v>
      </c>
      <c r="F322" t="s">
        <v>94</v>
      </c>
      <c r="G322" t="s">
        <v>277</v>
      </c>
      <c r="H322" s="12">
        <v>6.1679396000000004</v>
      </c>
      <c r="I322" s="12">
        <v>-75.578613000000004</v>
      </c>
      <c r="K322" t="s">
        <v>97</v>
      </c>
      <c r="M322">
        <v>11</v>
      </c>
      <c r="P322" s="13">
        <v>282</v>
      </c>
      <c r="Q322" s="13">
        <v>63</v>
      </c>
      <c r="R322">
        <v>38</v>
      </c>
      <c r="S322">
        <v>78</v>
      </c>
      <c r="T322" s="13">
        <v>41</v>
      </c>
      <c r="U322" s="13">
        <v>71</v>
      </c>
      <c r="V322" t="s">
        <v>99</v>
      </c>
      <c r="X322" s="13">
        <v>282</v>
      </c>
    </row>
    <row r="323" spans="1:24" x14ac:dyDescent="0.25">
      <c r="A323" t="s">
        <v>423</v>
      </c>
      <c r="B323" t="s">
        <v>62</v>
      </c>
      <c r="C323" t="s">
        <v>421</v>
      </c>
      <c r="D323" t="s">
        <v>422</v>
      </c>
      <c r="E323" t="s">
        <v>62</v>
      </c>
      <c r="F323" t="s">
        <v>94</v>
      </c>
      <c r="G323" t="s">
        <v>277</v>
      </c>
      <c r="H323" s="12">
        <v>6.1679396000000004</v>
      </c>
      <c r="I323" s="12">
        <v>-75.578613000000004</v>
      </c>
      <c r="K323" t="s">
        <v>97</v>
      </c>
      <c r="M323">
        <v>11</v>
      </c>
      <c r="P323" s="13">
        <v>277</v>
      </c>
      <c r="Q323" s="13">
        <v>59</v>
      </c>
      <c r="R323">
        <v>38</v>
      </c>
      <c r="S323">
        <v>52</v>
      </c>
      <c r="T323" s="13">
        <v>62</v>
      </c>
      <c r="U323" s="13">
        <v>89</v>
      </c>
      <c r="V323" t="s">
        <v>99</v>
      </c>
      <c r="X323" s="13">
        <v>277</v>
      </c>
    </row>
    <row r="324" spans="1:24" x14ac:dyDescent="0.25">
      <c r="A324" t="s">
        <v>424</v>
      </c>
      <c r="B324" t="s">
        <v>62</v>
      </c>
      <c r="C324" t="s">
        <v>421</v>
      </c>
      <c r="D324" t="s">
        <v>422</v>
      </c>
      <c r="E324" t="s">
        <v>62</v>
      </c>
      <c r="F324" t="s">
        <v>94</v>
      </c>
      <c r="G324" t="s">
        <v>277</v>
      </c>
      <c r="H324" s="12">
        <v>6.1679396000000004</v>
      </c>
      <c r="I324" s="12">
        <v>-75.578613000000004</v>
      </c>
      <c r="K324" t="s">
        <v>97</v>
      </c>
      <c r="M324">
        <v>11</v>
      </c>
      <c r="P324" s="13">
        <v>262</v>
      </c>
      <c r="Q324" s="13">
        <v>61</v>
      </c>
      <c r="R324">
        <v>32</v>
      </c>
      <c r="S324">
        <v>54</v>
      </c>
      <c r="T324" s="13">
        <v>60</v>
      </c>
      <c r="U324" s="13">
        <v>60</v>
      </c>
      <c r="V324" t="s">
        <v>99</v>
      </c>
      <c r="X324" s="13">
        <v>262</v>
      </c>
    </row>
    <row r="325" spans="1:24" x14ac:dyDescent="0.25">
      <c r="A325" t="s">
        <v>425</v>
      </c>
      <c r="B325" t="s">
        <v>62</v>
      </c>
      <c r="C325" t="s">
        <v>421</v>
      </c>
      <c r="D325" t="s">
        <v>422</v>
      </c>
      <c r="E325" t="s">
        <v>62</v>
      </c>
      <c r="F325" t="s">
        <v>94</v>
      </c>
      <c r="G325" t="s">
        <v>277</v>
      </c>
      <c r="H325" s="12">
        <v>6.1679396000000004</v>
      </c>
      <c r="I325" s="12">
        <v>-75.578613000000004</v>
      </c>
      <c r="K325" t="s">
        <v>97</v>
      </c>
      <c r="M325">
        <v>11</v>
      </c>
      <c r="P325" s="13">
        <v>247</v>
      </c>
      <c r="Q325" s="13">
        <v>76</v>
      </c>
      <c r="R325">
        <v>30</v>
      </c>
      <c r="S325">
        <v>58</v>
      </c>
      <c r="T325" s="13">
        <v>38</v>
      </c>
      <c r="U325" s="13">
        <v>38</v>
      </c>
      <c r="V325" t="s">
        <v>99</v>
      </c>
      <c r="X325" s="13">
        <v>247</v>
      </c>
    </row>
    <row r="326" spans="1:24" x14ac:dyDescent="0.25">
      <c r="A326" t="s">
        <v>426</v>
      </c>
      <c r="B326" t="s">
        <v>62</v>
      </c>
      <c r="C326" t="s">
        <v>421</v>
      </c>
      <c r="D326" t="s">
        <v>422</v>
      </c>
      <c r="E326" t="s">
        <v>62</v>
      </c>
      <c r="F326" t="s">
        <v>94</v>
      </c>
      <c r="G326" t="s">
        <v>277</v>
      </c>
      <c r="H326" s="12">
        <v>6.1679396000000004</v>
      </c>
      <c r="I326" s="12">
        <v>-75.578613000000004</v>
      </c>
      <c r="K326" t="s">
        <v>97</v>
      </c>
      <c r="M326">
        <v>11</v>
      </c>
      <c r="P326" s="13">
        <v>231</v>
      </c>
      <c r="Q326" s="13">
        <v>66</v>
      </c>
      <c r="R326">
        <v>28</v>
      </c>
      <c r="S326">
        <v>50</v>
      </c>
      <c r="T326" s="13">
        <v>36</v>
      </c>
      <c r="U326" s="13">
        <v>60</v>
      </c>
      <c r="V326" t="s">
        <v>99</v>
      </c>
      <c r="X326" s="13">
        <v>231</v>
      </c>
    </row>
    <row r="327" spans="1:24" x14ac:dyDescent="0.25">
      <c r="A327" t="s">
        <v>427</v>
      </c>
      <c r="B327" t="s">
        <v>62</v>
      </c>
      <c r="C327" t="s">
        <v>421</v>
      </c>
      <c r="D327" t="s">
        <v>422</v>
      </c>
      <c r="E327" t="s">
        <v>62</v>
      </c>
      <c r="F327" t="s">
        <v>94</v>
      </c>
      <c r="G327" t="s">
        <v>277</v>
      </c>
      <c r="H327" s="12">
        <v>6.1679396000000004</v>
      </c>
      <c r="I327" s="12">
        <v>-75.578613000000004</v>
      </c>
      <c r="K327" t="s">
        <v>97</v>
      </c>
      <c r="M327">
        <v>11</v>
      </c>
      <c r="P327" s="13">
        <v>228</v>
      </c>
      <c r="Q327" s="13">
        <v>61</v>
      </c>
      <c r="R327">
        <v>48</v>
      </c>
      <c r="S327">
        <v>28</v>
      </c>
      <c r="T327" s="13">
        <v>38</v>
      </c>
      <c r="U327" s="13">
        <v>69</v>
      </c>
      <c r="V327" t="s">
        <v>99</v>
      </c>
      <c r="X327" s="13">
        <v>228</v>
      </c>
    </row>
    <row r="328" spans="1:24" x14ac:dyDescent="0.25">
      <c r="A328" t="s">
        <v>428</v>
      </c>
      <c r="B328" t="s">
        <v>62</v>
      </c>
      <c r="C328" t="s">
        <v>421</v>
      </c>
      <c r="D328" t="s">
        <v>422</v>
      </c>
      <c r="E328" t="s">
        <v>62</v>
      </c>
      <c r="F328" t="s">
        <v>94</v>
      </c>
      <c r="G328" t="s">
        <v>277</v>
      </c>
      <c r="H328" s="12">
        <v>6.1679396000000004</v>
      </c>
      <c r="I328" s="12">
        <v>-75.578613000000004</v>
      </c>
      <c r="K328" t="s">
        <v>97</v>
      </c>
      <c r="M328">
        <v>11</v>
      </c>
      <c r="P328" s="13">
        <v>220</v>
      </c>
      <c r="Q328" s="13">
        <v>39</v>
      </c>
      <c r="R328">
        <v>32</v>
      </c>
      <c r="S328">
        <v>52</v>
      </c>
      <c r="T328" s="13">
        <v>43</v>
      </c>
      <c r="U328" s="13">
        <v>75</v>
      </c>
      <c r="V328" t="s">
        <v>99</v>
      </c>
      <c r="X328" s="13">
        <v>220</v>
      </c>
    </row>
    <row r="329" spans="1:24" x14ac:dyDescent="0.25">
      <c r="A329" t="s">
        <v>429</v>
      </c>
      <c r="B329" t="s">
        <v>62</v>
      </c>
      <c r="C329" t="s">
        <v>421</v>
      </c>
      <c r="D329" t="s">
        <v>422</v>
      </c>
      <c r="E329" t="s">
        <v>62</v>
      </c>
      <c r="F329" t="s">
        <v>94</v>
      </c>
      <c r="G329" t="s">
        <v>277</v>
      </c>
      <c r="H329" s="12">
        <v>6.1679396000000004</v>
      </c>
      <c r="I329" s="12">
        <v>-75.578613000000004</v>
      </c>
      <c r="K329" t="s">
        <v>97</v>
      </c>
      <c r="M329">
        <v>11</v>
      </c>
      <c r="P329" s="13">
        <v>214</v>
      </c>
      <c r="Q329" s="13">
        <v>54</v>
      </c>
      <c r="R329">
        <v>34</v>
      </c>
      <c r="S329">
        <v>48</v>
      </c>
      <c r="T329" s="13">
        <v>36</v>
      </c>
      <c r="U329" s="13">
        <v>42</v>
      </c>
      <c r="V329" t="s">
        <v>99</v>
      </c>
      <c r="X329" s="13">
        <v>214</v>
      </c>
    </row>
    <row r="330" spans="1:24" x14ac:dyDescent="0.25">
      <c r="A330" t="s">
        <v>430</v>
      </c>
      <c r="B330" t="s">
        <v>62</v>
      </c>
      <c r="C330" t="s">
        <v>421</v>
      </c>
      <c r="D330" t="s">
        <v>422</v>
      </c>
      <c r="E330" t="s">
        <v>62</v>
      </c>
      <c r="F330" t="s">
        <v>94</v>
      </c>
      <c r="G330" t="s">
        <v>277</v>
      </c>
      <c r="H330" s="12">
        <v>6.1679396000000004</v>
      </c>
      <c r="I330" s="12">
        <v>-75.578613000000004</v>
      </c>
      <c r="K330" t="s">
        <v>97</v>
      </c>
      <c r="M330">
        <v>11</v>
      </c>
      <c r="P330" s="13">
        <v>214</v>
      </c>
      <c r="Q330" s="13">
        <v>54</v>
      </c>
      <c r="R330">
        <v>32</v>
      </c>
      <c r="S330">
        <v>50</v>
      </c>
      <c r="T330" s="13">
        <v>36</v>
      </c>
      <c r="U330" s="13">
        <v>42</v>
      </c>
      <c r="V330" t="s">
        <v>99</v>
      </c>
      <c r="X330" s="13">
        <v>214</v>
      </c>
    </row>
    <row r="331" spans="1:24" x14ac:dyDescent="0.25">
      <c r="A331" t="s">
        <v>431</v>
      </c>
      <c r="B331" t="s">
        <v>62</v>
      </c>
      <c r="C331" t="s">
        <v>421</v>
      </c>
      <c r="D331" t="s">
        <v>422</v>
      </c>
      <c r="E331" t="s">
        <v>62</v>
      </c>
      <c r="F331" t="s">
        <v>94</v>
      </c>
      <c r="G331" t="s">
        <v>277</v>
      </c>
      <c r="H331" s="12">
        <v>6.1679396000000004</v>
      </c>
      <c r="I331" s="12">
        <v>-75.578613000000004</v>
      </c>
      <c r="K331" t="s">
        <v>97</v>
      </c>
      <c r="M331">
        <v>11</v>
      </c>
      <c r="P331" s="13">
        <v>211</v>
      </c>
      <c r="Q331" s="13">
        <v>46</v>
      </c>
      <c r="R331">
        <v>26</v>
      </c>
      <c r="S331">
        <v>52</v>
      </c>
      <c r="T331" s="13">
        <v>45</v>
      </c>
      <c r="U331" s="13">
        <v>42</v>
      </c>
      <c r="V331" t="s">
        <v>99</v>
      </c>
      <c r="X331" s="13">
        <v>211</v>
      </c>
    </row>
    <row r="332" spans="1:24" x14ac:dyDescent="0.25">
      <c r="A332" t="s">
        <v>432</v>
      </c>
      <c r="B332" t="s">
        <v>62</v>
      </c>
      <c r="C332" t="s">
        <v>421</v>
      </c>
      <c r="D332" t="s">
        <v>422</v>
      </c>
      <c r="E332" t="s">
        <v>62</v>
      </c>
      <c r="F332" t="s">
        <v>94</v>
      </c>
      <c r="G332" t="s">
        <v>277</v>
      </c>
      <c r="H332" s="12">
        <v>6.1679396000000004</v>
      </c>
      <c r="I332" s="12">
        <v>-75.578613000000004</v>
      </c>
      <c r="K332" t="s">
        <v>97</v>
      </c>
      <c r="M332">
        <v>11</v>
      </c>
      <c r="P332" s="13">
        <v>208</v>
      </c>
      <c r="Q332" s="13">
        <v>51</v>
      </c>
      <c r="R332">
        <v>26</v>
      </c>
      <c r="S332">
        <v>44</v>
      </c>
      <c r="T332" s="13">
        <v>41</v>
      </c>
      <c r="U332" s="13">
        <v>53</v>
      </c>
      <c r="V332" t="s">
        <v>99</v>
      </c>
      <c r="X332" s="13">
        <v>208</v>
      </c>
    </row>
    <row r="333" spans="1:24" x14ac:dyDescent="0.25">
      <c r="A333" t="s">
        <v>433</v>
      </c>
      <c r="B333" t="s">
        <v>62</v>
      </c>
      <c r="C333" t="s">
        <v>421</v>
      </c>
      <c r="D333" t="s">
        <v>422</v>
      </c>
      <c r="E333" t="s">
        <v>62</v>
      </c>
      <c r="F333" t="s">
        <v>94</v>
      </c>
      <c r="G333" t="s">
        <v>277</v>
      </c>
      <c r="H333" s="12">
        <v>6.1679396000000004</v>
      </c>
      <c r="I333" s="12">
        <v>-75.578613000000004</v>
      </c>
      <c r="K333" t="s">
        <v>97</v>
      </c>
      <c r="M333">
        <v>11</v>
      </c>
      <c r="P333" s="13">
        <v>195</v>
      </c>
      <c r="Q333" s="13">
        <v>49</v>
      </c>
      <c r="R333">
        <v>38</v>
      </c>
      <c r="S333">
        <v>28</v>
      </c>
      <c r="T333" s="13">
        <v>43</v>
      </c>
      <c r="U333" s="13">
        <v>33</v>
      </c>
      <c r="V333" t="s">
        <v>99</v>
      </c>
      <c r="X333" s="13">
        <v>195</v>
      </c>
    </row>
    <row r="334" spans="1:24" x14ac:dyDescent="0.25">
      <c r="A334" t="s">
        <v>434</v>
      </c>
      <c r="B334" t="s">
        <v>62</v>
      </c>
      <c r="C334" t="s">
        <v>421</v>
      </c>
      <c r="D334" t="s">
        <v>422</v>
      </c>
      <c r="E334" t="s">
        <v>62</v>
      </c>
      <c r="F334" t="s">
        <v>94</v>
      </c>
      <c r="G334" t="s">
        <v>277</v>
      </c>
      <c r="H334" s="12">
        <v>6.1679396000000004</v>
      </c>
      <c r="I334" s="12">
        <v>-75.578613000000004</v>
      </c>
      <c r="K334" t="s">
        <v>97</v>
      </c>
      <c r="M334">
        <v>11</v>
      </c>
      <c r="P334" s="13">
        <v>184</v>
      </c>
      <c r="Q334" s="13">
        <v>44</v>
      </c>
      <c r="R334">
        <v>32</v>
      </c>
      <c r="S334">
        <v>50</v>
      </c>
      <c r="T334" s="13">
        <v>22</v>
      </c>
      <c r="U334" s="13">
        <v>33</v>
      </c>
      <c r="V334" t="s">
        <v>99</v>
      </c>
      <c r="X334" s="13">
        <v>184</v>
      </c>
    </row>
    <row r="335" spans="1:24" x14ac:dyDescent="0.25">
      <c r="A335" t="s">
        <v>435</v>
      </c>
      <c r="B335" t="s">
        <v>62</v>
      </c>
      <c r="C335" t="s">
        <v>436</v>
      </c>
      <c r="D335" t="s">
        <v>437</v>
      </c>
      <c r="E335" t="s">
        <v>62</v>
      </c>
      <c r="F335" t="s">
        <v>94</v>
      </c>
      <c r="G335" t="s">
        <v>277</v>
      </c>
      <c r="H335" s="12">
        <v>6.1715726000000002</v>
      </c>
      <c r="I335" s="12">
        <v>-75.590899399999998</v>
      </c>
      <c r="K335" t="s">
        <v>97</v>
      </c>
      <c r="M335">
        <v>11</v>
      </c>
      <c r="P335" s="13">
        <v>341</v>
      </c>
      <c r="Q335" s="13">
        <v>80</v>
      </c>
      <c r="R335">
        <v>46</v>
      </c>
      <c r="S335">
        <v>88</v>
      </c>
      <c r="T335" s="13">
        <v>52</v>
      </c>
      <c r="U335" s="13">
        <v>89</v>
      </c>
      <c r="V335" t="s">
        <v>99</v>
      </c>
      <c r="X335" s="13">
        <v>341</v>
      </c>
    </row>
    <row r="336" spans="1:24" x14ac:dyDescent="0.25">
      <c r="A336" t="s">
        <v>438</v>
      </c>
      <c r="B336" t="s">
        <v>62</v>
      </c>
      <c r="C336" t="s">
        <v>436</v>
      </c>
      <c r="D336" t="s">
        <v>437</v>
      </c>
      <c r="E336" t="s">
        <v>62</v>
      </c>
      <c r="F336" t="s">
        <v>94</v>
      </c>
      <c r="G336" t="s">
        <v>277</v>
      </c>
      <c r="H336" s="12">
        <v>6.1715726000000002</v>
      </c>
      <c r="I336" s="12">
        <v>-75.590899399999998</v>
      </c>
      <c r="K336" t="s">
        <v>97</v>
      </c>
      <c r="M336">
        <v>11</v>
      </c>
      <c r="P336" s="13">
        <v>341</v>
      </c>
      <c r="Q336" s="13">
        <v>83</v>
      </c>
      <c r="R336">
        <v>46</v>
      </c>
      <c r="S336">
        <v>82</v>
      </c>
      <c r="T336" s="13">
        <v>55</v>
      </c>
      <c r="U336" s="13">
        <v>89</v>
      </c>
      <c r="V336" t="s">
        <v>99</v>
      </c>
      <c r="X336" s="13">
        <v>341</v>
      </c>
    </row>
    <row r="337" spans="1:24" x14ac:dyDescent="0.25">
      <c r="A337" t="s">
        <v>439</v>
      </c>
      <c r="B337" t="s">
        <v>62</v>
      </c>
      <c r="C337" t="s">
        <v>436</v>
      </c>
      <c r="D337" t="s">
        <v>437</v>
      </c>
      <c r="E337" t="s">
        <v>62</v>
      </c>
      <c r="F337" t="s">
        <v>94</v>
      </c>
      <c r="G337" t="s">
        <v>277</v>
      </c>
      <c r="H337" s="12">
        <v>6.1715726000000002</v>
      </c>
      <c r="I337" s="12">
        <v>-75.590899399999998</v>
      </c>
      <c r="K337" t="s">
        <v>97</v>
      </c>
      <c r="M337">
        <v>11</v>
      </c>
      <c r="P337" s="13">
        <v>332</v>
      </c>
      <c r="Q337" s="13">
        <v>66</v>
      </c>
      <c r="R337">
        <v>40</v>
      </c>
      <c r="S337">
        <v>88</v>
      </c>
      <c r="T337" s="13">
        <v>64</v>
      </c>
      <c r="U337" s="13">
        <v>91</v>
      </c>
      <c r="V337" t="s">
        <v>99</v>
      </c>
      <c r="X337" s="13">
        <v>332</v>
      </c>
    </row>
    <row r="338" spans="1:24" x14ac:dyDescent="0.25">
      <c r="A338" t="s">
        <v>440</v>
      </c>
      <c r="B338" t="s">
        <v>62</v>
      </c>
      <c r="C338" t="s">
        <v>436</v>
      </c>
      <c r="D338" t="s">
        <v>437</v>
      </c>
      <c r="E338" t="s">
        <v>62</v>
      </c>
      <c r="F338" t="s">
        <v>94</v>
      </c>
      <c r="G338" t="s">
        <v>277</v>
      </c>
      <c r="H338" s="12">
        <v>6.1715726000000002</v>
      </c>
      <c r="I338" s="12">
        <v>-75.590899399999998</v>
      </c>
      <c r="K338" t="s">
        <v>97</v>
      </c>
      <c r="M338">
        <v>11</v>
      </c>
      <c r="P338" s="13">
        <v>328</v>
      </c>
      <c r="Q338" s="13">
        <v>80</v>
      </c>
      <c r="R338">
        <v>22</v>
      </c>
      <c r="S338">
        <v>70</v>
      </c>
      <c r="T338" s="13">
        <v>88</v>
      </c>
      <c r="U338" s="13">
        <v>71</v>
      </c>
      <c r="V338" t="s">
        <v>99</v>
      </c>
      <c r="X338" s="13">
        <v>328</v>
      </c>
    </row>
    <row r="339" spans="1:24" x14ac:dyDescent="0.25">
      <c r="A339" t="s">
        <v>441</v>
      </c>
      <c r="B339" t="s">
        <v>62</v>
      </c>
      <c r="C339" t="s">
        <v>436</v>
      </c>
      <c r="D339" t="s">
        <v>437</v>
      </c>
      <c r="E339" t="s">
        <v>62</v>
      </c>
      <c r="F339" t="s">
        <v>94</v>
      </c>
      <c r="G339" t="s">
        <v>277</v>
      </c>
      <c r="H339" s="12">
        <v>6.1715726000000002</v>
      </c>
      <c r="I339" s="12">
        <v>-75.590899399999998</v>
      </c>
      <c r="K339" t="s">
        <v>97</v>
      </c>
      <c r="M339">
        <v>11</v>
      </c>
      <c r="P339" s="13">
        <v>327</v>
      </c>
      <c r="Q339" s="13">
        <v>73</v>
      </c>
      <c r="R339">
        <v>32</v>
      </c>
      <c r="S339">
        <v>80</v>
      </c>
      <c r="T339" s="13">
        <v>69</v>
      </c>
      <c r="U339" s="13">
        <v>87</v>
      </c>
      <c r="V339" t="s">
        <v>99</v>
      </c>
      <c r="X339" s="13">
        <v>327</v>
      </c>
    </row>
    <row r="340" spans="1:24" x14ac:dyDescent="0.25">
      <c r="A340" t="s">
        <v>442</v>
      </c>
      <c r="B340" t="s">
        <v>62</v>
      </c>
      <c r="C340" t="s">
        <v>436</v>
      </c>
      <c r="D340" t="s">
        <v>437</v>
      </c>
      <c r="E340" t="s">
        <v>62</v>
      </c>
      <c r="F340" t="s">
        <v>94</v>
      </c>
      <c r="G340" t="s">
        <v>277</v>
      </c>
      <c r="H340" s="12">
        <v>6.1715726000000002</v>
      </c>
      <c r="I340" s="12">
        <v>-75.590899399999998</v>
      </c>
      <c r="K340" t="s">
        <v>97</v>
      </c>
      <c r="M340">
        <v>11</v>
      </c>
      <c r="P340" s="13">
        <v>320</v>
      </c>
      <c r="Q340" s="13">
        <v>63</v>
      </c>
      <c r="R340">
        <v>54</v>
      </c>
      <c r="S340">
        <v>70</v>
      </c>
      <c r="T340" s="13">
        <v>60</v>
      </c>
      <c r="U340" s="13">
        <v>89</v>
      </c>
      <c r="V340" t="s">
        <v>99</v>
      </c>
      <c r="X340" s="13">
        <v>320</v>
      </c>
    </row>
    <row r="341" spans="1:24" x14ac:dyDescent="0.25">
      <c r="A341" t="s">
        <v>443</v>
      </c>
      <c r="B341" t="s">
        <v>62</v>
      </c>
      <c r="C341" t="s">
        <v>436</v>
      </c>
      <c r="D341" t="s">
        <v>437</v>
      </c>
      <c r="E341" t="s">
        <v>62</v>
      </c>
      <c r="F341" t="s">
        <v>94</v>
      </c>
      <c r="G341" t="s">
        <v>277</v>
      </c>
      <c r="H341" s="12">
        <v>6.1715726000000002</v>
      </c>
      <c r="I341" s="12">
        <v>-75.590899399999998</v>
      </c>
      <c r="K341" t="s">
        <v>97</v>
      </c>
      <c r="M341">
        <v>11</v>
      </c>
      <c r="P341" s="13">
        <v>310</v>
      </c>
      <c r="Q341" s="13">
        <v>66</v>
      </c>
      <c r="R341">
        <v>42</v>
      </c>
      <c r="S341">
        <v>74</v>
      </c>
      <c r="T341" s="13">
        <v>67</v>
      </c>
      <c r="U341" s="13">
        <v>58</v>
      </c>
      <c r="V341" t="s">
        <v>99</v>
      </c>
      <c r="X341" s="13">
        <v>310</v>
      </c>
    </row>
    <row r="342" spans="1:24" x14ac:dyDescent="0.25">
      <c r="A342" t="s">
        <v>444</v>
      </c>
      <c r="B342" t="s">
        <v>62</v>
      </c>
      <c r="C342" t="s">
        <v>436</v>
      </c>
      <c r="D342" t="s">
        <v>437</v>
      </c>
      <c r="E342" t="s">
        <v>62</v>
      </c>
      <c r="F342" t="s">
        <v>94</v>
      </c>
      <c r="G342" t="s">
        <v>277</v>
      </c>
      <c r="H342" s="12">
        <v>6.1715726000000002</v>
      </c>
      <c r="I342" s="12">
        <v>-75.590899399999998</v>
      </c>
      <c r="K342" t="s">
        <v>97</v>
      </c>
      <c r="M342">
        <v>11</v>
      </c>
      <c r="P342" s="13">
        <v>307</v>
      </c>
      <c r="Q342" s="13">
        <v>66</v>
      </c>
      <c r="R342">
        <v>40</v>
      </c>
      <c r="S342">
        <v>88</v>
      </c>
      <c r="T342" s="13">
        <v>55</v>
      </c>
      <c r="U342" s="13">
        <v>51</v>
      </c>
      <c r="V342" t="s">
        <v>99</v>
      </c>
      <c r="X342" s="13">
        <v>307</v>
      </c>
    </row>
    <row r="343" spans="1:24" x14ac:dyDescent="0.25">
      <c r="A343" t="s">
        <v>445</v>
      </c>
      <c r="B343" t="s">
        <v>62</v>
      </c>
      <c r="C343" t="s">
        <v>436</v>
      </c>
      <c r="D343" t="s">
        <v>437</v>
      </c>
      <c r="E343" t="s">
        <v>62</v>
      </c>
      <c r="F343" t="s">
        <v>94</v>
      </c>
      <c r="G343" t="s">
        <v>277</v>
      </c>
      <c r="H343" s="12">
        <v>6.1715726000000002</v>
      </c>
      <c r="I343" s="12">
        <v>-75.590899399999998</v>
      </c>
      <c r="K343" t="s">
        <v>97</v>
      </c>
      <c r="M343">
        <v>11</v>
      </c>
      <c r="P343" s="13">
        <v>301</v>
      </c>
      <c r="Q343" s="13">
        <v>68</v>
      </c>
      <c r="R343">
        <v>40</v>
      </c>
      <c r="S343">
        <v>70</v>
      </c>
      <c r="T343" s="13">
        <v>60</v>
      </c>
      <c r="U343" s="13">
        <v>67</v>
      </c>
      <c r="V343" t="s">
        <v>99</v>
      </c>
      <c r="X343" s="13">
        <v>301</v>
      </c>
    </row>
    <row r="344" spans="1:24" x14ac:dyDescent="0.25">
      <c r="A344" t="s">
        <v>446</v>
      </c>
      <c r="B344" t="s">
        <v>62</v>
      </c>
      <c r="C344" t="s">
        <v>436</v>
      </c>
      <c r="D344" t="s">
        <v>437</v>
      </c>
      <c r="E344" t="s">
        <v>62</v>
      </c>
      <c r="F344" t="s">
        <v>94</v>
      </c>
      <c r="G344" t="s">
        <v>277</v>
      </c>
      <c r="H344" s="12">
        <v>6.1715726000000002</v>
      </c>
      <c r="I344" s="12">
        <v>-75.590899399999998</v>
      </c>
      <c r="K344" t="s">
        <v>97</v>
      </c>
      <c r="M344">
        <v>11</v>
      </c>
      <c r="P344" s="13">
        <v>300</v>
      </c>
      <c r="Q344" s="13">
        <v>68</v>
      </c>
      <c r="R344">
        <v>40</v>
      </c>
      <c r="S344">
        <v>72</v>
      </c>
      <c r="T344" s="13">
        <v>55</v>
      </c>
      <c r="U344" s="13">
        <v>73</v>
      </c>
      <c r="V344" t="s">
        <v>99</v>
      </c>
      <c r="X344" s="13">
        <v>300</v>
      </c>
    </row>
    <row r="345" spans="1:24" x14ac:dyDescent="0.25">
      <c r="A345" t="s">
        <v>447</v>
      </c>
      <c r="B345" t="s">
        <v>62</v>
      </c>
      <c r="C345" t="s">
        <v>436</v>
      </c>
      <c r="D345" t="s">
        <v>437</v>
      </c>
      <c r="E345" t="s">
        <v>62</v>
      </c>
      <c r="F345" t="s">
        <v>94</v>
      </c>
      <c r="G345" t="s">
        <v>277</v>
      </c>
      <c r="H345" s="12">
        <v>6.1715726000000002</v>
      </c>
      <c r="I345" s="12">
        <v>-75.590899399999998</v>
      </c>
      <c r="K345" t="s">
        <v>97</v>
      </c>
      <c r="M345">
        <v>11</v>
      </c>
      <c r="P345" s="13">
        <v>292</v>
      </c>
      <c r="Q345" s="13">
        <v>73</v>
      </c>
      <c r="R345">
        <v>38</v>
      </c>
      <c r="S345">
        <v>68</v>
      </c>
      <c r="T345" s="13">
        <v>48</v>
      </c>
      <c r="U345" s="13">
        <v>76</v>
      </c>
      <c r="V345" t="s">
        <v>99</v>
      </c>
      <c r="X345" s="13">
        <v>292</v>
      </c>
    </row>
    <row r="346" spans="1:24" x14ac:dyDescent="0.25">
      <c r="A346" t="s">
        <v>448</v>
      </c>
      <c r="B346" t="s">
        <v>62</v>
      </c>
      <c r="C346" t="s">
        <v>436</v>
      </c>
      <c r="D346" t="s">
        <v>437</v>
      </c>
      <c r="E346" t="s">
        <v>62</v>
      </c>
      <c r="F346" t="s">
        <v>94</v>
      </c>
      <c r="G346" t="s">
        <v>277</v>
      </c>
      <c r="H346" s="12">
        <v>6.1715726000000002</v>
      </c>
      <c r="I346" s="12">
        <v>-75.590899399999998</v>
      </c>
      <c r="K346" t="s">
        <v>97</v>
      </c>
      <c r="M346">
        <v>11</v>
      </c>
      <c r="P346" s="13">
        <v>286</v>
      </c>
      <c r="Q346" s="13">
        <v>76</v>
      </c>
      <c r="R346">
        <v>30</v>
      </c>
      <c r="S346">
        <v>72</v>
      </c>
      <c r="T346" s="13">
        <v>50</v>
      </c>
      <c r="U346" s="13">
        <v>60</v>
      </c>
      <c r="V346" t="s">
        <v>99</v>
      </c>
      <c r="X346" s="13">
        <v>286</v>
      </c>
    </row>
    <row r="347" spans="1:24" x14ac:dyDescent="0.25">
      <c r="A347" t="s">
        <v>449</v>
      </c>
      <c r="B347" t="s">
        <v>62</v>
      </c>
      <c r="C347" t="s">
        <v>436</v>
      </c>
      <c r="D347" t="s">
        <v>437</v>
      </c>
      <c r="E347" t="s">
        <v>62</v>
      </c>
      <c r="F347" t="s">
        <v>94</v>
      </c>
      <c r="G347" t="s">
        <v>277</v>
      </c>
      <c r="H347" s="12">
        <v>6.1715726000000002</v>
      </c>
      <c r="I347" s="12">
        <v>-75.590899399999998</v>
      </c>
      <c r="K347" t="s">
        <v>97</v>
      </c>
      <c r="M347">
        <v>11</v>
      </c>
      <c r="P347" s="13">
        <v>267</v>
      </c>
      <c r="Q347" s="13">
        <v>59</v>
      </c>
      <c r="R347">
        <v>36</v>
      </c>
      <c r="S347">
        <v>74</v>
      </c>
      <c r="T347" s="13">
        <v>52</v>
      </c>
      <c r="U347" s="13">
        <v>33</v>
      </c>
      <c r="V347" t="s">
        <v>99</v>
      </c>
      <c r="X347" s="13">
        <v>267</v>
      </c>
    </row>
    <row r="348" spans="1:24" x14ac:dyDescent="0.25">
      <c r="A348" t="s">
        <v>450</v>
      </c>
      <c r="B348" t="s">
        <v>62</v>
      </c>
      <c r="C348" t="s">
        <v>436</v>
      </c>
      <c r="D348" t="s">
        <v>437</v>
      </c>
      <c r="E348" t="s">
        <v>62</v>
      </c>
      <c r="F348" t="s">
        <v>94</v>
      </c>
      <c r="G348" t="s">
        <v>277</v>
      </c>
      <c r="H348" s="12">
        <v>6.1715726000000002</v>
      </c>
      <c r="I348" s="12">
        <v>-75.590899399999998</v>
      </c>
      <c r="K348" t="s">
        <v>97</v>
      </c>
      <c r="M348">
        <v>11</v>
      </c>
      <c r="P348" s="13">
        <v>267</v>
      </c>
      <c r="Q348" s="13">
        <v>68</v>
      </c>
      <c r="R348">
        <v>48</v>
      </c>
      <c r="S348">
        <v>34</v>
      </c>
      <c r="T348" s="13">
        <v>52</v>
      </c>
      <c r="U348" s="13">
        <v>87</v>
      </c>
      <c r="V348" t="s">
        <v>99</v>
      </c>
      <c r="X348" s="13">
        <v>267</v>
      </c>
    </row>
    <row r="349" spans="1:24" x14ac:dyDescent="0.25">
      <c r="A349" t="s">
        <v>451</v>
      </c>
      <c r="B349" t="s">
        <v>62</v>
      </c>
      <c r="C349" t="s">
        <v>436</v>
      </c>
      <c r="D349" t="s">
        <v>437</v>
      </c>
      <c r="E349" t="s">
        <v>62</v>
      </c>
      <c r="F349" t="s">
        <v>94</v>
      </c>
      <c r="G349" t="s">
        <v>277</v>
      </c>
      <c r="H349" s="12">
        <v>6.1715726000000002</v>
      </c>
      <c r="I349" s="12">
        <v>-75.590899399999998</v>
      </c>
      <c r="K349" t="s">
        <v>97</v>
      </c>
      <c r="M349">
        <v>11</v>
      </c>
      <c r="P349" s="13">
        <v>266</v>
      </c>
      <c r="Q349" s="13">
        <v>49</v>
      </c>
      <c r="R349">
        <v>44</v>
      </c>
      <c r="S349">
        <v>70</v>
      </c>
      <c r="T349" s="13">
        <v>50</v>
      </c>
      <c r="U349" s="13">
        <v>53</v>
      </c>
      <c r="V349" t="s">
        <v>99</v>
      </c>
      <c r="X349" s="13">
        <v>266</v>
      </c>
    </row>
    <row r="350" spans="1:24" x14ac:dyDescent="0.25">
      <c r="A350" t="s">
        <v>452</v>
      </c>
      <c r="B350" t="s">
        <v>62</v>
      </c>
      <c r="C350" t="s">
        <v>436</v>
      </c>
      <c r="D350" t="s">
        <v>437</v>
      </c>
      <c r="E350" t="s">
        <v>62</v>
      </c>
      <c r="F350" t="s">
        <v>94</v>
      </c>
      <c r="G350" t="s">
        <v>277</v>
      </c>
      <c r="H350" s="12">
        <v>6.1715726000000002</v>
      </c>
      <c r="I350" s="12">
        <v>-75.590899399999998</v>
      </c>
      <c r="K350" t="s">
        <v>97</v>
      </c>
      <c r="M350">
        <v>11</v>
      </c>
      <c r="P350" s="13">
        <v>265</v>
      </c>
      <c r="Q350" s="13">
        <v>37</v>
      </c>
      <c r="R350">
        <v>38</v>
      </c>
      <c r="S350">
        <v>74</v>
      </c>
      <c r="T350" s="13">
        <v>52</v>
      </c>
      <c r="U350" s="13">
        <v>89</v>
      </c>
      <c r="V350" t="s">
        <v>99</v>
      </c>
      <c r="X350" s="13">
        <v>265</v>
      </c>
    </row>
    <row r="351" spans="1:24" x14ac:dyDescent="0.25">
      <c r="A351" t="s">
        <v>453</v>
      </c>
      <c r="B351" t="s">
        <v>62</v>
      </c>
      <c r="C351" t="s">
        <v>436</v>
      </c>
      <c r="D351" t="s">
        <v>437</v>
      </c>
      <c r="E351" t="s">
        <v>62</v>
      </c>
      <c r="F351" t="s">
        <v>94</v>
      </c>
      <c r="G351" t="s">
        <v>277</v>
      </c>
      <c r="H351" s="12">
        <v>6.1715726000000002</v>
      </c>
      <c r="I351" s="12">
        <v>-75.590899399999998</v>
      </c>
      <c r="K351" t="s">
        <v>97</v>
      </c>
      <c r="M351">
        <v>11</v>
      </c>
      <c r="P351" s="13">
        <v>256</v>
      </c>
      <c r="Q351" s="13">
        <v>41</v>
      </c>
      <c r="R351">
        <v>44</v>
      </c>
      <c r="S351">
        <v>56</v>
      </c>
      <c r="T351" s="13">
        <v>53</v>
      </c>
      <c r="U351" s="13">
        <v>80</v>
      </c>
      <c r="V351" t="s">
        <v>99</v>
      </c>
      <c r="X351" s="13">
        <v>256</v>
      </c>
    </row>
    <row r="352" spans="1:24" x14ac:dyDescent="0.25">
      <c r="A352" t="s">
        <v>454</v>
      </c>
      <c r="B352" t="s">
        <v>62</v>
      </c>
      <c r="C352" t="s">
        <v>436</v>
      </c>
      <c r="D352" t="s">
        <v>437</v>
      </c>
      <c r="E352" t="s">
        <v>62</v>
      </c>
      <c r="F352" t="s">
        <v>94</v>
      </c>
      <c r="G352" t="s">
        <v>277</v>
      </c>
      <c r="H352" s="12">
        <v>6.1715726000000002</v>
      </c>
      <c r="I352" s="12">
        <v>-75.590899399999998</v>
      </c>
      <c r="K352" t="s">
        <v>97</v>
      </c>
      <c r="M352">
        <v>11</v>
      </c>
      <c r="P352" s="13">
        <v>255</v>
      </c>
      <c r="Q352" s="13">
        <v>68</v>
      </c>
      <c r="R352">
        <v>36</v>
      </c>
      <c r="S352">
        <v>60</v>
      </c>
      <c r="T352" s="13">
        <v>31</v>
      </c>
      <c r="U352" s="13">
        <v>76</v>
      </c>
      <c r="V352" t="s">
        <v>99</v>
      </c>
      <c r="X352" s="13">
        <v>255</v>
      </c>
    </row>
    <row r="353" spans="1:24" x14ac:dyDescent="0.25">
      <c r="A353" t="s">
        <v>455</v>
      </c>
      <c r="B353" t="s">
        <v>62</v>
      </c>
      <c r="C353" t="s">
        <v>436</v>
      </c>
      <c r="D353" t="s">
        <v>437</v>
      </c>
      <c r="E353" t="s">
        <v>62</v>
      </c>
      <c r="F353" t="s">
        <v>94</v>
      </c>
      <c r="G353" t="s">
        <v>277</v>
      </c>
      <c r="H353" s="12">
        <v>6.1715726000000002</v>
      </c>
      <c r="I353" s="12">
        <v>-75.590899399999998</v>
      </c>
      <c r="K353" t="s">
        <v>97</v>
      </c>
      <c r="M353">
        <v>11</v>
      </c>
      <c r="P353" s="13">
        <v>253</v>
      </c>
      <c r="Q353" s="13">
        <v>54</v>
      </c>
      <c r="R353">
        <v>44</v>
      </c>
      <c r="S353">
        <v>40</v>
      </c>
      <c r="T353" s="13">
        <v>52</v>
      </c>
      <c r="U353" s="13">
        <v>89</v>
      </c>
      <c r="V353" t="s">
        <v>99</v>
      </c>
      <c r="X353" s="13">
        <v>253</v>
      </c>
    </row>
    <row r="354" spans="1:24" x14ac:dyDescent="0.25">
      <c r="A354" t="s">
        <v>456</v>
      </c>
      <c r="B354" t="s">
        <v>62</v>
      </c>
      <c r="C354" t="s">
        <v>436</v>
      </c>
      <c r="D354" t="s">
        <v>437</v>
      </c>
      <c r="E354" t="s">
        <v>62</v>
      </c>
      <c r="F354" t="s">
        <v>94</v>
      </c>
      <c r="G354" t="s">
        <v>277</v>
      </c>
      <c r="H354" s="12">
        <v>6.1715726000000002</v>
      </c>
      <c r="I354" s="12">
        <v>-75.590899399999998</v>
      </c>
      <c r="K354" t="s">
        <v>97</v>
      </c>
      <c r="M354">
        <v>11</v>
      </c>
      <c r="P354" s="13">
        <v>252</v>
      </c>
      <c r="Q354" s="13">
        <v>66</v>
      </c>
      <c r="R354">
        <v>24</v>
      </c>
      <c r="S354">
        <v>58</v>
      </c>
      <c r="T354" s="13">
        <v>48</v>
      </c>
      <c r="U354" s="13">
        <v>67</v>
      </c>
      <c r="V354" t="s">
        <v>99</v>
      </c>
      <c r="X354" s="13">
        <v>252</v>
      </c>
    </row>
    <row r="355" spans="1:24" x14ac:dyDescent="0.25">
      <c r="A355" t="s">
        <v>457</v>
      </c>
      <c r="B355" t="s">
        <v>62</v>
      </c>
      <c r="C355" t="s">
        <v>436</v>
      </c>
      <c r="D355" t="s">
        <v>437</v>
      </c>
      <c r="E355" t="s">
        <v>62</v>
      </c>
      <c r="F355" t="s">
        <v>94</v>
      </c>
      <c r="G355" t="s">
        <v>277</v>
      </c>
      <c r="H355" s="12">
        <v>6.1715726000000002</v>
      </c>
      <c r="I355" s="12">
        <v>-75.590899399999998</v>
      </c>
      <c r="K355" t="s">
        <v>97</v>
      </c>
      <c r="M355">
        <v>11</v>
      </c>
      <c r="P355" s="13">
        <v>247</v>
      </c>
      <c r="Q355" s="13">
        <v>54</v>
      </c>
      <c r="R355">
        <v>34</v>
      </c>
      <c r="S355">
        <v>50</v>
      </c>
      <c r="T355" s="13">
        <v>48</v>
      </c>
      <c r="U355" s="13">
        <v>85</v>
      </c>
      <c r="V355" t="s">
        <v>99</v>
      </c>
      <c r="X355" s="13">
        <v>247</v>
      </c>
    </row>
    <row r="356" spans="1:24" x14ac:dyDescent="0.25">
      <c r="A356" t="s">
        <v>458</v>
      </c>
      <c r="B356" t="s">
        <v>62</v>
      </c>
      <c r="C356" t="s">
        <v>436</v>
      </c>
      <c r="D356" t="s">
        <v>437</v>
      </c>
      <c r="E356" t="s">
        <v>62</v>
      </c>
      <c r="F356" t="s">
        <v>94</v>
      </c>
      <c r="G356" t="s">
        <v>277</v>
      </c>
      <c r="H356" s="12">
        <v>6.1715726000000002</v>
      </c>
      <c r="I356" s="12">
        <v>-75.590899399999998</v>
      </c>
      <c r="K356" t="s">
        <v>97</v>
      </c>
      <c r="M356">
        <v>11</v>
      </c>
      <c r="P356" s="13">
        <v>247</v>
      </c>
      <c r="Q356" s="13">
        <v>63</v>
      </c>
      <c r="R356">
        <v>28</v>
      </c>
      <c r="S356">
        <v>48</v>
      </c>
      <c r="T356" s="13">
        <v>55</v>
      </c>
      <c r="U356" s="13">
        <v>58</v>
      </c>
      <c r="V356" t="s">
        <v>99</v>
      </c>
      <c r="X356" s="13">
        <v>247</v>
      </c>
    </row>
    <row r="357" spans="1:24" x14ac:dyDescent="0.25">
      <c r="A357" t="s">
        <v>459</v>
      </c>
      <c r="B357" t="s">
        <v>62</v>
      </c>
      <c r="C357" t="s">
        <v>436</v>
      </c>
      <c r="D357" t="s">
        <v>437</v>
      </c>
      <c r="E357" t="s">
        <v>62</v>
      </c>
      <c r="F357" t="s">
        <v>94</v>
      </c>
      <c r="G357" t="s">
        <v>277</v>
      </c>
      <c r="H357" s="12">
        <v>6.1715726000000002</v>
      </c>
      <c r="I357" s="12">
        <v>-75.590899399999998</v>
      </c>
      <c r="K357" t="s">
        <v>97</v>
      </c>
      <c r="M357">
        <v>11</v>
      </c>
      <c r="P357" s="13">
        <v>240</v>
      </c>
      <c r="Q357" s="13">
        <v>56</v>
      </c>
      <c r="R357">
        <v>42</v>
      </c>
      <c r="S357">
        <v>52</v>
      </c>
      <c r="T357" s="13">
        <v>38</v>
      </c>
      <c r="U357" s="13">
        <v>60</v>
      </c>
      <c r="V357" t="s">
        <v>99</v>
      </c>
      <c r="X357" s="13">
        <v>240</v>
      </c>
    </row>
    <row r="358" spans="1:24" x14ac:dyDescent="0.25">
      <c r="A358" t="s">
        <v>460</v>
      </c>
      <c r="B358" t="s">
        <v>62</v>
      </c>
      <c r="C358" t="s">
        <v>436</v>
      </c>
      <c r="D358" t="s">
        <v>437</v>
      </c>
      <c r="E358" t="s">
        <v>62</v>
      </c>
      <c r="F358" t="s">
        <v>94</v>
      </c>
      <c r="G358" t="s">
        <v>277</v>
      </c>
      <c r="H358" s="12">
        <v>6.1715726000000002</v>
      </c>
      <c r="I358" s="12">
        <v>-75.590899399999998</v>
      </c>
      <c r="K358" t="s">
        <v>97</v>
      </c>
      <c r="M358">
        <v>11</v>
      </c>
      <c r="P358" s="13">
        <v>239</v>
      </c>
      <c r="Q358" s="13">
        <v>63</v>
      </c>
      <c r="R358">
        <v>30</v>
      </c>
      <c r="S358">
        <v>50</v>
      </c>
      <c r="T358" s="13">
        <v>36</v>
      </c>
      <c r="U358" s="13">
        <v>82</v>
      </c>
      <c r="V358" t="s">
        <v>99</v>
      </c>
      <c r="X358" s="13">
        <v>239</v>
      </c>
    </row>
    <row r="359" spans="1:24" x14ac:dyDescent="0.25">
      <c r="A359" t="s">
        <v>461</v>
      </c>
      <c r="B359" t="s">
        <v>62</v>
      </c>
      <c r="C359" t="s">
        <v>436</v>
      </c>
      <c r="D359" t="s">
        <v>437</v>
      </c>
      <c r="E359" t="s">
        <v>62</v>
      </c>
      <c r="F359" t="s">
        <v>94</v>
      </c>
      <c r="G359" t="s">
        <v>277</v>
      </c>
      <c r="H359" s="12">
        <v>6.1715726000000002</v>
      </c>
      <c r="I359" s="12">
        <v>-75.590899399999998</v>
      </c>
      <c r="K359" t="s">
        <v>97</v>
      </c>
      <c r="M359">
        <v>11</v>
      </c>
      <c r="P359" s="13">
        <v>238</v>
      </c>
      <c r="Q359" s="13">
        <v>61</v>
      </c>
      <c r="R359">
        <v>44</v>
      </c>
      <c r="S359">
        <v>42</v>
      </c>
      <c r="T359" s="13">
        <v>33</v>
      </c>
      <c r="U359" s="13">
        <v>80</v>
      </c>
      <c r="V359" t="s">
        <v>99</v>
      </c>
      <c r="X359" s="13">
        <v>238</v>
      </c>
    </row>
    <row r="360" spans="1:24" x14ac:dyDescent="0.25">
      <c r="A360" t="s">
        <v>462</v>
      </c>
      <c r="B360" t="s">
        <v>62</v>
      </c>
      <c r="C360" t="s">
        <v>436</v>
      </c>
      <c r="D360" t="s">
        <v>437</v>
      </c>
      <c r="E360" t="s">
        <v>62</v>
      </c>
      <c r="F360" t="s">
        <v>94</v>
      </c>
      <c r="G360" t="s">
        <v>277</v>
      </c>
      <c r="H360" s="12">
        <v>6.1715726000000002</v>
      </c>
      <c r="I360" s="12">
        <v>-75.590899399999998</v>
      </c>
      <c r="K360" t="s">
        <v>97</v>
      </c>
      <c r="M360">
        <v>11</v>
      </c>
      <c r="P360" s="13">
        <v>238</v>
      </c>
      <c r="Q360" s="13">
        <v>46</v>
      </c>
      <c r="R360">
        <v>44</v>
      </c>
      <c r="S360">
        <v>52</v>
      </c>
      <c r="T360" s="13">
        <v>45</v>
      </c>
      <c r="U360" s="13">
        <v>56</v>
      </c>
      <c r="V360" t="s">
        <v>99</v>
      </c>
      <c r="X360" s="13">
        <v>238</v>
      </c>
    </row>
    <row r="361" spans="1:24" x14ac:dyDescent="0.25">
      <c r="A361" t="s">
        <v>463</v>
      </c>
      <c r="B361" t="s">
        <v>62</v>
      </c>
      <c r="C361" t="s">
        <v>436</v>
      </c>
      <c r="D361" t="s">
        <v>437</v>
      </c>
      <c r="E361" t="s">
        <v>62</v>
      </c>
      <c r="F361" t="s">
        <v>94</v>
      </c>
      <c r="G361" t="s">
        <v>277</v>
      </c>
      <c r="H361" s="12">
        <v>6.1715726000000002</v>
      </c>
      <c r="I361" s="12">
        <v>-75.590899399999998</v>
      </c>
      <c r="K361" t="s">
        <v>97</v>
      </c>
      <c r="M361">
        <v>11</v>
      </c>
      <c r="P361" s="13">
        <v>234</v>
      </c>
      <c r="Q361" s="13">
        <v>59</v>
      </c>
      <c r="R361">
        <v>32</v>
      </c>
      <c r="S361">
        <v>46</v>
      </c>
      <c r="T361" s="13">
        <v>47</v>
      </c>
      <c r="U361" s="13">
        <v>58</v>
      </c>
      <c r="V361" t="s">
        <v>99</v>
      </c>
      <c r="X361" s="13">
        <v>234</v>
      </c>
    </row>
    <row r="362" spans="1:24" x14ac:dyDescent="0.25">
      <c r="A362" t="s">
        <v>464</v>
      </c>
      <c r="B362" t="s">
        <v>62</v>
      </c>
      <c r="C362" t="s">
        <v>436</v>
      </c>
      <c r="D362" t="s">
        <v>437</v>
      </c>
      <c r="E362" t="s">
        <v>62</v>
      </c>
      <c r="F362" t="s">
        <v>94</v>
      </c>
      <c r="G362" t="s">
        <v>277</v>
      </c>
      <c r="H362" s="12">
        <v>6.1715726000000002</v>
      </c>
      <c r="I362" s="12">
        <v>-75.590899399999998</v>
      </c>
      <c r="K362" t="s">
        <v>97</v>
      </c>
      <c r="M362">
        <v>11</v>
      </c>
      <c r="P362" s="13">
        <v>232</v>
      </c>
      <c r="Q362" s="13">
        <v>61</v>
      </c>
      <c r="R362">
        <v>34</v>
      </c>
      <c r="S362">
        <v>34</v>
      </c>
      <c r="T362" s="13">
        <v>48</v>
      </c>
      <c r="U362" s="13">
        <v>71</v>
      </c>
      <c r="V362" t="s">
        <v>99</v>
      </c>
      <c r="X362" s="13">
        <v>232</v>
      </c>
    </row>
    <row r="363" spans="1:24" x14ac:dyDescent="0.25">
      <c r="A363" t="s">
        <v>465</v>
      </c>
      <c r="B363" t="s">
        <v>62</v>
      </c>
      <c r="C363" t="s">
        <v>436</v>
      </c>
      <c r="D363" t="s">
        <v>437</v>
      </c>
      <c r="E363" t="s">
        <v>62</v>
      </c>
      <c r="F363" t="s">
        <v>94</v>
      </c>
      <c r="G363" t="s">
        <v>277</v>
      </c>
      <c r="H363" s="12">
        <v>6.1715726000000002</v>
      </c>
      <c r="I363" s="12">
        <v>-75.590899399999998</v>
      </c>
      <c r="K363" t="s">
        <v>97</v>
      </c>
      <c r="M363">
        <v>11</v>
      </c>
      <c r="P363" s="13">
        <v>232</v>
      </c>
      <c r="Q363" s="13">
        <v>32</v>
      </c>
      <c r="R363">
        <v>42</v>
      </c>
      <c r="S363">
        <v>64</v>
      </c>
      <c r="T363" s="13">
        <v>43</v>
      </c>
      <c r="U363" s="13">
        <v>60</v>
      </c>
      <c r="V363" t="s">
        <v>99</v>
      </c>
      <c r="X363" s="13">
        <v>232</v>
      </c>
    </row>
    <row r="364" spans="1:24" x14ac:dyDescent="0.25">
      <c r="A364" t="s">
        <v>466</v>
      </c>
      <c r="B364" t="s">
        <v>62</v>
      </c>
      <c r="C364" t="s">
        <v>436</v>
      </c>
      <c r="D364" t="s">
        <v>437</v>
      </c>
      <c r="E364" t="s">
        <v>62</v>
      </c>
      <c r="F364" t="s">
        <v>94</v>
      </c>
      <c r="G364" t="s">
        <v>277</v>
      </c>
      <c r="H364" s="12">
        <v>6.1715726000000002</v>
      </c>
      <c r="I364" s="12">
        <v>-75.590899399999998</v>
      </c>
      <c r="K364" t="s">
        <v>97</v>
      </c>
      <c r="M364">
        <v>11</v>
      </c>
      <c r="P364" s="13">
        <v>232</v>
      </c>
      <c r="Q364" s="13">
        <v>51</v>
      </c>
      <c r="R364">
        <v>46</v>
      </c>
      <c r="S364">
        <v>36</v>
      </c>
      <c r="T364" s="13">
        <v>40</v>
      </c>
      <c r="U364" s="13">
        <v>84</v>
      </c>
      <c r="V364" t="s">
        <v>99</v>
      </c>
      <c r="X364" s="13">
        <v>232</v>
      </c>
    </row>
    <row r="365" spans="1:24" x14ac:dyDescent="0.25">
      <c r="A365" t="s">
        <v>467</v>
      </c>
      <c r="B365" t="s">
        <v>62</v>
      </c>
      <c r="C365" t="s">
        <v>436</v>
      </c>
      <c r="D365" t="s">
        <v>437</v>
      </c>
      <c r="E365" t="s">
        <v>62</v>
      </c>
      <c r="F365" t="s">
        <v>94</v>
      </c>
      <c r="G365" t="s">
        <v>277</v>
      </c>
      <c r="H365" s="12">
        <v>6.1715726000000002</v>
      </c>
      <c r="I365" s="12">
        <v>-75.590899399999998</v>
      </c>
      <c r="K365" t="s">
        <v>97</v>
      </c>
      <c r="M365">
        <v>11</v>
      </c>
      <c r="P365" s="13">
        <v>228</v>
      </c>
      <c r="Q365" s="13">
        <v>37</v>
      </c>
      <c r="R365">
        <v>28</v>
      </c>
      <c r="S365">
        <v>66</v>
      </c>
      <c r="T365" s="13">
        <v>55</v>
      </c>
      <c r="U365" s="13">
        <v>36</v>
      </c>
      <c r="V365" t="s">
        <v>99</v>
      </c>
      <c r="X365" s="13">
        <v>228</v>
      </c>
    </row>
    <row r="366" spans="1:24" x14ac:dyDescent="0.25">
      <c r="A366" t="s">
        <v>468</v>
      </c>
      <c r="B366" t="s">
        <v>62</v>
      </c>
      <c r="C366" t="s">
        <v>436</v>
      </c>
      <c r="D366" t="s">
        <v>437</v>
      </c>
      <c r="E366" t="s">
        <v>62</v>
      </c>
      <c r="F366" t="s">
        <v>94</v>
      </c>
      <c r="G366" t="s">
        <v>277</v>
      </c>
      <c r="H366" s="12">
        <v>6.1715726000000002</v>
      </c>
      <c r="I366" s="12">
        <v>-75.590899399999998</v>
      </c>
      <c r="K366" t="s">
        <v>97</v>
      </c>
      <c r="M366">
        <v>11</v>
      </c>
      <c r="P366" s="13">
        <v>227</v>
      </c>
      <c r="Q366" s="13">
        <v>44</v>
      </c>
      <c r="R366">
        <v>38</v>
      </c>
      <c r="S366">
        <v>36</v>
      </c>
      <c r="T366" s="13">
        <v>50</v>
      </c>
      <c r="U366" s="13">
        <v>85</v>
      </c>
      <c r="V366" t="s">
        <v>99</v>
      </c>
      <c r="X366" s="13">
        <v>227</v>
      </c>
    </row>
    <row r="367" spans="1:24" x14ac:dyDescent="0.25">
      <c r="A367" t="s">
        <v>469</v>
      </c>
      <c r="B367" t="s">
        <v>62</v>
      </c>
      <c r="C367" t="s">
        <v>436</v>
      </c>
      <c r="D367" t="s">
        <v>437</v>
      </c>
      <c r="E367" t="s">
        <v>62</v>
      </c>
      <c r="F367" t="s">
        <v>94</v>
      </c>
      <c r="G367" t="s">
        <v>277</v>
      </c>
      <c r="H367" s="12">
        <v>6.1715726000000002</v>
      </c>
      <c r="I367" s="12">
        <v>-75.590899399999998</v>
      </c>
      <c r="K367" t="s">
        <v>97</v>
      </c>
      <c r="M367">
        <v>11</v>
      </c>
      <c r="P367" s="13">
        <v>225</v>
      </c>
      <c r="Q367" s="13">
        <v>66</v>
      </c>
      <c r="R367">
        <v>32</v>
      </c>
      <c r="S367">
        <v>38</v>
      </c>
      <c r="T367" s="13">
        <v>34</v>
      </c>
      <c r="U367" s="13">
        <v>73</v>
      </c>
      <c r="V367" t="s">
        <v>99</v>
      </c>
      <c r="X367" s="13">
        <v>225</v>
      </c>
    </row>
    <row r="368" spans="1:24" x14ac:dyDescent="0.25">
      <c r="A368" t="s">
        <v>470</v>
      </c>
      <c r="B368" t="s">
        <v>62</v>
      </c>
      <c r="C368" t="s">
        <v>436</v>
      </c>
      <c r="D368" t="s">
        <v>437</v>
      </c>
      <c r="E368" t="s">
        <v>62</v>
      </c>
      <c r="F368" t="s">
        <v>94</v>
      </c>
      <c r="G368" t="s">
        <v>277</v>
      </c>
      <c r="H368" s="12">
        <v>6.1715726000000002</v>
      </c>
      <c r="I368" s="12">
        <v>-75.590899399999998</v>
      </c>
      <c r="K368" t="s">
        <v>97</v>
      </c>
      <c r="M368">
        <v>11</v>
      </c>
      <c r="P368" s="13">
        <v>223</v>
      </c>
      <c r="Q368" s="13">
        <v>49</v>
      </c>
      <c r="R368">
        <v>24</v>
      </c>
      <c r="S368">
        <v>58</v>
      </c>
      <c r="T368" s="13">
        <v>48</v>
      </c>
      <c r="U368" s="13">
        <v>44</v>
      </c>
      <c r="V368" t="s">
        <v>99</v>
      </c>
      <c r="X368" s="13">
        <v>223</v>
      </c>
    </row>
    <row r="369" spans="1:24" x14ac:dyDescent="0.25">
      <c r="A369" t="s">
        <v>471</v>
      </c>
      <c r="B369" t="s">
        <v>62</v>
      </c>
      <c r="C369" t="s">
        <v>436</v>
      </c>
      <c r="D369" t="s">
        <v>437</v>
      </c>
      <c r="E369" t="s">
        <v>62</v>
      </c>
      <c r="F369" t="s">
        <v>94</v>
      </c>
      <c r="G369" t="s">
        <v>277</v>
      </c>
      <c r="H369" s="12">
        <v>6.1715726000000002</v>
      </c>
      <c r="I369" s="12">
        <v>-75.590899399999998</v>
      </c>
      <c r="K369" t="s">
        <v>97</v>
      </c>
      <c r="M369">
        <v>11</v>
      </c>
      <c r="P369" s="13">
        <v>223</v>
      </c>
      <c r="Q369" s="13">
        <v>51</v>
      </c>
      <c r="R369">
        <v>44</v>
      </c>
      <c r="S369">
        <v>36</v>
      </c>
      <c r="T369" s="13">
        <v>31</v>
      </c>
      <c r="U369" s="13">
        <v>93</v>
      </c>
      <c r="V369" t="s">
        <v>99</v>
      </c>
      <c r="X369" s="13">
        <v>223</v>
      </c>
    </row>
    <row r="370" spans="1:24" x14ac:dyDescent="0.25">
      <c r="A370" t="s">
        <v>472</v>
      </c>
      <c r="B370" t="s">
        <v>62</v>
      </c>
      <c r="C370" t="s">
        <v>436</v>
      </c>
      <c r="D370" t="s">
        <v>437</v>
      </c>
      <c r="E370" t="s">
        <v>62</v>
      </c>
      <c r="F370" t="s">
        <v>94</v>
      </c>
      <c r="G370" t="s">
        <v>277</v>
      </c>
      <c r="H370" s="12">
        <v>6.1715726000000002</v>
      </c>
      <c r="I370" s="12">
        <v>-75.590899399999998</v>
      </c>
      <c r="K370" t="s">
        <v>97</v>
      </c>
      <c r="M370">
        <v>11</v>
      </c>
      <c r="P370" s="13">
        <v>223</v>
      </c>
      <c r="Q370" s="13">
        <v>71</v>
      </c>
      <c r="R370">
        <v>34</v>
      </c>
      <c r="S370">
        <v>38</v>
      </c>
      <c r="T370" s="13">
        <v>26</v>
      </c>
      <c r="U370" s="13">
        <v>73</v>
      </c>
      <c r="V370" t="s">
        <v>99</v>
      </c>
      <c r="X370" s="13">
        <v>223</v>
      </c>
    </row>
    <row r="371" spans="1:24" x14ac:dyDescent="0.25">
      <c r="A371" t="s">
        <v>473</v>
      </c>
      <c r="B371" t="s">
        <v>62</v>
      </c>
      <c r="C371" t="s">
        <v>436</v>
      </c>
      <c r="D371" t="s">
        <v>437</v>
      </c>
      <c r="E371" t="s">
        <v>62</v>
      </c>
      <c r="F371" t="s">
        <v>94</v>
      </c>
      <c r="G371" t="s">
        <v>277</v>
      </c>
      <c r="H371" s="12">
        <v>6.1715726000000002</v>
      </c>
      <c r="I371" s="12">
        <v>-75.590899399999998</v>
      </c>
      <c r="K371" t="s">
        <v>97</v>
      </c>
      <c r="M371">
        <v>11</v>
      </c>
      <c r="P371" s="13">
        <v>220</v>
      </c>
      <c r="Q371" s="13">
        <v>63</v>
      </c>
      <c r="R371">
        <v>38</v>
      </c>
      <c r="S371">
        <v>34</v>
      </c>
      <c r="T371" s="13">
        <v>40</v>
      </c>
      <c r="U371" s="13">
        <v>47</v>
      </c>
      <c r="V371" t="s">
        <v>99</v>
      </c>
      <c r="X371" s="13">
        <v>220</v>
      </c>
    </row>
    <row r="372" spans="1:24" x14ac:dyDescent="0.25">
      <c r="A372" t="s">
        <v>474</v>
      </c>
      <c r="B372" t="s">
        <v>62</v>
      </c>
      <c r="C372" t="s">
        <v>436</v>
      </c>
      <c r="D372" t="s">
        <v>437</v>
      </c>
      <c r="E372" t="s">
        <v>62</v>
      </c>
      <c r="F372" t="s">
        <v>94</v>
      </c>
      <c r="G372" t="s">
        <v>277</v>
      </c>
      <c r="H372" s="12">
        <v>6.1715726000000002</v>
      </c>
      <c r="I372" s="12">
        <v>-75.590899399999998</v>
      </c>
      <c r="K372" t="s">
        <v>97</v>
      </c>
      <c r="M372">
        <v>11</v>
      </c>
      <c r="P372" s="13">
        <v>219</v>
      </c>
      <c r="Q372" s="13">
        <v>59</v>
      </c>
      <c r="R372">
        <v>28</v>
      </c>
      <c r="S372">
        <v>42</v>
      </c>
      <c r="T372" s="13">
        <v>38</v>
      </c>
      <c r="U372" s="13">
        <v>71</v>
      </c>
      <c r="V372" t="s">
        <v>99</v>
      </c>
      <c r="X372" s="13">
        <v>219</v>
      </c>
    </row>
    <row r="373" spans="1:24" x14ac:dyDescent="0.25">
      <c r="A373" t="s">
        <v>475</v>
      </c>
      <c r="B373" t="s">
        <v>62</v>
      </c>
      <c r="C373" t="s">
        <v>436</v>
      </c>
      <c r="D373" t="s">
        <v>437</v>
      </c>
      <c r="E373" t="s">
        <v>62</v>
      </c>
      <c r="F373" t="s">
        <v>94</v>
      </c>
      <c r="G373" t="s">
        <v>277</v>
      </c>
      <c r="H373" s="12">
        <v>6.1715726000000002</v>
      </c>
      <c r="I373" s="12">
        <v>-75.590899399999998</v>
      </c>
      <c r="K373" t="s">
        <v>97</v>
      </c>
      <c r="M373">
        <v>11</v>
      </c>
      <c r="P373" s="13">
        <v>217</v>
      </c>
      <c r="Q373" s="13">
        <v>56</v>
      </c>
      <c r="R373">
        <v>42</v>
      </c>
      <c r="S373">
        <v>30</v>
      </c>
      <c r="T373" s="13">
        <v>29</v>
      </c>
      <c r="U373" s="13">
        <v>91</v>
      </c>
      <c r="V373" t="s">
        <v>99</v>
      </c>
      <c r="X373" s="13">
        <v>217</v>
      </c>
    </row>
    <row r="374" spans="1:24" x14ac:dyDescent="0.25">
      <c r="A374" t="s">
        <v>476</v>
      </c>
      <c r="B374" t="s">
        <v>62</v>
      </c>
      <c r="C374" t="s">
        <v>436</v>
      </c>
      <c r="D374" t="s">
        <v>437</v>
      </c>
      <c r="E374" t="s">
        <v>62</v>
      </c>
      <c r="F374" t="s">
        <v>94</v>
      </c>
      <c r="G374" t="s">
        <v>277</v>
      </c>
      <c r="H374" s="12">
        <v>6.1715726000000002</v>
      </c>
      <c r="I374" s="12">
        <v>-75.590899399999998</v>
      </c>
      <c r="K374" t="s">
        <v>97</v>
      </c>
      <c r="M374">
        <v>11</v>
      </c>
      <c r="P374" s="13">
        <v>215</v>
      </c>
      <c r="Q374" s="13">
        <v>68</v>
      </c>
      <c r="R374">
        <v>34</v>
      </c>
      <c r="S374">
        <v>44</v>
      </c>
      <c r="T374" s="13">
        <v>14</v>
      </c>
      <c r="U374" s="13">
        <v>80</v>
      </c>
      <c r="V374" t="s">
        <v>99</v>
      </c>
      <c r="X374" s="13">
        <v>215</v>
      </c>
    </row>
    <row r="375" spans="1:24" x14ac:dyDescent="0.25">
      <c r="A375" t="s">
        <v>477</v>
      </c>
      <c r="B375" t="s">
        <v>62</v>
      </c>
      <c r="C375" t="s">
        <v>436</v>
      </c>
      <c r="D375" t="s">
        <v>437</v>
      </c>
      <c r="E375" t="s">
        <v>62</v>
      </c>
      <c r="F375" t="s">
        <v>94</v>
      </c>
      <c r="G375" t="s">
        <v>277</v>
      </c>
      <c r="H375" s="12">
        <v>6.1715726000000002</v>
      </c>
      <c r="I375" s="12">
        <v>-75.590899399999998</v>
      </c>
      <c r="K375" t="s">
        <v>97</v>
      </c>
      <c r="M375">
        <v>11</v>
      </c>
      <c r="P375" s="13">
        <v>215</v>
      </c>
      <c r="Q375" s="13">
        <v>49</v>
      </c>
      <c r="R375">
        <v>26</v>
      </c>
      <c r="S375">
        <v>40</v>
      </c>
      <c r="T375" s="13">
        <v>45</v>
      </c>
      <c r="U375" s="13">
        <v>80</v>
      </c>
      <c r="V375" t="s">
        <v>99</v>
      </c>
      <c r="X375" s="13">
        <v>215</v>
      </c>
    </row>
    <row r="376" spans="1:24" x14ac:dyDescent="0.25">
      <c r="A376" t="s">
        <v>478</v>
      </c>
      <c r="B376" t="s">
        <v>62</v>
      </c>
      <c r="C376" t="s">
        <v>436</v>
      </c>
      <c r="D376" t="s">
        <v>437</v>
      </c>
      <c r="E376" t="s">
        <v>62</v>
      </c>
      <c r="F376" t="s">
        <v>94</v>
      </c>
      <c r="G376" t="s">
        <v>277</v>
      </c>
      <c r="H376" s="12">
        <v>6.1715726000000002</v>
      </c>
      <c r="I376" s="12">
        <v>-75.590899399999998</v>
      </c>
      <c r="K376" t="s">
        <v>97</v>
      </c>
      <c r="M376">
        <v>11</v>
      </c>
      <c r="P376" s="13">
        <v>214</v>
      </c>
      <c r="Q376" s="13">
        <v>68</v>
      </c>
      <c r="R376">
        <v>32</v>
      </c>
      <c r="S376">
        <v>36</v>
      </c>
      <c r="T376" s="13">
        <v>38</v>
      </c>
      <c r="U376" s="13">
        <v>35</v>
      </c>
      <c r="V376" t="s">
        <v>99</v>
      </c>
      <c r="X376" s="13">
        <v>214</v>
      </c>
    </row>
    <row r="377" spans="1:24" x14ac:dyDescent="0.25">
      <c r="A377" t="s">
        <v>479</v>
      </c>
      <c r="B377" t="s">
        <v>62</v>
      </c>
      <c r="C377" t="s">
        <v>436</v>
      </c>
      <c r="D377" t="s">
        <v>437</v>
      </c>
      <c r="E377" t="s">
        <v>62</v>
      </c>
      <c r="F377" t="s">
        <v>94</v>
      </c>
      <c r="G377" t="s">
        <v>277</v>
      </c>
      <c r="H377" s="12">
        <v>6.1715726000000002</v>
      </c>
      <c r="I377" s="12">
        <v>-75.590899399999998</v>
      </c>
      <c r="K377" t="s">
        <v>97</v>
      </c>
      <c r="M377">
        <v>11</v>
      </c>
      <c r="P377" s="13">
        <v>213</v>
      </c>
      <c r="Q377" s="13">
        <v>29</v>
      </c>
      <c r="R377">
        <v>36</v>
      </c>
      <c r="S377">
        <v>66</v>
      </c>
      <c r="T377" s="13">
        <v>34</v>
      </c>
      <c r="U377" s="13">
        <v>56</v>
      </c>
      <c r="V377" t="s">
        <v>99</v>
      </c>
      <c r="X377" s="13">
        <v>213</v>
      </c>
    </row>
    <row r="378" spans="1:24" x14ac:dyDescent="0.25">
      <c r="A378" t="s">
        <v>480</v>
      </c>
      <c r="B378" t="s">
        <v>62</v>
      </c>
      <c r="C378" t="s">
        <v>436</v>
      </c>
      <c r="D378" t="s">
        <v>437</v>
      </c>
      <c r="E378" t="s">
        <v>62</v>
      </c>
      <c r="F378" t="s">
        <v>94</v>
      </c>
      <c r="G378" t="s">
        <v>277</v>
      </c>
      <c r="H378" s="12">
        <v>6.1715726000000002</v>
      </c>
      <c r="I378" s="12">
        <v>-75.590899399999998</v>
      </c>
      <c r="K378" t="s">
        <v>97</v>
      </c>
      <c r="M378">
        <v>11</v>
      </c>
      <c r="P378" s="13">
        <v>212</v>
      </c>
      <c r="Q378" s="13">
        <v>54</v>
      </c>
      <c r="R378">
        <v>26</v>
      </c>
      <c r="S378">
        <v>58</v>
      </c>
      <c r="T378" s="13">
        <v>33</v>
      </c>
      <c r="U378" s="13">
        <v>40</v>
      </c>
      <c r="V378" t="s">
        <v>99</v>
      </c>
      <c r="X378" s="13">
        <v>212</v>
      </c>
    </row>
    <row r="379" spans="1:24" x14ac:dyDescent="0.25">
      <c r="A379" t="s">
        <v>481</v>
      </c>
      <c r="B379" t="s">
        <v>62</v>
      </c>
      <c r="C379" t="s">
        <v>436</v>
      </c>
      <c r="D379" t="s">
        <v>437</v>
      </c>
      <c r="E379" t="s">
        <v>62</v>
      </c>
      <c r="F379" t="s">
        <v>94</v>
      </c>
      <c r="G379" t="s">
        <v>277</v>
      </c>
      <c r="H379" s="12">
        <v>6.1715726000000002</v>
      </c>
      <c r="I379" s="12">
        <v>-75.590899399999998</v>
      </c>
      <c r="K379" t="s">
        <v>97</v>
      </c>
      <c r="M379">
        <v>11</v>
      </c>
      <c r="P379" s="13">
        <v>212</v>
      </c>
      <c r="Q379" s="13">
        <v>61</v>
      </c>
      <c r="R379">
        <v>36</v>
      </c>
      <c r="S379">
        <v>38</v>
      </c>
      <c r="T379" s="13">
        <v>33</v>
      </c>
      <c r="U379" s="13">
        <v>47</v>
      </c>
      <c r="V379" t="s">
        <v>99</v>
      </c>
      <c r="X379" s="13">
        <v>212</v>
      </c>
    </row>
    <row r="380" spans="1:24" x14ac:dyDescent="0.25">
      <c r="A380" t="s">
        <v>482</v>
      </c>
      <c r="B380" t="s">
        <v>62</v>
      </c>
      <c r="C380" t="s">
        <v>436</v>
      </c>
      <c r="D380" t="s">
        <v>437</v>
      </c>
      <c r="E380" t="s">
        <v>62</v>
      </c>
      <c r="F380" t="s">
        <v>94</v>
      </c>
      <c r="G380" t="s">
        <v>277</v>
      </c>
      <c r="H380" s="12">
        <v>6.1715726000000002</v>
      </c>
      <c r="I380" s="12">
        <v>-75.590899399999998</v>
      </c>
      <c r="K380" t="s">
        <v>97</v>
      </c>
      <c r="M380">
        <v>11</v>
      </c>
      <c r="P380" s="13">
        <v>211</v>
      </c>
      <c r="Q380" s="13">
        <v>41</v>
      </c>
      <c r="R380">
        <v>30</v>
      </c>
      <c r="S380">
        <v>36</v>
      </c>
      <c r="T380" s="13">
        <v>45</v>
      </c>
      <c r="U380" s="13">
        <v>93</v>
      </c>
      <c r="V380" t="s">
        <v>99</v>
      </c>
      <c r="X380" s="13">
        <v>211</v>
      </c>
    </row>
    <row r="381" spans="1:24" x14ac:dyDescent="0.25">
      <c r="A381" t="s">
        <v>483</v>
      </c>
      <c r="B381" t="s">
        <v>62</v>
      </c>
      <c r="C381" t="s">
        <v>436</v>
      </c>
      <c r="D381" t="s">
        <v>437</v>
      </c>
      <c r="E381" t="s">
        <v>62</v>
      </c>
      <c r="F381" t="s">
        <v>94</v>
      </c>
      <c r="G381" t="s">
        <v>277</v>
      </c>
      <c r="H381" s="12">
        <v>6.1715726000000002</v>
      </c>
      <c r="I381" s="12">
        <v>-75.590899399999998</v>
      </c>
      <c r="K381" t="s">
        <v>97</v>
      </c>
      <c r="M381">
        <v>11</v>
      </c>
      <c r="P381" s="13">
        <v>209</v>
      </c>
      <c r="Q381" s="13">
        <v>61</v>
      </c>
      <c r="R381">
        <v>28</v>
      </c>
      <c r="S381">
        <v>48</v>
      </c>
      <c r="T381" s="13">
        <v>24</v>
      </c>
      <c r="U381" s="13">
        <v>60</v>
      </c>
      <c r="V381" t="s">
        <v>99</v>
      </c>
      <c r="X381" s="13">
        <v>209</v>
      </c>
    </row>
    <row r="382" spans="1:24" x14ac:dyDescent="0.25">
      <c r="A382" t="s">
        <v>484</v>
      </c>
      <c r="B382" t="s">
        <v>62</v>
      </c>
      <c r="C382" t="s">
        <v>436</v>
      </c>
      <c r="D382" t="s">
        <v>437</v>
      </c>
      <c r="E382" t="s">
        <v>62</v>
      </c>
      <c r="F382" t="s">
        <v>94</v>
      </c>
      <c r="G382" t="s">
        <v>277</v>
      </c>
      <c r="H382" s="12">
        <v>6.1715726000000002</v>
      </c>
      <c r="I382" s="12">
        <v>-75.590899399999998</v>
      </c>
      <c r="K382" t="s">
        <v>97</v>
      </c>
      <c r="M382">
        <v>11</v>
      </c>
      <c r="P382" s="13">
        <v>202</v>
      </c>
      <c r="Q382" s="13">
        <v>59</v>
      </c>
      <c r="R382">
        <v>28</v>
      </c>
      <c r="S382">
        <v>30</v>
      </c>
      <c r="T382" s="13">
        <v>43</v>
      </c>
      <c r="U382" s="13">
        <v>45</v>
      </c>
      <c r="V382" t="s">
        <v>99</v>
      </c>
      <c r="X382" s="13">
        <v>202</v>
      </c>
    </row>
    <row r="383" spans="1:24" x14ac:dyDescent="0.25">
      <c r="A383" t="s">
        <v>485</v>
      </c>
      <c r="B383" t="s">
        <v>62</v>
      </c>
      <c r="C383" t="s">
        <v>436</v>
      </c>
      <c r="D383" t="s">
        <v>437</v>
      </c>
      <c r="E383" t="s">
        <v>62</v>
      </c>
      <c r="F383" t="s">
        <v>94</v>
      </c>
      <c r="G383" t="s">
        <v>277</v>
      </c>
      <c r="H383" s="12">
        <v>6.1715726000000002</v>
      </c>
      <c r="I383" s="12">
        <v>-75.590899399999998</v>
      </c>
      <c r="K383" t="s">
        <v>97</v>
      </c>
      <c r="M383">
        <v>11</v>
      </c>
      <c r="P383" s="13">
        <v>201</v>
      </c>
      <c r="Q383" s="13">
        <v>56</v>
      </c>
      <c r="R383">
        <v>26</v>
      </c>
      <c r="S383">
        <v>44</v>
      </c>
      <c r="T383" s="13">
        <v>36</v>
      </c>
      <c r="U383" s="13">
        <v>36</v>
      </c>
      <c r="V383" t="s">
        <v>99</v>
      </c>
      <c r="X383" s="13">
        <v>201</v>
      </c>
    </row>
    <row r="384" spans="1:24" x14ac:dyDescent="0.25">
      <c r="A384" t="s">
        <v>486</v>
      </c>
      <c r="B384" t="s">
        <v>62</v>
      </c>
      <c r="C384" t="s">
        <v>436</v>
      </c>
      <c r="D384" t="s">
        <v>437</v>
      </c>
      <c r="E384" t="s">
        <v>62</v>
      </c>
      <c r="F384" t="s">
        <v>94</v>
      </c>
      <c r="G384" t="s">
        <v>277</v>
      </c>
      <c r="H384" s="12">
        <v>6.1715726000000002</v>
      </c>
      <c r="I384" s="12">
        <v>-75.590899399999998</v>
      </c>
      <c r="K384" t="s">
        <v>97</v>
      </c>
      <c r="M384">
        <v>11</v>
      </c>
      <c r="P384" s="13">
        <v>201</v>
      </c>
      <c r="Q384" s="13">
        <v>59</v>
      </c>
      <c r="R384">
        <v>24</v>
      </c>
      <c r="S384">
        <v>30</v>
      </c>
      <c r="T384" s="13">
        <v>36</v>
      </c>
      <c r="U384" s="13">
        <v>76</v>
      </c>
      <c r="V384" t="s">
        <v>99</v>
      </c>
      <c r="X384" s="13">
        <v>201</v>
      </c>
    </row>
    <row r="385" spans="1:24" x14ac:dyDescent="0.25">
      <c r="A385" t="s">
        <v>487</v>
      </c>
      <c r="B385" t="s">
        <v>62</v>
      </c>
      <c r="C385" t="s">
        <v>436</v>
      </c>
      <c r="D385" t="s">
        <v>437</v>
      </c>
      <c r="E385" t="s">
        <v>62</v>
      </c>
      <c r="F385" t="s">
        <v>94</v>
      </c>
      <c r="G385" t="s">
        <v>277</v>
      </c>
      <c r="H385" s="12">
        <v>6.1715726000000002</v>
      </c>
      <c r="I385" s="12">
        <v>-75.590899399999998</v>
      </c>
      <c r="K385" t="s">
        <v>97</v>
      </c>
      <c r="M385">
        <v>11</v>
      </c>
      <c r="P385" s="13">
        <v>199</v>
      </c>
      <c r="Q385" s="13">
        <v>46</v>
      </c>
      <c r="R385">
        <v>42</v>
      </c>
      <c r="S385">
        <v>32</v>
      </c>
      <c r="T385" s="13">
        <v>26</v>
      </c>
      <c r="U385" s="13">
        <v>80</v>
      </c>
      <c r="V385" t="s">
        <v>99</v>
      </c>
      <c r="X385" s="13">
        <v>199</v>
      </c>
    </row>
    <row r="386" spans="1:24" x14ac:dyDescent="0.25">
      <c r="A386" t="s">
        <v>488</v>
      </c>
      <c r="B386" t="s">
        <v>62</v>
      </c>
      <c r="C386" t="s">
        <v>436</v>
      </c>
      <c r="D386" t="s">
        <v>437</v>
      </c>
      <c r="E386" t="s">
        <v>62</v>
      </c>
      <c r="F386" t="s">
        <v>94</v>
      </c>
      <c r="G386" t="s">
        <v>277</v>
      </c>
      <c r="H386" s="12">
        <v>6.1715726000000002</v>
      </c>
      <c r="I386" s="12">
        <v>-75.590899399999998</v>
      </c>
      <c r="K386" t="s">
        <v>97</v>
      </c>
      <c r="M386">
        <v>11</v>
      </c>
      <c r="P386" s="13">
        <v>195</v>
      </c>
      <c r="Q386" s="13">
        <v>44</v>
      </c>
      <c r="R386">
        <v>26</v>
      </c>
      <c r="S386">
        <v>38</v>
      </c>
      <c r="T386" s="13">
        <v>40</v>
      </c>
      <c r="U386" s="13">
        <v>64</v>
      </c>
      <c r="V386" t="s">
        <v>99</v>
      </c>
      <c r="X386" s="13">
        <v>195</v>
      </c>
    </row>
    <row r="387" spans="1:24" x14ac:dyDescent="0.25">
      <c r="A387" t="s">
        <v>489</v>
      </c>
      <c r="B387" t="s">
        <v>62</v>
      </c>
      <c r="C387" t="s">
        <v>436</v>
      </c>
      <c r="D387" t="s">
        <v>437</v>
      </c>
      <c r="E387" t="s">
        <v>62</v>
      </c>
      <c r="F387" t="s">
        <v>94</v>
      </c>
      <c r="G387" t="s">
        <v>277</v>
      </c>
      <c r="H387" s="12">
        <v>6.1715726000000002</v>
      </c>
      <c r="I387" s="12">
        <v>-75.590899399999998</v>
      </c>
      <c r="K387" t="s">
        <v>97</v>
      </c>
      <c r="M387">
        <v>11</v>
      </c>
      <c r="P387" s="13">
        <v>195</v>
      </c>
      <c r="Q387" s="13">
        <v>59</v>
      </c>
      <c r="R387">
        <v>36</v>
      </c>
      <c r="S387">
        <v>38</v>
      </c>
      <c r="T387" s="13">
        <v>14</v>
      </c>
      <c r="U387" s="13">
        <v>67</v>
      </c>
      <c r="V387" t="s">
        <v>99</v>
      </c>
      <c r="X387" s="13">
        <v>195</v>
      </c>
    </row>
    <row r="388" spans="1:24" x14ac:dyDescent="0.25">
      <c r="A388" t="s">
        <v>490</v>
      </c>
      <c r="B388" t="s">
        <v>62</v>
      </c>
      <c r="C388" t="s">
        <v>436</v>
      </c>
      <c r="D388" t="s">
        <v>437</v>
      </c>
      <c r="E388" t="s">
        <v>62</v>
      </c>
      <c r="F388" t="s">
        <v>94</v>
      </c>
      <c r="G388" t="s">
        <v>277</v>
      </c>
      <c r="H388" s="12">
        <v>6.1715726000000002</v>
      </c>
      <c r="I388" s="12">
        <v>-75.590899399999998</v>
      </c>
      <c r="K388" t="s">
        <v>97</v>
      </c>
      <c r="M388">
        <v>11</v>
      </c>
      <c r="P388" s="13">
        <v>194</v>
      </c>
      <c r="Q388" s="13">
        <v>54</v>
      </c>
      <c r="R388">
        <v>26</v>
      </c>
      <c r="S388">
        <v>26</v>
      </c>
      <c r="T388" s="13">
        <v>41</v>
      </c>
      <c r="U388" s="13">
        <v>64</v>
      </c>
      <c r="V388" t="s">
        <v>99</v>
      </c>
      <c r="X388" s="13">
        <v>194</v>
      </c>
    </row>
    <row r="389" spans="1:24" x14ac:dyDescent="0.25">
      <c r="A389" t="s">
        <v>491</v>
      </c>
      <c r="B389" t="s">
        <v>62</v>
      </c>
      <c r="C389" t="s">
        <v>436</v>
      </c>
      <c r="D389" t="s">
        <v>437</v>
      </c>
      <c r="E389" t="s">
        <v>62</v>
      </c>
      <c r="F389" t="s">
        <v>94</v>
      </c>
      <c r="G389" t="s">
        <v>277</v>
      </c>
      <c r="H389" s="12">
        <v>6.1715726000000002</v>
      </c>
      <c r="I389" s="12">
        <v>-75.590899399999998</v>
      </c>
      <c r="K389" t="s">
        <v>97</v>
      </c>
      <c r="M389">
        <v>11</v>
      </c>
      <c r="P389" s="13">
        <v>193</v>
      </c>
      <c r="Q389" s="13">
        <v>61</v>
      </c>
      <c r="R389">
        <v>26</v>
      </c>
      <c r="S389">
        <v>30</v>
      </c>
      <c r="T389" s="13">
        <v>28</v>
      </c>
      <c r="U389" s="13">
        <v>69</v>
      </c>
      <c r="V389" t="s">
        <v>99</v>
      </c>
      <c r="X389" s="13">
        <v>193</v>
      </c>
    </row>
    <row r="390" spans="1:24" x14ac:dyDescent="0.25">
      <c r="A390" t="s">
        <v>492</v>
      </c>
      <c r="B390" t="s">
        <v>62</v>
      </c>
      <c r="C390" t="s">
        <v>436</v>
      </c>
      <c r="D390" t="s">
        <v>437</v>
      </c>
      <c r="E390" t="s">
        <v>62</v>
      </c>
      <c r="F390" t="s">
        <v>94</v>
      </c>
      <c r="G390" t="s">
        <v>277</v>
      </c>
      <c r="H390" s="12">
        <v>6.1715726000000002</v>
      </c>
      <c r="I390" s="12">
        <v>-75.590899399999998</v>
      </c>
      <c r="K390" t="s">
        <v>97</v>
      </c>
      <c r="M390">
        <v>11</v>
      </c>
      <c r="P390" s="13">
        <v>193</v>
      </c>
      <c r="Q390" s="13">
        <v>56</v>
      </c>
      <c r="R390">
        <v>20</v>
      </c>
      <c r="S390">
        <v>38</v>
      </c>
      <c r="T390" s="13">
        <v>31</v>
      </c>
      <c r="U390" s="13">
        <v>65</v>
      </c>
      <c r="V390" t="s">
        <v>99</v>
      </c>
      <c r="X390" s="13">
        <v>193</v>
      </c>
    </row>
    <row r="391" spans="1:24" x14ac:dyDescent="0.25">
      <c r="A391" t="s">
        <v>493</v>
      </c>
      <c r="B391" t="s">
        <v>62</v>
      </c>
      <c r="C391" t="s">
        <v>436</v>
      </c>
      <c r="D391" t="s">
        <v>437</v>
      </c>
      <c r="E391" t="s">
        <v>62</v>
      </c>
      <c r="F391" t="s">
        <v>94</v>
      </c>
      <c r="G391" t="s">
        <v>277</v>
      </c>
      <c r="H391" s="12">
        <v>6.1715726000000002</v>
      </c>
      <c r="I391" s="12">
        <v>-75.590899399999998</v>
      </c>
      <c r="K391" t="s">
        <v>97</v>
      </c>
      <c r="M391">
        <v>11</v>
      </c>
      <c r="P391" s="13">
        <v>192</v>
      </c>
      <c r="Q391" s="13">
        <v>34</v>
      </c>
      <c r="R391">
        <v>46</v>
      </c>
      <c r="S391">
        <v>34</v>
      </c>
      <c r="T391" s="13">
        <v>34</v>
      </c>
      <c r="U391" s="13">
        <v>55</v>
      </c>
      <c r="V391" t="s">
        <v>99</v>
      </c>
      <c r="X391" s="13">
        <v>192</v>
      </c>
    </row>
    <row r="392" spans="1:24" x14ac:dyDescent="0.25">
      <c r="A392" t="s">
        <v>494</v>
      </c>
      <c r="B392" t="s">
        <v>62</v>
      </c>
      <c r="C392" t="s">
        <v>436</v>
      </c>
      <c r="D392" t="s">
        <v>437</v>
      </c>
      <c r="E392" t="s">
        <v>62</v>
      </c>
      <c r="F392" t="s">
        <v>94</v>
      </c>
      <c r="G392" t="s">
        <v>277</v>
      </c>
      <c r="H392" s="12">
        <v>6.1715726000000002</v>
      </c>
      <c r="I392" s="12">
        <v>-75.590899399999998</v>
      </c>
      <c r="K392" t="s">
        <v>97</v>
      </c>
      <c r="M392">
        <v>11</v>
      </c>
      <c r="P392" s="13">
        <v>192</v>
      </c>
      <c r="Q392" s="13">
        <v>39</v>
      </c>
      <c r="R392">
        <v>34</v>
      </c>
      <c r="S392">
        <v>28</v>
      </c>
      <c r="T392" s="13">
        <v>43</v>
      </c>
      <c r="U392" s="13">
        <v>67</v>
      </c>
      <c r="V392" t="s">
        <v>99</v>
      </c>
      <c r="X392" s="13">
        <v>192</v>
      </c>
    </row>
    <row r="393" spans="1:24" x14ac:dyDescent="0.25">
      <c r="A393" t="s">
        <v>495</v>
      </c>
      <c r="B393" t="s">
        <v>62</v>
      </c>
      <c r="C393" t="s">
        <v>436</v>
      </c>
      <c r="D393" t="s">
        <v>437</v>
      </c>
      <c r="E393" t="s">
        <v>62</v>
      </c>
      <c r="F393" t="s">
        <v>94</v>
      </c>
      <c r="G393" t="s">
        <v>277</v>
      </c>
      <c r="H393" s="12">
        <v>6.1715726000000002</v>
      </c>
      <c r="I393" s="12">
        <v>-75.590899399999998</v>
      </c>
      <c r="K393" t="s">
        <v>97</v>
      </c>
      <c r="M393">
        <v>11</v>
      </c>
      <c r="P393" s="13">
        <v>185</v>
      </c>
      <c r="Q393" s="13">
        <v>17</v>
      </c>
      <c r="R393">
        <v>28</v>
      </c>
      <c r="S393">
        <v>54</v>
      </c>
      <c r="T393" s="13">
        <v>40</v>
      </c>
      <c r="U393" s="13">
        <v>64</v>
      </c>
      <c r="V393" t="s">
        <v>99</v>
      </c>
      <c r="X393" s="13">
        <v>185</v>
      </c>
    </row>
    <row r="394" spans="1:24" x14ac:dyDescent="0.25">
      <c r="A394" t="s">
        <v>496</v>
      </c>
      <c r="B394" t="s">
        <v>62</v>
      </c>
      <c r="C394" t="s">
        <v>436</v>
      </c>
      <c r="D394" t="s">
        <v>437</v>
      </c>
      <c r="E394" t="s">
        <v>62</v>
      </c>
      <c r="F394" t="s">
        <v>94</v>
      </c>
      <c r="G394" t="s">
        <v>277</v>
      </c>
      <c r="H394" s="12">
        <v>6.1715726000000002</v>
      </c>
      <c r="I394" s="12">
        <v>-75.590899399999998</v>
      </c>
      <c r="K394" t="s">
        <v>97</v>
      </c>
      <c r="M394">
        <v>11</v>
      </c>
      <c r="P394" s="13">
        <v>183</v>
      </c>
      <c r="Q394" s="13">
        <v>46</v>
      </c>
      <c r="R394">
        <v>22</v>
      </c>
      <c r="S394">
        <v>32</v>
      </c>
      <c r="T394" s="13">
        <v>36</v>
      </c>
      <c r="U394" s="13">
        <v>67</v>
      </c>
      <c r="V394" t="s">
        <v>99</v>
      </c>
      <c r="X394" s="13">
        <v>183</v>
      </c>
    </row>
    <row r="395" spans="1:24" x14ac:dyDescent="0.25">
      <c r="A395" t="s">
        <v>497</v>
      </c>
      <c r="B395" t="s">
        <v>62</v>
      </c>
      <c r="C395" t="s">
        <v>436</v>
      </c>
      <c r="D395" t="s">
        <v>437</v>
      </c>
      <c r="E395" t="s">
        <v>62</v>
      </c>
      <c r="F395" t="s">
        <v>94</v>
      </c>
      <c r="G395" t="s">
        <v>277</v>
      </c>
      <c r="H395" s="12">
        <v>6.1715726000000002</v>
      </c>
      <c r="I395" s="12">
        <v>-75.590899399999998</v>
      </c>
      <c r="K395" t="s">
        <v>97</v>
      </c>
      <c r="M395">
        <v>11</v>
      </c>
      <c r="P395" s="13">
        <v>180</v>
      </c>
      <c r="Q395" s="13">
        <v>39</v>
      </c>
      <c r="R395">
        <v>32</v>
      </c>
      <c r="S395">
        <v>36</v>
      </c>
      <c r="T395" s="13">
        <v>36</v>
      </c>
      <c r="U395" s="13">
        <v>38</v>
      </c>
      <c r="V395" t="s">
        <v>99</v>
      </c>
      <c r="X395" s="13">
        <v>180</v>
      </c>
    </row>
    <row r="396" spans="1:24" x14ac:dyDescent="0.25">
      <c r="A396" t="s">
        <v>498</v>
      </c>
      <c r="B396" t="s">
        <v>62</v>
      </c>
      <c r="C396" t="s">
        <v>436</v>
      </c>
      <c r="D396" t="s">
        <v>437</v>
      </c>
      <c r="E396" t="s">
        <v>62</v>
      </c>
      <c r="F396" t="s">
        <v>94</v>
      </c>
      <c r="G396" t="s">
        <v>277</v>
      </c>
      <c r="H396" s="12">
        <v>6.1715726000000002</v>
      </c>
      <c r="I396" s="12">
        <v>-75.590899399999998</v>
      </c>
      <c r="K396" t="s">
        <v>97</v>
      </c>
      <c r="M396">
        <v>11</v>
      </c>
      <c r="P396" s="13">
        <v>179</v>
      </c>
      <c r="Q396" s="13">
        <v>56</v>
      </c>
      <c r="R396">
        <v>32</v>
      </c>
      <c r="S396">
        <v>28</v>
      </c>
      <c r="T396" s="13">
        <v>22</v>
      </c>
      <c r="U396" s="13">
        <v>49</v>
      </c>
      <c r="V396" t="s">
        <v>99</v>
      </c>
      <c r="X396" s="13">
        <v>179</v>
      </c>
    </row>
    <row r="397" spans="1:24" x14ac:dyDescent="0.25">
      <c r="A397" t="s">
        <v>499</v>
      </c>
      <c r="B397" t="s">
        <v>62</v>
      </c>
      <c r="C397" t="s">
        <v>436</v>
      </c>
      <c r="D397" t="s">
        <v>437</v>
      </c>
      <c r="E397" t="s">
        <v>62</v>
      </c>
      <c r="F397" t="s">
        <v>94</v>
      </c>
      <c r="G397" t="s">
        <v>277</v>
      </c>
      <c r="H397" s="12">
        <v>6.1715726000000002</v>
      </c>
      <c r="I397" s="12">
        <v>-75.590899399999998</v>
      </c>
      <c r="K397" t="s">
        <v>97</v>
      </c>
      <c r="M397">
        <v>11</v>
      </c>
      <c r="P397" s="13">
        <v>179</v>
      </c>
      <c r="Q397" s="13">
        <v>32</v>
      </c>
      <c r="R397">
        <v>28</v>
      </c>
      <c r="S397">
        <v>22</v>
      </c>
      <c r="T397" s="13">
        <v>48</v>
      </c>
      <c r="U397" s="13">
        <v>75</v>
      </c>
      <c r="V397" t="s">
        <v>99</v>
      </c>
      <c r="X397" s="13">
        <v>179</v>
      </c>
    </row>
    <row r="398" spans="1:24" x14ac:dyDescent="0.25">
      <c r="A398" t="s">
        <v>500</v>
      </c>
      <c r="B398" t="s">
        <v>62</v>
      </c>
      <c r="C398" t="s">
        <v>436</v>
      </c>
      <c r="D398" t="s">
        <v>437</v>
      </c>
      <c r="E398" t="s">
        <v>62</v>
      </c>
      <c r="F398" t="s">
        <v>94</v>
      </c>
      <c r="G398" t="s">
        <v>277</v>
      </c>
      <c r="H398" s="12">
        <v>6.1715726000000002</v>
      </c>
      <c r="I398" s="12">
        <v>-75.590899399999998</v>
      </c>
      <c r="K398" t="s">
        <v>97</v>
      </c>
      <c r="M398">
        <v>11</v>
      </c>
      <c r="P398" s="13">
        <v>177</v>
      </c>
      <c r="Q398" s="13">
        <v>44</v>
      </c>
      <c r="R398">
        <v>36</v>
      </c>
      <c r="S398">
        <v>26</v>
      </c>
      <c r="T398" s="13">
        <v>33</v>
      </c>
      <c r="U398" s="13">
        <v>45</v>
      </c>
      <c r="V398" t="s">
        <v>99</v>
      </c>
      <c r="X398" s="13">
        <v>177</v>
      </c>
    </row>
    <row r="399" spans="1:24" x14ac:dyDescent="0.25">
      <c r="A399" t="s">
        <v>501</v>
      </c>
      <c r="B399" t="s">
        <v>62</v>
      </c>
      <c r="C399" t="s">
        <v>436</v>
      </c>
      <c r="D399" t="s">
        <v>437</v>
      </c>
      <c r="E399" t="s">
        <v>62</v>
      </c>
      <c r="F399" t="s">
        <v>94</v>
      </c>
      <c r="G399" t="s">
        <v>277</v>
      </c>
      <c r="H399" s="12">
        <v>6.1715726000000002</v>
      </c>
      <c r="I399" s="12">
        <v>-75.590899399999998</v>
      </c>
      <c r="K399" t="s">
        <v>97</v>
      </c>
      <c r="M399">
        <v>11</v>
      </c>
      <c r="P399" s="13">
        <v>176</v>
      </c>
      <c r="Q399" s="13">
        <v>54</v>
      </c>
      <c r="R399">
        <v>34</v>
      </c>
      <c r="S399">
        <v>16</v>
      </c>
      <c r="T399" s="13">
        <v>21</v>
      </c>
      <c r="U399" s="13">
        <v>85</v>
      </c>
      <c r="V399" t="s">
        <v>99</v>
      </c>
      <c r="X399" s="13">
        <v>176</v>
      </c>
    </row>
    <row r="400" spans="1:24" x14ac:dyDescent="0.25">
      <c r="A400" t="s">
        <v>502</v>
      </c>
      <c r="B400" t="s">
        <v>62</v>
      </c>
      <c r="C400" t="s">
        <v>436</v>
      </c>
      <c r="D400" t="s">
        <v>437</v>
      </c>
      <c r="E400" t="s">
        <v>62</v>
      </c>
      <c r="F400" t="s">
        <v>94</v>
      </c>
      <c r="G400" t="s">
        <v>277</v>
      </c>
      <c r="H400" s="12">
        <v>6.1715726000000002</v>
      </c>
      <c r="I400" s="12">
        <v>-75.590899399999998</v>
      </c>
      <c r="K400" t="s">
        <v>97</v>
      </c>
      <c r="M400">
        <v>11</v>
      </c>
      <c r="P400" s="13">
        <v>176</v>
      </c>
      <c r="Q400" s="13">
        <v>29</v>
      </c>
      <c r="R400">
        <v>26</v>
      </c>
      <c r="S400">
        <v>38</v>
      </c>
      <c r="T400" s="13">
        <v>34</v>
      </c>
      <c r="U400" s="13">
        <v>75</v>
      </c>
      <c r="V400" t="s">
        <v>99</v>
      </c>
      <c r="X400" s="13">
        <v>176</v>
      </c>
    </row>
    <row r="401" spans="1:24" x14ac:dyDescent="0.25">
      <c r="A401" t="s">
        <v>503</v>
      </c>
      <c r="B401" t="s">
        <v>62</v>
      </c>
      <c r="C401" t="s">
        <v>436</v>
      </c>
      <c r="D401" t="s">
        <v>437</v>
      </c>
      <c r="E401" t="s">
        <v>62</v>
      </c>
      <c r="F401" t="s">
        <v>94</v>
      </c>
      <c r="G401" t="s">
        <v>277</v>
      </c>
      <c r="H401" s="12">
        <v>6.1715726000000002</v>
      </c>
      <c r="I401" s="12">
        <v>-75.590899399999998</v>
      </c>
      <c r="K401" t="s">
        <v>97</v>
      </c>
      <c r="M401">
        <v>11</v>
      </c>
      <c r="P401" s="13">
        <v>170</v>
      </c>
      <c r="Q401" s="13">
        <v>41</v>
      </c>
      <c r="R401">
        <v>26</v>
      </c>
      <c r="S401">
        <v>32</v>
      </c>
      <c r="T401" s="13">
        <v>34</v>
      </c>
      <c r="U401" s="13">
        <v>40</v>
      </c>
      <c r="V401" t="s">
        <v>99</v>
      </c>
      <c r="X401" s="13">
        <v>170</v>
      </c>
    </row>
    <row r="402" spans="1:24" x14ac:dyDescent="0.25">
      <c r="A402" t="s">
        <v>504</v>
      </c>
      <c r="B402" t="s">
        <v>62</v>
      </c>
      <c r="C402" t="s">
        <v>436</v>
      </c>
      <c r="D402" t="s">
        <v>437</v>
      </c>
      <c r="E402" t="s">
        <v>62</v>
      </c>
      <c r="F402" t="s">
        <v>94</v>
      </c>
      <c r="G402" t="s">
        <v>277</v>
      </c>
      <c r="H402" s="12">
        <v>6.1715726000000002</v>
      </c>
      <c r="I402" s="12">
        <v>-75.590899399999998</v>
      </c>
      <c r="K402" t="s">
        <v>97</v>
      </c>
      <c r="M402">
        <v>11</v>
      </c>
      <c r="P402" s="13">
        <v>169</v>
      </c>
      <c r="Q402" s="13">
        <v>39</v>
      </c>
      <c r="R402">
        <v>16</v>
      </c>
      <c r="S402">
        <v>30</v>
      </c>
      <c r="T402" s="13">
        <v>47</v>
      </c>
      <c r="U402" s="13">
        <v>45</v>
      </c>
      <c r="V402" t="s">
        <v>99</v>
      </c>
      <c r="X402" s="13">
        <v>169</v>
      </c>
    </row>
    <row r="403" spans="1:24" x14ac:dyDescent="0.25">
      <c r="A403" t="s">
        <v>505</v>
      </c>
      <c r="B403" t="s">
        <v>62</v>
      </c>
      <c r="C403" t="s">
        <v>436</v>
      </c>
      <c r="D403" t="s">
        <v>437</v>
      </c>
      <c r="E403" t="s">
        <v>62</v>
      </c>
      <c r="F403" t="s">
        <v>94</v>
      </c>
      <c r="G403" t="s">
        <v>277</v>
      </c>
      <c r="H403" s="12">
        <v>6.1715726000000002</v>
      </c>
      <c r="I403" s="12">
        <v>-75.590899399999998</v>
      </c>
      <c r="K403" t="s">
        <v>97</v>
      </c>
      <c r="M403">
        <v>11</v>
      </c>
      <c r="P403" s="13">
        <v>168</v>
      </c>
      <c r="Q403" s="13">
        <v>44</v>
      </c>
      <c r="R403">
        <v>30</v>
      </c>
      <c r="S403">
        <v>28</v>
      </c>
      <c r="T403" s="13">
        <v>28</v>
      </c>
      <c r="U403" s="13">
        <v>47</v>
      </c>
      <c r="V403" t="s">
        <v>99</v>
      </c>
      <c r="X403" s="13">
        <v>168</v>
      </c>
    </row>
    <row r="404" spans="1:24" x14ac:dyDescent="0.25">
      <c r="A404" t="s">
        <v>506</v>
      </c>
      <c r="B404" t="s">
        <v>62</v>
      </c>
      <c r="C404" t="s">
        <v>436</v>
      </c>
      <c r="D404" t="s">
        <v>437</v>
      </c>
      <c r="E404" t="s">
        <v>62</v>
      </c>
      <c r="F404" t="s">
        <v>94</v>
      </c>
      <c r="G404" t="s">
        <v>277</v>
      </c>
      <c r="H404" s="12">
        <v>6.1715726000000002</v>
      </c>
      <c r="I404" s="12">
        <v>-75.590899399999998</v>
      </c>
      <c r="K404" t="s">
        <v>97</v>
      </c>
      <c r="M404">
        <v>11</v>
      </c>
      <c r="P404" s="13">
        <v>166</v>
      </c>
      <c r="Q404" s="13">
        <v>39</v>
      </c>
      <c r="R404">
        <v>20</v>
      </c>
      <c r="S404">
        <v>36</v>
      </c>
      <c r="T404" s="13">
        <v>33</v>
      </c>
      <c r="U404" s="13">
        <v>47</v>
      </c>
      <c r="V404" t="s">
        <v>99</v>
      </c>
      <c r="X404" s="13">
        <v>166</v>
      </c>
    </row>
    <row r="405" spans="1:24" x14ac:dyDescent="0.25">
      <c r="A405" t="s">
        <v>507</v>
      </c>
      <c r="B405" t="s">
        <v>62</v>
      </c>
      <c r="C405" t="s">
        <v>436</v>
      </c>
      <c r="D405" t="s">
        <v>437</v>
      </c>
      <c r="E405" t="s">
        <v>62</v>
      </c>
      <c r="F405" t="s">
        <v>94</v>
      </c>
      <c r="G405" t="s">
        <v>277</v>
      </c>
      <c r="H405" s="12">
        <v>6.1715726000000002</v>
      </c>
      <c r="I405" s="12">
        <v>-75.590899399999998</v>
      </c>
      <c r="K405" t="s">
        <v>97</v>
      </c>
      <c r="M405">
        <v>11</v>
      </c>
      <c r="P405" s="13">
        <v>166</v>
      </c>
      <c r="Q405" s="13">
        <v>37</v>
      </c>
      <c r="R405">
        <v>30</v>
      </c>
      <c r="S405">
        <v>28</v>
      </c>
      <c r="T405" s="13">
        <v>26</v>
      </c>
      <c r="U405" s="13">
        <v>69</v>
      </c>
      <c r="V405" t="s">
        <v>99</v>
      </c>
      <c r="X405" s="13">
        <v>166</v>
      </c>
    </row>
    <row r="406" spans="1:24" x14ac:dyDescent="0.25">
      <c r="A406" t="s">
        <v>508</v>
      </c>
      <c r="B406" t="s">
        <v>62</v>
      </c>
      <c r="C406" t="s">
        <v>436</v>
      </c>
      <c r="D406" t="s">
        <v>437</v>
      </c>
      <c r="E406" t="s">
        <v>62</v>
      </c>
      <c r="F406" t="s">
        <v>94</v>
      </c>
      <c r="G406" t="s">
        <v>277</v>
      </c>
      <c r="H406" s="12">
        <v>6.1715726000000002</v>
      </c>
      <c r="I406" s="12">
        <v>-75.590899399999998</v>
      </c>
      <c r="K406" t="s">
        <v>97</v>
      </c>
      <c r="M406">
        <v>11</v>
      </c>
      <c r="P406" s="13">
        <v>165</v>
      </c>
      <c r="Q406" s="13">
        <v>34</v>
      </c>
      <c r="R406">
        <v>32</v>
      </c>
      <c r="S406">
        <v>42</v>
      </c>
      <c r="T406" s="13">
        <v>22</v>
      </c>
      <c r="U406" s="13">
        <v>38</v>
      </c>
      <c r="V406" t="s">
        <v>99</v>
      </c>
      <c r="X406" s="13">
        <v>165</v>
      </c>
    </row>
    <row r="407" spans="1:24" x14ac:dyDescent="0.25">
      <c r="A407" t="s">
        <v>509</v>
      </c>
      <c r="B407" t="s">
        <v>62</v>
      </c>
      <c r="C407" t="s">
        <v>436</v>
      </c>
      <c r="D407" t="s">
        <v>437</v>
      </c>
      <c r="E407" t="s">
        <v>62</v>
      </c>
      <c r="F407" t="s">
        <v>94</v>
      </c>
      <c r="G407" t="s">
        <v>277</v>
      </c>
      <c r="H407" s="12">
        <v>6.1715726000000002</v>
      </c>
      <c r="I407" s="12">
        <v>-75.590899399999998</v>
      </c>
      <c r="K407" t="s">
        <v>97</v>
      </c>
      <c r="M407">
        <v>11</v>
      </c>
      <c r="P407" s="13">
        <v>163</v>
      </c>
      <c r="Q407" s="13">
        <v>51</v>
      </c>
      <c r="R407">
        <v>24</v>
      </c>
      <c r="S407">
        <v>28</v>
      </c>
      <c r="T407" s="13">
        <v>29</v>
      </c>
      <c r="U407" s="13">
        <v>27</v>
      </c>
      <c r="V407" t="s">
        <v>99</v>
      </c>
      <c r="X407" s="13">
        <v>163</v>
      </c>
    </row>
    <row r="408" spans="1:24" x14ac:dyDescent="0.25">
      <c r="A408" t="s">
        <v>510</v>
      </c>
      <c r="B408" t="s">
        <v>62</v>
      </c>
      <c r="C408" t="s">
        <v>436</v>
      </c>
      <c r="D408" t="s">
        <v>437</v>
      </c>
      <c r="E408" t="s">
        <v>62</v>
      </c>
      <c r="F408" t="s">
        <v>94</v>
      </c>
      <c r="G408" t="s">
        <v>277</v>
      </c>
      <c r="H408" s="12">
        <v>6.1715726000000002</v>
      </c>
      <c r="I408" s="12">
        <v>-75.590899399999998</v>
      </c>
      <c r="K408" t="s">
        <v>97</v>
      </c>
      <c r="M408">
        <v>11</v>
      </c>
      <c r="P408" s="13">
        <v>161</v>
      </c>
      <c r="Q408" s="13">
        <v>34</v>
      </c>
      <c r="R408">
        <v>32</v>
      </c>
      <c r="S408">
        <v>30</v>
      </c>
      <c r="T408" s="13">
        <v>26</v>
      </c>
      <c r="U408" s="13">
        <v>53</v>
      </c>
      <c r="V408" t="s">
        <v>99</v>
      </c>
      <c r="X408" s="13">
        <v>161</v>
      </c>
    </row>
    <row r="409" spans="1:24" x14ac:dyDescent="0.25">
      <c r="A409" t="s">
        <v>511</v>
      </c>
      <c r="B409" t="s">
        <v>62</v>
      </c>
      <c r="C409" t="s">
        <v>436</v>
      </c>
      <c r="D409" t="s">
        <v>437</v>
      </c>
      <c r="E409" t="s">
        <v>62</v>
      </c>
      <c r="F409" t="s">
        <v>94</v>
      </c>
      <c r="G409" t="s">
        <v>277</v>
      </c>
      <c r="H409" s="12">
        <v>6.1715726000000002</v>
      </c>
      <c r="I409" s="12">
        <v>-75.590899399999998</v>
      </c>
      <c r="K409" t="s">
        <v>97</v>
      </c>
      <c r="M409">
        <v>11</v>
      </c>
      <c r="P409" s="13">
        <v>160</v>
      </c>
      <c r="Q409" s="13">
        <v>22</v>
      </c>
      <c r="R409">
        <v>36</v>
      </c>
      <c r="S409">
        <v>40</v>
      </c>
      <c r="T409" s="13">
        <v>24</v>
      </c>
      <c r="U409" s="13">
        <v>51</v>
      </c>
      <c r="V409" t="s">
        <v>99</v>
      </c>
      <c r="X409" s="13">
        <v>160</v>
      </c>
    </row>
    <row r="410" spans="1:24" x14ac:dyDescent="0.25">
      <c r="A410" t="s">
        <v>512</v>
      </c>
      <c r="B410" t="s">
        <v>62</v>
      </c>
      <c r="C410" t="s">
        <v>436</v>
      </c>
      <c r="D410" t="s">
        <v>437</v>
      </c>
      <c r="E410" t="s">
        <v>62</v>
      </c>
      <c r="F410" t="s">
        <v>94</v>
      </c>
      <c r="G410" t="s">
        <v>277</v>
      </c>
      <c r="H410" s="12">
        <v>6.1715726000000002</v>
      </c>
      <c r="I410" s="12">
        <v>-75.590899399999998</v>
      </c>
      <c r="K410" t="s">
        <v>97</v>
      </c>
      <c r="M410">
        <v>11</v>
      </c>
      <c r="P410" s="13">
        <v>160</v>
      </c>
      <c r="Q410" s="13">
        <v>29</v>
      </c>
      <c r="R410">
        <v>32</v>
      </c>
      <c r="S410">
        <v>32</v>
      </c>
      <c r="T410" s="13">
        <v>28</v>
      </c>
      <c r="U410" s="13">
        <v>53</v>
      </c>
      <c r="V410" t="s">
        <v>99</v>
      </c>
      <c r="X410" s="13">
        <v>160</v>
      </c>
    </row>
    <row r="411" spans="1:24" x14ac:dyDescent="0.25">
      <c r="A411" t="s">
        <v>513</v>
      </c>
      <c r="B411" t="s">
        <v>62</v>
      </c>
      <c r="C411" t="s">
        <v>436</v>
      </c>
      <c r="D411" t="s">
        <v>437</v>
      </c>
      <c r="E411" t="s">
        <v>62</v>
      </c>
      <c r="F411" t="s">
        <v>94</v>
      </c>
      <c r="G411" t="s">
        <v>277</v>
      </c>
      <c r="H411" s="12">
        <v>6.1715726000000002</v>
      </c>
      <c r="I411" s="12">
        <v>-75.590899399999998</v>
      </c>
      <c r="K411" t="s">
        <v>97</v>
      </c>
      <c r="M411">
        <v>11</v>
      </c>
      <c r="P411" s="13">
        <v>160</v>
      </c>
      <c r="Q411" s="13">
        <v>27</v>
      </c>
      <c r="R411">
        <v>34</v>
      </c>
      <c r="S411">
        <v>36</v>
      </c>
      <c r="T411" s="13">
        <v>28</v>
      </c>
      <c r="U411" s="13">
        <v>42</v>
      </c>
      <c r="V411" t="s">
        <v>99</v>
      </c>
      <c r="X411" s="13">
        <v>160</v>
      </c>
    </row>
    <row r="412" spans="1:24" x14ac:dyDescent="0.25">
      <c r="A412" t="s">
        <v>514</v>
      </c>
      <c r="B412" t="s">
        <v>62</v>
      </c>
      <c r="C412" t="s">
        <v>436</v>
      </c>
      <c r="D412" t="s">
        <v>437</v>
      </c>
      <c r="E412" t="s">
        <v>62</v>
      </c>
      <c r="F412" t="s">
        <v>94</v>
      </c>
      <c r="G412" t="s">
        <v>277</v>
      </c>
      <c r="H412" s="12">
        <v>6.1715726000000002</v>
      </c>
      <c r="I412" s="12">
        <v>-75.590899399999998</v>
      </c>
      <c r="K412" t="s">
        <v>97</v>
      </c>
      <c r="M412">
        <v>11</v>
      </c>
      <c r="P412" s="13">
        <v>158</v>
      </c>
      <c r="Q412" s="13">
        <v>34</v>
      </c>
      <c r="R412">
        <v>30</v>
      </c>
      <c r="S412">
        <v>20</v>
      </c>
      <c r="T412" s="13">
        <v>34</v>
      </c>
      <c r="U412" s="13">
        <v>55</v>
      </c>
      <c r="V412" t="s">
        <v>99</v>
      </c>
      <c r="X412" s="13">
        <v>158</v>
      </c>
    </row>
    <row r="413" spans="1:24" x14ac:dyDescent="0.25">
      <c r="A413" t="s">
        <v>515</v>
      </c>
      <c r="B413" t="s">
        <v>62</v>
      </c>
      <c r="C413" t="s">
        <v>436</v>
      </c>
      <c r="D413" t="s">
        <v>437</v>
      </c>
      <c r="E413" t="s">
        <v>62</v>
      </c>
      <c r="F413" t="s">
        <v>94</v>
      </c>
      <c r="G413" t="s">
        <v>277</v>
      </c>
      <c r="H413" s="12">
        <v>6.1715726000000002</v>
      </c>
      <c r="I413" s="12">
        <v>-75.590899399999998</v>
      </c>
      <c r="K413" t="s">
        <v>97</v>
      </c>
      <c r="M413">
        <v>11</v>
      </c>
      <c r="P413" s="13">
        <v>157</v>
      </c>
      <c r="Q413" s="13">
        <v>32</v>
      </c>
      <c r="R413">
        <v>36</v>
      </c>
      <c r="S413">
        <v>22</v>
      </c>
      <c r="T413" s="13">
        <v>21</v>
      </c>
      <c r="U413" s="13">
        <v>76</v>
      </c>
      <c r="V413" t="s">
        <v>99</v>
      </c>
      <c r="X413" s="13">
        <v>157</v>
      </c>
    </row>
    <row r="414" spans="1:24" x14ac:dyDescent="0.25">
      <c r="A414" t="s">
        <v>516</v>
      </c>
      <c r="B414" t="s">
        <v>62</v>
      </c>
      <c r="C414" t="s">
        <v>436</v>
      </c>
      <c r="D414" t="s">
        <v>437</v>
      </c>
      <c r="E414" t="s">
        <v>62</v>
      </c>
      <c r="F414" t="s">
        <v>94</v>
      </c>
      <c r="G414" t="s">
        <v>277</v>
      </c>
      <c r="H414" s="12">
        <v>6.1715726000000002</v>
      </c>
      <c r="I414" s="12">
        <v>-75.590899399999998</v>
      </c>
      <c r="K414" t="s">
        <v>97</v>
      </c>
      <c r="M414">
        <v>11</v>
      </c>
      <c r="P414" s="13">
        <v>152</v>
      </c>
      <c r="Q414" s="13">
        <v>37</v>
      </c>
      <c r="R414">
        <v>18</v>
      </c>
      <c r="S414">
        <v>28</v>
      </c>
      <c r="T414" s="13">
        <v>22</v>
      </c>
      <c r="U414" s="13">
        <v>80</v>
      </c>
      <c r="V414" t="s">
        <v>99</v>
      </c>
      <c r="X414" s="13">
        <v>152</v>
      </c>
    </row>
    <row r="415" spans="1:24" x14ac:dyDescent="0.25">
      <c r="A415" t="s">
        <v>517</v>
      </c>
      <c r="B415" t="s">
        <v>62</v>
      </c>
      <c r="C415" t="s">
        <v>436</v>
      </c>
      <c r="D415" t="s">
        <v>437</v>
      </c>
      <c r="E415" t="s">
        <v>62</v>
      </c>
      <c r="F415" t="s">
        <v>94</v>
      </c>
      <c r="G415" t="s">
        <v>277</v>
      </c>
      <c r="H415" s="12">
        <v>6.1715726000000002</v>
      </c>
      <c r="I415" s="12">
        <v>-75.590899399999998</v>
      </c>
      <c r="K415" t="s">
        <v>97</v>
      </c>
      <c r="M415">
        <v>11</v>
      </c>
      <c r="P415" s="13">
        <v>149</v>
      </c>
      <c r="Q415" s="13">
        <v>32</v>
      </c>
      <c r="R415">
        <v>26</v>
      </c>
      <c r="S415">
        <v>30</v>
      </c>
      <c r="T415" s="13">
        <v>24</v>
      </c>
      <c r="U415" s="13">
        <v>51</v>
      </c>
      <c r="V415" t="s">
        <v>99</v>
      </c>
      <c r="X415" s="13">
        <v>149</v>
      </c>
    </row>
    <row r="416" spans="1:24" x14ac:dyDescent="0.25">
      <c r="A416" t="s">
        <v>518</v>
      </c>
      <c r="B416" t="s">
        <v>62</v>
      </c>
      <c r="C416" t="s">
        <v>436</v>
      </c>
      <c r="D416" t="s">
        <v>437</v>
      </c>
      <c r="E416" t="s">
        <v>62</v>
      </c>
      <c r="F416" t="s">
        <v>94</v>
      </c>
      <c r="G416" t="s">
        <v>277</v>
      </c>
      <c r="H416" s="12">
        <v>6.1715726000000002</v>
      </c>
      <c r="I416" s="12">
        <v>-75.590899399999998</v>
      </c>
      <c r="K416" t="s">
        <v>97</v>
      </c>
      <c r="M416">
        <v>11</v>
      </c>
      <c r="P416" s="13">
        <v>147</v>
      </c>
      <c r="Q416" s="13">
        <v>37</v>
      </c>
      <c r="R416">
        <v>38</v>
      </c>
      <c r="S416">
        <v>30</v>
      </c>
      <c r="T416" s="13">
        <v>10</v>
      </c>
      <c r="U416" s="13">
        <v>38</v>
      </c>
      <c r="V416" t="s">
        <v>99</v>
      </c>
      <c r="X416" s="13">
        <v>147</v>
      </c>
    </row>
    <row r="417" spans="1:24" x14ac:dyDescent="0.25">
      <c r="A417" t="s">
        <v>519</v>
      </c>
      <c r="B417" t="s">
        <v>62</v>
      </c>
      <c r="C417" t="s">
        <v>436</v>
      </c>
      <c r="D417" t="s">
        <v>437</v>
      </c>
      <c r="E417" t="s">
        <v>62</v>
      </c>
      <c r="F417" t="s">
        <v>94</v>
      </c>
      <c r="G417" t="s">
        <v>277</v>
      </c>
      <c r="H417" s="12">
        <v>6.1715726000000002</v>
      </c>
      <c r="I417" s="12">
        <v>-75.590899399999998</v>
      </c>
      <c r="K417" t="s">
        <v>97</v>
      </c>
      <c r="M417">
        <v>11</v>
      </c>
      <c r="P417" s="13">
        <v>143</v>
      </c>
      <c r="Q417" s="13">
        <v>27</v>
      </c>
      <c r="R417">
        <v>20</v>
      </c>
      <c r="S417">
        <v>40</v>
      </c>
      <c r="T417" s="13">
        <v>28</v>
      </c>
      <c r="U417" s="13">
        <v>29</v>
      </c>
      <c r="V417" t="s">
        <v>99</v>
      </c>
      <c r="X417" s="13">
        <v>143</v>
      </c>
    </row>
    <row r="418" spans="1:24" x14ac:dyDescent="0.25">
      <c r="A418" t="s">
        <v>520</v>
      </c>
      <c r="B418" t="s">
        <v>62</v>
      </c>
      <c r="C418" t="s">
        <v>436</v>
      </c>
      <c r="D418" t="s">
        <v>437</v>
      </c>
      <c r="E418" t="s">
        <v>62</v>
      </c>
      <c r="F418" t="s">
        <v>94</v>
      </c>
      <c r="G418" t="s">
        <v>277</v>
      </c>
      <c r="H418" s="12">
        <v>6.1715726000000002</v>
      </c>
      <c r="I418" s="12">
        <v>-75.590899399999998</v>
      </c>
      <c r="K418" t="s">
        <v>97</v>
      </c>
      <c r="M418">
        <v>11</v>
      </c>
      <c r="P418" s="13">
        <v>137</v>
      </c>
      <c r="Q418" s="13">
        <v>0</v>
      </c>
      <c r="R418">
        <v>20</v>
      </c>
      <c r="S418">
        <v>40</v>
      </c>
      <c r="T418" s="13">
        <v>38</v>
      </c>
      <c r="U418" s="13">
        <v>62</v>
      </c>
      <c r="V418" t="s">
        <v>99</v>
      </c>
      <c r="X418" s="13">
        <v>137</v>
      </c>
    </row>
    <row r="419" spans="1:24" x14ac:dyDescent="0.25">
      <c r="A419" t="s">
        <v>521</v>
      </c>
      <c r="B419" t="s">
        <v>62</v>
      </c>
      <c r="C419" t="s">
        <v>436</v>
      </c>
      <c r="D419" t="s">
        <v>437</v>
      </c>
      <c r="E419" t="s">
        <v>62</v>
      </c>
      <c r="F419" t="s">
        <v>94</v>
      </c>
      <c r="G419" t="s">
        <v>277</v>
      </c>
      <c r="H419" s="12">
        <v>6.1715726000000002</v>
      </c>
      <c r="I419" s="12">
        <v>-75.590899399999998</v>
      </c>
      <c r="K419" t="s">
        <v>97</v>
      </c>
      <c r="M419">
        <v>11</v>
      </c>
      <c r="P419" s="13">
        <v>126</v>
      </c>
      <c r="Q419" s="13">
        <v>17</v>
      </c>
      <c r="R419">
        <v>28</v>
      </c>
      <c r="S419">
        <v>24</v>
      </c>
      <c r="T419" s="13">
        <v>26</v>
      </c>
      <c r="U419" s="13">
        <v>44</v>
      </c>
      <c r="V419" t="s">
        <v>99</v>
      </c>
      <c r="X419" s="13">
        <v>126</v>
      </c>
    </row>
    <row r="420" spans="1:24" x14ac:dyDescent="0.25">
      <c r="A420" t="s">
        <v>522</v>
      </c>
      <c r="B420" t="s">
        <v>62</v>
      </c>
      <c r="C420" t="s">
        <v>436</v>
      </c>
      <c r="D420" t="s">
        <v>437</v>
      </c>
      <c r="E420" t="s">
        <v>62</v>
      </c>
      <c r="F420" t="s">
        <v>94</v>
      </c>
      <c r="G420" t="s">
        <v>277</v>
      </c>
      <c r="H420" s="12">
        <v>6.1715726000000002</v>
      </c>
      <c r="I420" s="12">
        <v>-75.590899399999998</v>
      </c>
      <c r="K420" t="s">
        <v>97</v>
      </c>
      <c r="M420">
        <v>11</v>
      </c>
      <c r="P420" s="13">
        <v>125</v>
      </c>
      <c r="Q420" s="13">
        <v>51</v>
      </c>
      <c r="R420">
        <v>18</v>
      </c>
      <c r="S420">
        <v>18</v>
      </c>
      <c r="T420" s="13">
        <v>21</v>
      </c>
      <c r="U420" s="13">
        <v>0</v>
      </c>
      <c r="V420" t="s">
        <v>99</v>
      </c>
      <c r="X420" s="13">
        <v>125</v>
      </c>
    </row>
    <row r="421" spans="1:24" x14ac:dyDescent="0.25">
      <c r="A421" t="s">
        <v>523</v>
      </c>
      <c r="B421" t="s">
        <v>62</v>
      </c>
      <c r="C421" t="s">
        <v>436</v>
      </c>
      <c r="D421" t="s">
        <v>437</v>
      </c>
      <c r="E421" t="s">
        <v>62</v>
      </c>
      <c r="F421" t="s">
        <v>94</v>
      </c>
      <c r="G421" t="s">
        <v>277</v>
      </c>
      <c r="H421" s="12">
        <v>6.1715726000000002</v>
      </c>
      <c r="I421" s="12">
        <v>-75.590899399999998</v>
      </c>
      <c r="K421" t="s">
        <v>97</v>
      </c>
      <c r="M421">
        <v>11</v>
      </c>
      <c r="P421" s="13">
        <v>117</v>
      </c>
      <c r="Q421" s="13">
        <v>34</v>
      </c>
      <c r="R421">
        <v>18</v>
      </c>
      <c r="S421">
        <v>16</v>
      </c>
      <c r="T421" s="13">
        <v>17</v>
      </c>
      <c r="U421" s="13">
        <v>49</v>
      </c>
      <c r="V421" t="s">
        <v>99</v>
      </c>
      <c r="X421" s="13">
        <v>117</v>
      </c>
    </row>
    <row r="422" spans="1:24" x14ac:dyDescent="0.25">
      <c r="A422" t="s">
        <v>524</v>
      </c>
      <c r="B422" t="s">
        <v>62</v>
      </c>
      <c r="C422" t="s">
        <v>436</v>
      </c>
      <c r="D422" t="s">
        <v>437</v>
      </c>
      <c r="E422" t="s">
        <v>62</v>
      </c>
      <c r="F422" t="s">
        <v>94</v>
      </c>
      <c r="G422" t="s">
        <v>277</v>
      </c>
      <c r="H422" s="12">
        <v>6.1715726000000002</v>
      </c>
      <c r="I422" s="12">
        <v>-75.590899399999998</v>
      </c>
      <c r="K422" t="s">
        <v>97</v>
      </c>
      <c r="M422">
        <v>11</v>
      </c>
      <c r="P422" s="13">
        <v>113</v>
      </c>
      <c r="Q422" s="13">
        <v>54</v>
      </c>
      <c r="R422">
        <v>20</v>
      </c>
      <c r="S422">
        <v>12</v>
      </c>
      <c r="T422" s="13">
        <v>12</v>
      </c>
      <c r="U422" s="13">
        <v>0</v>
      </c>
      <c r="V422" t="s">
        <v>99</v>
      </c>
      <c r="X422" s="13">
        <v>113</v>
      </c>
    </row>
    <row r="423" spans="1:24" x14ac:dyDescent="0.25">
      <c r="A423" t="s">
        <v>525</v>
      </c>
      <c r="B423" t="s">
        <v>62</v>
      </c>
      <c r="C423" t="s">
        <v>436</v>
      </c>
      <c r="D423" t="s">
        <v>437</v>
      </c>
      <c r="E423" t="s">
        <v>62</v>
      </c>
      <c r="F423" t="s">
        <v>94</v>
      </c>
      <c r="G423" t="s">
        <v>277</v>
      </c>
      <c r="H423" s="12">
        <v>6.1715726000000002</v>
      </c>
      <c r="I423" s="12">
        <v>-75.590899399999998</v>
      </c>
      <c r="K423" t="s">
        <v>97</v>
      </c>
      <c r="M423">
        <v>11</v>
      </c>
      <c r="P423" s="13">
        <v>103</v>
      </c>
      <c r="Q423" s="13">
        <v>0</v>
      </c>
      <c r="R423">
        <v>16</v>
      </c>
      <c r="S423">
        <v>32</v>
      </c>
      <c r="T423" s="13">
        <v>14</v>
      </c>
      <c r="U423" s="13">
        <v>84</v>
      </c>
      <c r="V423" t="s">
        <v>99</v>
      </c>
      <c r="X423" s="13">
        <v>103</v>
      </c>
    </row>
    <row r="424" spans="1:24" x14ac:dyDescent="0.25">
      <c r="A424" t="s">
        <v>526</v>
      </c>
      <c r="B424" t="s">
        <v>62</v>
      </c>
      <c r="C424" t="s">
        <v>436</v>
      </c>
      <c r="D424" t="s">
        <v>437</v>
      </c>
      <c r="E424" t="s">
        <v>62</v>
      </c>
      <c r="F424" t="s">
        <v>94</v>
      </c>
      <c r="G424" t="s">
        <v>277</v>
      </c>
      <c r="H424" s="12">
        <v>6.1715726000000002</v>
      </c>
      <c r="I424" s="12">
        <v>-75.590899399999998</v>
      </c>
      <c r="K424" t="s">
        <v>97</v>
      </c>
      <c r="M424">
        <v>11</v>
      </c>
      <c r="P424" s="13">
        <v>80</v>
      </c>
      <c r="Q424" s="13">
        <v>0</v>
      </c>
      <c r="R424">
        <v>16</v>
      </c>
      <c r="S424">
        <v>18</v>
      </c>
      <c r="T424" s="13">
        <v>14</v>
      </c>
      <c r="U424" s="13">
        <v>65</v>
      </c>
      <c r="V424" t="s">
        <v>99</v>
      </c>
      <c r="X424" s="13">
        <v>80</v>
      </c>
    </row>
    <row r="425" spans="1:24" x14ac:dyDescent="0.25">
      <c r="A425" t="s">
        <v>527</v>
      </c>
      <c r="B425" t="s">
        <v>62</v>
      </c>
      <c r="C425" t="s">
        <v>436</v>
      </c>
      <c r="D425" t="s">
        <v>437</v>
      </c>
      <c r="E425" t="s">
        <v>62</v>
      </c>
      <c r="F425" t="s">
        <v>94</v>
      </c>
      <c r="G425" t="s">
        <v>277</v>
      </c>
      <c r="H425" s="12">
        <v>6.1715726000000002</v>
      </c>
      <c r="I425" s="12">
        <v>-75.590899399999998</v>
      </c>
      <c r="K425" t="s">
        <v>97</v>
      </c>
      <c r="M425">
        <v>11</v>
      </c>
      <c r="P425" s="13">
        <v>61</v>
      </c>
      <c r="Q425" s="13">
        <v>0</v>
      </c>
      <c r="R425">
        <v>14</v>
      </c>
      <c r="S425">
        <v>14</v>
      </c>
      <c r="T425" s="13">
        <v>14</v>
      </c>
      <c r="U425" s="13">
        <v>33</v>
      </c>
      <c r="V425" t="s">
        <v>99</v>
      </c>
      <c r="X425" s="13">
        <v>61</v>
      </c>
    </row>
    <row r="426" spans="1:24" x14ac:dyDescent="0.25">
      <c r="A426" t="s">
        <v>528</v>
      </c>
      <c r="B426" t="s">
        <v>62</v>
      </c>
      <c r="C426" t="s">
        <v>529</v>
      </c>
      <c r="D426" t="s">
        <v>530</v>
      </c>
      <c r="E426" t="s">
        <v>62</v>
      </c>
      <c r="F426" t="s">
        <v>94</v>
      </c>
      <c r="G426" t="s">
        <v>277</v>
      </c>
      <c r="H426" s="12">
        <v>6.1726758999999998</v>
      </c>
      <c r="I426" s="12">
        <v>-75.581229500000006</v>
      </c>
      <c r="K426" t="s">
        <v>97</v>
      </c>
      <c r="M426">
        <v>11</v>
      </c>
      <c r="P426" s="13">
        <v>378</v>
      </c>
      <c r="Q426" s="13">
        <v>88</v>
      </c>
      <c r="R426">
        <v>56</v>
      </c>
      <c r="S426">
        <v>90</v>
      </c>
      <c r="T426" s="13">
        <v>64</v>
      </c>
      <c r="U426" s="13">
        <v>89</v>
      </c>
      <c r="V426" t="s">
        <v>99</v>
      </c>
      <c r="X426" s="13">
        <v>378</v>
      </c>
    </row>
    <row r="427" spans="1:24" x14ac:dyDescent="0.25">
      <c r="A427" t="s">
        <v>531</v>
      </c>
      <c r="B427" t="s">
        <v>62</v>
      </c>
      <c r="C427" t="s">
        <v>529</v>
      </c>
      <c r="D427" t="s">
        <v>530</v>
      </c>
      <c r="E427" t="s">
        <v>62</v>
      </c>
      <c r="F427" t="s">
        <v>94</v>
      </c>
      <c r="G427" t="s">
        <v>277</v>
      </c>
      <c r="H427" s="12">
        <v>6.1726758999999998</v>
      </c>
      <c r="I427" s="12">
        <v>-75.581229500000006</v>
      </c>
      <c r="K427" t="s">
        <v>97</v>
      </c>
      <c r="M427">
        <v>11</v>
      </c>
      <c r="P427" s="13">
        <v>310</v>
      </c>
      <c r="Q427" s="13">
        <v>68</v>
      </c>
      <c r="R427">
        <v>28</v>
      </c>
      <c r="S427">
        <v>82</v>
      </c>
      <c r="T427" s="13">
        <v>60</v>
      </c>
      <c r="U427" s="13">
        <v>91</v>
      </c>
      <c r="V427" t="s">
        <v>99</v>
      </c>
      <c r="X427" s="13">
        <v>310</v>
      </c>
    </row>
    <row r="428" spans="1:24" x14ac:dyDescent="0.25">
      <c r="A428" t="s">
        <v>532</v>
      </c>
      <c r="B428" t="s">
        <v>62</v>
      </c>
      <c r="C428" t="s">
        <v>529</v>
      </c>
      <c r="D428" t="s">
        <v>530</v>
      </c>
      <c r="E428" t="s">
        <v>62</v>
      </c>
      <c r="F428" t="s">
        <v>94</v>
      </c>
      <c r="G428" t="s">
        <v>277</v>
      </c>
      <c r="H428" s="12">
        <v>6.1726758999999998</v>
      </c>
      <c r="I428" s="12">
        <v>-75.581229500000006</v>
      </c>
      <c r="K428" t="s">
        <v>97</v>
      </c>
      <c r="M428">
        <v>11</v>
      </c>
      <c r="P428" s="13">
        <v>304</v>
      </c>
      <c r="Q428" s="13">
        <v>83</v>
      </c>
      <c r="R428">
        <v>34</v>
      </c>
      <c r="S428">
        <v>72</v>
      </c>
      <c r="T428" s="13">
        <v>52</v>
      </c>
      <c r="U428" s="13">
        <v>67</v>
      </c>
      <c r="V428" t="s">
        <v>99</v>
      </c>
      <c r="X428" s="13">
        <v>304</v>
      </c>
    </row>
    <row r="429" spans="1:24" x14ac:dyDescent="0.25">
      <c r="A429" t="s">
        <v>533</v>
      </c>
      <c r="B429" t="s">
        <v>62</v>
      </c>
      <c r="C429" t="s">
        <v>529</v>
      </c>
      <c r="D429" t="s">
        <v>530</v>
      </c>
      <c r="E429" t="s">
        <v>62</v>
      </c>
      <c r="F429" t="s">
        <v>94</v>
      </c>
      <c r="G429" t="s">
        <v>277</v>
      </c>
      <c r="H429" s="12">
        <v>6.1726758999999998</v>
      </c>
      <c r="I429" s="12">
        <v>-75.581229500000006</v>
      </c>
      <c r="K429" t="s">
        <v>97</v>
      </c>
      <c r="M429">
        <v>11</v>
      </c>
      <c r="P429" s="13">
        <v>284</v>
      </c>
      <c r="Q429" s="13">
        <v>59</v>
      </c>
      <c r="R429">
        <v>44</v>
      </c>
      <c r="S429">
        <v>66</v>
      </c>
      <c r="T429" s="13">
        <v>48</v>
      </c>
      <c r="U429" s="13">
        <v>89</v>
      </c>
      <c r="V429" t="s">
        <v>99</v>
      </c>
      <c r="X429" s="13">
        <v>284</v>
      </c>
    </row>
    <row r="430" spans="1:24" x14ac:dyDescent="0.25">
      <c r="A430" t="s">
        <v>534</v>
      </c>
      <c r="B430" t="s">
        <v>62</v>
      </c>
      <c r="C430" t="s">
        <v>529</v>
      </c>
      <c r="D430" t="s">
        <v>530</v>
      </c>
      <c r="E430" t="s">
        <v>62</v>
      </c>
      <c r="F430" t="s">
        <v>94</v>
      </c>
      <c r="G430" t="s">
        <v>277</v>
      </c>
      <c r="H430" s="12">
        <v>6.1726758999999998</v>
      </c>
      <c r="I430" s="12">
        <v>-75.581229500000006</v>
      </c>
      <c r="K430" t="s">
        <v>97</v>
      </c>
      <c r="M430">
        <v>11</v>
      </c>
      <c r="P430" s="13">
        <v>270</v>
      </c>
      <c r="Q430" s="13">
        <v>68</v>
      </c>
      <c r="R430">
        <v>32</v>
      </c>
      <c r="S430">
        <v>66</v>
      </c>
      <c r="T430" s="13">
        <v>50</v>
      </c>
      <c r="U430" s="13">
        <v>53</v>
      </c>
      <c r="V430" t="s">
        <v>99</v>
      </c>
      <c r="X430" s="13">
        <v>270</v>
      </c>
    </row>
    <row r="431" spans="1:24" x14ac:dyDescent="0.25">
      <c r="A431" t="s">
        <v>535</v>
      </c>
      <c r="B431" t="s">
        <v>62</v>
      </c>
      <c r="C431" t="s">
        <v>529</v>
      </c>
      <c r="D431" t="s">
        <v>530</v>
      </c>
      <c r="E431" t="s">
        <v>62</v>
      </c>
      <c r="F431" t="s">
        <v>94</v>
      </c>
      <c r="G431" t="s">
        <v>277</v>
      </c>
      <c r="H431" s="12">
        <v>6.1726758999999998</v>
      </c>
      <c r="I431" s="12">
        <v>-75.581229500000006</v>
      </c>
      <c r="K431" t="s">
        <v>97</v>
      </c>
      <c r="M431">
        <v>11</v>
      </c>
      <c r="P431" s="13">
        <v>261</v>
      </c>
      <c r="Q431" s="13">
        <v>59</v>
      </c>
      <c r="R431">
        <v>44</v>
      </c>
      <c r="S431">
        <v>60</v>
      </c>
      <c r="T431" s="13">
        <v>52</v>
      </c>
      <c r="U431" s="13">
        <v>35</v>
      </c>
      <c r="V431" t="s">
        <v>99</v>
      </c>
      <c r="X431" s="13">
        <v>261</v>
      </c>
    </row>
    <row r="432" spans="1:24" x14ac:dyDescent="0.25">
      <c r="A432" t="s">
        <v>536</v>
      </c>
      <c r="B432" t="s">
        <v>62</v>
      </c>
      <c r="C432" t="s">
        <v>529</v>
      </c>
      <c r="D432" t="s">
        <v>530</v>
      </c>
      <c r="E432" t="s">
        <v>62</v>
      </c>
      <c r="F432" t="s">
        <v>94</v>
      </c>
      <c r="G432" t="s">
        <v>277</v>
      </c>
      <c r="H432" s="12">
        <v>6.1726758999999998</v>
      </c>
      <c r="I432" s="12">
        <v>-75.581229500000006</v>
      </c>
      <c r="K432" t="s">
        <v>97</v>
      </c>
      <c r="M432">
        <v>11</v>
      </c>
      <c r="P432" s="13">
        <v>260</v>
      </c>
      <c r="Q432" s="13">
        <v>63</v>
      </c>
      <c r="R432">
        <v>40</v>
      </c>
      <c r="S432">
        <v>58</v>
      </c>
      <c r="T432" s="13">
        <v>43</v>
      </c>
      <c r="U432" s="13">
        <v>64</v>
      </c>
      <c r="V432" t="s">
        <v>99</v>
      </c>
      <c r="X432" s="13">
        <v>260</v>
      </c>
    </row>
    <row r="433" spans="1:24" x14ac:dyDescent="0.25">
      <c r="A433" t="s">
        <v>537</v>
      </c>
      <c r="B433" t="s">
        <v>62</v>
      </c>
      <c r="C433" t="s">
        <v>529</v>
      </c>
      <c r="D433" t="s">
        <v>530</v>
      </c>
      <c r="E433" t="s">
        <v>62</v>
      </c>
      <c r="F433" t="s">
        <v>94</v>
      </c>
      <c r="G433" t="s">
        <v>277</v>
      </c>
      <c r="H433" s="12">
        <v>6.1726758999999998</v>
      </c>
      <c r="I433" s="12">
        <v>-75.581229500000006</v>
      </c>
      <c r="K433" t="s">
        <v>97</v>
      </c>
      <c r="M433">
        <v>11</v>
      </c>
      <c r="P433" s="13">
        <v>253</v>
      </c>
      <c r="Q433" s="13">
        <v>71</v>
      </c>
      <c r="R433">
        <v>20</v>
      </c>
      <c r="S433">
        <v>66</v>
      </c>
      <c r="T433" s="13">
        <v>34</v>
      </c>
      <c r="U433" s="13">
        <v>84</v>
      </c>
      <c r="V433" t="s">
        <v>99</v>
      </c>
      <c r="X433" s="13">
        <v>253</v>
      </c>
    </row>
    <row r="434" spans="1:24" x14ac:dyDescent="0.25">
      <c r="A434" t="s">
        <v>538</v>
      </c>
      <c r="B434" t="s">
        <v>62</v>
      </c>
      <c r="C434" t="s">
        <v>529</v>
      </c>
      <c r="D434" t="s">
        <v>530</v>
      </c>
      <c r="E434" t="s">
        <v>62</v>
      </c>
      <c r="F434" t="s">
        <v>94</v>
      </c>
      <c r="G434" t="s">
        <v>277</v>
      </c>
      <c r="H434" s="12">
        <v>6.1726758999999998</v>
      </c>
      <c r="I434" s="12">
        <v>-75.581229500000006</v>
      </c>
      <c r="K434" t="s">
        <v>97</v>
      </c>
      <c r="M434">
        <v>11</v>
      </c>
      <c r="P434" s="13">
        <v>237</v>
      </c>
      <c r="Q434" s="13">
        <v>63</v>
      </c>
      <c r="R434">
        <v>32</v>
      </c>
      <c r="S434">
        <v>56</v>
      </c>
      <c r="T434" s="13">
        <v>41</v>
      </c>
      <c r="U434" s="13">
        <v>38</v>
      </c>
      <c r="V434" t="s">
        <v>99</v>
      </c>
      <c r="X434" s="13">
        <v>237</v>
      </c>
    </row>
    <row r="435" spans="1:24" x14ac:dyDescent="0.25">
      <c r="A435" t="s">
        <v>539</v>
      </c>
      <c r="B435" t="s">
        <v>62</v>
      </c>
      <c r="C435" t="s">
        <v>529</v>
      </c>
      <c r="D435" t="s">
        <v>530</v>
      </c>
      <c r="E435" t="s">
        <v>62</v>
      </c>
      <c r="F435" t="s">
        <v>94</v>
      </c>
      <c r="G435" t="s">
        <v>277</v>
      </c>
      <c r="H435" s="12">
        <v>6.1726758999999998</v>
      </c>
      <c r="I435" s="12">
        <v>-75.581229500000006</v>
      </c>
      <c r="K435" t="s">
        <v>97</v>
      </c>
      <c r="M435">
        <v>11</v>
      </c>
      <c r="P435" s="13">
        <v>236</v>
      </c>
      <c r="Q435" s="13">
        <v>54</v>
      </c>
      <c r="R435">
        <v>30</v>
      </c>
      <c r="S435">
        <v>60</v>
      </c>
      <c r="T435" s="13">
        <v>52</v>
      </c>
      <c r="U435" s="13">
        <v>27</v>
      </c>
      <c r="V435" t="s">
        <v>99</v>
      </c>
      <c r="X435" s="13">
        <v>236</v>
      </c>
    </row>
    <row r="436" spans="1:24" x14ac:dyDescent="0.25">
      <c r="A436" t="s">
        <v>540</v>
      </c>
      <c r="B436" t="s">
        <v>62</v>
      </c>
      <c r="C436" t="s">
        <v>529</v>
      </c>
      <c r="D436" t="s">
        <v>530</v>
      </c>
      <c r="E436" t="s">
        <v>62</v>
      </c>
      <c r="F436" t="s">
        <v>94</v>
      </c>
      <c r="G436" t="s">
        <v>277</v>
      </c>
      <c r="H436" s="12">
        <v>6.1726758999999998</v>
      </c>
      <c r="I436" s="12">
        <v>-75.581229500000006</v>
      </c>
      <c r="K436" t="s">
        <v>97</v>
      </c>
      <c r="M436">
        <v>11</v>
      </c>
      <c r="P436" s="13">
        <v>230</v>
      </c>
      <c r="Q436" s="13">
        <v>56</v>
      </c>
      <c r="R436">
        <v>32</v>
      </c>
      <c r="S436">
        <v>54</v>
      </c>
      <c r="T436" s="13">
        <v>45</v>
      </c>
      <c r="U436" s="13">
        <v>38</v>
      </c>
      <c r="V436" t="s">
        <v>99</v>
      </c>
      <c r="X436" s="13">
        <v>230</v>
      </c>
    </row>
    <row r="437" spans="1:24" x14ac:dyDescent="0.25">
      <c r="A437" t="s">
        <v>541</v>
      </c>
      <c r="B437" t="s">
        <v>62</v>
      </c>
      <c r="C437" t="s">
        <v>529</v>
      </c>
      <c r="D437" t="s">
        <v>530</v>
      </c>
      <c r="E437" t="s">
        <v>62</v>
      </c>
      <c r="F437" t="s">
        <v>94</v>
      </c>
      <c r="G437" t="s">
        <v>277</v>
      </c>
      <c r="H437" s="12">
        <v>6.1726758999999998</v>
      </c>
      <c r="I437" s="12">
        <v>-75.581229500000006</v>
      </c>
      <c r="K437" t="s">
        <v>97</v>
      </c>
      <c r="M437">
        <v>11</v>
      </c>
      <c r="P437" s="13">
        <v>229</v>
      </c>
      <c r="Q437" s="13">
        <v>80</v>
      </c>
      <c r="R437">
        <v>44</v>
      </c>
      <c r="S437">
        <v>34</v>
      </c>
      <c r="T437" s="13">
        <v>16</v>
      </c>
      <c r="U437" s="13">
        <v>73</v>
      </c>
      <c r="V437" t="s">
        <v>99</v>
      </c>
      <c r="X437" s="13">
        <v>229</v>
      </c>
    </row>
    <row r="438" spans="1:24" x14ac:dyDescent="0.25">
      <c r="A438" t="s">
        <v>542</v>
      </c>
      <c r="B438" t="s">
        <v>62</v>
      </c>
      <c r="C438" t="s">
        <v>529</v>
      </c>
      <c r="D438" t="s">
        <v>530</v>
      </c>
      <c r="E438" t="s">
        <v>62</v>
      </c>
      <c r="F438" t="s">
        <v>94</v>
      </c>
      <c r="G438" t="s">
        <v>277</v>
      </c>
      <c r="H438" s="12">
        <v>6.1726758999999998</v>
      </c>
      <c r="I438" s="12">
        <v>-75.581229500000006</v>
      </c>
      <c r="K438" t="s">
        <v>97</v>
      </c>
      <c r="M438">
        <v>11</v>
      </c>
      <c r="P438" s="13">
        <v>224</v>
      </c>
      <c r="Q438" s="13">
        <v>63</v>
      </c>
      <c r="R438">
        <v>36</v>
      </c>
      <c r="S438">
        <v>50</v>
      </c>
      <c r="T438" s="13">
        <v>29</v>
      </c>
      <c r="U438" s="13">
        <v>47</v>
      </c>
      <c r="V438" t="s">
        <v>99</v>
      </c>
      <c r="X438" s="13">
        <v>224</v>
      </c>
    </row>
    <row r="439" spans="1:24" x14ac:dyDescent="0.25">
      <c r="A439" t="s">
        <v>543</v>
      </c>
      <c r="B439" t="s">
        <v>62</v>
      </c>
      <c r="C439" t="s">
        <v>529</v>
      </c>
      <c r="D439" t="s">
        <v>530</v>
      </c>
      <c r="E439" t="s">
        <v>62</v>
      </c>
      <c r="F439" t="s">
        <v>94</v>
      </c>
      <c r="G439" t="s">
        <v>277</v>
      </c>
      <c r="H439" s="12">
        <v>6.1726758999999998</v>
      </c>
      <c r="I439" s="12">
        <v>-75.581229500000006</v>
      </c>
      <c r="K439" t="s">
        <v>97</v>
      </c>
      <c r="M439">
        <v>11</v>
      </c>
      <c r="P439" s="13">
        <v>224</v>
      </c>
      <c r="Q439" s="13">
        <v>61</v>
      </c>
      <c r="R439">
        <v>30</v>
      </c>
      <c r="S439">
        <v>44</v>
      </c>
      <c r="T439" s="13">
        <v>43</v>
      </c>
      <c r="U439" s="13">
        <v>49</v>
      </c>
      <c r="V439" t="s">
        <v>99</v>
      </c>
      <c r="X439" s="13">
        <v>224</v>
      </c>
    </row>
    <row r="440" spans="1:24" x14ac:dyDescent="0.25">
      <c r="A440" t="s">
        <v>544</v>
      </c>
      <c r="B440" t="s">
        <v>62</v>
      </c>
      <c r="C440" t="s">
        <v>529</v>
      </c>
      <c r="D440" t="s">
        <v>530</v>
      </c>
      <c r="E440" t="s">
        <v>62</v>
      </c>
      <c r="F440" t="s">
        <v>94</v>
      </c>
      <c r="G440" t="s">
        <v>277</v>
      </c>
      <c r="H440" s="12">
        <v>6.1726758999999998</v>
      </c>
      <c r="I440" s="12">
        <v>-75.581229500000006</v>
      </c>
      <c r="K440" t="s">
        <v>97</v>
      </c>
      <c r="M440">
        <v>11</v>
      </c>
      <c r="P440" s="13">
        <v>222</v>
      </c>
      <c r="Q440" s="13">
        <v>63</v>
      </c>
      <c r="R440">
        <v>26</v>
      </c>
      <c r="S440">
        <v>50</v>
      </c>
      <c r="T440" s="13">
        <v>40</v>
      </c>
      <c r="U440" s="13">
        <v>40</v>
      </c>
      <c r="V440" t="s">
        <v>99</v>
      </c>
      <c r="X440" s="13">
        <v>222</v>
      </c>
    </row>
    <row r="441" spans="1:24" x14ac:dyDescent="0.25">
      <c r="A441" t="s">
        <v>545</v>
      </c>
      <c r="B441" t="s">
        <v>62</v>
      </c>
      <c r="C441" t="s">
        <v>529</v>
      </c>
      <c r="D441" t="s">
        <v>530</v>
      </c>
      <c r="E441" t="s">
        <v>62</v>
      </c>
      <c r="F441" t="s">
        <v>94</v>
      </c>
      <c r="G441" t="s">
        <v>277</v>
      </c>
      <c r="H441" s="12">
        <v>6.1726758999999998</v>
      </c>
      <c r="I441" s="12">
        <v>-75.581229500000006</v>
      </c>
      <c r="K441" t="s">
        <v>97</v>
      </c>
      <c r="M441">
        <v>11</v>
      </c>
      <c r="P441" s="13">
        <v>218</v>
      </c>
      <c r="Q441" s="13">
        <v>59</v>
      </c>
      <c r="R441">
        <v>34</v>
      </c>
      <c r="S441">
        <v>42</v>
      </c>
      <c r="T441" s="13">
        <v>33</v>
      </c>
      <c r="U441" s="13">
        <v>65</v>
      </c>
      <c r="V441" t="s">
        <v>99</v>
      </c>
      <c r="X441" s="13">
        <v>218</v>
      </c>
    </row>
    <row r="442" spans="1:24" x14ac:dyDescent="0.25">
      <c r="A442" t="s">
        <v>546</v>
      </c>
      <c r="B442" t="s">
        <v>62</v>
      </c>
      <c r="C442" t="s">
        <v>529</v>
      </c>
      <c r="D442" t="s">
        <v>530</v>
      </c>
      <c r="E442" t="s">
        <v>62</v>
      </c>
      <c r="F442" t="s">
        <v>94</v>
      </c>
      <c r="G442" t="s">
        <v>277</v>
      </c>
      <c r="H442" s="12">
        <v>6.1726758999999998</v>
      </c>
      <c r="I442" s="12">
        <v>-75.581229500000006</v>
      </c>
      <c r="K442" t="s">
        <v>97</v>
      </c>
      <c r="M442">
        <v>11</v>
      </c>
      <c r="P442" s="13">
        <v>216</v>
      </c>
      <c r="Q442" s="13">
        <v>59</v>
      </c>
      <c r="R442">
        <v>24</v>
      </c>
      <c r="S442">
        <v>60</v>
      </c>
      <c r="T442" s="13">
        <v>29</v>
      </c>
      <c r="U442" s="13">
        <v>47</v>
      </c>
      <c r="V442" t="s">
        <v>99</v>
      </c>
      <c r="X442" s="13">
        <v>216</v>
      </c>
    </row>
    <row r="443" spans="1:24" x14ac:dyDescent="0.25">
      <c r="A443" t="s">
        <v>547</v>
      </c>
      <c r="B443" t="s">
        <v>62</v>
      </c>
      <c r="C443" t="s">
        <v>529</v>
      </c>
      <c r="D443" t="s">
        <v>530</v>
      </c>
      <c r="E443" t="s">
        <v>62</v>
      </c>
      <c r="F443" t="s">
        <v>94</v>
      </c>
      <c r="G443" t="s">
        <v>277</v>
      </c>
      <c r="H443" s="12">
        <v>6.1726758999999998</v>
      </c>
      <c r="I443" s="12">
        <v>-75.581229500000006</v>
      </c>
      <c r="K443" t="s">
        <v>97</v>
      </c>
      <c r="M443">
        <v>11</v>
      </c>
      <c r="P443" s="13">
        <v>214</v>
      </c>
      <c r="Q443" s="13">
        <v>51</v>
      </c>
      <c r="R443">
        <v>38</v>
      </c>
      <c r="S443">
        <v>32</v>
      </c>
      <c r="T443" s="13">
        <v>48</v>
      </c>
      <c r="U443" s="13">
        <v>49</v>
      </c>
      <c r="V443" t="s">
        <v>99</v>
      </c>
      <c r="X443" s="13">
        <v>214</v>
      </c>
    </row>
    <row r="444" spans="1:24" x14ac:dyDescent="0.25">
      <c r="A444" t="s">
        <v>548</v>
      </c>
      <c r="B444" t="s">
        <v>62</v>
      </c>
      <c r="C444" t="s">
        <v>529</v>
      </c>
      <c r="D444" t="s">
        <v>530</v>
      </c>
      <c r="E444" t="s">
        <v>62</v>
      </c>
      <c r="F444" t="s">
        <v>94</v>
      </c>
      <c r="G444" t="s">
        <v>277</v>
      </c>
      <c r="H444" s="12">
        <v>6.1726758999999998</v>
      </c>
      <c r="I444" s="12">
        <v>-75.581229500000006</v>
      </c>
      <c r="K444" t="s">
        <v>97</v>
      </c>
      <c r="M444">
        <v>11</v>
      </c>
      <c r="P444" s="13">
        <v>214</v>
      </c>
      <c r="Q444" s="13">
        <v>66</v>
      </c>
      <c r="R444">
        <v>26</v>
      </c>
      <c r="S444">
        <v>40</v>
      </c>
      <c r="T444" s="13">
        <v>38</v>
      </c>
      <c r="U444" s="13">
        <v>47</v>
      </c>
      <c r="V444" t="s">
        <v>99</v>
      </c>
      <c r="X444" s="13">
        <v>214</v>
      </c>
    </row>
    <row r="445" spans="1:24" x14ac:dyDescent="0.25">
      <c r="A445" t="s">
        <v>549</v>
      </c>
      <c r="B445" t="s">
        <v>62</v>
      </c>
      <c r="C445" t="s">
        <v>529</v>
      </c>
      <c r="D445" t="s">
        <v>530</v>
      </c>
      <c r="E445" t="s">
        <v>62</v>
      </c>
      <c r="F445" t="s">
        <v>94</v>
      </c>
      <c r="G445" t="s">
        <v>277</v>
      </c>
      <c r="H445" s="12">
        <v>6.1726758999999998</v>
      </c>
      <c r="I445" s="12">
        <v>-75.581229500000006</v>
      </c>
      <c r="K445" t="s">
        <v>97</v>
      </c>
      <c r="M445">
        <v>11</v>
      </c>
      <c r="P445" s="13">
        <v>210</v>
      </c>
      <c r="Q445" s="13">
        <v>44</v>
      </c>
      <c r="R445">
        <v>30</v>
      </c>
      <c r="S445">
        <v>50</v>
      </c>
      <c r="T445" s="13">
        <v>43</v>
      </c>
      <c r="U445" s="13">
        <v>45</v>
      </c>
      <c r="V445" t="s">
        <v>99</v>
      </c>
      <c r="X445" s="13">
        <v>210</v>
      </c>
    </row>
    <row r="446" spans="1:24" x14ac:dyDescent="0.25">
      <c r="A446" t="s">
        <v>550</v>
      </c>
      <c r="B446" t="s">
        <v>62</v>
      </c>
      <c r="C446" t="s">
        <v>529</v>
      </c>
      <c r="D446" t="s">
        <v>530</v>
      </c>
      <c r="E446" t="s">
        <v>62</v>
      </c>
      <c r="F446" t="s">
        <v>94</v>
      </c>
      <c r="G446" t="s">
        <v>277</v>
      </c>
      <c r="H446" s="12">
        <v>6.1726758999999998</v>
      </c>
      <c r="I446" s="12">
        <v>-75.581229500000006</v>
      </c>
      <c r="K446" t="s">
        <v>97</v>
      </c>
      <c r="M446">
        <v>11</v>
      </c>
      <c r="P446" s="13">
        <v>204</v>
      </c>
      <c r="Q446" s="13">
        <v>51</v>
      </c>
      <c r="R446">
        <v>26</v>
      </c>
      <c r="S446">
        <v>48</v>
      </c>
      <c r="T446" s="13">
        <v>36</v>
      </c>
      <c r="U446" s="13">
        <v>47</v>
      </c>
      <c r="V446" t="s">
        <v>99</v>
      </c>
      <c r="X446" s="13">
        <v>204</v>
      </c>
    </row>
    <row r="447" spans="1:24" x14ac:dyDescent="0.25">
      <c r="A447" t="s">
        <v>551</v>
      </c>
      <c r="B447" t="s">
        <v>62</v>
      </c>
      <c r="C447" t="s">
        <v>529</v>
      </c>
      <c r="D447" t="s">
        <v>530</v>
      </c>
      <c r="E447" t="s">
        <v>62</v>
      </c>
      <c r="F447" t="s">
        <v>94</v>
      </c>
      <c r="G447" t="s">
        <v>277</v>
      </c>
      <c r="H447" s="12">
        <v>6.1726758999999998</v>
      </c>
      <c r="I447" s="12">
        <v>-75.581229500000006</v>
      </c>
      <c r="K447" t="s">
        <v>97</v>
      </c>
      <c r="M447">
        <v>11</v>
      </c>
      <c r="P447" s="13">
        <v>204</v>
      </c>
      <c r="Q447" s="13">
        <v>44</v>
      </c>
      <c r="R447">
        <v>36</v>
      </c>
      <c r="S447">
        <v>42</v>
      </c>
      <c r="T447" s="13">
        <v>33</v>
      </c>
      <c r="U447" s="13">
        <v>67</v>
      </c>
      <c r="V447" t="s">
        <v>99</v>
      </c>
      <c r="X447" s="13">
        <v>204</v>
      </c>
    </row>
    <row r="448" spans="1:24" x14ac:dyDescent="0.25">
      <c r="A448" t="s">
        <v>552</v>
      </c>
      <c r="B448" t="s">
        <v>62</v>
      </c>
      <c r="C448" t="s">
        <v>529</v>
      </c>
      <c r="D448" t="s">
        <v>530</v>
      </c>
      <c r="E448" t="s">
        <v>62</v>
      </c>
      <c r="F448" t="s">
        <v>94</v>
      </c>
      <c r="G448" t="s">
        <v>277</v>
      </c>
      <c r="H448" s="12">
        <v>6.1726758999999998</v>
      </c>
      <c r="I448" s="12">
        <v>-75.581229500000006</v>
      </c>
      <c r="K448" t="s">
        <v>97</v>
      </c>
      <c r="M448">
        <v>11</v>
      </c>
      <c r="P448" s="13">
        <v>198</v>
      </c>
      <c r="Q448" s="13">
        <v>54</v>
      </c>
      <c r="R448">
        <v>28</v>
      </c>
      <c r="S448">
        <v>46</v>
      </c>
      <c r="T448" s="13">
        <v>31</v>
      </c>
      <c r="U448" s="13">
        <v>40</v>
      </c>
      <c r="V448" t="s">
        <v>99</v>
      </c>
      <c r="X448" s="13">
        <v>198</v>
      </c>
    </row>
    <row r="449" spans="1:24" x14ac:dyDescent="0.25">
      <c r="A449" t="s">
        <v>553</v>
      </c>
      <c r="B449" t="s">
        <v>62</v>
      </c>
      <c r="C449" t="s">
        <v>529</v>
      </c>
      <c r="D449" t="s">
        <v>530</v>
      </c>
      <c r="E449" t="s">
        <v>62</v>
      </c>
      <c r="F449" t="s">
        <v>94</v>
      </c>
      <c r="G449" t="s">
        <v>277</v>
      </c>
      <c r="H449" s="12">
        <v>6.1726758999999998</v>
      </c>
      <c r="I449" s="12">
        <v>-75.581229500000006</v>
      </c>
      <c r="K449" t="s">
        <v>97</v>
      </c>
      <c r="M449">
        <v>11</v>
      </c>
      <c r="P449" s="13">
        <v>194</v>
      </c>
      <c r="Q449" s="13">
        <v>66</v>
      </c>
      <c r="R449">
        <v>36</v>
      </c>
      <c r="S449">
        <v>38</v>
      </c>
      <c r="T449" s="13">
        <v>19</v>
      </c>
      <c r="U449" s="13">
        <v>29</v>
      </c>
      <c r="V449" t="s">
        <v>99</v>
      </c>
      <c r="X449" s="13">
        <v>194</v>
      </c>
    </row>
    <row r="450" spans="1:24" x14ac:dyDescent="0.25">
      <c r="A450" t="s">
        <v>554</v>
      </c>
      <c r="B450" t="s">
        <v>62</v>
      </c>
      <c r="C450" t="s">
        <v>529</v>
      </c>
      <c r="D450" t="s">
        <v>530</v>
      </c>
      <c r="E450" t="s">
        <v>62</v>
      </c>
      <c r="F450" t="s">
        <v>94</v>
      </c>
      <c r="G450" t="s">
        <v>277</v>
      </c>
      <c r="H450" s="12">
        <v>6.1726758999999998</v>
      </c>
      <c r="I450" s="12">
        <v>-75.581229500000006</v>
      </c>
      <c r="K450" t="s">
        <v>97</v>
      </c>
      <c r="M450">
        <v>11</v>
      </c>
      <c r="P450" s="13">
        <v>191</v>
      </c>
      <c r="Q450" s="13">
        <v>44</v>
      </c>
      <c r="R450">
        <v>44</v>
      </c>
      <c r="S450">
        <v>28</v>
      </c>
      <c r="T450" s="13">
        <v>33</v>
      </c>
      <c r="U450" s="13">
        <v>51</v>
      </c>
      <c r="V450" t="s">
        <v>99</v>
      </c>
      <c r="X450" s="13">
        <v>191</v>
      </c>
    </row>
    <row r="451" spans="1:24" x14ac:dyDescent="0.25">
      <c r="A451" t="s">
        <v>555</v>
      </c>
      <c r="B451" t="s">
        <v>62</v>
      </c>
      <c r="C451" t="s">
        <v>529</v>
      </c>
      <c r="D451" t="s">
        <v>530</v>
      </c>
      <c r="E451" t="s">
        <v>62</v>
      </c>
      <c r="F451" t="s">
        <v>94</v>
      </c>
      <c r="G451" t="s">
        <v>277</v>
      </c>
      <c r="H451" s="12">
        <v>6.1726758999999998</v>
      </c>
      <c r="I451" s="12">
        <v>-75.581229500000006</v>
      </c>
      <c r="K451" t="s">
        <v>97</v>
      </c>
      <c r="M451">
        <v>11</v>
      </c>
      <c r="P451" s="13">
        <v>191</v>
      </c>
      <c r="Q451" s="13">
        <v>46</v>
      </c>
      <c r="R451">
        <v>28</v>
      </c>
      <c r="S451">
        <v>44</v>
      </c>
      <c r="T451" s="13">
        <v>29</v>
      </c>
      <c r="U451" s="13">
        <v>53</v>
      </c>
      <c r="V451" t="s">
        <v>99</v>
      </c>
      <c r="X451" s="13">
        <v>191</v>
      </c>
    </row>
    <row r="452" spans="1:24" x14ac:dyDescent="0.25">
      <c r="A452" t="s">
        <v>556</v>
      </c>
      <c r="B452" t="s">
        <v>62</v>
      </c>
      <c r="C452" t="s">
        <v>529</v>
      </c>
      <c r="D452" t="s">
        <v>530</v>
      </c>
      <c r="E452" t="s">
        <v>62</v>
      </c>
      <c r="F452" t="s">
        <v>94</v>
      </c>
      <c r="G452" t="s">
        <v>277</v>
      </c>
      <c r="H452" s="12">
        <v>6.1726758999999998</v>
      </c>
      <c r="I452" s="12">
        <v>-75.581229500000006</v>
      </c>
      <c r="K452" t="s">
        <v>97</v>
      </c>
      <c r="M452">
        <v>11</v>
      </c>
      <c r="P452" s="13">
        <v>187</v>
      </c>
      <c r="Q452" s="13">
        <v>56</v>
      </c>
      <c r="R452">
        <v>32</v>
      </c>
      <c r="S452">
        <v>34</v>
      </c>
      <c r="T452" s="13">
        <v>28</v>
      </c>
      <c r="U452" s="13">
        <v>38</v>
      </c>
      <c r="V452" t="s">
        <v>99</v>
      </c>
      <c r="X452" s="13">
        <v>187</v>
      </c>
    </row>
    <row r="453" spans="1:24" x14ac:dyDescent="0.25">
      <c r="A453" t="s">
        <v>557</v>
      </c>
      <c r="B453" t="s">
        <v>62</v>
      </c>
      <c r="C453" t="s">
        <v>529</v>
      </c>
      <c r="D453" t="s">
        <v>530</v>
      </c>
      <c r="E453" t="s">
        <v>62</v>
      </c>
      <c r="F453" t="s">
        <v>94</v>
      </c>
      <c r="G453" t="s">
        <v>277</v>
      </c>
      <c r="H453" s="12">
        <v>6.1726758999999998</v>
      </c>
      <c r="I453" s="12">
        <v>-75.581229500000006</v>
      </c>
      <c r="K453" t="s">
        <v>97</v>
      </c>
      <c r="M453">
        <v>11</v>
      </c>
      <c r="P453" s="13">
        <v>184</v>
      </c>
      <c r="Q453" s="13">
        <v>44</v>
      </c>
      <c r="R453">
        <v>30</v>
      </c>
      <c r="S453">
        <v>40</v>
      </c>
      <c r="T453" s="13">
        <v>33</v>
      </c>
      <c r="U453" s="13">
        <v>38</v>
      </c>
      <c r="V453" t="s">
        <v>99</v>
      </c>
      <c r="X453" s="13">
        <v>184</v>
      </c>
    </row>
    <row r="454" spans="1:24" x14ac:dyDescent="0.25">
      <c r="A454" t="s">
        <v>558</v>
      </c>
      <c r="B454" t="s">
        <v>62</v>
      </c>
      <c r="C454" t="s">
        <v>529</v>
      </c>
      <c r="D454" t="s">
        <v>530</v>
      </c>
      <c r="E454" t="s">
        <v>62</v>
      </c>
      <c r="F454" t="s">
        <v>94</v>
      </c>
      <c r="G454" t="s">
        <v>277</v>
      </c>
      <c r="H454" s="12">
        <v>6.1726758999999998</v>
      </c>
      <c r="I454" s="12">
        <v>-75.581229500000006</v>
      </c>
      <c r="K454" t="s">
        <v>97</v>
      </c>
      <c r="M454">
        <v>11</v>
      </c>
      <c r="P454" s="13">
        <v>180</v>
      </c>
      <c r="Q454" s="13">
        <v>49</v>
      </c>
      <c r="R454">
        <v>30</v>
      </c>
      <c r="S454">
        <v>42</v>
      </c>
      <c r="T454" s="13">
        <v>24</v>
      </c>
      <c r="U454" s="13">
        <v>33</v>
      </c>
      <c r="V454" t="s">
        <v>99</v>
      </c>
      <c r="X454" s="13">
        <v>180</v>
      </c>
    </row>
    <row r="455" spans="1:24" x14ac:dyDescent="0.25">
      <c r="A455" t="s">
        <v>559</v>
      </c>
      <c r="B455" t="s">
        <v>62</v>
      </c>
      <c r="C455" t="s">
        <v>529</v>
      </c>
      <c r="D455" t="s">
        <v>530</v>
      </c>
      <c r="E455" t="s">
        <v>62</v>
      </c>
      <c r="F455" t="s">
        <v>94</v>
      </c>
      <c r="G455" t="s">
        <v>277</v>
      </c>
      <c r="H455" s="12">
        <v>6.1726758999999998</v>
      </c>
      <c r="I455" s="12">
        <v>-75.581229500000006</v>
      </c>
      <c r="K455" t="s">
        <v>97</v>
      </c>
      <c r="M455">
        <v>11</v>
      </c>
      <c r="P455" s="13">
        <v>177</v>
      </c>
      <c r="Q455" s="13">
        <v>44</v>
      </c>
      <c r="R455">
        <v>42</v>
      </c>
      <c r="S455">
        <v>28</v>
      </c>
      <c r="T455" s="13">
        <v>24</v>
      </c>
      <c r="U455" s="13">
        <v>45</v>
      </c>
      <c r="V455" t="s">
        <v>99</v>
      </c>
      <c r="X455" s="13">
        <v>177</v>
      </c>
    </row>
    <row r="456" spans="1:24" x14ac:dyDescent="0.25">
      <c r="A456" t="s">
        <v>560</v>
      </c>
      <c r="B456" t="s">
        <v>62</v>
      </c>
      <c r="C456" t="s">
        <v>529</v>
      </c>
      <c r="D456" t="s">
        <v>530</v>
      </c>
      <c r="E456" t="s">
        <v>62</v>
      </c>
      <c r="F456" t="s">
        <v>94</v>
      </c>
      <c r="G456" t="s">
        <v>277</v>
      </c>
      <c r="H456" s="12">
        <v>6.1726758999999998</v>
      </c>
      <c r="I456" s="12">
        <v>-75.581229500000006</v>
      </c>
      <c r="K456" t="s">
        <v>97</v>
      </c>
      <c r="M456">
        <v>11</v>
      </c>
      <c r="P456" s="13">
        <v>169</v>
      </c>
      <c r="Q456" s="13">
        <v>51</v>
      </c>
      <c r="R456">
        <v>28</v>
      </c>
      <c r="S456">
        <v>18</v>
      </c>
      <c r="T456" s="13">
        <v>34</v>
      </c>
      <c r="U456" s="13">
        <v>44</v>
      </c>
      <c r="V456" t="s">
        <v>99</v>
      </c>
      <c r="X456" s="13">
        <v>169</v>
      </c>
    </row>
    <row r="457" spans="1:24" x14ac:dyDescent="0.25">
      <c r="A457" t="s">
        <v>561</v>
      </c>
      <c r="B457" t="s">
        <v>62</v>
      </c>
      <c r="C457" t="s">
        <v>529</v>
      </c>
      <c r="D457" t="s">
        <v>530</v>
      </c>
      <c r="E457" t="s">
        <v>62</v>
      </c>
      <c r="F457" t="s">
        <v>94</v>
      </c>
      <c r="G457" t="s">
        <v>277</v>
      </c>
      <c r="H457" s="12">
        <v>6.1726758999999998</v>
      </c>
      <c r="I457" s="12">
        <v>-75.581229500000006</v>
      </c>
      <c r="K457" t="s">
        <v>97</v>
      </c>
      <c r="M457">
        <v>11</v>
      </c>
      <c r="P457" s="13">
        <v>169</v>
      </c>
      <c r="Q457" s="13">
        <v>34</v>
      </c>
      <c r="R457">
        <v>24</v>
      </c>
      <c r="S457">
        <v>36</v>
      </c>
      <c r="T457" s="13">
        <v>36</v>
      </c>
      <c r="U457" s="13">
        <v>47</v>
      </c>
      <c r="V457" t="s">
        <v>99</v>
      </c>
      <c r="X457" s="13">
        <v>169</v>
      </c>
    </row>
    <row r="458" spans="1:24" x14ac:dyDescent="0.25">
      <c r="A458" t="s">
        <v>562</v>
      </c>
      <c r="B458" t="s">
        <v>62</v>
      </c>
      <c r="C458" t="s">
        <v>529</v>
      </c>
      <c r="D458" t="s">
        <v>530</v>
      </c>
      <c r="E458" t="s">
        <v>62</v>
      </c>
      <c r="F458" t="s">
        <v>94</v>
      </c>
      <c r="G458" t="s">
        <v>277</v>
      </c>
      <c r="H458" s="12">
        <v>6.1726758999999998</v>
      </c>
      <c r="I458" s="12">
        <v>-75.581229500000006</v>
      </c>
      <c r="K458" t="s">
        <v>97</v>
      </c>
      <c r="M458">
        <v>11</v>
      </c>
      <c r="P458" s="13">
        <v>166</v>
      </c>
      <c r="Q458" s="13">
        <v>37</v>
      </c>
      <c r="R458">
        <v>42</v>
      </c>
      <c r="S458">
        <v>26</v>
      </c>
      <c r="T458" s="13">
        <v>26</v>
      </c>
      <c r="U458" s="13">
        <v>40</v>
      </c>
      <c r="V458" t="s">
        <v>99</v>
      </c>
      <c r="X458" s="13">
        <v>166</v>
      </c>
    </row>
    <row r="459" spans="1:24" x14ac:dyDescent="0.25">
      <c r="A459" t="s">
        <v>563</v>
      </c>
      <c r="B459" t="s">
        <v>62</v>
      </c>
      <c r="C459" t="s">
        <v>529</v>
      </c>
      <c r="D459" t="s">
        <v>530</v>
      </c>
      <c r="E459" t="s">
        <v>62</v>
      </c>
      <c r="F459" t="s">
        <v>94</v>
      </c>
      <c r="G459" t="s">
        <v>277</v>
      </c>
      <c r="H459" s="12">
        <v>6.1726758999999998</v>
      </c>
      <c r="I459" s="12">
        <v>-75.581229500000006</v>
      </c>
      <c r="K459" t="s">
        <v>97</v>
      </c>
      <c r="M459">
        <v>11</v>
      </c>
      <c r="P459" s="13">
        <v>164</v>
      </c>
      <c r="Q459" s="13">
        <v>34</v>
      </c>
      <c r="R459">
        <v>36</v>
      </c>
      <c r="S459">
        <v>24</v>
      </c>
      <c r="T459" s="13">
        <v>38</v>
      </c>
      <c r="U459" s="13">
        <v>31</v>
      </c>
      <c r="V459" t="s">
        <v>99</v>
      </c>
      <c r="X459" s="13">
        <v>164</v>
      </c>
    </row>
    <row r="460" spans="1:24" x14ac:dyDescent="0.25">
      <c r="A460" t="s">
        <v>564</v>
      </c>
      <c r="B460" t="s">
        <v>62</v>
      </c>
      <c r="C460" t="s">
        <v>529</v>
      </c>
      <c r="D460" t="s">
        <v>530</v>
      </c>
      <c r="E460" t="s">
        <v>62</v>
      </c>
      <c r="F460" t="s">
        <v>94</v>
      </c>
      <c r="G460" t="s">
        <v>277</v>
      </c>
      <c r="H460" s="12">
        <v>6.1726758999999998</v>
      </c>
      <c r="I460" s="12">
        <v>-75.581229500000006</v>
      </c>
      <c r="K460" t="s">
        <v>97</v>
      </c>
      <c r="M460">
        <v>11</v>
      </c>
      <c r="P460" s="13">
        <v>162</v>
      </c>
      <c r="Q460" s="13">
        <v>44</v>
      </c>
      <c r="R460">
        <v>34</v>
      </c>
      <c r="S460">
        <v>28</v>
      </c>
      <c r="T460" s="13">
        <v>22</v>
      </c>
      <c r="U460" s="13">
        <v>36</v>
      </c>
      <c r="V460" t="s">
        <v>99</v>
      </c>
      <c r="X460" s="13">
        <v>162</v>
      </c>
    </row>
    <row r="461" spans="1:24" x14ac:dyDescent="0.25">
      <c r="A461" t="s">
        <v>565</v>
      </c>
      <c r="B461" t="s">
        <v>62</v>
      </c>
      <c r="C461" t="s">
        <v>529</v>
      </c>
      <c r="D461" t="s">
        <v>530</v>
      </c>
      <c r="E461" t="s">
        <v>62</v>
      </c>
      <c r="F461" t="s">
        <v>94</v>
      </c>
      <c r="G461" t="s">
        <v>277</v>
      </c>
      <c r="H461" s="12">
        <v>6.1726758999999998</v>
      </c>
      <c r="I461" s="12">
        <v>-75.581229500000006</v>
      </c>
      <c r="K461" t="s">
        <v>97</v>
      </c>
      <c r="M461">
        <v>11</v>
      </c>
      <c r="P461" s="13">
        <v>159</v>
      </c>
      <c r="Q461" s="13">
        <v>29</v>
      </c>
      <c r="R461">
        <v>30</v>
      </c>
      <c r="S461">
        <v>40</v>
      </c>
      <c r="T461" s="13">
        <v>24</v>
      </c>
      <c r="U461" s="13">
        <v>44</v>
      </c>
      <c r="V461" t="s">
        <v>99</v>
      </c>
      <c r="X461" s="13">
        <v>159</v>
      </c>
    </row>
    <row r="462" spans="1:24" x14ac:dyDescent="0.25">
      <c r="A462" t="s">
        <v>566</v>
      </c>
      <c r="B462" t="s">
        <v>62</v>
      </c>
      <c r="C462" t="s">
        <v>529</v>
      </c>
      <c r="D462" t="s">
        <v>530</v>
      </c>
      <c r="E462" t="s">
        <v>62</v>
      </c>
      <c r="F462" t="s">
        <v>94</v>
      </c>
      <c r="G462" t="s">
        <v>277</v>
      </c>
      <c r="H462" s="12">
        <v>6.1726758999999998</v>
      </c>
      <c r="I462" s="12">
        <v>-75.581229500000006</v>
      </c>
      <c r="K462" t="s">
        <v>97</v>
      </c>
      <c r="M462">
        <v>11</v>
      </c>
      <c r="P462" s="13">
        <v>157</v>
      </c>
      <c r="Q462" s="13">
        <v>44</v>
      </c>
      <c r="R462">
        <v>36</v>
      </c>
      <c r="S462">
        <v>22</v>
      </c>
      <c r="T462" s="13">
        <v>22</v>
      </c>
      <c r="U462" s="13">
        <v>36</v>
      </c>
      <c r="V462" t="s">
        <v>99</v>
      </c>
      <c r="X462" s="13">
        <v>157</v>
      </c>
    </row>
    <row r="463" spans="1:24" x14ac:dyDescent="0.25">
      <c r="A463" t="s">
        <v>567</v>
      </c>
      <c r="B463" t="s">
        <v>62</v>
      </c>
      <c r="C463" t="s">
        <v>529</v>
      </c>
      <c r="D463" t="s">
        <v>530</v>
      </c>
      <c r="E463" t="s">
        <v>62</v>
      </c>
      <c r="F463" t="s">
        <v>94</v>
      </c>
      <c r="G463" t="s">
        <v>277</v>
      </c>
      <c r="H463" s="12">
        <v>6.1726758999999998</v>
      </c>
      <c r="I463" s="12">
        <v>-75.581229500000006</v>
      </c>
      <c r="K463" t="s">
        <v>97</v>
      </c>
      <c r="M463">
        <v>11</v>
      </c>
      <c r="P463" s="13">
        <v>156</v>
      </c>
      <c r="Q463" s="13">
        <v>29</v>
      </c>
      <c r="R463">
        <v>32</v>
      </c>
      <c r="S463">
        <v>34</v>
      </c>
      <c r="T463" s="13">
        <v>28</v>
      </c>
      <c r="U463" s="13">
        <v>38</v>
      </c>
      <c r="V463" t="s">
        <v>99</v>
      </c>
      <c r="X463" s="13">
        <v>156</v>
      </c>
    </row>
    <row r="464" spans="1:24" x14ac:dyDescent="0.25">
      <c r="A464" t="s">
        <v>568</v>
      </c>
      <c r="B464" t="s">
        <v>62</v>
      </c>
      <c r="C464" t="s">
        <v>529</v>
      </c>
      <c r="D464" t="s">
        <v>530</v>
      </c>
      <c r="E464" t="s">
        <v>62</v>
      </c>
      <c r="F464" t="s">
        <v>94</v>
      </c>
      <c r="G464" t="s">
        <v>277</v>
      </c>
      <c r="H464" s="12">
        <v>6.1726758999999998</v>
      </c>
      <c r="I464" s="12">
        <v>-75.581229500000006</v>
      </c>
      <c r="K464" t="s">
        <v>97</v>
      </c>
      <c r="M464">
        <v>11</v>
      </c>
      <c r="P464" s="13">
        <v>155</v>
      </c>
      <c r="Q464" s="13">
        <v>39</v>
      </c>
      <c r="R464">
        <v>32</v>
      </c>
      <c r="S464">
        <v>32</v>
      </c>
      <c r="T464" s="13">
        <v>24</v>
      </c>
      <c r="U464" s="13">
        <v>22</v>
      </c>
      <c r="V464" t="s">
        <v>99</v>
      </c>
      <c r="X464" s="13">
        <v>155</v>
      </c>
    </row>
    <row r="465" spans="1:24" x14ac:dyDescent="0.25">
      <c r="A465" t="s">
        <v>569</v>
      </c>
      <c r="B465" t="s">
        <v>62</v>
      </c>
      <c r="C465" t="s">
        <v>529</v>
      </c>
      <c r="D465" t="s">
        <v>530</v>
      </c>
      <c r="E465" t="s">
        <v>62</v>
      </c>
      <c r="F465" t="s">
        <v>94</v>
      </c>
      <c r="G465" t="s">
        <v>277</v>
      </c>
      <c r="H465" s="12">
        <v>6.1726758999999998</v>
      </c>
      <c r="I465" s="12">
        <v>-75.581229500000006</v>
      </c>
      <c r="K465" t="s">
        <v>97</v>
      </c>
      <c r="M465">
        <v>11</v>
      </c>
      <c r="P465" s="13">
        <v>152</v>
      </c>
      <c r="Q465" s="13">
        <v>37</v>
      </c>
      <c r="R465">
        <v>30</v>
      </c>
      <c r="S465">
        <v>32</v>
      </c>
      <c r="T465" s="13">
        <v>22</v>
      </c>
      <c r="U465" s="13">
        <v>31</v>
      </c>
      <c r="V465" t="s">
        <v>99</v>
      </c>
      <c r="X465" s="13">
        <v>152</v>
      </c>
    </row>
    <row r="466" spans="1:24" x14ac:dyDescent="0.25">
      <c r="A466" t="s">
        <v>570</v>
      </c>
      <c r="B466" t="s">
        <v>62</v>
      </c>
      <c r="C466" t="s">
        <v>529</v>
      </c>
      <c r="D466" t="s">
        <v>530</v>
      </c>
      <c r="E466" t="s">
        <v>62</v>
      </c>
      <c r="F466" t="s">
        <v>94</v>
      </c>
      <c r="G466" t="s">
        <v>277</v>
      </c>
      <c r="H466" s="12">
        <v>6.1726758999999998</v>
      </c>
      <c r="I466" s="12">
        <v>-75.581229500000006</v>
      </c>
      <c r="K466" t="s">
        <v>97</v>
      </c>
      <c r="M466">
        <v>11</v>
      </c>
      <c r="P466" s="13">
        <v>150</v>
      </c>
      <c r="Q466" s="13">
        <v>29</v>
      </c>
      <c r="R466">
        <v>32</v>
      </c>
      <c r="S466">
        <v>36</v>
      </c>
      <c r="T466" s="13">
        <v>26</v>
      </c>
      <c r="U466" s="13">
        <v>22</v>
      </c>
      <c r="V466" t="s">
        <v>99</v>
      </c>
      <c r="X466" s="13">
        <v>150</v>
      </c>
    </row>
    <row r="467" spans="1:24" x14ac:dyDescent="0.25">
      <c r="A467" t="s">
        <v>571</v>
      </c>
      <c r="B467" t="s">
        <v>62</v>
      </c>
      <c r="C467" t="s">
        <v>529</v>
      </c>
      <c r="D467" t="s">
        <v>530</v>
      </c>
      <c r="E467" t="s">
        <v>62</v>
      </c>
      <c r="F467" t="s">
        <v>94</v>
      </c>
      <c r="G467" t="s">
        <v>277</v>
      </c>
      <c r="H467" s="12">
        <v>6.1726758999999998</v>
      </c>
      <c r="I467" s="12">
        <v>-75.581229500000006</v>
      </c>
      <c r="K467" t="s">
        <v>97</v>
      </c>
      <c r="M467">
        <v>11</v>
      </c>
      <c r="P467" s="13">
        <v>150</v>
      </c>
      <c r="Q467" s="13">
        <v>24</v>
      </c>
      <c r="R467">
        <v>36</v>
      </c>
      <c r="S467">
        <v>22</v>
      </c>
      <c r="T467" s="13">
        <v>31</v>
      </c>
      <c r="U467" s="13">
        <v>51</v>
      </c>
      <c r="V467" t="s">
        <v>99</v>
      </c>
      <c r="X467" s="13">
        <v>150</v>
      </c>
    </row>
    <row r="468" spans="1:24" x14ac:dyDescent="0.25">
      <c r="A468" t="s">
        <v>572</v>
      </c>
      <c r="B468" t="s">
        <v>62</v>
      </c>
      <c r="C468" t="s">
        <v>529</v>
      </c>
      <c r="D468" t="s">
        <v>530</v>
      </c>
      <c r="E468" t="s">
        <v>62</v>
      </c>
      <c r="F468" t="s">
        <v>94</v>
      </c>
      <c r="G468" t="s">
        <v>277</v>
      </c>
      <c r="H468" s="12">
        <v>6.1726758999999998</v>
      </c>
      <c r="I468" s="12">
        <v>-75.581229500000006</v>
      </c>
      <c r="K468" t="s">
        <v>97</v>
      </c>
      <c r="M468">
        <v>11</v>
      </c>
      <c r="P468" s="13">
        <v>146</v>
      </c>
      <c r="Q468" s="13">
        <v>39</v>
      </c>
      <c r="R468">
        <v>20</v>
      </c>
      <c r="S468">
        <v>34</v>
      </c>
      <c r="T468" s="13">
        <v>22</v>
      </c>
      <c r="U468" s="13">
        <v>33</v>
      </c>
      <c r="V468" t="s">
        <v>99</v>
      </c>
      <c r="X468" s="13">
        <v>146</v>
      </c>
    </row>
    <row r="469" spans="1:24" x14ac:dyDescent="0.25">
      <c r="A469" t="s">
        <v>573</v>
      </c>
      <c r="B469" t="s">
        <v>62</v>
      </c>
      <c r="C469" t="s">
        <v>529</v>
      </c>
      <c r="D469" t="s">
        <v>530</v>
      </c>
      <c r="E469" t="s">
        <v>62</v>
      </c>
      <c r="F469" t="s">
        <v>94</v>
      </c>
      <c r="G469" t="s">
        <v>277</v>
      </c>
      <c r="H469" s="12">
        <v>6.1726758999999998</v>
      </c>
      <c r="I469" s="12">
        <v>-75.581229500000006</v>
      </c>
      <c r="K469" t="s">
        <v>97</v>
      </c>
      <c r="M469">
        <v>11</v>
      </c>
      <c r="P469" s="13">
        <v>138</v>
      </c>
      <c r="Q469" s="13">
        <v>29</v>
      </c>
      <c r="R469">
        <v>24</v>
      </c>
      <c r="S469">
        <v>26</v>
      </c>
      <c r="T469" s="13">
        <v>26</v>
      </c>
      <c r="U469" s="13">
        <v>44</v>
      </c>
      <c r="V469" t="s">
        <v>99</v>
      </c>
      <c r="X469" s="13">
        <v>138</v>
      </c>
    </row>
    <row r="470" spans="1:24" x14ac:dyDescent="0.25">
      <c r="A470" t="s">
        <v>574</v>
      </c>
      <c r="B470" t="s">
        <v>62</v>
      </c>
      <c r="C470" t="s">
        <v>529</v>
      </c>
      <c r="D470" t="s">
        <v>530</v>
      </c>
      <c r="E470" t="s">
        <v>62</v>
      </c>
      <c r="F470" t="s">
        <v>94</v>
      </c>
      <c r="G470" t="s">
        <v>277</v>
      </c>
      <c r="H470" s="12">
        <v>6.1726758999999998</v>
      </c>
      <c r="I470" s="12">
        <v>-75.581229500000006</v>
      </c>
      <c r="K470" t="s">
        <v>97</v>
      </c>
      <c r="M470">
        <v>11</v>
      </c>
      <c r="P470" s="13">
        <v>138</v>
      </c>
      <c r="Q470" s="13">
        <v>22</v>
      </c>
      <c r="R470">
        <v>38</v>
      </c>
      <c r="S470">
        <v>18</v>
      </c>
      <c r="T470" s="13">
        <v>33</v>
      </c>
      <c r="U470" s="13">
        <v>25</v>
      </c>
      <c r="V470" t="s">
        <v>99</v>
      </c>
      <c r="X470" s="13">
        <v>138</v>
      </c>
    </row>
    <row r="471" spans="1:24" x14ac:dyDescent="0.25">
      <c r="A471" t="s">
        <v>575</v>
      </c>
      <c r="B471" t="s">
        <v>62</v>
      </c>
      <c r="C471" t="s">
        <v>529</v>
      </c>
      <c r="D471" t="s">
        <v>530</v>
      </c>
      <c r="E471" t="s">
        <v>62</v>
      </c>
      <c r="F471" t="s">
        <v>94</v>
      </c>
      <c r="G471" t="s">
        <v>277</v>
      </c>
      <c r="H471" s="12">
        <v>6.1726758999999998</v>
      </c>
      <c r="I471" s="12">
        <v>-75.581229500000006</v>
      </c>
      <c r="K471" t="s">
        <v>97</v>
      </c>
      <c r="M471">
        <v>11</v>
      </c>
      <c r="P471" s="13">
        <v>130</v>
      </c>
      <c r="Q471" s="13">
        <v>24</v>
      </c>
      <c r="R471">
        <v>26</v>
      </c>
      <c r="S471">
        <v>24</v>
      </c>
      <c r="T471" s="13">
        <v>24</v>
      </c>
      <c r="U471" s="13">
        <v>44</v>
      </c>
      <c r="V471" t="s">
        <v>99</v>
      </c>
      <c r="X471" s="13">
        <v>130</v>
      </c>
    </row>
    <row r="472" spans="1:24" x14ac:dyDescent="0.25">
      <c r="A472" t="s">
        <v>576</v>
      </c>
      <c r="B472" t="s">
        <v>62</v>
      </c>
      <c r="C472" t="s">
        <v>529</v>
      </c>
      <c r="D472" t="s">
        <v>530</v>
      </c>
      <c r="E472" t="s">
        <v>62</v>
      </c>
      <c r="F472" t="s">
        <v>94</v>
      </c>
      <c r="G472" t="s">
        <v>277</v>
      </c>
      <c r="H472" s="12">
        <v>6.1726758999999998</v>
      </c>
      <c r="I472" s="12">
        <v>-75.581229500000006</v>
      </c>
      <c r="K472" t="s">
        <v>97</v>
      </c>
      <c r="M472">
        <v>11</v>
      </c>
      <c r="P472" s="13">
        <v>117</v>
      </c>
      <c r="Q472" s="13">
        <v>24</v>
      </c>
      <c r="R472">
        <v>20</v>
      </c>
      <c r="S472">
        <v>28</v>
      </c>
      <c r="T472" s="13">
        <v>19</v>
      </c>
      <c r="U472" s="13">
        <v>29</v>
      </c>
      <c r="V472" t="s">
        <v>99</v>
      </c>
      <c r="X472" s="13">
        <v>117</v>
      </c>
    </row>
    <row r="473" spans="1:24" x14ac:dyDescent="0.25">
      <c r="A473" t="s">
        <v>577</v>
      </c>
      <c r="B473" t="s">
        <v>62</v>
      </c>
      <c r="C473" t="s">
        <v>529</v>
      </c>
      <c r="D473" t="s">
        <v>530</v>
      </c>
      <c r="E473" t="s">
        <v>62</v>
      </c>
      <c r="F473" t="s">
        <v>94</v>
      </c>
      <c r="G473" t="s">
        <v>277</v>
      </c>
      <c r="H473" s="12">
        <v>6.1726758999999998</v>
      </c>
      <c r="I473" s="12">
        <v>-75.581229500000006</v>
      </c>
      <c r="K473" t="s">
        <v>97</v>
      </c>
      <c r="M473">
        <v>11</v>
      </c>
      <c r="P473" s="13">
        <v>113</v>
      </c>
      <c r="Q473" s="13">
        <v>37</v>
      </c>
      <c r="R473">
        <v>20</v>
      </c>
      <c r="S473">
        <v>12</v>
      </c>
      <c r="T473" s="13">
        <v>21</v>
      </c>
      <c r="U473" s="13">
        <v>27</v>
      </c>
      <c r="V473" t="s">
        <v>99</v>
      </c>
      <c r="X473" s="13">
        <v>113</v>
      </c>
    </row>
    <row r="474" spans="1:24" x14ac:dyDescent="0.25">
      <c r="A474" t="s">
        <v>578</v>
      </c>
      <c r="B474" t="s">
        <v>62</v>
      </c>
      <c r="C474" t="s">
        <v>529</v>
      </c>
      <c r="D474" t="s">
        <v>530</v>
      </c>
      <c r="E474" t="s">
        <v>62</v>
      </c>
      <c r="F474" t="s">
        <v>94</v>
      </c>
      <c r="G474" t="s">
        <v>277</v>
      </c>
      <c r="H474" s="12">
        <v>6.1726758999999998</v>
      </c>
      <c r="I474" s="12">
        <v>-75.581229500000006</v>
      </c>
      <c r="K474" t="s">
        <v>97</v>
      </c>
      <c r="M474">
        <v>11</v>
      </c>
      <c r="P474" s="13">
        <v>91</v>
      </c>
      <c r="Q474" s="13">
        <v>34</v>
      </c>
      <c r="R474">
        <v>12</v>
      </c>
      <c r="S474">
        <v>10</v>
      </c>
      <c r="T474" s="13">
        <v>22</v>
      </c>
      <c r="U474" s="13">
        <v>0</v>
      </c>
      <c r="V474" t="s">
        <v>99</v>
      </c>
      <c r="X474" s="13">
        <v>91</v>
      </c>
    </row>
    <row r="475" spans="1:24" x14ac:dyDescent="0.25">
      <c r="A475" t="s">
        <v>579</v>
      </c>
      <c r="B475" t="s">
        <v>62</v>
      </c>
      <c r="C475" t="s">
        <v>580</v>
      </c>
      <c r="D475" t="s">
        <v>581</v>
      </c>
      <c r="E475" t="s">
        <v>62</v>
      </c>
      <c r="F475" t="s">
        <v>94</v>
      </c>
      <c r="G475" t="s">
        <v>277</v>
      </c>
      <c r="H475" s="12">
        <v>6.1619843000000003</v>
      </c>
      <c r="I475" s="12">
        <v>-75.593804000000006</v>
      </c>
      <c r="K475" t="s">
        <v>97</v>
      </c>
      <c r="M475">
        <v>11</v>
      </c>
      <c r="P475" s="13">
        <v>378</v>
      </c>
      <c r="Q475" s="13">
        <v>83</v>
      </c>
      <c r="R475">
        <v>56</v>
      </c>
      <c r="S475">
        <v>82</v>
      </c>
      <c r="T475" s="13">
        <v>74</v>
      </c>
      <c r="U475" s="13">
        <v>96</v>
      </c>
      <c r="V475" t="s">
        <v>99</v>
      </c>
      <c r="X475" s="13">
        <v>378</v>
      </c>
    </row>
    <row r="476" spans="1:24" x14ac:dyDescent="0.25">
      <c r="A476" t="s">
        <v>582</v>
      </c>
      <c r="B476" t="s">
        <v>62</v>
      </c>
      <c r="C476" t="s">
        <v>580</v>
      </c>
      <c r="D476" t="s">
        <v>581</v>
      </c>
      <c r="E476" t="s">
        <v>62</v>
      </c>
      <c r="F476" t="s">
        <v>94</v>
      </c>
      <c r="G476" t="s">
        <v>277</v>
      </c>
      <c r="H476" s="12">
        <v>6.1619843000000003</v>
      </c>
      <c r="I476" s="12">
        <v>-75.593804000000006</v>
      </c>
      <c r="K476" t="s">
        <v>97</v>
      </c>
      <c r="M476">
        <v>11</v>
      </c>
      <c r="P476" s="13">
        <v>347</v>
      </c>
      <c r="Q476" s="13">
        <v>63</v>
      </c>
      <c r="R476">
        <v>54</v>
      </c>
      <c r="S476">
        <v>76</v>
      </c>
      <c r="T476" s="13">
        <v>79</v>
      </c>
      <c r="U476" s="13">
        <v>84</v>
      </c>
      <c r="V476" t="s">
        <v>99</v>
      </c>
      <c r="X476" s="13">
        <v>347</v>
      </c>
    </row>
    <row r="477" spans="1:24" x14ac:dyDescent="0.25">
      <c r="A477" t="s">
        <v>583</v>
      </c>
      <c r="B477" t="s">
        <v>62</v>
      </c>
      <c r="C477" t="s">
        <v>580</v>
      </c>
      <c r="D477" t="s">
        <v>581</v>
      </c>
      <c r="E477" t="s">
        <v>62</v>
      </c>
      <c r="F477" t="s">
        <v>94</v>
      </c>
      <c r="G477" t="s">
        <v>277</v>
      </c>
      <c r="H477" s="12">
        <v>6.1619843000000003</v>
      </c>
      <c r="I477" s="12">
        <v>-75.593804000000006</v>
      </c>
      <c r="K477" t="s">
        <v>97</v>
      </c>
      <c r="M477">
        <v>11</v>
      </c>
      <c r="P477" s="13">
        <v>345</v>
      </c>
      <c r="Q477" s="13">
        <v>68</v>
      </c>
      <c r="R477">
        <v>54</v>
      </c>
      <c r="S477">
        <v>80</v>
      </c>
      <c r="T477" s="13">
        <v>67</v>
      </c>
      <c r="U477" s="13">
        <v>89</v>
      </c>
      <c r="V477" t="s">
        <v>99</v>
      </c>
      <c r="X477" s="13">
        <v>345</v>
      </c>
    </row>
    <row r="478" spans="1:24" x14ac:dyDescent="0.25">
      <c r="A478" t="s">
        <v>584</v>
      </c>
      <c r="B478" t="s">
        <v>62</v>
      </c>
      <c r="C478" t="s">
        <v>580</v>
      </c>
      <c r="D478" t="s">
        <v>581</v>
      </c>
      <c r="E478" t="s">
        <v>62</v>
      </c>
      <c r="F478" t="s">
        <v>94</v>
      </c>
      <c r="G478" t="s">
        <v>277</v>
      </c>
      <c r="H478" s="12">
        <v>6.1619843000000003</v>
      </c>
      <c r="I478" s="12">
        <v>-75.593804000000006</v>
      </c>
      <c r="K478" t="s">
        <v>97</v>
      </c>
      <c r="M478">
        <v>11</v>
      </c>
      <c r="P478" s="13">
        <v>338</v>
      </c>
      <c r="Q478" s="13">
        <v>83</v>
      </c>
      <c r="R478">
        <v>48</v>
      </c>
      <c r="S478">
        <v>72</v>
      </c>
      <c r="T478" s="13">
        <v>59</v>
      </c>
      <c r="U478" s="13">
        <v>95</v>
      </c>
      <c r="V478" t="s">
        <v>99</v>
      </c>
      <c r="X478" s="13">
        <v>338</v>
      </c>
    </row>
    <row r="479" spans="1:24" x14ac:dyDescent="0.25">
      <c r="A479" t="s">
        <v>585</v>
      </c>
      <c r="B479" t="s">
        <v>62</v>
      </c>
      <c r="C479" t="s">
        <v>580</v>
      </c>
      <c r="D479" t="s">
        <v>581</v>
      </c>
      <c r="E479" t="s">
        <v>62</v>
      </c>
      <c r="F479" t="s">
        <v>94</v>
      </c>
      <c r="G479" t="s">
        <v>277</v>
      </c>
      <c r="H479" s="12">
        <v>6.1619843000000003</v>
      </c>
      <c r="I479" s="12">
        <v>-75.593804000000006</v>
      </c>
      <c r="K479" t="s">
        <v>97</v>
      </c>
      <c r="M479">
        <v>11</v>
      </c>
      <c r="P479" s="13">
        <v>335</v>
      </c>
      <c r="Q479" s="13">
        <v>76</v>
      </c>
      <c r="R479">
        <v>52</v>
      </c>
      <c r="S479">
        <v>72</v>
      </c>
      <c r="T479" s="13">
        <v>66</v>
      </c>
      <c r="U479" s="13">
        <v>76</v>
      </c>
      <c r="V479" t="s">
        <v>99</v>
      </c>
      <c r="X479" s="13">
        <v>335</v>
      </c>
    </row>
    <row r="480" spans="1:24" x14ac:dyDescent="0.25">
      <c r="A480" t="s">
        <v>586</v>
      </c>
      <c r="B480" t="s">
        <v>62</v>
      </c>
      <c r="C480" t="s">
        <v>580</v>
      </c>
      <c r="D480" t="s">
        <v>581</v>
      </c>
      <c r="E480" t="s">
        <v>62</v>
      </c>
      <c r="F480" t="s">
        <v>94</v>
      </c>
      <c r="G480" t="s">
        <v>277</v>
      </c>
      <c r="H480" s="12">
        <v>6.1619843000000003</v>
      </c>
      <c r="I480" s="12">
        <v>-75.593804000000006</v>
      </c>
      <c r="K480" t="s">
        <v>97</v>
      </c>
      <c r="M480">
        <v>11</v>
      </c>
      <c r="P480" s="13">
        <v>326</v>
      </c>
      <c r="Q480" s="13">
        <v>78</v>
      </c>
      <c r="R480">
        <v>28</v>
      </c>
      <c r="S480">
        <v>88</v>
      </c>
      <c r="T480" s="13">
        <v>60</v>
      </c>
      <c r="U480" s="13">
        <v>85</v>
      </c>
      <c r="V480" t="s">
        <v>99</v>
      </c>
      <c r="X480" s="13">
        <v>326</v>
      </c>
    </row>
    <row r="481" spans="1:24" x14ac:dyDescent="0.25">
      <c r="A481" t="s">
        <v>587</v>
      </c>
      <c r="B481" t="s">
        <v>62</v>
      </c>
      <c r="C481" t="s">
        <v>580</v>
      </c>
      <c r="D481" t="s">
        <v>581</v>
      </c>
      <c r="E481" t="s">
        <v>62</v>
      </c>
      <c r="F481" t="s">
        <v>94</v>
      </c>
      <c r="G481" t="s">
        <v>277</v>
      </c>
      <c r="H481" s="12">
        <v>6.1619843000000003</v>
      </c>
      <c r="I481" s="12">
        <v>-75.593804000000006</v>
      </c>
      <c r="K481" t="s">
        <v>97</v>
      </c>
      <c r="M481">
        <v>11</v>
      </c>
      <c r="P481" s="13">
        <v>322</v>
      </c>
      <c r="Q481" s="13">
        <v>68</v>
      </c>
      <c r="R481">
        <v>46</v>
      </c>
      <c r="S481">
        <v>70</v>
      </c>
      <c r="T481" s="13">
        <v>64</v>
      </c>
      <c r="U481" s="13">
        <v>93</v>
      </c>
      <c r="V481" t="s">
        <v>99</v>
      </c>
      <c r="X481" s="13">
        <v>322</v>
      </c>
    </row>
    <row r="482" spans="1:24" x14ac:dyDescent="0.25">
      <c r="A482" t="s">
        <v>588</v>
      </c>
      <c r="B482" t="s">
        <v>62</v>
      </c>
      <c r="C482" t="s">
        <v>580</v>
      </c>
      <c r="D482" t="s">
        <v>581</v>
      </c>
      <c r="E482" t="s">
        <v>62</v>
      </c>
      <c r="F482" t="s">
        <v>94</v>
      </c>
      <c r="G482" t="s">
        <v>277</v>
      </c>
      <c r="H482" s="12">
        <v>6.1619843000000003</v>
      </c>
      <c r="I482" s="12">
        <v>-75.593804000000006</v>
      </c>
      <c r="K482" t="s">
        <v>97</v>
      </c>
      <c r="M482">
        <v>11</v>
      </c>
      <c r="P482" s="13">
        <v>314</v>
      </c>
      <c r="Q482" s="13">
        <v>63</v>
      </c>
      <c r="R482">
        <v>42</v>
      </c>
      <c r="S482">
        <v>88</v>
      </c>
      <c r="T482" s="13">
        <v>50</v>
      </c>
      <c r="U482" s="13">
        <v>85</v>
      </c>
      <c r="V482" t="s">
        <v>99</v>
      </c>
      <c r="X482" s="13">
        <v>314</v>
      </c>
    </row>
    <row r="483" spans="1:24" x14ac:dyDescent="0.25">
      <c r="A483" t="s">
        <v>589</v>
      </c>
      <c r="B483" t="s">
        <v>62</v>
      </c>
      <c r="C483" t="s">
        <v>580</v>
      </c>
      <c r="D483" t="s">
        <v>581</v>
      </c>
      <c r="E483" t="s">
        <v>62</v>
      </c>
      <c r="F483" t="s">
        <v>94</v>
      </c>
      <c r="G483" t="s">
        <v>277</v>
      </c>
      <c r="H483" s="12">
        <v>6.1619843000000003</v>
      </c>
      <c r="I483" s="12">
        <v>-75.593804000000006</v>
      </c>
      <c r="K483" t="s">
        <v>97</v>
      </c>
      <c r="M483">
        <v>11</v>
      </c>
      <c r="P483" s="13">
        <v>314</v>
      </c>
      <c r="Q483" s="13">
        <v>73</v>
      </c>
      <c r="R483">
        <v>34</v>
      </c>
      <c r="S483">
        <v>78</v>
      </c>
      <c r="T483" s="13">
        <v>57</v>
      </c>
      <c r="U483" s="13">
        <v>89</v>
      </c>
      <c r="V483" t="s">
        <v>99</v>
      </c>
      <c r="X483" s="13">
        <v>314</v>
      </c>
    </row>
    <row r="484" spans="1:24" x14ac:dyDescent="0.25">
      <c r="A484" t="s">
        <v>590</v>
      </c>
      <c r="B484" t="s">
        <v>62</v>
      </c>
      <c r="C484" t="s">
        <v>580</v>
      </c>
      <c r="D484" t="s">
        <v>581</v>
      </c>
      <c r="E484" t="s">
        <v>62</v>
      </c>
      <c r="F484" t="s">
        <v>94</v>
      </c>
      <c r="G484" t="s">
        <v>277</v>
      </c>
      <c r="H484" s="12">
        <v>6.1619843000000003</v>
      </c>
      <c r="I484" s="12">
        <v>-75.593804000000006</v>
      </c>
      <c r="K484" t="s">
        <v>97</v>
      </c>
      <c r="M484">
        <v>11</v>
      </c>
      <c r="P484" s="13">
        <v>310</v>
      </c>
      <c r="Q484" s="13">
        <v>76</v>
      </c>
      <c r="R484">
        <v>46</v>
      </c>
      <c r="S484">
        <v>62</v>
      </c>
      <c r="T484" s="13">
        <v>55</v>
      </c>
      <c r="U484" s="13">
        <v>89</v>
      </c>
      <c r="V484" t="s">
        <v>99</v>
      </c>
      <c r="X484" s="13">
        <v>310</v>
      </c>
    </row>
    <row r="485" spans="1:24" x14ac:dyDescent="0.25">
      <c r="A485" t="s">
        <v>591</v>
      </c>
      <c r="B485" t="s">
        <v>62</v>
      </c>
      <c r="C485" t="s">
        <v>580</v>
      </c>
      <c r="D485" t="s">
        <v>581</v>
      </c>
      <c r="E485" t="s">
        <v>62</v>
      </c>
      <c r="F485" t="s">
        <v>94</v>
      </c>
      <c r="G485" t="s">
        <v>277</v>
      </c>
      <c r="H485" s="12">
        <v>6.1619843000000003</v>
      </c>
      <c r="I485" s="12">
        <v>-75.593804000000006</v>
      </c>
      <c r="K485" t="s">
        <v>97</v>
      </c>
      <c r="M485">
        <v>11</v>
      </c>
      <c r="P485" s="13">
        <v>306</v>
      </c>
      <c r="Q485" s="13">
        <v>76</v>
      </c>
      <c r="R485">
        <v>40</v>
      </c>
      <c r="S485">
        <v>60</v>
      </c>
      <c r="T485" s="13">
        <v>64</v>
      </c>
      <c r="U485" s="13">
        <v>76</v>
      </c>
      <c r="V485" t="s">
        <v>99</v>
      </c>
      <c r="X485" s="13">
        <v>306</v>
      </c>
    </row>
    <row r="486" spans="1:24" x14ac:dyDescent="0.25">
      <c r="A486" t="s">
        <v>592</v>
      </c>
      <c r="B486" t="s">
        <v>62</v>
      </c>
      <c r="C486" t="s">
        <v>580</v>
      </c>
      <c r="D486" t="s">
        <v>581</v>
      </c>
      <c r="E486" t="s">
        <v>62</v>
      </c>
      <c r="F486" t="s">
        <v>94</v>
      </c>
      <c r="G486" t="s">
        <v>277</v>
      </c>
      <c r="H486" s="12">
        <v>6.1619843000000003</v>
      </c>
      <c r="I486" s="12">
        <v>-75.593804000000006</v>
      </c>
      <c r="K486" t="s">
        <v>97</v>
      </c>
      <c r="M486">
        <v>11</v>
      </c>
      <c r="P486" s="13">
        <v>300</v>
      </c>
      <c r="Q486" s="13">
        <v>68</v>
      </c>
      <c r="R486">
        <v>34</v>
      </c>
      <c r="S486">
        <v>80</v>
      </c>
      <c r="T486" s="13">
        <v>50</v>
      </c>
      <c r="U486" s="13">
        <v>84</v>
      </c>
      <c r="V486" t="s">
        <v>99</v>
      </c>
      <c r="X486" s="13">
        <v>300</v>
      </c>
    </row>
    <row r="487" spans="1:24" x14ac:dyDescent="0.25">
      <c r="A487" t="s">
        <v>593</v>
      </c>
      <c r="B487" t="s">
        <v>62</v>
      </c>
      <c r="C487" t="s">
        <v>580</v>
      </c>
      <c r="D487" t="s">
        <v>581</v>
      </c>
      <c r="E487" t="s">
        <v>62</v>
      </c>
      <c r="F487" t="s">
        <v>94</v>
      </c>
      <c r="G487" t="s">
        <v>277</v>
      </c>
      <c r="H487" s="12">
        <v>6.1619843000000003</v>
      </c>
      <c r="I487" s="12">
        <v>-75.593804000000006</v>
      </c>
      <c r="K487" t="s">
        <v>97</v>
      </c>
      <c r="M487">
        <v>11</v>
      </c>
      <c r="P487" s="13">
        <v>298</v>
      </c>
      <c r="Q487" s="13">
        <v>83</v>
      </c>
      <c r="R487">
        <v>42</v>
      </c>
      <c r="S487">
        <v>70</v>
      </c>
      <c r="T487" s="13">
        <v>34</v>
      </c>
      <c r="U487" s="13">
        <v>87</v>
      </c>
      <c r="V487" t="s">
        <v>99</v>
      </c>
      <c r="X487" s="13">
        <v>298</v>
      </c>
    </row>
    <row r="488" spans="1:24" x14ac:dyDescent="0.25">
      <c r="A488" t="s">
        <v>594</v>
      </c>
      <c r="B488" t="s">
        <v>62</v>
      </c>
      <c r="C488" t="s">
        <v>580</v>
      </c>
      <c r="D488" t="s">
        <v>581</v>
      </c>
      <c r="E488" t="s">
        <v>62</v>
      </c>
      <c r="F488" t="s">
        <v>94</v>
      </c>
      <c r="G488" t="s">
        <v>277</v>
      </c>
      <c r="H488" s="12">
        <v>6.1619843000000003</v>
      </c>
      <c r="I488" s="12">
        <v>-75.593804000000006</v>
      </c>
      <c r="K488" t="s">
        <v>97</v>
      </c>
      <c r="M488">
        <v>11</v>
      </c>
      <c r="P488" s="13">
        <v>298</v>
      </c>
      <c r="Q488" s="13">
        <v>68</v>
      </c>
      <c r="R488">
        <v>40</v>
      </c>
      <c r="S488">
        <v>72</v>
      </c>
      <c r="T488" s="13">
        <v>55</v>
      </c>
      <c r="U488" s="13">
        <v>69</v>
      </c>
      <c r="V488" t="s">
        <v>99</v>
      </c>
      <c r="X488" s="13">
        <v>298</v>
      </c>
    </row>
    <row r="489" spans="1:24" x14ac:dyDescent="0.25">
      <c r="A489" t="s">
        <v>595</v>
      </c>
      <c r="B489" t="s">
        <v>62</v>
      </c>
      <c r="C489" t="s">
        <v>580</v>
      </c>
      <c r="D489" t="s">
        <v>581</v>
      </c>
      <c r="E489" t="s">
        <v>62</v>
      </c>
      <c r="F489" t="s">
        <v>94</v>
      </c>
      <c r="G489" t="s">
        <v>277</v>
      </c>
      <c r="H489" s="12">
        <v>6.1619843000000003</v>
      </c>
      <c r="I489" s="12">
        <v>-75.593804000000006</v>
      </c>
      <c r="K489" t="s">
        <v>97</v>
      </c>
      <c r="M489">
        <v>11</v>
      </c>
      <c r="P489" s="13">
        <v>295</v>
      </c>
      <c r="Q489" s="13">
        <v>78</v>
      </c>
      <c r="R489">
        <v>44</v>
      </c>
      <c r="S489">
        <v>66</v>
      </c>
      <c r="T489" s="13">
        <v>45</v>
      </c>
      <c r="U489" s="13">
        <v>69</v>
      </c>
      <c r="V489" t="s">
        <v>99</v>
      </c>
      <c r="X489" s="13">
        <v>295</v>
      </c>
    </row>
    <row r="490" spans="1:24" x14ac:dyDescent="0.25">
      <c r="A490" t="s">
        <v>596</v>
      </c>
      <c r="B490" t="s">
        <v>62</v>
      </c>
      <c r="C490" t="s">
        <v>580</v>
      </c>
      <c r="D490" t="s">
        <v>581</v>
      </c>
      <c r="E490" t="s">
        <v>62</v>
      </c>
      <c r="F490" t="s">
        <v>94</v>
      </c>
      <c r="G490" t="s">
        <v>277</v>
      </c>
      <c r="H490" s="12">
        <v>6.1619843000000003</v>
      </c>
      <c r="I490" s="12">
        <v>-75.593804000000006</v>
      </c>
      <c r="K490" t="s">
        <v>97</v>
      </c>
      <c r="M490">
        <v>11</v>
      </c>
      <c r="P490" s="13">
        <v>294</v>
      </c>
      <c r="Q490" s="13">
        <v>78</v>
      </c>
      <c r="R490">
        <v>34</v>
      </c>
      <c r="S490">
        <v>60</v>
      </c>
      <c r="T490" s="13">
        <v>55</v>
      </c>
      <c r="U490" s="13">
        <v>84</v>
      </c>
      <c r="V490" t="s">
        <v>99</v>
      </c>
      <c r="X490" s="13">
        <v>294</v>
      </c>
    </row>
    <row r="491" spans="1:24" x14ac:dyDescent="0.25">
      <c r="A491" t="s">
        <v>597</v>
      </c>
      <c r="B491" t="s">
        <v>62</v>
      </c>
      <c r="C491" t="s">
        <v>580</v>
      </c>
      <c r="D491" t="s">
        <v>581</v>
      </c>
      <c r="E491" t="s">
        <v>62</v>
      </c>
      <c r="F491" t="s">
        <v>94</v>
      </c>
      <c r="G491" t="s">
        <v>277</v>
      </c>
      <c r="H491" s="12">
        <v>6.1619843000000003</v>
      </c>
      <c r="I491" s="12">
        <v>-75.593804000000006</v>
      </c>
      <c r="K491" t="s">
        <v>97</v>
      </c>
      <c r="M491">
        <v>11</v>
      </c>
      <c r="P491" s="13">
        <v>292</v>
      </c>
      <c r="Q491" s="13">
        <v>76</v>
      </c>
      <c r="R491">
        <v>48</v>
      </c>
      <c r="S491">
        <v>48</v>
      </c>
      <c r="T491" s="13">
        <v>64</v>
      </c>
      <c r="U491" s="13">
        <v>53</v>
      </c>
      <c r="V491" t="s">
        <v>99</v>
      </c>
      <c r="X491" s="13">
        <v>292</v>
      </c>
    </row>
    <row r="492" spans="1:24" x14ac:dyDescent="0.25">
      <c r="A492" t="s">
        <v>598</v>
      </c>
      <c r="B492" t="s">
        <v>62</v>
      </c>
      <c r="C492" t="s">
        <v>580</v>
      </c>
      <c r="D492" t="s">
        <v>581</v>
      </c>
      <c r="E492" t="s">
        <v>62</v>
      </c>
      <c r="F492" t="s">
        <v>94</v>
      </c>
      <c r="G492" t="s">
        <v>277</v>
      </c>
      <c r="H492" s="12">
        <v>6.1619843000000003</v>
      </c>
      <c r="I492" s="12">
        <v>-75.593804000000006</v>
      </c>
      <c r="K492" t="s">
        <v>97</v>
      </c>
      <c r="M492">
        <v>11</v>
      </c>
      <c r="P492" s="13">
        <v>290</v>
      </c>
      <c r="Q492" s="13">
        <v>66</v>
      </c>
      <c r="R492">
        <v>48</v>
      </c>
      <c r="S492">
        <v>64</v>
      </c>
      <c r="T492" s="13">
        <v>50</v>
      </c>
      <c r="U492" s="13">
        <v>71</v>
      </c>
      <c r="V492" t="s">
        <v>99</v>
      </c>
      <c r="X492" s="13">
        <v>290</v>
      </c>
    </row>
    <row r="493" spans="1:24" x14ac:dyDescent="0.25">
      <c r="A493" t="s">
        <v>599</v>
      </c>
      <c r="B493" t="s">
        <v>62</v>
      </c>
      <c r="C493" t="s">
        <v>580</v>
      </c>
      <c r="D493" t="s">
        <v>581</v>
      </c>
      <c r="E493" t="s">
        <v>62</v>
      </c>
      <c r="F493" t="s">
        <v>94</v>
      </c>
      <c r="G493" t="s">
        <v>277</v>
      </c>
      <c r="H493" s="12">
        <v>6.1619843000000003</v>
      </c>
      <c r="I493" s="12">
        <v>-75.593804000000006</v>
      </c>
      <c r="K493" t="s">
        <v>97</v>
      </c>
      <c r="M493">
        <v>11</v>
      </c>
      <c r="P493" s="13">
        <v>287</v>
      </c>
      <c r="Q493" s="13">
        <v>68</v>
      </c>
      <c r="R493">
        <v>44</v>
      </c>
      <c r="S493">
        <v>54</v>
      </c>
      <c r="T493" s="13">
        <v>59</v>
      </c>
      <c r="U493" s="13">
        <v>71</v>
      </c>
      <c r="V493" t="s">
        <v>99</v>
      </c>
      <c r="X493" s="13">
        <v>287</v>
      </c>
    </row>
    <row r="494" spans="1:24" x14ac:dyDescent="0.25">
      <c r="A494" t="s">
        <v>600</v>
      </c>
      <c r="B494" t="s">
        <v>62</v>
      </c>
      <c r="C494" t="s">
        <v>580</v>
      </c>
      <c r="D494" t="s">
        <v>581</v>
      </c>
      <c r="E494" t="s">
        <v>62</v>
      </c>
      <c r="F494" t="s">
        <v>94</v>
      </c>
      <c r="G494" t="s">
        <v>277</v>
      </c>
      <c r="H494" s="12">
        <v>6.1619843000000003</v>
      </c>
      <c r="I494" s="12">
        <v>-75.593804000000006</v>
      </c>
      <c r="K494" t="s">
        <v>97</v>
      </c>
      <c r="M494">
        <v>11</v>
      </c>
      <c r="P494" s="13">
        <v>285</v>
      </c>
      <c r="Q494" s="13">
        <v>68</v>
      </c>
      <c r="R494">
        <v>32</v>
      </c>
      <c r="S494">
        <v>72</v>
      </c>
      <c r="T494" s="13">
        <v>57</v>
      </c>
      <c r="U494" s="13">
        <v>55</v>
      </c>
      <c r="V494" t="s">
        <v>99</v>
      </c>
      <c r="X494" s="13">
        <v>285</v>
      </c>
    </row>
    <row r="495" spans="1:24" x14ac:dyDescent="0.25">
      <c r="A495" t="s">
        <v>601</v>
      </c>
      <c r="B495" t="s">
        <v>62</v>
      </c>
      <c r="C495" t="s">
        <v>580</v>
      </c>
      <c r="D495" t="s">
        <v>581</v>
      </c>
      <c r="E495" t="s">
        <v>62</v>
      </c>
      <c r="F495" t="s">
        <v>94</v>
      </c>
      <c r="G495" t="s">
        <v>277</v>
      </c>
      <c r="H495" s="12">
        <v>6.1619843000000003</v>
      </c>
      <c r="I495" s="12">
        <v>-75.593804000000006</v>
      </c>
      <c r="K495" t="s">
        <v>97</v>
      </c>
      <c r="M495">
        <v>11</v>
      </c>
      <c r="P495" s="13">
        <v>282</v>
      </c>
      <c r="Q495" s="13">
        <v>68</v>
      </c>
      <c r="R495">
        <v>42</v>
      </c>
      <c r="S495">
        <v>58</v>
      </c>
      <c r="T495" s="13">
        <v>52</v>
      </c>
      <c r="U495" s="13">
        <v>73</v>
      </c>
      <c r="V495" t="s">
        <v>99</v>
      </c>
      <c r="X495" s="13">
        <v>282</v>
      </c>
    </row>
    <row r="496" spans="1:24" x14ac:dyDescent="0.25">
      <c r="A496" t="s">
        <v>602</v>
      </c>
      <c r="B496" t="s">
        <v>62</v>
      </c>
      <c r="C496" t="s">
        <v>580</v>
      </c>
      <c r="D496" t="s">
        <v>581</v>
      </c>
      <c r="E496" t="s">
        <v>62</v>
      </c>
      <c r="F496" t="s">
        <v>94</v>
      </c>
      <c r="G496" t="s">
        <v>277</v>
      </c>
      <c r="H496" s="12">
        <v>6.1619843000000003</v>
      </c>
      <c r="I496" s="12">
        <v>-75.593804000000006</v>
      </c>
      <c r="K496" t="s">
        <v>97</v>
      </c>
      <c r="M496">
        <v>11</v>
      </c>
      <c r="P496" s="13">
        <v>279</v>
      </c>
      <c r="Q496" s="13">
        <v>61</v>
      </c>
      <c r="R496">
        <v>34</v>
      </c>
      <c r="S496">
        <v>66</v>
      </c>
      <c r="T496" s="13">
        <v>52</v>
      </c>
      <c r="U496" s="13">
        <v>87</v>
      </c>
      <c r="V496" t="s">
        <v>99</v>
      </c>
      <c r="X496" s="13">
        <v>279</v>
      </c>
    </row>
    <row r="497" spans="1:24" x14ac:dyDescent="0.25">
      <c r="A497" t="s">
        <v>603</v>
      </c>
      <c r="B497" t="s">
        <v>62</v>
      </c>
      <c r="C497" t="s">
        <v>580</v>
      </c>
      <c r="D497" t="s">
        <v>581</v>
      </c>
      <c r="E497" t="s">
        <v>62</v>
      </c>
      <c r="F497" t="s">
        <v>94</v>
      </c>
      <c r="G497" t="s">
        <v>277</v>
      </c>
      <c r="H497" s="12">
        <v>6.1619843000000003</v>
      </c>
      <c r="I497" s="12">
        <v>-75.593804000000006</v>
      </c>
      <c r="K497" t="s">
        <v>97</v>
      </c>
      <c r="M497">
        <v>11</v>
      </c>
      <c r="P497" s="13">
        <v>277</v>
      </c>
      <c r="Q497" s="13">
        <v>63</v>
      </c>
      <c r="R497">
        <v>46</v>
      </c>
      <c r="S497">
        <v>80</v>
      </c>
      <c r="T497" s="13">
        <v>33</v>
      </c>
      <c r="U497" s="13">
        <v>53</v>
      </c>
      <c r="V497" t="s">
        <v>99</v>
      </c>
      <c r="X497" s="13">
        <v>277</v>
      </c>
    </row>
    <row r="498" spans="1:24" x14ac:dyDescent="0.25">
      <c r="A498" t="s">
        <v>604</v>
      </c>
      <c r="B498" t="s">
        <v>62</v>
      </c>
      <c r="C498" t="s">
        <v>580</v>
      </c>
      <c r="D498" t="s">
        <v>581</v>
      </c>
      <c r="E498" t="s">
        <v>62</v>
      </c>
      <c r="F498" t="s">
        <v>94</v>
      </c>
      <c r="G498" t="s">
        <v>277</v>
      </c>
      <c r="H498" s="12">
        <v>6.1619843000000003</v>
      </c>
      <c r="I498" s="12">
        <v>-75.593804000000006</v>
      </c>
      <c r="K498" t="s">
        <v>97</v>
      </c>
      <c r="M498">
        <v>11</v>
      </c>
      <c r="P498" s="13">
        <v>275</v>
      </c>
      <c r="Q498" s="13">
        <v>68</v>
      </c>
      <c r="R498">
        <v>38</v>
      </c>
      <c r="S498">
        <v>54</v>
      </c>
      <c r="T498" s="13">
        <v>59</v>
      </c>
      <c r="U498" s="13">
        <v>58</v>
      </c>
      <c r="V498" t="s">
        <v>99</v>
      </c>
      <c r="X498" s="13">
        <v>275</v>
      </c>
    </row>
    <row r="499" spans="1:24" x14ac:dyDescent="0.25">
      <c r="A499" t="s">
        <v>605</v>
      </c>
      <c r="B499" t="s">
        <v>62</v>
      </c>
      <c r="C499" t="s">
        <v>580</v>
      </c>
      <c r="D499" t="s">
        <v>581</v>
      </c>
      <c r="E499" t="s">
        <v>62</v>
      </c>
      <c r="F499" t="s">
        <v>94</v>
      </c>
      <c r="G499" t="s">
        <v>277</v>
      </c>
      <c r="H499" s="12">
        <v>6.1619843000000003</v>
      </c>
      <c r="I499" s="12">
        <v>-75.593804000000006</v>
      </c>
      <c r="K499" t="s">
        <v>97</v>
      </c>
      <c r="M499">
        <v>11</v>
      </c>
      <c r="P499" s="13">
        <v>274</v>
      </c>
      <c r="Q499" s="13">
        <v>63</v>
      </c>
      <c r="R499">
        <v>50</v>
      </c>
      <c r="S499">
        <v>52</v>
      </c>
      <c r="T499" s="13">
        <v>52</v>
      </c>
      <c r="U499" s="13">
        <v>60</v>
      </c>
      <c r="V499" t="s">
        <v>99</v>
      </c>
      <c r="X499" s="13">
        <v>274</v>
      </c>
    </row>
    <row r="500" spans="1:24" x14ac:dyDescent="0.25">
      <c r="A500" t="s">
        <v>606</v>
      </c>
      <c r="B500" t="s">
        <v>62</v>
      </c>
      <c r="C500" t="s">
        <v>580</v>
      </c>
      <c r="D500" t="s">
        <v>581</v>
      </c>
      <c r="E500" t="s">
        <v>62</v>
      </c>
      <c r="F500" t="s">
        <v>94</v>
      </c>
      <c r="G500" t="s">
        <v>277</v>
      </c>
      <c r="H500" s="12">
        <v>6.1619843000000003</v>
      </c>
      <c r="I500" s="12">
        <v>-75.593804000000006</v>
      </c>
      <c r="K500" t="s">
        <v>97</v>
      </c>
      <c r="M500">
        <v>11</v>
      </c>
      <c r="P500" s="13">
        <v>273</v>
      </c>
      <c r="Q500" s="13">
        <v>68</v>
      </c>
      <c r="R500">
        <v>40</v>
      </c>
      <c r="S500">
        <v>70</v>
      </c>
      <c r="T500" s="13">
        <v>34</v>
      </c>
      <c r="U500" s="13">
        <v>73</v>
      </c>
      <c r="V500" t="s">
        <v>99</v>
      </c>
      <c r="X500" s="13">
        <v>273</v>
      </c>
    </row>
    <row r="501" spans="1:24" x14ac:dyDescent="0.25">
      <c r="A501" t="s">
        <v>607</v>
      </c>
      <c r="B501" t="s">
        <v>62</v>
      </c>
      <c r="C501" t="s">
        <v>580</v>
      </c>
      <c r="D501" t="s">
        <v>581</v>
      </c>
      <c r="E501" t="s">
        <v>62</v>
      </c>
      <c r="F501" t="s">
        <v>94</v>
      </c>
      <c r="G501" t="s">
        <v>277</v>
      </c>
      <c r="H501" s="12">
        <v>6.1619843000000003</v>
      </c>
      <c r="I501" s="12">
        <v>-75.593804000000006</v>
      </c>
      <c r="K501" t="s">
        <v>97</v>
      </c>
      <c r="M501">
        <v>11</v>
      </c>
      <c r="P501" s="13">
        <v>270</v>
      </c>
      <c r="Q501" s="13">
        <v>80</v>
      </c>
      <c r="R501">
        <v>38</v>
      </c>
      <c r="S501">
        <v>56</v>
      </c>
      <c r="T501" s="13">
        <v>40</v>
      </c>
      <c r="U501" s="13">
        <v>60</v>
      </c>
      <c r="V501" t="s">
        <v>99</v>
      </c>
      <c r="X501" s="13">
        <v>270</v>
      </c>
    </row>
    <row r="502" spans="1:24" x14ac:dyDescent="0.25">
      <c r="A502" t="s">
        <v>608</v>
      </c>
      <c r="B502" t="s">
        <v>62</v>
      </c>
      <c r="C502" t="s">
        <v>580</v>
      </c>
      <c r="D502" t="s">
        <v>581</v>
      </c>
      <c r="E502" t="s">
        <v>62</v>
      </c>
      <c r="F502" t="s">
        <v>94</v>
      </c>
      <c r="G502" t="s">
        <v>277</v>
      </c>
      <c r="H502" s="12">
        <v>6.1619843000000003</v>
      </c>
      <c r="I502" s="12">
        <v>-75.593804000000006</v>
      </c>
      <c r="K502" t="s">
        <v>97</v>
      </c>
      <c r="M502">
        <v>11</v>
      </c>
      <c r="P502" s="13">
        <v>264</v>
      </c>
      <c r="Q502" s="13">
        <v>68</v>
      </c>
      <c r="R502">
        <v>40</v>
      </c>
      <c r="S502">
        <v>50</v>
      </c>
      <c r="T502" s="13">
        <v>47</v>
      </c>
      <c r="U502" s="13">
        <v>73</v>
      </c>
      <c r="V502" t="s">
        <v>99</v>
      </c>
      <c r="X502" s="13">
        <v>264</v>
      </c>
    </row>
    <row r="503" spans="1:24" x14ac:dyDescent="0.25">
      <c r="A503" t="s">
        <v>609</v>
      </c>
      <c r="B503" t="s">
        <v>62</v>
      </c>
      <c r="C503" t="s">
        <v>580</v>
      </c>
      <c r="D503" t="s">
        <v>581</v>
      </c>
      <c r="E503" t="s">
        <v>62</v>
      </c>
      <c r="F503" t="s">
        <v>94</v>
      </c>
      <c r="G503" t="s">
        <v>277</v>
      </c>
      <c r="H503" s="12">
        <v>6.1619843000000003</v>
      </c>
      <c r="I503" s="12">
        <v>-75.593804000000006</v>
      </c>
      <c r="K503" t="s">
        <v>97</v>
      </c>
      <c r="M503">
        <v>11</v>
      </c>
      <c r="P503" s="13">
        <v>261</v>
      </c>
      <c r="Q503" s="13">
        <v>66</v>
      </c>
      <c r="R503">
        <v>38</v>
      </c>
      <c r="S503">
        <v>56</v>
      </c>
      <c r="T503" s="13">
        <v>47</v>
      </c>
      <c r="U503" s="13">
        <v>58</v>
      </c>
      <c r="V503" t="s">
        <v>99</v>
      </c>
      <c r="X503" s="13">
        <v>261</v>
      </c>
    </row>
    <row r="504" spans="1:24" x14ac:dyDescent="0.25">
      <c r="A504" t="s">
        <v>610</v>
      </c>
      <c r="B504" t="s">
        <v>62</v>
      </c>
      <c r="C504" t="s">
        <v>580</v>
      </c>
      <c r="D504" t="s">
        <v>581</v>
      </c>
      <c r="E504" t="s">
        <v>62</v>
      </c>
      <c r="F504" t="s">
        <v>94</v>
      </c>
      <c r="G504" t="s">
        <v>277</v>
      </c>
      <c r="H504" s="12">
        <v>6.1619843000000003</v>
      </c>
      <c r="I504" s="12">
        <v>-75.593804000000006</v>
      </c>
      <c r="K504" t="s">
        <v>97</v>
      </c>
      <c r="M504">
        <v>11</v>
      </c>
      <c r="P504" s="13">
        <v>258</v>
      </c>
      <c r="Q504" s="13">
        <v>66</v>
      </c>
      <c r="R504">
        <v>44</v>
      </c>
      <c r="S504">
        <v>48</v>
      </c>
      <c r="T504" s="13">
        <v>50</v>
      </c>
      <c r="U504" s="13">
        <v>47</v>
      </c>
      <c r="V504" t="s">
        <v>99</v>
      </c>
      <c r="X504" s="13">
        <v>258</v>
      </c>
    </row>
    <row r="505" spans="1:24" x14ac:dyDescent="0.25">
      <c r="A505" t="s">
        <v>611</v>
      </c>
      <c r="B505" t="s">
        <v>62</v>
      </c>
      <c r="C505" t="s">
        <v>580</v>
      </c>
      <c r="D505" t="s">
        <v>581</v>
      </c>
      <c r="E505" t="s">
        <v>62</v>
      </c>
      <c r="F505" t="s">
        <v>94</v>
      </c>
      <c r="G505" t="s">
        <v>277</v>
      </c>
      <c r="H505" s="12">
        <v>6.1619843000000003</v>
      </c>
      <c r="I505" s="12">
        <v>-75.593804000000006</v>
      </c>
      <c r="K505" t="s">
        <v>97</v>
      </c>
      <c r="M505">
        <v>11</v>
      </c>
      <c r="P505" s="13">
        <v>257</v>
      </c>
      <c r="Q505" s="13">
        <v>49</v>
      </c>
      <c r="R505">
        <v>32</v>
      </c>
      <c r="S505">
        <v>62</v>
      </c>
      <c r="T505" s="13">
        <v>52</v>
      </c>
      <c r="U505" s="13">
        <v>85</v>
      </c>
      <c r="V505" t="s">
        <v>99</v>
      </c>
      <c r="X505" s="13">
        <v>257</v>
      </c>
    </row>
    <row r="506" spans="1:24" x14ac:dyDescent="0.25">
      <c r="A506" t="s">
        <v>612</v>
      </c>
      <c r="B506" t="s">
        <v>62</v>
      </c>
      <c r="C506" t="s">
        <v>580</v>
      </c>
      <c r="D506" t="s">
        <v>581</v>
      </c>
      <c r="E506" t="s">
        <v>62</v>
      </c>
      <c r="F506" t="s">
        <v>94</v>
      </c>
      <c r="G506" t="s">
        <v>277</v>
      </c>
      <c r="H506" s="12">
        <v>6.1619843000000003</v>
      </c>
      <c r="I506" s="12">
        <v>-75.593804000000006</v>
      </c>
      <c r="K506" t="s">
        <v>97</v>
      </c>
      <c r="M506">
        <v>11</v>
      </c>
      <c r="P506" s="13">
        <v>256</v>
      </c>
      <c r="Q506" s="13">
        <v>68</v>
      </c>
      <c r="R506">
        <v>40</v>
      </c>
      <c r="S506">
        <v>24</v>
      </c>
      <c r="T506" s="13">
        <v>62</v>
      </c>
      <c r="U506" s="13">
        <v>84</v>
      </c>
      <c r="V506" t="s">
        <v>99</v>
      </c>
      <c r="X506" s="13">
        <v>256</v>
      </c>
    </row>
    <row r="507" spans="1:24" x14ac:dyDescent="0.25">
      <c r="A507" t="s">
        <v>613</v>
      </c>
      <c r="B507" t="s">
        <v>62</v>
      </c>
      <c r="C507" t="s">
        <v>580</v>
      </c>
      <c r="D507" t="s">
        <v>581</v>
      </c>
      <c r="E507" t="s">
        <v>62</v>
      </c>
      <c r="F507" t="s">
        <v>94</v>
      </c>
      <c r="G507" t="s">
        <v>277</v>
      </c>
      <c r="H507" s="12">
        <v>6.1619843000000003</v>
      </c>
      <c r="I507" s="12">
        <v>-75.593804000000006</v>
      </c>
      <c r="K507" t="s">
        <v>97</v>
      </c>
      <c r="M507">
        <v>11</v>
      </c>
      <c r="P507" s="13">
        <v>255</v>
      </c>
      <c r="Q507" s="13">
        <v>56</v>
      </c>
      <c r="R507">
        <v>34</v>
      </c>
      <c r="S507">
        <v>70</v>
      </c>
      <c r="T507" s="13">
        <v>47</v>
      </c>
      <c r="U507" s="13">
        <v>44</v>
      </c>
      <c r="V507" t="s">
        <v>99</v>
      </c>
      <c r="X507" s="13">
        <v>255</v>
      </c>
    </row>
    <row r="508" spans="1:24" x14ac:dyDescent="0.25">
      <c r="A508" t="s">
        <v>614</v>
      </c>
      <c r="B508" t="s">
        <v>62</v>
      </c>
      <c r="C508" t="s">
        <v>580</v>
      </c>
      <c r="D508" t="s">
        <v>581</v>
      </c>
      <c r="E508" t="s">
        <v>62</v>
      </c>
      <c r="F508" t="s">
        <v>94</v>
      </c>
      <c r="G508" t="s">
        <v>277</v>
      </c>
      <c r="H508" s="12">
        <v>6.1619843000000003</v>
      </c>
      <c r="I508" s="12">
        <v>-75.593804000000006</v>
      </c>
      <c r="K508" t="s">
        <v>97</v>
      </c>
      <c r="M508">
        <v>11</v>
      </c>
      <c r="P508" s="13">
        <v>253</v>
      </c>
      <c r="Q508" s="13">
        <v>63</v>
      </c>
      <c r="R508">
        <v>36</v>
      </c>
      <c r="S508">
        <v>44</v>
      </c>
      <c r="T508" s="13">
        <v>48</v>
      </c>
      <c r="U508" s="13">
        <v>84</v>
      </c>
      <c r="V508" t="s">
        <v>99</v>
      </c>
      <c r="X508" s="13">
        <v>253</v>
      </c>
    </row>
    <row r="509" spans="1:24" x14ac:dyDescent="0.25">
      <c r="A509" t="s">
        <v>615</v>
      </c>
      <c r="B509" t="s">
        <v>62</v>
      </c>
      <c r="C509" t="s">
        <v>580</v>
      </c>
      <c r="D509" t="s">
        <v>581</v>
      </c>
      <c r="E509" t="s">
        <v>62</v>
      </c>
      <c r="F509" t="s">
        <v>94</v>
      </c>
      <c r="G509" t="s">
        <v>277</v>
      </c>
      <c r="H509" s="12">
        <v>6.1619843000000003</v>
      </c>
      <c r="I509" s="12">
        <v>-75.593804000000006</v>
      </c>
      <c r="K509" t="s">
        <v>97</v>
      </c>
      <c r="M509">
        <v>11</v>
      </c>
      <c r="P509" s="13">
        <v>251</v>
      </c>
      <c r="Q509" s="13">
        <v>63</v>
      </c>
      <c r="R509">
        <v>40</v>
      </c>
      <c r="S509">
        <v>52</v>
      </c>
      <c r="T509" s="13">
        <v>43</v>
      </c>
      <c r="U509" s="13">
        <v>58</v>
      </c>
      <c r="V509" t="s">
        <v>99</v>
      </c>
      <c r="X509" s="13">
        <v>251</v>
      </c>
    </row>
    <row r="510" spans="1:24" x14ac:dyDescent="0.25">
      <c r="A510" t="s">
        <v>616</v>
      </c>
      <c r="B510" t="s">
        <v>62</v>
      </c>
      <c r="C510" t="s">
        <v>580</v>
      </c>
      <c r="D510" t="s">
        <v>581</v>
      </c>
      <c r="E510" t="s">
        <v>62</v>
      </c>
      <c r="F510" t="s">
        <v>94</v>
      </c>
      <c r="G510" t="s">
        <v>277</v>
      </c>
      <c r="H510" s="12">
        <v>6.1619843000000003</v>
      </c>
      <c r="I510" s="12">
        <v>-75.593804000000006</v>
      </c>
      <c r="K510" t="s">
        <v>97</v>
      </c>
      <c r="M510">
        <v>11</v>
      </c>
      <c r="P510" s="13">
        <v>250</v>
      </c>
      <c r="Q510" s="13">
        <v>59</v>
      </c>
      <c r="R510">
        <v>34</v>
      </c>
      <c r="S510">
        <v>78</v>
      </c>
      <c r="T510" s="13">
        <v>28</v>
      </c>
      <c r="U510" s="13">
        <v>56</v>
      </c>
      <c r="V510" t="s">
        <v>99</v>
      </c>
      <c r="X510" s="13">
        <v>250</v>
      </c>
    </row>
    <row r="511" spans="1:24" x14ac:dyDescent="0.25">
      <c r="A511" t="s">
        <v>617</v>
      </c>
      <c r="B511" t="s">
        <v>62</v>
      </c>
      <c r="C511" t="s">
        <v>580</v>
      </c>
      <c r="D511" t="s">
        <v>581</v>
      </c>
      <c r="E511" t="s">
        <v>62</v>
      </c>
      <c r="F511" t="s">
        <v>94</v>
      </c>
      <c r="G511" t="s">
        <v>277</v>
      </c>
      <c r="H511" s="12">
        <v>6.1619843000000003</v>
      </c>
      <c r="I511" s="12">
        <v>-75.593804000000006</v>
      </c>
      <c r="K511" t="s">
        <v>97</v>
      </c>
      <c r="M511">
        <v>11</v>
      </c>
      <c r="P511" s="13">
        <v>249</v>
      </c>
      <c r="Q511" s="13">
        <v>80</v>
      </c>
      <c r="R511">
        <v>26</v>
      </c>
      <c r="S511">
        <v>62</v>
      </c>
      <c r="T511" s="13">
        <v>33</v>
      </c>
      <c r="U511" s="13">
        <v>44</v>
      </c>
      <c r="V511" t="s">
        <v>99</v>
      </c>
      <c r="X511" s="13">
        <v>249</v>
      </c>
    </row>
    <row r="512" spans="1:24" x14ac:dyDescent="0.25">
      <c r="A512" t="s">
        <v>618</v>
      </c>
      <c r="B512" t="s">
        <v>62</v>
      </c>
      <c r="C512" t="s">
        <v>580</v>
      </c>
      <c r="D512" t="s">
        <v>581</v>
      </c>
      <c r="E512" t="s">
        <v>62</v>
      </c>
      <c r="F512" t="s">
        <v>94</v>
      </c>
      <c r="G512" t="s">
        <v>277</v>
      </c>
      <c r="H512" s="12">
        <v>6.1619843000000003</v>
      </c>
      <c r="I512" s="12">
        <v>-75.593804000000006</v>
      </c>
      <c r="K512" t="s">
        <v>97</v>
      </c>
      <c r="M512">
        <v>11</v>
      </c>
      <c r="P512" s="13">
        <v>248</v>
      </c>
      <c r="Q512" s="13">
        <v>68</v>
      </c>
      <c r="R512">
        <v>38</v>
      </c>
      <c r="S512">
        <v>44</v>
      </c>
      <c r="T512" s="13">
        <v>38</v>
      </c>
      <c r="U512" s="13">
        <v>80</v>
      </c>
      <c r="V512" t="s">
        <v>99</v>
      </c>
      <c r="X512" s="13">
        <v>248</v>
      </c>
    </row>
    <row r="513" spans="1:24" x14ac:dyDescent="0.25">
      <c r="A513" t="s">
        <v>619</v>
      </c>
      <c r="B513" t="s">
        <v>62</v>
      </c>
      <c r="C513" t="s">
        <v>580</v>
      </c>
      <c r="D513" t="s">
        <v>581</v>
      </c>
      <c r="E513" t="s">
        <v>62</v>
      </c>
      <c r="F513" t="s">
        <v>94</v>
      </c>
      <c r="G513" t="s">
        <v>277</v>
      </c>
      <c r="H513" s="12">
        <v>6.1619843000000003</v>
      </c>
      <c r="I513" s="12">
        <v>-75.593804000000006</v>
      </c>
      <c r="K513" t="s">
        <v>97</v>
      </c>
      <c r="M513">
        <v>11</v>
      </c>
      <c r="P513" s="13">
        <v>247</v>
      </c>
      <c r="Q513" s="13">
        <v>63</v>
      </c>
      <c r="R513">
        <v>26</v>
      </c>
      <c r="S513">
        <v>46</v>
      </c>
      <c r="T513" s="13">
        <v>52</v>
      </c>
      <c r="U513" s="13">
        <v>80</v>
      </c>
      <c r="V513" t="s">
        <v>99</v>
      </c>
      <c r="X513" s="13">
        <v>247</v>
      </c>
    </row>
    <row r="514" spans="1:24" x14ac:dyDescent="0.25">
      <c r="A514" t="s">
        <v>620</v>
      </c>
      <c r="B514" t="s">
        <v>62</v>
      </c>
      <c r="C514" t="s">
        <v>580</v>
      </c>
      <c r="D514" t="s">
        <v>581</v>
      </c>
      <c r="E514" t="s">
        <v>62</v>
      </c>
      <c r="F514" t="s">
        <v>94</v>
      </c>
      <c r="G514" t="s">
        <v>277</v>
      </c>
      <c r="H514" s="12">
        <v>6.1619843000000003</v>
      </c>
      <c r="I514" s="12">
        <v>-75.593804000000006</v>
      </c>
      <c r="K514" t="s">
        <v>97</v>
      </c>
      <c r="M514">
        <v>11</v>
      </c>
      <c r="P514" s="13">
        <v>246</v>
      </c>
      <c r="Q514" s="13">
        <v>66</v>
      </c>
      <c r="R514">
        <v>26</v>
      </c>
      <c r="S514">
        <v>28</v>
      </c>
      <c r="T514" s="13">
        <v>72</v>
      </c>
      <c r="U514" s="13">
        <v>62</v>
      </c>
      <c r="V514" t="s">
        <v>99</v>
      </c>
      <c r="X514" s="13">
        <v>246</v>
      </c>
    </row>
    <row r="515" spans="1:24" x14ac:dyDescent="0.25">
      <c r="A515" t="s">
        <v>621</v>
      </c>
      <c r="B515" t="s">
        <v>62</v>
      </c>
      <c r="C515" t="s">
        <v>580</v>
      </c>
      <c r="D515" t="s">
        <v>581</v>
      </c>
      <c r="E515" t="s">
        <v>62</v>
      </c>
      <c r="F515" t="s">
        <v>94</v>
      </c>
      <c r="G515" t="s">
        <v>277</v>
      </c>
      <c r="H515" s="12">
        <v>6.1619843000000003</v>
      </c>
      <c r="I515" s="12">
        <v>-75.593804000000006</v>
      </c>
      <c r="K515" t="s">
        <v>97</v>
      </c>
      <c r="M515">
        <v>11</v>
      </c>
      <c r="P515" s="13">
        <v>244</v>
      </c>
      <c r="Q515" s="13">
        <v>59</v>
      </c>
      <c r="R515">
        <v>38</v>
      </c>
      <c r="S515">
        <v>52</v>
      </c>
      <c r="T515" s="13">
        <v>40</v>
      </c>
      <c r="U515" s="13">
        <v>69</v>
      </c>
      <c r="V515" t="s">
        <v>99</v>
      </c>
      <c r="X515" s="13">
        <v>244</v>
      </c>
    </row>
    <row r="516" spans="1:24" x14ac:dyDescent="0.25">
      <c r="A516" t="s">
        <v>622</v>
      </c>
      <c r="B516" t="s">
        <v>62</v>
      </c>
      <c r="C516" t="s">
        <v>580</v>
      </c>
      <c r="D516" t="s">
        <v>581</v>
      </c>
      <c r="E516" t="s">
        <v>62</v>
      </c>
      <c r="F516" t="s">
        <v>94</v>
      </c>
      <c r="G516" t="s">
        <v>277</v>
      </c>
      <c r="H516" s="12">
        <v>6.1619843000000003</v>
      </c>
      <c r="I516" s="12">
        <v>-75.593804000000006</v>
      </c>
      <c r="K516" t="s">
        <v>97</v>
      </c>
      <c r="M516">
        <v>11</v>
      </c>
      <c r="P516" s="13">
        <v>243</v>
      </c>
      <c r="Q516" s="13">
        <v>68</v>
      </c>
      <c r="R516">
        <v>36</v>
      </c>
      <c r="S516">
        <v>44</v>
      </c>
      <c r="T516" s="13">
        <v>47</v>
      </c>
      <c r="U516" s="13">
        <v>47</v>
      </c>
      <c r="V516" t="s">
        <v>99</v>
      </c>
      <c r="X516" s="13">
        <v>243</v>
      </c>
    </row>
    <row r="517" spans="1:24" x14ac:dyDescent="0.25">
      <c r="A517" t="s">
        <v>623</v>
      </c>
      <c r="B517" t="s">
        <v>62</v>
      </c>
      <c r="C517" t="s">
        <v>580</v>
      </c>
      <c r="D517" t="s">
        <v>581</v>
      </c>
      <c r="E517" t="s">
        <v>62</v>
      </c>
      <c r="F517" t="s">
        <v>94</v>
      </c>
      <c r="G517" t="s">
        <v>277</v>
      </c>
      <c r="H517" s="12">
        <v>6.1619843000000003</v>
      </c>
      <c r="I517" s="12">
        <v>-75.593804000000006</v>
      </c>
      <c r="K517" t="s">
        <v>97</v>
      </c>
      <c r="M517">
        <v>11</v>
      </c>
      <c r="P517" s="13">
        <v>243</v>
      </c>
      <c r="Q517" s="13">
        <v>66</v>
      </c>
      <c r="R517">
        <v>42</v>
      </c>
      <c r="S517">
        <v>36</v>
      </c>
      <c r="T517" s="13">
        <v>43</v>
      </c>
      <c r="U517" s="13">
        <v>71</v>
      </c>
      <c r="V517" t="s">
        <v>99</v>
      </c>
      <c r="X517" s="13">
        <v>243</v>
      </c>
    </row>
    <row r="518" spans="1:24" x14ac:dyDescent="0.25">
      <c r="A518" t="s">
        <v>624</v>
      </c>
      <c r="B518" t="s">
        <v>62</v>
      </c>
      <c r="C518" t="s">
        <v>580</v>
      </c>
      <c r="D518" t="s">
        <v>581</v>
      </c>
      <c r="E518" t="s">
        <v>62</v>
      </c>
      <c r="F518" t="s">
        <v>94</v>
      </c>
      <c r="G518" t="s">
        <v>277</v>
      </c>
      <c r="H518" s="12">
        <v>6.1619843000000003</v>
      </c>
      <c r="I518" s="12">
        <v>-75.593804000000006</v>
      </c>
      <c r="K518" t="s">
        <v>97</v>
      </c>
      <c r="M518">
        <v>11</v>
      </c>
      <c r="P518" s="13">
        <v>243</v>
      </c>
      <c r="Q518" s="13">
        <v>59</v>
      </c>
      <c r="R518">
        <v>28</v>
      </c>
      <c r="S518">
        <v>62</v>
      </c>
      <c r="T518" s="13">
        <v>41</v>
      </c>
      <c r="U518" s="13">
        <v>62</v>
      </c>
      <c r="V518" t="s">
        <v>99</v>
      </c>
      <c r="X518" s="13">
        <v>243</v>
      </c>
    </row>
    <row r="519" spans="1:24" x14ac:dyDescent="0.25">
      <c r="A519" t="s">
        <v>625</v>
      </c>
      <c r="B519" t="s">
        <v>62</v>
      </c>
      <c r="C519" t="s">
        <v>580</v>
      </c>
      <c r="D519" t="s">
        <v>581</v>
      </c>
      <c r="E519" t="s">
        <v>62</v>
      </c>
      <c r="F519" t="s">
        <v>94</v>
      </c>
      <c r="G519" t="s">
        <v>277</v>
      </c>
      <c r="H519" s="12">
        <v>6.1619843000000003</v>
      </c>
      <c r="I519" s="12">
        <v>-75.593804000000006</v>
      </c>
      <c r="K519" t="s">
        <v>97</v>
      </c>
      <c r="M519">
        <v>11</v>
      </c>
      <c r="P519" s="13">
        <v>242</v>
      </c>
      <c r="Q519" s="13">
        <v>73</v>
      </c>
      <c r="R519">
        <v>30</v>
      </c>
      <c r="S519">
        <v>56</v>
      </c>
      <c r="T519" s="13">
        <v>36</v>
      </c>
      <c r="U519" s="13">
        <v>44</v>
      </c>
      <c r="V519" t="s">
        <v>99</v>
      </c>
      <c r="X519" s="13">
        <v>242</v>
      </c>
    </row>
    <row r="520" spans="1:24" x14ac:dyDescent="0.25">
      <c r="A520" t="s">
        <v>626</v>
      </c>
      <c r="B520" t="s">
        <v>62</v>
      </c>
      <c r="C520" t="s">
        <v>580</v>
      </c>
      <c r="D520" t="s">
        <v>581</v>
      </c>
      <c r="E520" t="s">
        <v>62</v>
      </c>
      <c r="F520" t="s">
        <v>94</v>
      </c>
      <c r="G520" t="s">
        <v>277</v>
      </c>
      <c r="H520" s="12">
        <v>6.1619843000000003</v>
      </c>
      <c r="I520" s="12">
        <v>-75.593804000000006</v>
      </c>
      <c r="K520" t="s">
        <v>97</v>
      </c>
      <c r="M520">
        <v>11</v>
      </c>
      <c r="P520" s="13">
        <v>241</v>
      </c>
      <c r="Q520" s="13">
        <v>56</v>
      </c>
      <c r="R520">
        <v>28</v>
      </c>
      <c r="S520">
        <v>54</v>
      </c>
      <c r="T520" s="13">
        <v>50</v>
      </c>
      <c r="U520" s="13">
        <v>62</v>
      </c>
      <c r="V520" t="s">
        <v>99</v>
      </c>
      <c r="X520" s="13">
        <v>241</v>
      </c>
    </row>
    <row r="521" spans="1:24" x14ac:dyDescent="0.25">
      <c r="A521" t="s">
        <v>627</v>
      </c>
      <c r="B521" t="s">
        <v>62</v>
      </c>
      <c r="C521" t="s">
        <v>580</v>
      </c>
      <c r="D521" t="s">
        <v>581</v>
      </c>
      <c r="E521" t="s">
        <v>62</v>
      </c>
      <c r="F521" t="s">
        <v>94</v>
      </c>
      <c r="G521" t="s">
        <v>277</v>
      </c>
      <c r="H521" s="12">
        <v>6.1619843000000003</v>
      </c>
      <c r="I521" s="12">
        <v>-75.593804000000006</v>
      </c>
      <c r="K521" t="s">
        <v>97</v>
      </c>
      <c r="M521">
        <v>11</v>
      </c>
      <c r="P521" s="13">
        <v>241</v>
      </c>
      <c r="Q521" s="13">
        <v>66</v>
      </c>
      <c r="R521">
        <v>28</v>
      </c>
      <c r="S521">
        <v>50</v>
      </c>
      <c r="T521" s="13">
        <v>38</v>
      </c>
      <c r="U521" s="13">
        <v>80</v>
      </c>
      <c r="V521" t="s">
        <v>99</v>
      </c>
      <c r="X521" s="13">
        <v>241</v>
      </c>
    </row>
    <row r="522" spans="1:24" x14ac:dyDescent="0.25">
      <c r="A522" t="s">
        <v>628</v>
      </c>
      <c r="B522" t="s">
        <v>62</v>
      </c>
      <c r="C522" t="s">
        <v>580</v>
      </c>
      <c r="D522" t="s">
        <v>581</v>
      </c>
      <c r="E522" t="s">
        <v>62</v>
      </c>
      <c r="F522" t="s">
        <v>94</v>
      </c>
      <c r="G522" t="s">
        <v>277</v>
      </c>
      <c r="H522" s="12">
        <v>6.1619843000000003</v>
      </c>
      <c r="I522" s="12">
        <v>-75.593804000000006</v>
      </c>
      <c r="K522" t="s">
        <v>97</v>
      </c>
      <c r="M522">
        <v>11</v>
      </c>
      <c r="P522" s="13">
        <v>239</v>
      </c>
      <c r="Q522" s="13">
        <v>59</v>
      </c>
      <c r="R522">
        <v>38</v>
      </c>
      <c r="S522">
        <v>48</v>
      </c>
      <c r="T522" s="13">
        <v>43</v>
      </c>
      <c r="U522" s="13">
        <v>58</v>
      </c>
      <c r="V522" t="s">
        <v>99</v>
      </c>
      <c r="X522" s="13">
        <v>239</v>
      </c>
    </row>
    <row r="523" spans="1:24" x14ac:dyDescent="0.25">
      <c r="A523" t="s">
        <v>629</v>
      </c>
      <c r="B523" t="s">
        <v>62</v>
      </c>
      <c r="C523" t="s">
        <v>580</v>
      </c>
      <c r="D523" t="s">
        <v>581</v>
      </c>
      <c r="E523" t="s">
        <v>62</v>
      </c>
      <c r="F523" t="s">
        <v>94</v>
      </c>
      <c r="G523" t="s">
        <v>277</v>
      </c>
      <c r="H523" s="12">
        <v>6.1619843000000003</v>
      </c>
      <c r="I523" s="12">
        <v>-75.593804000000006</v>
      </c>
      <c r="K523" t="s">
        <v>97</v>
      </c>
      <c r="M523">
        <v>11</v>
      </c>
      <c r="P523" s="13">
        <v>237</v>
      </c>
      <c r="Q523" s="13">
        <v>49</v>
      </c>
      <c r="R523">
        <v>40</v>
      </c>
      <c r="S523">
        <v>46</v>
      </c>
      <c r="T523" s="13">
        <v>57</v>
      </c>
      <c r="U523" s="13">
        <v>42</v>
      </c>
      <c r="V523" t="s">
        <v>99</v>
      </c>
      <c r="X523" s="13">
        <v>237</v>
      </c>
    </row>
    <row r="524" spans="1:24" x14ac:dyDescent="0.25">
      <c r="A524" t="s">
        <v>630</v>
      </c>
      <c r="B524" t="s">
        <v>62</v>
      </c>
      <c r="C524" t="s">
        <v>580</v>
      </c>
      <c r="D524" t="s">
        <v>581</v>
      </c>
      <c r="E524" t="s">
        <v>62</v>
      </c>
      <c r="F524" t="s">
        <v>94</v>
      </c>
      <c r="G524" t="s">
        <v>277</v>
      </c>
      <c r="H524" s="12">
        <v>6.1619843000000003</v>
      </c>
      <c r="I524" s="12">
        <v>-75.593804000000006</v>
      </c>
      <c r="K524" t="s">
        <v>97</v>
      </c>
      <c r="M524">
        <v>11</v>
      </c>
      <c r="P524" s="13">
        <v>237</v>
      </c>
      <c r="Q524" s="13">
        <v>56</v>
      </c>
      <c r="R524">
        <v>38</v>
      </c>
      <c r="S524">
        <v>46</v>
      </c>
      <c r="T524" s="13">
        <v>48</v>
      </c>
      <c r="U524" s="13">
        <v>51</v>
      </c>
      <c r="V524" t="s">
        <v>99</v>
      </c>
      <c r="X524" s="13">
        <v>237</v>
      </c>
    </row>
    <row r="525" spans="1:24" x14ac:dyDescent="0.25">
      <c r="A525" t="s">
        <v>631</v>
      </c>
      <c r="B525" t="s">
        <v>62</v>
      </c>
      <c r="C525" t="s">
        <v>580</v>
      </c>
      <c r="D525" t="s">
        <v>581</v>
      </c>
      <c r="E525" t="s">
        <v>62</v>
      </c>
      <c r="F525" t="s">
        <v>94</v>
      </c>
      <c r="G525" t="s">
        <v>277</v>
      </c>
      <c r="H525" s="12">
        <v>6.1619843000000003</v>
      </c>
      <c r="I525" s="12">
        <v>-75.593804000000006</v>
      </c>
      <c r="K525" t="s">
        <v>97</v>
      </c>
      <c r="M525">
        <v>11</v>
      </c>
      <c r="P525" s="13">
        <v>237</v>
      </c>
      <c r="Q525" s="13">
        <v>68</v>
      </c>
      <c r="R525">
        <v>24</v>
      </c>
      <c r="S525">
        <v>54</v>
      </c>
      <c r="T525" s="13">
        <v>40</v>
      </c>
      <c r="U525" s="13">
        <v>58</v>
      </c>
      <c r="V525" t="s">
        <v>99</v>
      </c>
      <c r="X525" s="13">
        <v>237</v>
      </c>
    </row>
    <row r="526" spans="1:24" x14ac:dyDescent="0.25">
      <c r="A526" t="s">
        <v>632</v>
      </c>
      <c r="B526" t="s">
        <v>62</v>
      </c>
      <c r="C526" t="s">
        <v>580</v>
      </c>
      <c r="D526" t="s">
        <v>581</v>
      </c>
      <c r="E526" t="s">
        <v>62</v>
      </c>
      <c r="F526" t="s">
        <v>94</v>
      </c>
      <c r="G526" t="s">
        <v>277</v>
      </c>
      <c r="H526" s="12">
        <v>6.1619843000000003</v>
      </c>
      <c r="I526" s="12">
        <v>-75.593804000000006</v>
      </c>
      <c r="K526" t="s">
        <v>97</v>
      </c>
      <c r="M526">
        <v>11</v>
      </c>
      <c r="P526" s="13">
        <v>237</v>
      </c>
      <c r="Q526" s="13">
        <v>54</v>
      </c>
      <c r="R526">
        <v>34</v>
      </c>
      <c r="S526">
        <v>50</v>
      </c>
      <c r="T526" s="13">
        <v>40</v>
      </c>
      <c r="U526" s="13">
        <v>84</v>
      </c>
      <c r="V526" t="s">
        <v>99</v>
      </c>
      <c r="X526" s="13">
        <v>237</v>
      </c>
    </row>
    <row r="527" spans="1:24" x14ac:dyDescent="0.25">
      <c r="A527" t="s">
        <v>633</v>
      </c>
      <c r="B527" t="s">
        <v>62</v>
      </c>
      <c r="C527" t="s">
        <v>580</v>
      </c>
      <c r="D527" t="s">
        <v>581</v>
      </c>
      <c r="E527" t="s">
        <v>62</v>
      </c>
      <c r="F527" t="s">
        <v>94</v>
      </c>
      <c r="G527" t="s">
        <v>277</v>
      </c>
      <c r="H527" s="12">
        <v>6.1619843000000003</v>
      </c>
      <c r="I527" s="12">
        <v>-75.593804000000006</v>
      </c>
      <c r="K527" t="s">
        <v>97</v>
      </c>
      <c r="M527">
        <v>11</v>
      </c>
      <c r="P527" s="13">
        <v>236</v>
      </c>
      <c r="Q527" s="13">
        <v>71</v>
      </c>
      <c r="R527">
        <v>40</v>
      </c>
      <c r="S527">
        <v>36</v>
      </c>
      <c r="T527" s="13">
        <v>36</v>
      </c>
      <c r="U527" s="13">
        <v>65</v>
      </c>
      <c r="V527" t="s">
        <v>99</v>
      </c>
      <c r="X527" s="13">
        <v>236</v>
      </c>
    </row>
    <row r="528" spans="1:24" x14ac:dyDescent="0.25">
      <c r="A528" t="s">
        <v>634</v>
      </c>
      <c r="B528" t="s">
        <v>62</v>
      </c>
      <c r="C528" t="s">
        <v>580</v>
      </c>
      <c r="D528" t="s">
        <v>581</v>
      </c>
      <c r="E528" t="s">
        <v>62</v>
      </c>
      <c r="F528" t="s">
        <v>94</v>
      </c>
      <c r="G528" t="s">
        <v>277</v>
      </c>
      <c r="H528" s="12">
        <v>6.1619843000000003</v>
      </c>
      <c r="I528" s="12">
        <v>-75.593804000000006</v>
      </c>
      <c r="K528" t="s">
        <v>97</v>
      </c>
      <c r="M528">
        <v>11</v>
      </c>
      <c r="P528" s="13">
        <v>236</v>
      </c>
      <c r="Q528" s="13">
        <v>68</v>
      </c>
      <c r="R528">
        <v>36</v>
      </c>
      <c r="S528">
        <v>42</v>
      </c>
      <c r="T528" s="13">
        <v>40</v>
      </c>
      <c r="U528" s="13">
        <v>56</v>
      </c>
      <c r="V528" t="s">
        <v>99</v>
      </c>
      <c r="X528" s="13">
        <v>236</v>
      </c>
    </row>
    <row r="529" spans="1:24" x14ac:dyDescent="0.25">
      <c r="A529" t="s">
        <v>635</v>
      </c>
      <c r="B529" t="s">
        <v>62</v>
      </c>
      <c r="C529" t="s">
        <v>580</v>
      </c>
      <c r="D529" t="s">
        <v>581</v>
      </c>
      <c r="E529" t="s">
        <v>62</v>
      </c>
      <c r="F529" t="s">
        <v>94</v>
      </c>
      <c r="G529" t="s">
        <v>277</v>
      </c>
      <c r="H529" s="12">
        <v>6.1619843000000003</v>
      </c>
      <c r="I529" s="12">
        <v>-75.593804000000006</v>
      </c>
      <c r="K529" t="s">
        <v>97</v>
      </c>
      <c r="M529">
        <v>11</v>
      </c>
      <c r="P529" s="13">
        <v>236</v>
      </c>
      <c r="Q529" s="13">
        <v>51</v>
      </c>
      <c r="R529">
        <v>50</v>
      </c>
      <c r="S529">
        <v>38</v>
      </c>
      <c r="T529" s="13">
        <v>34</v>
      </c>
      <c r="U529" s="13">
        <v>93</v>
      </c>
      <c r="V529" t="s">
        <v>99</v>
      </c>
      <c r="X529" s="13">
        <v>236</v>
      </c>
    </row>
    <row r="530" spans="1:24" x14ac:dyDescent="0.25">
      <c r="A530" t="s">
        <v>636</v>
      </c>
      <c r="B530" t="s">
        <v>62</v>
      </c>
      <c r="C530" t="s">
        <v>580</v>
      </c>
      <c r="D530" t="s">
        <v>581</v>
      </c>
      <c r="E530" t="s">
        <v>62</v>
      </c>
      <c r="F530" t="s">
        <v>94</v>
      </c>
      <c r="G530" t="s">
        <v>277</v>
      </c>
      <c r="H530" s="12">
        <v>6.1619843000000003</v>
      </c>
      <c r="I530" s="12">
        <v>-75.593804000000006</v>
      </c>
      <c r="K530" t="s">
        <v>97</v>
      </c>
      <c r="M530">
        <v>11</v>
      </c>
      <c r="P530" s="13">
        <v>233</v>
      </c>
      <c r="Q530" s="13">
        <v>54</v>
      </c>
      <c r="R530">
        <v>56</v>
      </c>
      <c r="S530">
        <v>38</v>
      </c>
      <c r="T530" s="13">
        <v>33</v>
      </c>
      <c r="U530" s="13">
        <v>64</v>
      </c>
      <c r="V530" t="s">
        <v>99</v>
      </c>
      <c r="X530" s="13">
        <v>233</v>
      </c>
    </row>
    <row r="531" spans="1:24" x14ac:dyDescent="0.25">
      <c r="A531" t="s">
        <v>637</v>
      </c>
      <c r="B531" t="s">
        <v>62</v>
      </c>
      <c r="C531" t="s">
        <v>580</v>
      </c>
      <c r="D531" t="s">
        <v>581</v>
      </c>
      <c r="E531" t="s">
        <v>62</v>
      </c>
      <c r="F531" t="s">
        <v>94</v>
      </c>
      <c r="G531" t="s">
        <v>277</v>
      </c>
      <c r="H531" s="12">
        <v>6.1619843000000003</v>
      </c>
      <c r="I531" s="12">
        <v>-75.593804000000006</v>
      </c>
      <c r="K531" t="s">
        <v>97</v>
      </c>
      <c r="M531">
        <v>11</v>
      </c>
      <c r="P531" s="13">
        <v>232</v>
      </c>
      <c r="Q531" s="13">
        <v>41</v>
      </c>
      <c r="R531">
        <v>42</v>
      </c>
      <c r="S531">
        <v>54</v>
      </c>
      <c r="T531" s="13">
        <v>47</v>
      </c>
      <c r="U531" s="13">
        <v>51</v>
      </c>
      <c r="V531" t="s">
        <v>99</v>
      </c>
      <c r="X531" s="13">
        <v>232</v>
      </c>
    </row>
    <row r="532" spans="1:24" x14ac:dyDescent="0.25">
      <c r="A532" t="s">
        <v>638</v>
      </c>
      <c r="B532" t="s">
        <v>62</v>
      </c>
      <c r="C532" t="s">
        <v>580</v>
      </c>
      <c r="D532" t="s">
        <v>581</v>
      </c>
      <c r="E532" t="s">
        <v>62</v>
      </c>
      <c r="F532" t="s">
        <v>94</v>
      </c>
      <c r="G532" t="s">
        <v>277</v>
      </c>
      <c r="H532" s="12">
        <v>6.1619843000000003</v>
      </c>
      <c r="I532" s="12">
        <v>-75.593804000000006</v>
      </c>
      <c r="K532" t="s">
        <v>97</v>
      </c>
      <c r="M532">
        <v>11</v>
      </c>
      <c r="P532" s="13">
        <v>232</v>
      </c>
      <c r="Q532" s="13">
        <v>46</v>
      </c>
      <c r="R532">
        <v>38</v>
      </c>
      <c r="S532">
        <v>40</v>
      </c>
      <c r="T532" s="13">
        <v>45</v>
      </c>
      <c r="U532" s="13">
        <v>95</v>
      </c>
      <c r="V532" t="s">
        <v>99</v>
      </c>
      <c r="X532" s="13">
        <v>232</v>
      </c>
    </row>
    <row r="533" spans="1:24" x14ac:dyDescent="0.25">
      <c r="A533" t="s">
        <v>639</v>
      </c>
      <c r="B533" t="s">
        <v>62</v>
      </c>
      <c r="C533" t="s">
        <v>580</v>
      </c>
      <c r="D533" t="s">
        <v>581</v>
      </c>
      <c r="E533" t="s">
        <v>62</v>
      </c>
      <c r="F533" t="s">
        <v>94</v>
      </c>
      <c r="G533" t="s">
        <v>277</v>
      </c>
      <c r="H533" s="12">
        <v>6.1619843000000003</v>
      </c>
      <c r="I533" s="12">
        <v>-75.593804000000006</v>
      </c>
      <c r="K533" t="s">
        <v>97</v>
      </c>
      <c r="M533">
        <v>11</v>
      </c>
      <c r="P533" s="13">
        <v>230</v>
      </c>
      <c r="Q533" s="13">
        <v>61</v>
      </c>
      <c r="R533">
        <v>32</v>
      </c>
      <c r="S533">
        <v>44</v>
      </c>
      <c r="T533" s="13">
        <v>50</v>
      </c>
      <c r="U533" s="13">
        <v>38</v>
      </c>
      <c r="V533" t="s">
        <v>99</v>
      </c>
      <c r="X533" s="13">
        <v>230</v>
      </c>
    </row>
    <row r="534" spans="1:24" x14ac:dyDescent="0.25">
      <c r="A534" t="s">
        <v>640</v>
      </c>
      <c r="B534" t="s">
        <v>62</v>
      </c>
      <c r="C534" t="s">
        <v>580</v>
      </c>
      <c r="D534" t="s">
        <v>581</v>
      </c>
      <c r="E534" t="s">
        <v>62</v>
      </c>
      <c r="F534" t="s">
        <v>94</v>
      </c>
      <c r="G534" t="s">
        <v>277</v>
      </c>
      <c r="H534" s="12">
        <v>6.1619843000000003</v>
      </c>
      <c r="I534" s="12">
        <v>-75.593804000000006</v>
      </c>
      <c r="K534" t="s">
        <v>97</v>
      </c>
      <c r="M534">
        <v>11</v>
      </c>
      <c r="P534" s="13">
        <v>228</v>
      </c>
      <c r="Q534" s="13">
        <v>54</v>
      </c>
      <c r="R534">
        <v>38</v>
      </c>
      <c r="S534">
        <v>48</v>
      </c>
      <c r="T534" s="13">
        <v>45</v>
      </c>
      <c r="U534" s="13">
        <v>40</v>
      </c>
      <c r="V534" t="s">
        <v>99</v>
      </c>
      <c r="X534" s="13">
        <v>228</v>
      </c>
    </row>
    <row r="535" spans="1:24" x14ac:dyDescent="0.25">
      <c r="A535" t="s">
        <v>641</v>
      </c>
      <c r="B535" t="s">
        <v>62</v>
      </c>
      <c r="C535" t="s">
        <v>580</v>
      </c>
      <c r="D535" t="s">
        <v>581</v>
      </c>
      <c r="E535" t="s">
        <v>62</v>
      </c>
      <c r="F535" t="s">
        <v>94</v>
      </c>
      <c r="G535" t="s">
        <v>277</v>
      </c>
      <c r="H535" s="12">
        <v>6.1619843000000003</v>
      </c>
      <c r="I535" s="12">
        <v>-75.593804000000006</v>
      </c>
      <c r="K535" t="s">
        <v>97</v>
      </c>
      <c r="M535">
        <v>11</v>
      </c>
      <c r="P535" s="13">
        <v>228</v>
      </c>
      <c r="Q535" s="13">
        <v>63</v>
      </c>
      <c r="R535">
        <v>44</v>
      </c>
      <c r="S535">
        <v>54</v>
      </c>
      <c r="T535" s="13">
        <v>22</v>
      </c>
      <c r="U535" s="13">
        <v>42</v>
      </c>
      <c r="V535" t="s">
        <v>99</v>
      </c>
      <c r="X535" s="13">
        <v>228</v>
      </c>
    </row>
    <row r="536" spans="1:24" x14ac:dyDescent="0.25">
      <c r="A536" t="s">
        <v>642</v>
      </c>
      <c r="B536" t="s">
        <v>62</v>
      </c>
      <c r="C536" t="s">
        <v>580</v>
      </c>
      <c r="D536" t="s">
        <v>581</v>
      </c>
      <c r="E536" t="s">
        <v>62</v>
      </c>
      <c r="F536" t="s">
        <v>94</v>
      </c>
      <c r="G536" t="s">
        <v>277</v>
      </c>
      <c r="H536" s="12">
        <v>6.1619843000000003</v>
      </c>
      <c r="I536" s="12">
        <v>-75.593804000000006</v>
      </c>
      <c r="K536" t="s">
        <v>97</v>
      </c>
      <c r="M536">
        <v>11</v>
      </c>
      <c r="P536" s="13">
        <v>227</v>
      </c>
      <c r="Q536" s="13">
        <v>59</v>
      </c>
      <c r="R536">
        <v>32</v>
      </c>
      <c r="S536">
        <v>46</v>
      </c>
      <c r="T536" s="13">
        <v>47</v>
      </c>
      <c r="U536" s="13">
        <v>42</v>
      </c>
      <c r="V536" t="s">
        <v>99</v>
      </c>
      <c r="X536" s="13">
        <v>227</v>
      </c>
    </row>
    <row r="537" spans="1:24" x14ac:dyDescent="0.25">
      <c r="A537" t="s">
        <v>643</v>
      </c>
      <c r="B537" t="s">
        <v>62</v>
      </c>
      <c r="C537" t="s">
        <v>580</v>
      </c>
      <c r="D537" t="s">
        <v>581</v>
      </c>
      <c r="E537" t="s">
        <v>62</v>
      </c>
      <c r="F537" t="s">
        <v>94</v>
      </c>
      <c r="G537" t="s">
        <v>277</v>
      </c>
      <c r="H537" s="12">
        <v>6.1619843000000003</v>
      </c>
      <c r="I537" s="12">
        <v>-75.593804000000006</v>
      </c>
      <c r="K537" t="s">
        <v>97</v>
      </c>
      <c r="M537">
        <v>11</v>
      </c>
      <c r="P537" s="13">
        <v>227</v>
      </c>
      <c r="Q537" s="13">
        <v>46</v>
      </c>
      <c r="R537">
        <v>42</v>
      </c>
      <c r="S537">
        <v>22</v>
      </c>
      <c r="T537" s="13">
        <v>62</v>
      </c>
      <c r="U537" s="13">
        <v>73</v>
      </c>
      <c r="V537" t="s">
        <v>99</v>
      </c>
      <c r="X537" s="13">
        <v>227</v>
      </c>
    </row>
    <row r="538" spans="1:24" x14ac:dyDescent="0.25">
      <c r="A538" t="s">
        <v>644</v>
      </c>
      <c r="B538" t="s">
        <v>62</v>
      </c>
      <c r="C538" t="s">
        <v>580</v>
      </c>
      <c r="D538" t="s">
        <v>581</v>
      </c>
      <c r="E538" t="s">
        <v>62</v>
      </c>
      <c r="F538" t="s">
        <v>94</v>
      </c>
      <c r="G538" t="s">
        <v>277</v>
      </c>
      <c r="H538" s="12">
        <v>6.1619843000000003</v>
      </c>
      <c r="I538" s="12">
        <v>-75.593804000000006</v>
      </c>
      <c r="K538" t="s">
        <v>97</v>
      </c>
      <c r="M538">
        <v>11</v>
      </c>
      <c r="P538" s="13">
        <v>226</v>
      </c>
      <c r="Q538" s="13">
        <v>49</v>
      </c>
      <c r="R538">
        <v>34</v>
      </c>
      <c r="S538">
        <v>38</v>
      </c>
      <c r="T538" s="13">
        <v>60</v>
      </c>
      <c r="U538" s="13">
        <v>45</v>
      </c>
      <c r="V538" t="s">
        <v>99</v>
      </c>
      <c r="X538" s="13">
        <v>226</v>
      </c>
    </row>
    <row r="539" spans="1:24" x14ac:dyDescent="0.25">
      <c r="A539" t="s">
        <v>645</v>
      </c>
      <c r="B539" t="s">
        <v>62</v>
      </c>
      <c r="C539" t="s">
        <v>580</v>
      </c>
      <c r="D539" t="s">
        <v>581</v>
      </c>
      <c r="E539" t="s">
        <v>62</v>
      </c>
      <c r="F539" t="s">
        <v>94</v>
      </c>
      <c r="G539" t="s">
        <v>277</v>
      </c>
      <c r="H539" s="12">
        <v>6.1619843000000003</v>
      </c>
      <c r="I539" s="12">
        <v>-75.593804000000006</v>
      </c>
      <c r="K539" t="s">
        <v>97</v>
      </c>
      <c r="M539">
        <v>11</v>
      </c>
      <c r="P539" s="13">
        <v>225</v>
      </c>
      <c r="Q539" s="13">
        <v>68</v>
      </c>
      <c r="R539">
        <v>34</v>
      </c>
      <c r="S539">
        <v>28</v>
      </c>
      <c r="T539" s="13">
        <v>45</v>
      </c>
      <c r="U539" s="13">
        <v>60</v>
      </c>
      <c r="V539" t="s">
        <v>99</v>
      </c>
      <c r="X539" s="13">
        <v>225</v>
      </c>
    </row>
    <row r="540" spans="1:24" x14ac:dyDescent="0.25">
      <c r="A540" t="s">
        <v>646</v>
      </c>
      <c r="B540" t="s">
        <v>62</v>
      </c>
      <c r="C540" t="s">
        <v>580</v>
      </c>
      <c r="D540" t="s">
        <v>581</v>
      </c>
      <c r="E540" t="s">
        <v>62</v>
      </c>
      <c r="F540" t="s">
        <v>94</v>
      </c>
      <c r="G540" t="s">
        <v>277</v>
      </c>
      <c r="H540" s="12">
        <v>6.1619843000000003</v>
      </c>
      <c r="I540" s="12">
        <v>-75.593804000000006</v>
      </c>
      <c r="K540" t="s">
        <v>97</v>
      </c>
      <c r="M540">
        <v>11</v>
      </c>
      <c r="P540" s="13">
        <v>224</v>
      </c>
      <c r="Q540" s="13">
        <v>71</v>
      </c>
      <c r="R540">
        <v>36</v>
      </c>
      <c r="S540">
        <v>30</v>
      </c>
      <c r="T540" s="13">
        <v>41</v>
      </c>
      <c r="U540" s="13">
        <v>47</v>
      </c>
      <c r="V540" t="s">
        <v>99</v>
      </c>
      <c r="X540" s="13">
        <v>224</v>
      </c>
    </row>
    <row r="541" spans="1:24" x14ac:dyDescent="0.25">
      <c r="A541" t="s">
        <v>647</v>
      </c>
      <c r="B541" t="s">
        <v>62</v>
      </c>
      <c r="C541" t="s">
        <v>580</v>
      </c>
      <c r="D541" t="s">
        <v>581</v>
      </c>
      <c r="E541" t="s">
        <v>62</v>
      </c>
      <c r="F541" t="s">
        <v>94</v>
      </c>
      <c r="G541" t="s">
        <v>277</v>
      </c>
      <c r="H541" s="12">
        <v>6.1619843000000003</v>
      </c>
      <c r="I541" s="12">
        <v>-75.593804000000006</v>
      </c>
      <c r="K541" t="s">
        <v>97</v>
      </c>
      <c r="M541">
        <v>11</v>
      </c>
      <c r="P541" s="13">
        <v>223</v>
      </c>
      <c r="Q541" s="13">
        <v>46</v>
      </c>
      <c r="R541">
        <v>28</v>
      </c>
      <c r="S541">
        <v>72</v>
      </c>
      <c r="T541" s="13">
        <v>33</v>
      </c>
      <c r="U541" s="13">
        <v>44</v>
      </c>
      <c r="V541" t="s">
        <v>99</v>
      </c>
      <c r="X541" s="13">
        <v>223</v>
      </c>
    </row>
    <row r="542" spans="1:24" x14ac:dyDescent="0.25">
      <c r="A542" t="s">
        <v>648</v>
      </c>
      <c r="B542" t="s">
        <v>62</v>
      </c>
      <c r="C542" t="s">
        <v>580</v>
      </c>
      <c r="D542" t="s">
        <v>581</v>
      </c>
      <c r="E542" t="s">
        <v>62</v>
      </c>
      <c r="F542" t="s">
        <v>94</v>
      </c>
      <c r="G542" t="s">
        <v>277</v>
      </c>
      <c r="H542" s="12">
        <v>6.1619843000000003</v>
      </c>
      <c r="I542" s="12">
        <v>-75.593804000000006</v>
      </c>
      <c r="K542" t="s">
        <v>97</v>
      </c>
      <c r="M542">
        <v>11</v>
      </c>
      <c r="P542" s="13">
        <v>221</v>
      </c>
      <c r="Q542" s="13">
        <v>56</v>
      </c>
      <c r="R542">
        <v>38</v>
      </c>
      <c r="S542">
        <v>28</v>
      </c>
      <c r="T542" s="13">
        <v>48</v>
      </c>
      <c r="U542" s="13">
        <v>64</v>
      </c>
      <c r="V542" t="s">
        <v>99</v>
      </c>
      <c r="X542" s="13">
        <v>221</v>
      </c>
    </row>
    <row r="543" spans="1:24" x14ac:dyDescent="0.25">
      <c r="A543" t="s">
        <v>649</v>
      </c>
      <c r="B543" t="s">
        <v>62</v>
      </c>
      <c r="C543" t="s">
        <v>580</v>
      </c>
      <c r="D543" t="s">
        <v>581</v>
      </c>
      <c r="E543" t="s">
        <v>62</v>
      </c>
      <c r="F543" t="s">
        <v>94</v>
      </c>
      <c r="G543" t="s">
        <v>277</v>
      </c>
      <c r="H543" s="12">
        <v>6.1619843000000003</v>
      </c>
      <c r="I543" s="12">
        <v>-75.593804000000006</v>
      </c>
      <c r="K543" t="s">
        <v>97</v>
      </c>
      <c r="M543">
        <v>11</v>
      </c>
      <c r="P543" s="13">
        <v>221</v>
      </c>
      <c r="Q543" s="13">
        <v>71</v>
      </c>
      <c r="R543">
        <v>44</v>
      </c>
      <c r="S543">
        <v>20</v>
      </c>
      <c r="T543" s="13">
        <v>41</v>
      </c>
      <c r="U543" s="13">
        <v>45</v>
      </c>
      <c r="V543" t="s">
        <v>99</v>
      </c>
      <c r="X543" s="13">
        <v>221</v>
      </c>
    </row>
    <row r="544" spans="1:24" x14ac:dyDescent="0.25">
      <c r="A544" t="s">
        <v>650</v>
      </c>
      <c r="B544" t="s">
        <v>62</v>
      </c>
      <c r="C544" t="s">
        <v>580</v>
      </c>
      <c r="D544" t="s">
        <v>581</v>
      </c>
      <c r="E544" t="s">
        <v>62</v>
      </c>
      <c r="F544" t="s">
        <v>94</v>
      </c>
      <c r="G544" t="s">
        <v>277</v>
      </c>
      <c r="H544" s="12">
        <v>6.1619843000000003</v>
      </c>
      <c r="I544" s="12">
        <v>-75.593804000000006</v>
      </c>
      <c r="K544" t="s">
        <v>97</v>
      </c>
      <c r="M544">
        <v>11</v>
      </c>
      <c r="P544" s="13">
        <v>220</v>
      </c>
      <c r="Q544" s="13">
        <v>71</v>
      </c>
      <c r="R544">
        <v>32</v>
      </c>
      <c r="S544">
        <v>40</v>
      </c>
      <c r="T544" s="13">
        <v>33</v>
      </c>
      <c r="U544" s="13">
        <v>45</v>
      </c>
      <c r="V544" t="s">
        <v>99</v>
      </c>
      <c r="X544" s="13">
        <v>220</v>
      </c>
    </row>
    <row r="545" spans="1:24" x14ac:dyDescent="0.25">
      <c r="A545" t="s">
        <v>651</v>
      </c>
      <c r="B545" t="s">
        <v>62</v>
      </c>
      <c r="C545" t="s">
        <v>580</v>
      </c>
      <c r="D545" t="s">
        <v>581</v>
      </c>
      <c r="E545" t="s">
        <v>62</v>
      </c>
      <c r="F545" t="s">
        <v>94</v>
      </c>
      <c r="G545" t="s">
        <v>277</v>
      </c>
      <c r="H545" s="12">
        <v>6.1619843000000003</v>
      </c>
      <c r="I545" s="12">
        <v>-75.593804000000006</v>
      </c>
      <c r="K545" t="s">
        <v>97</v>
      </c>
      <c r="M545">
        <v>11</v>
      </c>
      <c r="P545" s="13">
        <v>220</v>
      </c>
      <c r="Q545" s="13">
        <v>61</v>
      </c>
      <c r="R545">
        <v>32</v>
      </c>
      <c r="S545">
        <v>60</v>
      </c>
      <c r="T545" s="13">
        <v>22</v>
      </c>
      <c r="U545" s="13">
        <v>45</v>
      </c>
      <c r="V545" t="s">
        <v>99</v>
      </c>
      <c r="X545" s="13">
        <v>220</v>
      </c>
    </row>
    <row r="546" spans="1:24" x14ac:dyDescent="0.25">
      <c r="A546" t="s">
        <v>652</v>
      </c>
      <c r="B546" t="s">
        <v>62</v>
      </c>
      <c r="C546" t="s">
        <v>580</v>
      </c>
      <c r="D546" t="s">
        <v>581</v>
      </c>
      <c r="E546" t="s">
        <v>62</v>
      </c>
      <c r="F546" t="s">
        <v>94</v>
      </c>
      <c r="G546" t="s">
        <v>277</v>
      </c>
      <c r="H546" s="12">
        <v>6.1619843000000003</v>
      </c>
      <c r="I546" s="12">
        <v>-75.593804000000006</v>
      </c>
      <c r="K546" t="s">
        <v>97</v>
      </c>
      <c r="M546">
        <v>11</v>
      </c>
      <c r="P546" s="13">
        <v>219</v>
      </c>
      <c r="Q546" s="13">
        <v>56</v>
      </c>
      <c r="R546">
        <v>30</v>
      </c>
      <c r="S546">
        <v>50</v>
      </c>
      <c r="T546" s="13">
        <v>41</v>
      </c>
      <c r="U546" s="13">
        <v>38</v>
      </c>
      <c r="V546" t="s">
        <v>99</v>
      </c>
      <c r="X546" s="13">
        <v>219</v>
      </c>
    </row>
    <row r="547" spans="1:24" x14ac:dyDescent="0.25">
      <c r="A547" t="s">
        <v>653</v>
      </c>
      <c r="B547" t="s">
        <v>62</v>
      </c>
      <c r="C547" t="s">
        <v>580</v>
      </c>
      <c r="D547" t="s">
        <v>581</v>
      </c>
      <c r="E547" t="s">
        <v>62</v>
      </c>
      <c r="F547" t="s">
        <v>94</v>
      </c>
      <c r="G547" t="s">
        <v>277</v>
      </c>
      <c r="H547" s="12">
        <v>6.1619843000000003</v>
      </c>
      <c r="I547" s="12">
        <v>-75.593804000000006</v>
      </c>
      <c r="K547" t="s">
        <v>97</v>
      </c>
      <c r="M547">
        <v>11</v>
      </c>
      <c r="P547" s="13">
        <v>219</v>
      </c>
      <c r="Q547" s="13">
        <v>49</v>
      </c>
      <c r="R547">
        <v>48</v>
      </c>
      <c r="S547">
        <v>26</v>
      </c>
      <c r="T547" s="13">
        <v>47</v>
      </c>
      <c r="U547" s="13">
        <v>62</v>
      </c>
      <c r="V547" t="s">
        <v>99</v>
      </c>
      <c r="X547" s="13">
        <v>219</v>
      </c>
    </row>
    <row r="548" spans="1:24" x14ac:dyDescent="0.25">
      <c r="A548" t="s">
        <v>654</v>
      </c>
      <c r="B548" t="s">
        <v>62</v>
      </c>
      <c r="C548" t="s">
        <v>580</v>
      </c>
      <c r="D548" t="s">
        <v>581</v>
      </c>
      <c r="E548" t="s">
        <v>62</v>
      </c>
      <c r="F548" t="s">
        <v>94</v>
      </c>
      <c r="G548" t="s">
        <v>277</v>
      </c>
      <c r="H548" s="12">
        <v>6.1619843000000003</v>
      </c>
      <c r="I548" s="12">
        <v>-75.593804000000006</v>
      </c>
      <c r="K548" t="s">
        <v>97</v>
      </c>
      <c r="M548">
        <v>11</v>
      </c>
      <c r="P548" s="13">
        <v>219</v>
      </c>
      <c r="Q548" s="13">
        <v>59</v>
      </c>
      <c r="R548">
        <v>36</v>
      </c>
      <c r="S548">
        <v>50</v>
      </c>
      <c r="T548" s="13">
        <v>24</v>
      </c>
      <c r="U548" s="13">
        <v>64</v>
      </c>
      <c r="V548" t="s">
        <v>99</v>
      </c>
      <c r="X548" s="13">
        <v>219</v>
      </c>
    </row>
    <row r="549" spans="1:24" x14ac:dyDescent="0.25">
      <c r="A549" t="s">
        <v>655</v>
      </c>
      <c r="B549" t="s">
        <v>62</v>
      </c>
      <c r="C549" t="s">
        <v>580</v>
      </c>
      <c r="D549" t="s">
        <v>581</v>
      </c>
      <c r="E549" t="s">
        <v>62</v>
      </c>
      <c r="F549" t="s">
        <v>94</v>
      </c>
      <c r="G549" t="s">
        <v>277</v>
      </c>
      <c r="H549" s="12">
        <v>6.1619843000000003</v>
      </c>
      <c r="I549" s="12">
        <v>-75.593804000000006</v>
      </c>
      <c r="K549" t="s">
        <v>97</v>
      </c>
      <c r="M549">
        <v>11</v>
      </c>
      <c r="P549" s="13">
        <v>219</v>
      </c>
      <c r="Q549" s="13">
        <v>68</v>
      </c>
      <c r="R549">
        <v>30</v>
      </c>
      <c r="S549">
        <v>36</v>
      </c>
      <c r="T549" s="13">
        <v>34</v>
      </c>
      <c r="U549" s="13">
        <v>62</v>
      </c>
      <c r="V549" t="s">
        <v>99</v>
      </c>
      <c r="X549" s="13">
        <v>219</v>
      </c>
    </row>
    <row r="550" spans="1:24" x14ac:dyDescent="0.25">
      <c r="A550" t="s">
        <v>656</v>
      </c>
      <c r="B550" t="s">
        <v>62</v>
      </c>
      <c r="C550" t="s">
        <v>580</v>
      </c>
      <c r="D550" t="s">
        <v>581</v>
      </c>
      <c r="E550" t="s">
        <v>62</v>
      </c>
      <c r="F550" t="s">
        <v>94</v>
      </c>
      <c r="G550" t="s">
        <v>277</v>
      </c>
      <c r="H550" s="12">
        <v>6.1619843000000003</v>
      </c>
      <c r="I550" s="12">
        <v>-75.593804000000006</v>
      </c>
      <c r="K550" t="s">
        <v>97</v>
      </c>
      <c r="M550">
        <v>11</v>
      </c>
      <c r="P550" s="13">
        <v>215</v>
      </c>
      <c r="Q550" s="13">
        <v>37</v>
      </c>
      <c r="R550">
        <v>26</v>
      </c>
      <c r="S550">
        <v>62</v>
      </c>
      <c r="T550" s="13">
        <v>48</v>
      </c>
      <c r="U550" s="13">
        <v>40</v>
      </c>
      <c r="V550" t="s">
        <v>99</v>
      </c>
      <c r="X550" s="13">
        <v>215</v>
      </c>
    </row>
    <row r="551" spans="1:24" x14ac:dyDescent="0.25">
      <c r="A551" t="s">
        <v>657</v>
      </c>
      <c r="B551" t="s">
        <v>62</v>
      </c>
      <c r="C551" t="s">
        <v>580</v>
      </c>
      <c r="D551" t="s">
        <v>581</v>
      </c>
      <c r="E551" t="s">
        <v>62</v>
      </c>
      <c r="F551" t="s">
        <v>94</v>
      </c>
      <c r="G551" t="s">
        <v>277</v>
      </c>
      <c r="H551" s="12">
        <v>6.1619843000000003</v>
      </c>
      <c r="I551" s="12">
        <v>-75.593804000000006</v>
      </c>
      <c r="K551" t="s">
        <v>97</v>
      </c>
      <c r="M551">
        <v>11</v>
      </c>
      <c r="P551" s="13">
        <v>215</v>
      </c>
      <c r="Q551" s="13">
        <v>59</v>
      </c>
      <c r="R551">
        <v>34</v>
      </c>
      <c r="S551">
        <v>44</v>
      </c>
      <c r="T551" s="13">
        <v>36</v>
      </c>
      <c r="U551" s="13">
        <v>40</v>
      </c>
      <c r="V551" t="s">
        <v>99</v>
      </c>
      <c r="X551" s="13">
        <v>215</v>
      </c>
    </row>
    <row r="552" spans="1:24" x14ac:dyDescent="0.25">
      <c r="A552" t="s">
        <v>658</v>
      </c>
      <c r="B552" t="s">
        <v>62</v>
      </c>
      <c r="C552" t="s">
        <v>580</v>
      </c>
      <c r="D552" t="s">
        <v>581</v>
      </c>
      <c r="E552" t="s">
        <v>62</v>
      </c>
      <c r="F552" t="s">
        <v>94</v>
      </c>
      <c r="G552" t="s">
        <v>277</v>
      </c>
      <c r="H552" s="12">
        <v>6.1619843000000003</v>
      </c>
      <c r="I552" s="12">
        <v>-75.593804000000006</v>
      </c>
      <c r="K552" t="s">
        <v>97</v>
      </c>
      <c r="M552">
        <v>11</v>
      </c>
      <c r="P552" s="13">
        <v>214</v>
      </c>
      <c r="Q552" s="13">
        <v>51</v>
      </c>
      <c r="R552">
        <v>26</v>
      </c>
      <c r="S552">
        <v>26</v>
      </c>
      <c r="T552" s="13">
        <v>62</v>
      </c>
      <c r="U552" s="13">
        <v>62</v>
      </c>
      <c r="V552" t="s">
        <v>99</v>
      </c>
      <c r="X552" s="13">
        <v>214</v>
      </c>
    </row>
    <row r="553" spans="1:24" x14ac:dyDescent="0.25">
      <c r="A553" t="s">
        <v>659</v>
      </c>
      <c r="B553" t="s">
        <v>62</v>
      </c>
      <c r="C553" t="s">
        <v>580</v>
      </c>
      <c r="D553" t="s">
        <v>581</v>
      </c>
      <c r="E553" t="s">
        <v>62</v>
      </c>
      <c r="F553" t="s">
        <v>94</v>
      </c>
      <c r="G553" t="s">
        <v>277</v>
      </c>
      <c r="H553" s="12">
        <v>6.1619843000000003</v>
      </c>
      <c r="I553" s="12">
        <v>-75.593804000000006</v>
      </c>
      <c r="K553" t="s">
        <v>97</v>
      </c>
      <c r="M553">
        <v>11</v>
      </c>
      <c r="P553" s="13">
        <v>214</v>
      </c>
      <c r="Q553" s="13">
        <v>44</v>
      </c>
      <c r="R553">
        <v>26</v>
      </c>
      <c r="S553">
        <v>40</v>
      </c>
      <c r="T553" s="13">
        <v>53</v>
      </c>
      <c r="U553" s="13">
        <v>65</v>
      </c>
      <c r="V553" t="s">
        <v>99</v>
      </c>
      <c r="X553" s="13">
        <v>214</v>
      </c>
    </row>
    <row r="554" spans="1:24" x14ac:dyDescent="0.25">
      <c r="A554" t="s">
        <v>660</v>
      </c>
      <c r="B554" t="s">
        <v>62</v>
      </c>
      <c r="C554" t="s">
        <v>580</v>
      </c>
      <c r="D554" t="s">
        <v>581</v>
      </c>
      <c r="E554" t="s">
        <v>62</v>
      </c>
      <c r="F554" t="s">
        <v>94</v>
      </c>
      <c r="G554" t="s">
        <v>277</v>
      </c>
      <c r="H554" s="12">
        <v>6.1619843000000003</v>
      </c>
      <c r="I554" s="12">
        <v>-75.593804000000006</v>
      </c>
      <c r="K554" t="s">
        <v>97</v>
      </c>
      <c r="M554">
        <v>11</v>
      </c>
      <c r="P554" s="13">
        <v>213</v>
      </c>
      <c r="Q554" s="13">
        <v>54</v>
      </c>
      <c r="R554">
        <v>28</v>
      </c>
      <c r="S554">
        <v>44</v>
      </c>
      <c r="T554" s="13">
        <v>47</v>
      </c>
      <c r="U554" s="13">
        <v>38</v>
      </c>
      <c r="V554" t="s">
        <v>99</v>
      </c>
      <c r="X554" s="13">
        <v>213</v>
      </c>
    </row>
    <row r="555" spans="1:24" x14ac:dyDescent="0.25">
      <c r="A555" t="s">
        <v>661</v>
      </c>
      <c r="B555" t="s">
        <v>62</v>
      </c>
      <c r="C555" t="s">
        <v>580</v>
      </c>
      <c r="D555" t="s">
        <v>581</v>
      </c>
      <c r="E555" t="s">
        <v>62</v>
      </c>
      <c r="F555" t="s">
        <v>94</v>
      </c>
      <c r="G555" t="s">
        <v>277</v>
      </c>
      <c r="H555" s="12">
        <v>6.1619843000000003</v>
      </c>
      <c r="I555" s="12">
        <v>-75.593804000000006</v>
      </c>
      <c r="K555" t="s">
        <v>97</v>
      </c>
      <c r="M555">
        <v>11</v>
      </c>
      <c r="P555" s="13">
        <v>213</v>
      </c>
      <c r="Q555" s="13">
        <v>51</v>
      </c>
      <c r="R555">
        <v>28</v>
      </c>
      <c r="S555">
        <v>48</v>
      </c>
      <c r="T555" s="13">
        <v>43</v>
      </c>
      <c r="U555" s="13">
        <v>44</v>
      </c>
      <c r="V555" t="s">
        <v>99</v>
      </c>
      <c r="X555" s="13">
        <v>213</v>
      </c>
    </row>
    <row r="556" spans="1:24" x14ac:dyDescent="0.25">
      <c r="A556" t="s">
        <v>662</v>
      </c>
      <c r="B556" t="s">
        <v>62</v>
      </c>
      <c r="C556" t="s">
        <v>580</v>
      </c>
      <c r="D556" t="s">
        <v>581</v>
      </c>
      <c r="E556" t="s">
        <v>62</v>
      </c>
      <c r="F556" t="s">
        <v>94</v>
      </c>
      <c r="G556" t="s">
        <v>277</v>
      </c>
      <c r="H556" s="12">
        <v>6.1619843000000003</v>
      </c>
      <c r="I556" s="12">
        <v>-75.593804000000006</v>
      </c>
      <c r="K556" t="s">
        <v>97</v>
      </c>
      <c r="M556">
        <v>11</v>
      </c>
      <c r="P556" s="13">
        <v>213</v>
      </c>
      <c r="Q556" s="13">
        <v>66</v>
      </c>
      <c r="R556">
        <v>46</v>
      </c>
      <c r="S556">
        <v>30</v>
      </c>
      <c r="T556" s="13">
        <v>26</v>
      </c>
      <c r="U556" s="13">
        <v>51</v>
      </c>
      <c r="V556" t="s">
        <v>99</v>
      </c>
      <c r="X556" s="13">
        <v>213</v>
      </c>
    </row>
    <row r="557" spans="1:24" x14ac:dyDescent="0.25">
      <c r="A557" t="s">
        <v>663</v>
      </c>
      <c r="B557" t="s">
        <v>62</v>
      </c>
      <c r="C557" t="s">
        <v>580</v>
      </c>
      <c r="D557" t="s">
        <v>581</v>
      </c>
      <c r="E557" t="s">
        <v>62</v>
      </c>
      <c r="F557" t="s">
        <v>94</v>
      </c>
      <c r="G557" t="s">
        <v>277</v>
      </c>
      <c r="H557" s="12">
        <v>6.1619843000000003</v>
      </c>
      <c r="I557" s="12">
        <v>-75.593804000000006</v>
      </c>
      <c r="K557" t="s">
        <v>97</v>
      </c>
      <c r="M557">
        <v>11</v>
      </c>
      <c r="P557" s="13">
        <v>213</v>
      </c>
      <c r="Q557" s="13">
        <v>61</v>
      </c>
      <c r="R557">
        <v>32</v>
      </c>
      <c r="S557">
        <v>38</v>
      </c>
      <c r="T557" s="13">
        <v>33</v>
      </c>
      <c r="U557" s="13">
        <v>62</v>
      </c>
      <c r="V557" t="s">
        <v>99</v>
      </c>
      <c r="X557" s="13">
        <v>213</v>
      </c>
    </row>
    <row r="558" spans="1:24" x14ac:dyDescent="0.25">
      <c r="A558" t="s">
        <v>664</v>
      </c>
      <c r="B558" t="s">
        <v>62</v>
      </c>
      <c r="C558" t="s">
        <v>580</v>
      </c>
      <c r="D558" t="s">
        <v>581</v>
      </c>
      <c r="E558" t="s">
        <v>62</v>
      </c>
      <c r="F558" t="s">
        <v>94</v>
      </c>
      <c r="G558" t="s">
        <v>277</v>
      </c>
      <c r="H558" s="12">
        <v>6.1619843000000003</v>
      </c>
      <c r="I558" s="12">
        <v>-75.593804000000006</v>
      </c>
      <c r="K558" t="s">
        <v>97</v>
      </c>
      <c r="M558">
        <v>11</v>
      </c>
      <c r="P558" s="13">
        <v>213</v>
      </c>
      <c r="Q558" s="13">
        <v>54</v>
      </c>
      <c r="R558">
        <v>34</v>
      </c>
      <c r="S558">
        <v>36</v>
      </c>
      <c r="T558" s="13">
        <v>43</v>
      </c>
      <c r="U558" s="13">
        <v>53</v>
      </c>
      <c r="V558" t="s">
        <v>99</v>
      </c>
      <c r="X558" s="13">
        <v>213</v>
      </c>
    </row>
    <row r="559" spans="1:24" x14ac:dyDescent="0.25">
      <c r="A559" t="s">
        <v>665</v>
      </c>
      <c r="B559" t="s">
        <v>62</v>
      </c>
      <c r="C559" t="s">
        <v>580</v>
      </c>
      <c r="D559" t="s">
        <v>581</v>
      </c>
      <c r="E559" t="s">
        <v>62</v>
      </c>
      <c r="F559" t="s">
        <v>94</v>
      </c>
      <c r="G559" t="s">
        <v>277</v>
      </c>
      <c r="H559" s="12">
        <v>6.1619843000000003</v>
      </c>
      <c r="I559" s="12">
        <v>-75.593804000000006</v>
      </c>
      <c r="K559" t="s">
        <v>97</v>
      </c>
      <c r="M559">
        <v>11</v>
      </c>
      <c r="P559" s="13">
        <v>212</v>
      </c>
      <c r="Q559" s="13">
        <v>59</v>
      </c>
      <c r="R559">
        <v>40</v>
      </c>
      <c r="S559">
        <v>26</v>
      </c>
      <c r="T559" s="13">
        <v>52</v>
      </c>
      <c r="U559" s="13">
        <v>24</v>
      </c>
      <c r="V559" t="s">
        <v>99</v>
      </c>
      <c r="X559" s="13">
        <v>212</v>
      </c>
    </row>
    <row r="560" spans="1:24" x14ac:dyDescent="0.25">
      <c r="A560" t="s">
        <v>666</v>
      </c>
      <c r="B560" t="s">
        <v>62</v>
      </c>
      <c r="C560" t="s">
        <v>580</v>
      </c>
      <c r="D560" t="s">
        <v>581</v>
      </c>
      <c r="E560" t="s">
        <v>62</v>
      </c>
      <c r="F560" t="s">
        <v>94</v>
      </c>
      <c r="G560" t="s">
        <v>277</v>
      </c>
      <c r="H560" s="12">
        <v>6.1619843000000003</v>
      </c>
      <c r="I560" s="12">
        <v>-75.593804000000006</v>
      </c>
      <c r="K560" t="s">
        <v>97</v>
      </c>
      <c r="M560">
        <v>11</v>
      </c>
      <c r="P560" s="13">
        <v>212</v>
      </c>
      <c r="Q560" s="13">
        <v>56</v>
      </c>
      <c r="R560">
        <v>26</v>
      </c>
      <c r="S560">
        <v>58</v>
      </c>
      <c r="T560" s="13">
        <v>28</v>
      </c>
      <c r="U560" s="13">
        <v>49</v>
      </c>
      <c r="V560" t="s">
        <v>99</v>
      </c>
      <c r="X560" s="13">
        <v>212</v>
      </c>
    </row>
    <row r="561" spans="1:24" x14ac:dyDescent="0.25">
      <c r="A561" t="s">
        <v>667</v>
      </c>
      <c r="B561" t="s">
        <v>62</v>
      </c>
      <c r="C561" t="s">
        <v>580</v>
      </c>
      <c r="D561" t="s">
        <v>581</v>
      </c>
      <c r="E561" t="s">
        <v>62</v>
      </c>
      <c r="F561" t="s">
        <v>94</v>
      </c>
      <c r="G561" t="s">
        <v>277</v>
      </c>
      <c r="H561" s="12">
        <v>6.1619843000000003</v>
      </c>
      <c r="I561" s="12">
        <v>-75.593804000000006</v>
      </c>
      <c r="K561" t="s">
        <v>97</v>
      </c>
      <c r="M561">
        <v>11</v>
      </c>
      <c r="P561" s="13">
        <v>210</v>
      </c>
      <c r="Q561" s="13">
        <v>54</v>
      </c>
      <c r="R561">
        <v>42</v>
      </c>
      <c r="S561">
        <v>36</v>
      </c>
      <c r="T561" s="13">
        <v>36</v>
      </c>
      <c r="U561" s="13">
        <v>44</v>
      </c>
      <c r="V561" t="s">
        <v>99</v>
      </c>
      <c r="X561" s="13">
        <v>210</v>
      </c>
    </row>
    <row r="562" spans="1:24" x14ac:dyDescent="0.25">
      <c r="A562" t="s">
        <v>668</v>
      </c>
      <c r="B562" t="s">
        <v>62</v>
      </c>
      <c r="C562" t="s">
        <v>580</v>
      </c>
      <c r="D562" t="s">
        <v>581</v>
      </c>
      <c r="E562" t="s">
        <v>62</v>
      </c>
      <c r="F562" t="s">
        <v>94</v>
      </c>
      <c r="G562" t="s">
        <v>277</v>
      </c>
      <c r="H562" s="12">
        <v>6.1619843000000003</v>
      </c>
      <c r="I562" s="12">
        <v>-75.593804000000006</v>
      </c>
      <c r="K562" t="s">
        <v>97</v>
      </c>
      <c r="M562">
        <v>11</v>
      </c>
      <c r="P562" s="13">
        <v>210</v>
      </c>
      <c r="Q562" s="13">
        <v>63</v>
      </c>
      <c r="R562">
        <v>34</v>
      </c>
      <c r="S562">
        <v>22</v>
      </c>
      <c r="T562" s="13">
        <v>50</v>
      </c>
      <c r="U562" s="13">
        <v>38</v>
      </c>
      <c r="V562" t="s">
        <v>99</v>
      </c>
      <c r="X562" s="13">
        <v>210</v>
      </c>
    </row>
    <row r="563" spans="1:24" x14ac:dyDescent="0.25">
      <c r="A563" t="s">
        <v>669</v>
      </c>
      <c r="B563" t="s">
        <v>62</v>
      </c>
      <c r="C563" t="s">
        <v>580</v>
      </c>
      <c r="D563" t="s">
        <v>581</v>
      </c>
      <c r="E563" t="s">
        <v>62</v>
      </c>
      <c r="F563" t="s">
        <v>94</v>
      </c>
      <c r="G563" t="s">
        <v>277</v>
      </c>
      <c r="H563" s="12">
        <v>6.1619843000000003</v>
      </c>
      <c r="I563" s="12">
        <v>-75.593804000000006</v>
      </c>
      <c r="K563" t="s">
        <v>97</v>
      </c>
      <c r="M563">
        <v>11</v>
      </c>
      <c r="P563" s="13">
        <v>210</v>
      </c>
      <c r="Q563" s="13">
        <v>59</v>
      </c>
      <c r="R563">
        <v>44</v>
      </c>
      <c r="S563">
        <v>16</v>
      </c>
      <c r="T563" s="13">
        <v>47</v>
      </c>
      <c r="U563" s="13">
        <v>51</v>
      </c>
      <c r="V563" t="s">
        <v>99</v>
      </c>
      <c r="X563" s="13">
        <v>210</v>
      </c>
    </row>
    <row r="564" spans="1:24" x14ac:dyDescent="0.25">
      <c r="A564" t="s">
        <v>670</v>
      </c>
      <c r="B564" t="s">
        <v>62</v>
      </c>
      <c r="C564" t="s">
        <v>580</v>
      </c>
      <c r="D564" t="s">
        <v>581</v>
      </c>
      <c r="E564" t="s">
        <v>62</v>
      </c>
      <c r="F564" t="s">
        <v>94</v>
      </c>
      <c r="G564" t="s">
        <v>277</v>
      </c>
      <c r="H564" s="12">
        <v>6.1619843000000003</v>
      </c>
      <c r="I564" s="12">
        <v>-75.593804000000006</v>
      </c>
      <c r="K564" t="s">
        <v>97</v>
      </c>
      <c r="M564">
        <v>11</v>
      </c>
      <c r="P564" s="13">
        <v>210</v>
      </c>
      <c r="Q564" s="13">
        <v>56</v>
      </c>
      <c r="R564">
        <v>36</v>
      </c>
      <c r="S564">
        <v>30</v>
      </c>
      <c r="T564" s="13">
        <v>41</v>
      </c>
      <c r="U564" s="13">
        <v>55</v>
      </c>
      <c r="V564" t="s">
        <v>99</v>
      </c>
      <c r="X564" s="13">
        <v>210</v>
      </c>
    </row>
    <row r="565" spans="1:24" x14ac:dyDescent="0.25">
      <c r="A565" t="s">
        <v>671</v>
      </c>
      <c r="B565" t="s">
        <v>62</v>
      </c>
      <c r="C565" t="s">
        <v>580</v>
      </c>
      <c r="D565" t="s">
        <v>581</v>
      </c>
      <c r="E565" t="s">
        <v>62</v>
      </c>
      <c r="F565" t="s">
        <v>94</v>
      </c>
      <c r="G565" t="s">
        <v>277</v>
      </c>
      <c r="H565" s="12">
        <v>6.1619843000000003</v>
      </c>
      <c r="I565" s="12">
        <v>-75.593804000000006</v>
      </c>
      <c r="K565" t="s">
        <v>97</v>
      </c>
      <c r="M565">
        <v>11</v>
      </c>
      <c r="P565" s="13">
        <v>208</v>
      </c>
      <c r="Q565" s="13">
        <v>71</v>
      </c>
      <c r="R565">
        <v>28</v>
      </c>
      <c r="S565">
        <v>34</v>
      </c>
      <c r="T565" s="13">
        <v>33</v>
      </c>
      <c r="U565" s="13">
        <v>45</v>
      </c>
      <c r="V565" t="s">
        <v>99</v>
      </c>
      <c r="X565" s="13">
        <v>208</v>
      </c>
    </row>
    <row r="566" spans="1:24" x14ac:dyDescent="0.25">
      <c r="A566" t="s">
        <v>672</v>
      </c>
      <c r="B566" t="s">
        <v>62</v>
      </c>
      <c r="C566" t="s">
        <v>580</v>
      </c>
      <c r="D566" t="s">
        <v>581</v>
      </c>
      <c r="E566" t="s">
        <v>62</v>
      </c>
      <c r="F566" t="s">
        <v>94</v>
      </c>
      <c r="G566" t="s">
        <v>277</v>
      </c>
      <c r="H566" s="12">
        <v>6.1619843000000003</v>
      </c>
      <c r="I566" s="12">
        <v>-75.593804000000006</v>
      </c>
      <c r="K566" t="s">
        <v>97</v>
      </c>
      <c r="M566">
        <v>11</v>
      </c>
      <c r="P566" s="13">
        <v>205</v>
      </c>
      <c r="Q566" s="13">
        <v>63</v>
      </c>
      <c r="R566">
        <v>38</v>
      </c>
      <c r="S566">
        <v>38</v>
      </c>
      <c r="T566" s="13">
        <v>17</v>
      </c>
      <c r="U566" s="13">
        <v>62</v>
      </c>
      <c r="V566" t="s">
        <v>99</v>
      </c>
      <c r="X566" s="13">
        <v>205</v>
      </c>
    </row>
    <row r="567" spans="1:24" x14ac:dyDescent="0.25">
      <c r="A567" t="s">
        <v>673</v>
      </c>
      <c r="B567" t="s">
        <v>62</v>
      </c>
      <c r="C567" t="s">
        <v>580</v>
      </c>
      <c r="D567" t="s">
        <v>581</v>
      </c>
      <c r="E567" t="s">
        <v>62</v>
      </c>
      <c r="F567" t="s">
        <v>94</v>
      </c>
      <c r="G567" t="s">
        <v>277</v>
      </c>
      <c r="H567" s="12">
        <v>6.1619843000000003</v>
      </c>
      <c r="I567" s="12">
        <v>-75.593804000000006</v>
      </c>
      <c r="K567" t="s">
        <v>97</v>
      </c>
      <c r="M567">
        <v>11</v>
      </c>
      <c r="P567" s="13">
        <v>204</v>
      </c>
      <c r="Q567" s="13">
        <v>66</v>
      </c>
      <c r="R567">
        <v>34</v>
      </c>
      <c r="S567">
        <v>30</v>
      </c>
      <c r="T567" s="13">
        <v>33</v>
      </c>
      <c r="U567" s="13">
        <v>42</v>
      </c>
      <c r="V567" t="s">
        <v>99</v>
      </c>
      <c r="X567" s="13">
        <v>204</v>
      </c>
    </row>
    <row r="568" spans="1:24" x14ac:dyDescent="0.25">
      <c r="A568" t="s">
        <v>674</v>
      </c>
      <c r="B568" t="s">
        <v>62</v>
      </c>
      <c r="C568" t="s">
        <v>580</v>
      </c>
      <c r="D568" t="s">
        <v>581</v>
      </c>
      <c r="E568" t="s">
        <v>62</v>
      </c>
      <c r="F568" t="s">
        <v>94</v>
      </c>
      <c r="G568" t="s">
        <v>277</v>
      </c>
      <c r="H568" s="12">
        <v>6.1619843000000003</v>
      </c>
      <c r="I568" s="12">
        <v>-75.593804000000006</v>
      </c>
      <c r="K568" t="s">
        <v>97</v>
      </c>
      <c r="M568">
        <v>11</v>
      </c>
      <c r="P568" s="13">
        <v>202</v>
      </c>
      <c r="Q568" s="13">
        <v>44</v>
      </c>
      <c r="R568">
        <v>44</v>
      </c>
      <c r="S568">
        <v>28</v>
      </c>
      <c r="T568" s="13">
        <v>45</v>
      </c>
      <c r="U568" s="13">
        <v>44</v>
      </c>
      <c r="V568" t="s">
        <v>99</v>
      </c>
      <c r="X568" s="13">
        <v>202</v>
      </c>
    </row>
    <row r="569" spans="1:24" x14ac:dyDescent="0.25">
      <c r="A569" t="s">
        <v>675</v>
      </c>
      <c r="B569" t="s">
        <v>62</v>
      </c>
      <c r="C569" t="s">
        <v>580</v>
      </c>
      <c r="D569" t="s">
        <v>581</v>
      </c>
      <c r="E569" t="s">
        <v>62</v>
      </c>
      <c r="F569" t="s">
        <v>94</v>
      </c>
      <c r="G569" t="s">
        <v>277</v>
      </c>
      <c r="H569" s="12">
        <v>6.1619843000000003</v>
      </c>
      <c r="I569" s="12">
        <v>-75.593804000000006</v>
      </c>
      <c r="K569" t="s">
        <v>97</v>
      </c>
      <c r="M569">
        <v>11</v>
      </c>
      <c r="P569" s="13">
        <v>202</v>
      </c>
      <c r="Q569" s="13">
        <v>61</v>
      </c>
      <c r="R569">
        <v>28</v>
      </c>
      <c r="S569">
        <v>28</v>
      </c>
      <c r="T569" s="13">
        <v>43</v>
      </c>
      <c r="U569" s="13">
        <v>45</v>
      </c>
      <c r="V569" t="s">
        <v>99</v>
      </c>
      <c r="X569" s="13">
        <v>202</v>
      </c>
    </row>
    <row r="570" spans="1:24" x14ac:dyDescent="0.25">
      <c r="A570" t="s">
        <v>676</v>
      </c>
      <c r="B570" t="s">
        <v>62</v>
      </c>
      <c r="C570" t="s">
        <v>580</v>
      </c>
      <c r="D570" t="s">
        <v>581</v>
      </c>
      <c r="E570" t="s">
        <v>62</v>
      </c>
      <c r="F570" t="s">
        <v>94</v>
      </c>
      <c r="G570" t="s">
        <v>277</v>
      </c>
      <c r="H570" s="12">
        <v>6.1619843000000003</v>
      </c>
      <c r="I570" s="12">
        <v>-75.593804000000006</v>
      </c>
      <c r="K570" t="s">
        <v>97</v>
      </c>
      <c r="M570">
        <v>11</v>
      </c>
      <c r="P570" s="13">
        <v>202</v>
      </c>
      <c r="Q570" s="13">
        <v>56</v>
      </c>
      <c r="R570">
        <v>38</v>
      </c>
      <c r="S570">
        <v>38</v>
      </c>
      <c r="T570" s="13">
        <v>31</v>
      </c>
      <c r="U570" s="13">
        <v>35</v>
      </c>
      <c r="V570" t="s">
        <v>99</v>
      </c>
      <c r="X570" s="13">
        <v>202</v>
      </c>
    </row>
    <row r="571" spans="1:24" x14ac:dyDescent="0.25">
      <c r="A571" t="s">
        <v>677</v>
      </c>
      <c r="B571" t="s">
        <v>62</v>
      </c>
      <c r="C571" t="s">
        <v>580</v>
      </c>
      <c r="D571" t="s">
        <v>581</v>
      </c>
      <c r="E571" t="s">
        <v>62</v>
      </c>
      <c r="F571" t="s">
        <v>94</v>
      </c>
      <c r="G571" t="s">
        <v>277</v>
      </c>
      <c r="H571" s="12">
        <v>6.1619843000000003</v>
      </c>
      <c r="I571" s="12">
        <v>-75.593804000000006</v>
      </c>
      <c r="K571" t="s">
        <v>97</v>
      </c>
      <c r="M571">
        <v>11</v>
      </c>
      <c r="P571" s="13">
        <v>201</v>
      </c>
      <c r="Q571" s="13">
        <v>46</v>
      </c>
      <c r="R571">
        <v>32</v>
      </c>
      <c r="S571">
        <v>42</v>
      </c>
      <c r="T571" s="13">
        <v>31</v>
      </c>
      <c r="U571" s="13">
        <v>67</v>
      </c>
      <c r="V571" t="s">
        <v>99</v>
      </c>
      <c r="X571" s="13">
        <v>201</v>
      </c>
    </row>
    <row r="572" spans="1:24" x14ac:dyDescent="0.25">
      <c r="A572" t="s">
        <v>678</v>
      </c>
      <c r="B572" t="s">
        <v>62</v>
      </c>
      <c r="C572" t="s">
        <v>580</v>
      </c>
      <c r="D572" t="s">
        <v>581</v>
      </c>
      <c r="E572" t="s">
        <v>62</v>
      </c>
      <c r="F572" t="s">
        <v>94</v>
      </c>
      <c r="G572" t="s">
        <v>277</v>
      </c>
      <c r="H572" s="12">
        <v>6.1619843000000003</v>
      </c>
      <c r="I572" s="12">
        <v>-75.593804000000006</v>
      </c>
      <c r="K572" t="s">
        <v>97</v>
      </c>
      <c r="M572">
        <v>11</v>
      </c>
      <c r="P572" s="13">
        <v>200</v>
      </c>
      <c r="Q572" s="13">
        <v>56</v>
      </c>
      <c r="R572">
        <v>28</v>
      </c>
      <c r="S572">
        <v>42</v>
      </c>
      <c r="T572" s="13">
        <v>21</v>
      </c>
      <c r="U572" s="13">
        <v>80</v>
      </c>
      <c r="V572" t="s">
        <v>99</v>
      </c>
      <c r="X572" s="13">
        <v>200</v>
      </c>
    </row>
    <row r="573" spans="1:24" x14ac:dyDescent="0.25">
      <c r="A573" t="s">
        <v>679</v>
      </c>
      <c r="B573" t="s">
        <v>62</v>
      </c>
      <c r="C573" t="s">
        <v>580</v>
      </c>
      <c r="D573" t="s">
        <v>581</v>
      </c>
      <c r="E573" t="s">
        <v>62</v>
      </c>
      <c r="F573" t="s">
        <v>94</v>
      </c>
      <c r="G573" t="s">
        <v>277</v>
      </c>
      <c r="H573" s="12">
        <v>6.1619843000000003</v>
      </c>
      <c r="I573" s="12">
        <v>-75.593804000000006</v>
      </c>
      <c r="K573" t="s">
        <v>97</v>
      </c>
      <c r="M573">
        <v>11</v>
      </c>
      <c r="P573" s="13">
        <v>197</v>
      </c>
      <c r="Q573" s="13">
        <v>22</v>
      </c>
      <c r="R573">
        <v>36</v>
      </c>
      <c r="S573">
        <v>52</v>
      </c>
      <c r="T573" s="13">
        <v>45</v>
      </c>
      <c r="U573" s="13">
        <v>47</v>
      </c>
      <c r="V573" t="s">
        <v>99</v>
      </c>
      <c r="X573" s="13">
        <v>197</v>
      </c>
    </row>
    <row r="574" spans="1:24" x14ac:dyDescent="0.25">
      <c r="A574" t="s">
        <v>680</v>
      </c>
      <c r="B574" t="s">
        <v>62</v>
      </c>
      <c r="C574" t="s">
        <v>580</v>
      </c>
      <c r="D574" t="s">
        <v>581</v>
      </c>
      <c r="E574" t="s">
        <v>62</v>
      </c>
      <c r="F574" t="s">
        <v>94</v>
      </c>
      <c r="G574" t="s">
        <v>277</v>
      </c>
      <c r="H574" s="12">
        <v>6.1619843000000003</v>
      </c>
      <c r="I574" s="12">
        <v>-75.593804000000006</v>
      </c>
      <c r="K574" t="s">
        <v>97</v>
      </c>
      <c r="M574">
        <v>11</v>
      </c>
      <c r="P574" s="13">
        <v>197</v>
      </c>
      <c r="Q574" s="13">
        <v>49</v>
      </c>
      <c r="R574">
        <v>32</v>
      </c>
      <c r="S574">
        <v>44</v>
      </c>
      <c r="T574" s="13">
        <v>31</v>
      </c>
      <c r="U574" s="13">
        <v>44</v>
      </c>
      <c r="V574" t="s">
        <v>99</v>
      </c>
      <c r="X574" s="13">
        <v>197</v>
      </c>
    </row>
    <row r="575" spans="1:24" x14ac:dyDescent="0.25">
      <c r="A575" t="s">
        <v>681</v>
      </c>
      <c r="B575" t="s">
        <v>62</v>
      </c>
      <c r="C575" t="s">
        <v>580</v>
      </c>
      <c r="D575" t="s">
        <v>581</v>
      </c>
      <c r="E575" t="s">
        <v>62</v>
      </c>
      <c r="F575" t="s">
        <v>94</v>
      </c>
      <c r="G575" t="s">
        <v>277</v>
      </c>
      <c r="H575" s="12">
        <v>6.1619843000000003</v>
      </c>
      <c r="I575" s="12">
        <v>-75.593804000000006</v>
      </c>
      <c r="K575" t="s">
        <v>97</v>
      </c>
      <c r="M575">
        <v>11</v>
      </c>
      <c r="P575" s="13">
        <v>195</v>
      </c>
      <c r="Q575" s="13">
        <v>32</v>
      </c>
      <c r="R575">
        <v>16</v>
      </c>
      <c r="S575">
        <v>62</v>
      </c>
      <c r="T575" s="13">
        <v>43</v>
      </c>
      <c r="U575" s="13">
        <v>47</v>
      </c>
      <c r="V575" t="s">
        <v>99</v>
      </c>
      <c r="X575" s="13">
        <v>195</v>
      </c>
    </row>
    <row r="576" spans="1:24" x14ac:dyDescent="0.25">
      <c r="A576" t="s">
        <v>682</v>
      </c>
      <c r="B576" t="s">
        <v>62</v>
      </c>
      <c r="C576" t="s">
        <v>580</v>
      </c>
      <c r="D576" t="s">
        <v>581</v>
      </c>
      <c r="E576" t="s">
        <v>62</v>
      </c>
      <c r="F576" t="s">
        <v>94</v>
      </c>
      <c r="G576" t="s">
        <v>277</v>
      </c>
      <c r="H576" s="12">
        <v>6.1619843000000003</v>
      </c>
      <c r="I576" s="12">
        <v>-75.593804000000006</v>
      </c>
      <c r="K576" t="s">
        <v>97</v>
      </c>
      <c r="M576">
        <v>11</v>
      </c>
      <c r="P576" s="13">
        <v>194</v>
      </c>
      <c r="Q576" s="13">
        <v>51</v>
      </c>
      <c r="R576">
        <v>24</v>
      </c>
      <c r="S576">
        <v>42</v>
      </c>
      <c r="T576" s="13">
        <v>33</v>
      </c>
      <c r="U576" s="13">
        <v>55</v>
      </c>
      <c r="V576" t="s">
        <v>99</v>
      </c>
      <c r="X576" s="13">
        <v>194</v>
      </c>
    </row>
    <row r="577" spans="1:24" x14ac:dyDescent="0.25">
      <c r="A577" t="s">
        <v>683</v>
      </c>
      <c r="B577" t="s">
        <v>62</v>
      </c>
      <c r="C577" t="s">
        <v>580</v>
      </c>
      <c r="D577" t="s">
        <v>581</v>
      </c>
      <c r="E577" t="s">
        <v>62</v>
      </c>
      <c r="F577" t="s">
        <v>94</v>
      </c>
      <c r="G577" t="s">
        <v>277</v>
      </c>
      <c r="H577" s="12">
        <v>6.1619843000000003</v>
      </c>
      <c r="I577" s="12">
        <v>-75.593804000000006</v>
      </c>
      <c r="K577" t="s">
        <v>97</v>
      </c>
      <c r="M577">
        <v>11</v>
      </c>
      <c r="P577" s="13">
        <v>193</v>
      </c>
      <c r="Q577" s="13">
        <v>46</v>
      </c>
      <c r="R577">
        <v>38</v>
      </c>
      <c r="S577">
        <v>24</v>
      </c>
      <c r="T577" s="13">
        <v>38</v>
      </c>
      <c r="U577" s="13">
        <v>64</v>
      </c>
      <c r="V577" t="s">
        <v>99</v>
      </c>
      <c r="X577" s="13">
        <v>193</v>
      </c>
    </row>
    <row r="578" spans="1:24" x14ac:dyDescent="0.25">
      <c r="A578" t="s">
        <v>684</v>
      </c>
      <c r="B578" t="s">
        <v>62</v>
      </c>
      <c r="C578" t="s">
        <v>580</v>
      </c>
      <c r="D578" t="s">
        <v>581</v>
      </c>
      <c r="E578" t="s">
        <v>62</v>
      </c>
      <c r="F578" t="s">
        <v>94</v>
      </c>
      <c r="G578" t="s">
        <v>277</v>
      </c>
      <c r="H578" s="12">
        <v>6.1619843000000003</v>
      </c>
      <c r="I578" s="12">
        <v>-75.593804000000006</v>
      </c>
      <c r="K578" t="s">
        <v>97</v>
      </c>
      <c r="M578">
        <v>11</v>
      </c>
      <c r="P578" s="13">
        <v>193</v>
      </c>
      <c r="Q578" s="13">
        <v>51</v>
      </c>
      <c r="R578">
        <v>40</v>
      </c>
      <c r="S578">
        <v>30</v>
      </c>
      <c r="T578" s="13">
        <v>29</v>
      </c>
      <c r="U578" s="13">
        <v>49</v>
      </c>
      <c r="V578" t="s">
        <v>99</v>
      </c>
      <c r="X578" s="13">
        <v>193</v>
      </c>
    </row>
    <row r="579" spans="1:24" x14ac:dyDescent="0.25">
      <c r="A579" t="s">
        <v>685</v>
      </c>
      <c r="B579" t="s">
        <v>62</v>
      </c>
      <c r="C579" t="s">
        <v>580</v>
      </c>
      <c r="D579" t="s">
        <v>581</v>
      </c>
      <c r="E579" t="s">
        <v>62</v>
      </c>
      <c r="F579" t="s">
        <v>94</v>
      </c>
      <c r="G579" t="s">
        <v>277</v>
      </c>
      <c r="H579" s="12">
        <v>6.1619843000000003</v>
      </c>
      <c r="I579" s="12">
        <v>-75.593804000000006</v>
      </c>
      <c r="K579" t="s">
        <v>97</v>
      </c>
      <c r="M579">
        <v>11</v>
      </c>
      <c r="P579" s="13">
        <v>192</v>
      </c>
      <c r="Q579" s="13">
        <v>59</v>
      </c>
      <c r="R579">
        <v>30</v>
      </c>
      <c r="S579">
        <v>30</v>
      </c>
      <c r="T579" s="13">
        <v>26</v>
      </c>
      <c r="U579" s="13">
        <v>67</v>
      </c>
      <c r="V579" t="s">
        <v>99</v>
      </c>
      <c r="X579" s="13">
        <v>192</v>
      </c>
    </row>
    <row r="580" spans="1:24" x14ac:dyDescent="0.25">
      <c r="A580" t="s">
        <v>686</v>
      </c>
      <c r="B580" t="s">
        <v>62</v>
      </c>
      <c r="C580" t="s">
        <v>580</v>
      </c>
      <c r="D580" t="s">
        <v>581</v>
      </c>
      <c r="E580" t="s">
        <v>62</v>
      </c>
      <c r="F580" t="s">
        <v>94</v>
      </c>
      <c r="G580" t="s">
        <v>277</v>
      </c>
      <c r="H580" s="12">
        <v>6.1619843000000003</v>
      </c>
      <c r="I580" s="12">
        <v>-75.593804000000006</v>
      </c>
      <c r="K580" t="s">
        <v>97</v>
      </c>
      <c r="M580">
        <v>11</v>
      </c>
      <c r="P580" s="13">
        <v>192</v>
      </c>
      <c r="Q580" s="13">
        <v>34</v>
      </c>
      <c r="R580">
        <v>36</v>
      </c>
      <c r="S580">
        <v>42</v>
      </c>
      <c r="T580" s="13">
        <v>45</v>
      </c>
      <c r="U580" s="13">
        <v>29</v>
      </c>
      <c r="V580" t="s">
        <v>99</v>
      </c>
      <c r="X580" s="13">
        <v>192</v>
      </c>
    </row>
    <row r="581" spans="1:24" x14ac:dyDescent="0.25">
      <c r="A581" t="s">
        <v>687</v>
      </c>
      <c r="B581" t="s">
        <v>62</v>
      </c>
      <c r="C581" t="s">
        <v>580</v>
      </c>
      <c r="D581" t="s">
        <v>581</v>
      </c>
      <c r="E581" t="s">
        <v>62</v>
      </c>
      <c r="F581" t="s">
        <v>94</v>
      </c>
      <c r="G581" t="s">
        <v>277</v>
      </c>
      <c r="H581" s="12">
        <v>6.1619843000000003</v>
      </c>
      <c r="I581" s="12">
        <v>-75.593804000000006</v>
      </c>
      <c r="K581" t="s">
        <v>97</v>
      </c>
      <c r="M581">
        <v>11</v>
      </c>
      <c r="P581" s="13">
        <v>192</v>
      </c>
      <c r="Q581" s="13">
        <v>44</v>
      </c>
      <c r="R581">
        <v>26</v>
      </c>
      <c r="S581">
        <v>32</v>
      </c>
      <c r="T581" s="13">
        <v>52</v>
      </c>
      <c r="U581" s="13">
        <v>38</v>
      </c>
      <c r="V581" t="s">
        <v>99</v>
      </c>
      <c r="X581" s="13">
        <v>192</v>
      </c>
    </row>
    <row r="582" spans="1:24" x14ac:dyDescent="0.25">
      <c r="A582" t="s">
        <v>688</v>
      </c>
      <c r="B582" t="s">
        <v>62</v>
      </c>
      <c r="C582" t="s">
        <v>580</v>
      </c>
      <c r="D582" t="s">
        <v>581</v>
      </c>
      <c r="E582" t="s">
        <v>62</v>
      </c>
      <c r="F582" t="s">
        <v>94</v>
      </c>
      <c r="G582" t="s">
        <v>277</v>
      </c>
      <c r="H582" s="12">
        <v>6.1619843000000003</v>
      </c>
      <c r="I582" s="12">
        <v>-75.593804000000006</v>
      </c>
      <c r="K582" t="s">
        <v>97</v>
      </c>
      <c r="M582">
        <v>11</v>
      </c>
      <c r="P582" s="13">
        <v>191</v>
      </c>
      <c r="Q582" s="13">
        <v>17</v>
      </c>
      <c r="R582">
        <v>30</v>
      </c>
      <c r="S582">
        <v>44</v>
      </c>
      <c r="T582" s="13">
        <v>50</v>
      </c>
      <c r="U582" s="13">
        <v>75</v>
      </c>
      <c r="V582" t="s">
        <v>99</v>
      </c>
      <c r="X582" s="13">
        <v>191</v>
      </c>
    </row>
    <row r="583" spans="1:24" x14ac:dyDescent="0.25">
      <c r="A583" t="s">
        <v>689</v>
      </c>
      <c r="B583" t="s">
        <v>62</v>
      </c>
      <c r="C583" t="s">
        <v>580</v>
      </c>
      <c r="D583" t="s">
        <v>581</v>
      </c>
      <c r="E583" t="s">
        <v>62</v>
      </c>
      <c r="F583" t="s">
        <v>94</v>
      </c>
      <c r="G583" t="s">
        <v>277</v>
      </c>
      <c r="H583" s="12">
        <v>6.1619843000000003</v>
      </c>
      <c r="I583" s="12">
        <v>-75.593804000000006</v>
      </c>
      <c r="K583" t="s">
        <v>97</v>
      </c>
      <c r="M583">
        <v>11</v>
      </c>
      <c r="P583" s="13">
        <v>190</v>
      </c>
      <c r="Q583" s="13">
        <v>44</v>
      </c>
      <c r="R583">
        <v>48</v>
      </c>
      <c r="S583">
        <v>28</v>
      </c>
      <c r="T583" s="13">
        <v>24</v>
      </c>
      <c r="U583" s="13">
        <v>62</v>
      </c>
      <c r="V583" t="s">
        <v>99</v>
      </c>
      <c r="X583" s="13">
        <v>190</v>
      </c>
    </row>
    <row r="584" spans="1:24" x14ac:dyDescent="0.25">
      <c r="A584" t="s">
        <v>690</v>
      </c>
      <c r="B584" t="s">
        <v>62</v>
      </c>
      <c r="C584" t="s">
        <v>580</v>
      </c>
      <c r="D584" t="s">
        <v>581</v>
      </c>
      <c r="E584" t="s">
        <v>62</v>
      </c>
      <c r="F584" t="s">
        <v>94</v>
      </c>
      <c r="G584" t="s">
        <v>277</v>
      </c>
      <c r="H584" s="12">
        <v>6.1619843000000003</v>
      </c>
      <c r="I584" s="12">
        <v>-75.593804000000006</v>
      </c>
      <c r="K584" t="s">
        <v>97</v>
      </c>
      <c r="M584">
        <v>11</v>
      </c>
      <c r="P584" s="13">
        <v>188</v>
      </c>
      <c r="Q584" s="13">
        <v>44</v>
      </c>
      <c r="R584">
        <v>28</v>
      </c>
      <c r="S584">
        <v>36</v>
      </c>
      <c r="T584" s="13">
        <v>33</v>
      </c>
      <c r="U584" s="13">
        <v>67</v>
      </c>
      <c r="V584" t="s">
        <v>99</v>
      </c>
      <c r="X584" s="13">
        <v>188</v>
      </c>
    </row>
    <row r="585" spans="1:24" x14ac:dyDescent="0.25">
      <c r="A585" t="s">
        <v>691</v>
      </c>
      <c r="B585" t="s">
        <v>62</v>
      </c>
      <c r="C585" t="s">
        <v>580</v>
      </c>
      <c r="D585" t="s">
        <v>581</v>
      </c>
      <c r="E585" t="s">
        <v>62</v>
      </c>
      <c r="F585" t="s">
        <v>94</v>
      </c>
      <c r="G585" t="s">
        <v>277</v>
      </c>
      <c r="H585" s="12">
        <v>6.1619843000000003</v>
      </c>
      <c r="I585" s="12">
        <v>-75.593804000000006</v>
      </c>
      <c r="K585" t="s">
        <v>97</v>
      </c>
      <c r="M585">
        <v>11</v>
      </c>
      <c r="P585" s="13">
        <v>188</v>
      </c>
      <c r="Q585" s="13">
        <v>56</v>
      </c>
      <c r="R585">
        <v>38</v>
      </c>
      <c r="S585">
        <v>24</v>
      </c>
      <c r="T585" s="13">
        <v>34</v>
      </c>
      <c r="U585" s="13">
        <v>31</v>
      </c>
      <c r="V585" t="s">
        <v>99</v>
      </c>
      <c r="X585" s="13">
        <v>188</v>
      </c>
    </row>
    <row r="586" spans="1:24" x14ac:dyDescent="0.25">
      <c r="A586" t="s">
        <v>692</v>
      </c>
      <c r="B586" t="s">
        <v>62</v>
      </c>
      <c r="C586" t="s">
        <v>580</v>
      </c>
      <c r="D586" t="s">
        <v>581</v>
      </c>
      <c r="E586" t="s">
        <v>62</v>
      </c>
      <c r="F586" t="s">
        <v>94</v>
      </c>
      <c r="G586" t="s">
        <v>277</v>
      </c>
      <c r="H586" s="12">
        <v>6.1619843000000003</v>
      </c>
      <c r="I586" s="12">
        <v>-75.593804000000006</v>
      </c>
      <c r="K586" t="s">
        <v>97</v>
      </c>
      <c r="M586">
        <v>11</v>
      </c>
      <c r="P586" s="13">
        <v>187</v>
      </c>
      <c r="Q586" s="13">
        <v>46</v>
      </c>
      <c r="R586">
        <v>32</v>
      </c>
      <c r="S586">
        <v>38</v>
      </c>
      <c r="T586" s="13">
        <v>33</v>
      </c>
      <c r="U586" s="13">
        <v>40</v>
      </c>
      <c r="V586" t="s">
        <v>99</v>
      </c>
      <c r="X586" s="13">
        <v>187</v>
      </c>
    </row>
    <row r="587" spans="1:24" x14ac:dyDescent="0.25">
      <c r="A587" t="s">
        <v>693</v>
      </c>
      <c r="B587" t="s">
        <v>62</v>
      </c>
      <c r="C587" t="s">
        <v>580</v>
      </c>
      <c r="D587" t="s">
        <v>581</v>
      </c>
      <c r="E587" t="s">
        <v>62</v>
      </c>
      <c r="F587" t="s">
        <v>94</v>
      </c>
      <c r="G587" t="s">
        <v>277</v>
      </c>
      <c r="H587" s="12">
        <v>6.1619843000000003</v>
      </c>
      <c r="I587" s="12">
        <v>-75.593804000000006</v>
      </c>
      <c r="K587" t="s">
        <v>97</v>
      </c>
      <c r="M587">
        <v>11</v>
      </c>
      <c r="P587" s="13">
        <v>186</v>
      </c>
      <c r="Q587" s="13">
        <v>54</v>
      </c>
      <c r="R587">
        <v>34</v>
      </c>
      <c r="S587">
        <v>26</v>
      </c>
      <c r="T587" s="13">
        <v>38</v>
      </c>
      <c r="U587" s="13">
        <v>29</v>
      </c>
      <c r="V587" t="s">
        <v>99</v>
      </c>
      <c r="X587" s="13">
        <v>186</v>
      </c>
    </row>
    <row r="588" spans="1:24" x14ac:dyDescent="0.25">
      <c r="A588" t="s">
        <v>694</v>
      </c>
      <c r="B588" t="s">
        <v>62</v>
      </c>
      <c r="C588" t="s">
        <v>580</v>
      </c>
      <c r="D588" t="s">
        <v>581</v>
      </c>
      <c r="E588" t="s">
        <v>62</v>
      </c>
      <c r="F588" t="s">
        <v>94</v>
      </c>
      <c r="G588" t="s">
        <v>277</v>
      </c>
      <c r="H588" s="12">
        <v>6.1619843000000003</v>
      </c>
      <c r="I588" s="12">
        <v>-75.593804000000006</v>
      </c>
      <c r="K588" t="s">
        <v>97</v>
      </c>
      <c r="M588">
        <v>11</v>
      </c>
      <c r="P588" s="13">
        <v>185</v>
      </c>
      <c r="Q588" s="13">
        <v>51</v>
      </c>
      <c r="R588">
        <v>40</v>
      </c>
      <c r="S588">
        <v>26</v>
      </c>
      <c r="T588" s="13">
        <v>28</v>
      </c>
      <c r="U588" s="13">
        <v>47</v>
      </c>
      <c r="V588" t="s">
        <v>99</v>
      </c>
      <c r="X588" s="13">
        <v>185</v>
      </c>
    </row>
    <row r="589" spans="1:24" x14ac:dyDescent="0.25">
      <c r="A589" t="s">
        <v>695</v>
      </c>
      <c r="B589" t="s">
        <v>62</v>
      </c>
      <c r="C589" t="s">
        <v>580</v>
      </c>
      <c r="D589" t="s">
        <v>581</v>
      </c>
      <c r="E589" t="s">
        <v>62</v>
      </c>
      <c r="F589" t="s">
        <v>94</v>
      </c>
      <c r="G589" t="s">
        <v>277</v>
      </c>
      <c r="H589" s="12">
        <v>6.1619843000000003</v>
      </c>
      <c r="I589" s="12">
        <v>-75.593804000000006</v>
      </c>
      <c r="K589" t="s">
        <v>97</v>
      </c>
      <c r="M589">
        <v>11</v>
      </c>
      <c r="P589" s="13">
        <v>184</v>
      </c>
      <c r="Q589" s="13">
        <v>54</v>
      </c>
      <c r="R589">
        <v>34</v>
      </c>
      <c r="S589">
        <v>28</v>
      </c>
      <c r="T589" s="13">
        <v>26</v>
      </c>
      <c r="U589" s="13">
        <v>53</v>
      </c>
      <c r="V589" t="s">
        <v>99</v>
      </c>
      <c r="X589" s="13">
        <v>184</v>
      </c>
    </row>
    <row r="590" spans="1:24" x14ac:dyDescent="0.25">
      <c r="A590" t="s">
        <v>696</v>
      </c>
      <c r="B590" t="s">
        <v>62</v>
      </c>
      <c r="C590" t="s">
        <v>580</v>
      </c>
      <c r="D590" t="s">
        <v>581</v>
      </c>
      <c r="E590" t="s">
        <v>62</v>
      </c>
      <c r="F590" t="s">
        <v>94</v>
      </c>
      <c r="G590" t="s">
        <v>277</v>
      </c>
      <c r="H590" s="12">
        <v>6.1619843000000003</v>
      </c>
      <c r="I590" s="12">
        <v>-75.593804000000006</v>
      </c>
      <c r="K590" t="s">
        <v>97</v>
      </c>
      <c r="M590">
        <v>11</v>
      </c>
      <c r="P590" s="13">
        <v>183</v>
      </c>
      <c r="Q590" s="13">
        <v>46</v>
      </c>
      <c r="R590">
        <v>32</v>
      </c>
      <c r="S590">
        <v>36</v>
      </c>
      <c r="T590" s="13">
        <v>33</v>
      </c>
      <c r="U590" s="13">
        <v>35</v>
      </c>
      <c r="V590" t="s">
        <v>99</v>
      </c>
      <c r="X590" s="13">
        <v>183</v>
      </c>
    </row>
    <row r="591" spans="1:24" x14ac:dyDescent="0.25">
      <c r="A591" t="s">
        <v>697</v>
      </c>
      <c r="B591" t="s">
        <v>62</v>
      </c>
      <c r="C591" t="s">
        <v>580</v>
      </c>
      <c r="D591" t="s">
        <v>581</v>
      </c>
      <c r="E591" t="s">
        <v>62</v>
      </c>
      <c r="F591" t="s">
        <v>94</v>
      </c>
      <c r="G591" t="s">
        <v>277</v>
      </c>
      <c r="H591" s="12">
        <v>6.1619843000000003</v>
      </c>
      <c r="I591" s="12">
        <v>-75.593804000000006</v>
      </c>
      <c r="K591" t="s">
        <v>97</v>
      </c>
      <c r="M591">
        <v>11</v>
      </c>
      <c r="P591" s="13">
        <v>177</v>
      </c>
      <c r="Q591" s="13">
        <v>41</v>
      </c>
      <c r="R591">
        <v>26</v>
      </c>
      <c r="S591">
        <v>28</v>
      </c>
      <c r="T591" s="13">
        <v>45</v>
      </c>
      <c r="U591" s="13">
        <v>40</v>
      </c>
      <c r="V591" t="s">
        <v>99</v>
      </c>
      <c r="X591" s="13">
        <v>177</v>
      </c>
    </row>
    <row r="592" spans="1:24" x14ac:dyDescent="0.25">
      <c r="A592" t="s">
        <v>698</v>
      </c>
      <c r="B592" t="s">
        <v>62</v>
      </c>
      <c r="C592" t="s">
        <v>580</v>
      </c>
      <c r="D592" t="s">
        <v>581</v>
      </c>
      <c r="E592" t="s">
        <v>62</v>
      </c>
      <c r="F592" t="s">
        <v>94</v>
      </c>
      <c r="G592" t="s">
        <v>277</v>
      </c>
      <c r="H592" s="12">
        <v>6.1619843000000003</v>
      </c>
      <c r="I592" s="12">
        <v>-75.593804000000006</v>
      </c>
      <c r="K592" t="s">
        <v>97</v>
      </c>
      <c r="M592">
        <v>11</v>
      </c>
      <c r="P592" s="13">
        <v>177</v>
      </c>
      <c r="Q592" s="13">
        <v>27</v>
      </c>
      <c r="R592">
        <v>42</v>
      </c>
      <c r="S592">
        <v>22</v>
      </c>
      <c r="T592" s="13">
        <v>50</v>
      </c>
      <c r="U592" s="13">
        <v>38</v>
      </c>
      <c r="V592" t="s">
        <v>99</v>
      </c>
      <c r="X592" s="13">
        <v>177</v>
      </c>
    </row>
    <row r="593" spans="1:24" x14ac:dyDescent="0.25">
      <c r="A593" t="s">
        <v>699</v>
      </c>
      <c r="B593" t="s">
        <v>62</v>
      </c>
      <c r="C593" t="s">
        <v>580</v>
      </c>
      <c r="D593" t="s">
        <v>581</v>
      </c>
      <c r="E593" t="s">
        <v>62</v>
      </c>
      <c r="F593" t="s">
        <v>94</v>
      </c>
      <c r="G593" t="s">
        <v>277</v>
      </c>
      <c r="H593" s="12">
        <v>6.1619843000000003</v>
      </c>
      <c r="I593" s="12">
        <v>-75.593804000000006</v>
      </c>
      <c r="K593" t="s">
        <v>97</v>
      </c>
      <c r="M593">
        <v>11</v>
      </c>
      <c r="P593" s="13">
        <v>177</v>
      </c>
      <c r="Q593" s="13">
        <v>51</v>
      </c>
      <c r="R593">
        <v>38</v>
      </c>
      <c r="S593">
        <v>20</v>
      </c>
      <c r="T593" s="13">
        <v>31</v>
      </c>
      <c r="U593" s="13">
        <v>38</v>
      </c>
      <c r="V593" t="s">
        <v>99</v>
      </c>
      <c r="X593" s="13">
        <v>177</v>
      </c>
    </row>
    <row r="594" spans="1:24" x14ac:dyDescent="0.25">
      <c r="A594" t="s">
        <v>700</v>
      </c>
      <c r="B594" t="s">
        <v>62</v>
      </c>
      <c r="C594" t="s">
        <v>580</v>
      </c>
      <c r="D594" t="s">
        <v>581</v>
      </c>
      <c r="E594" t="s">
        <v>62</v>
      </c>
      <c r="F594" t="s">
        <v>94</v>
      </c>
      <c r="G594" t="s">
        <v>277</v>
      </c>
      <c r="H594" s="12">
        <v>6.1619843000000003</v>
      </c>
      <c r="I594" s="12">
        <v>-75.593804000000006</v>
      </c>
      <c r="K594" t="s">
        <v>97</v>
      </c>
      <c r="M594">
        <v>11</v>
      </c>
      <c r="P594" s="13">
        <v>175</v>
      </c>
      <c r="Q594" s="13">
        <v>34</v>
      </c>
      <c r="R594">
        <v>42</v>
      </c>
      <c r="S594">
        <v>34</v>
      </c>
      <c r="T594" s="13">
        <v>33</v>
      </c>
      <c r="U594" s="13">
        <v>27</v>
      </c>
      <c r="V594" t="s">
        <v>99</v>
      </c>
      <c r="X594" s="13">
        <v>175</v>
      </c>
    </row>
    <row r="595" spans="1:24" x14ac:dyDescent="0.25">
      <c r="A595" t="s">
        <v>701</v>
      </c>
      <c r="B595" t="s">
        <v>62</v>
      </c>
      <c r="C595" t="s">
        <v>580</v>
      </c>
      <c r="D595" t="s">
        <v>581</v>
      </c>
      <c r="E595" t="s">
        <v>62</v>
      </c>
      <c r="F595" t="s">
        <v>94</v>
      </c>
      <c r="G595" t="s">
        <v>277</v>
      </c>
      <c r="H595" s="12">
        <v>6.1619843000000003</v>
      </c>
      <c r="I595" s="12">
        <v>-75.593804000000006</v>
      </c>
      <c r="K595" t="s">
        <v>97</v>
      </c>
      <c r="M595">
        <v>11</v>
      </c>
      <c r="P595" s="13">
        <v>174</v>
      </c>
      <c r="Q595" s="13">
        <v>51</v>
      </c>
      <c r="R595">
        <v>30</v>
      </c>
      <c r="S595">
        <v>24</v>
      </c>
      <c r="T595" s="13">
        <v>28</v>
      </c>
      <c r="U595" s="13">
        <v>53</v>
      </c>
      <c r="V595" t="s">
        <v>99</v>
      </c>
      <c r="X595" s="13">
        <v>174</v>
      </c>
    </row>
    <row r="596" spans="1:24" x14ac:dyDescent="0.25">
      <c r="A596" t="s">
        <v>702</v>
      </c>
      <c r="B596" t="s">
        <v>62</v>
      </c>
      <c r="C596" t="s">
        <v>580</v>
      </c>
      <c r="D596" t="s">
        <v>581</v>
      </c>
      <c r="E596" t="s">
        <v>62</v>
      </c>
      <c r="F596" t="s">
        <v>94</v>
      </c>
      <c r="G596" t="s">
        <v>277</v>
      </c>
      <c r="H596" s="12">
        <v>6.1619843000000003</v>
      </c>
      <c r="I596" s="12">
        <v>-75.593804000000006</v>
      </c>
      <c r="K596" t="s">
        <v>97</v>
      </c>
      <c r="M596">
        <v>11</v>
      </c>
      <c r="P596" s="13">
        <v>173</v>
      </c>
      <c r="Q596" s="13">
        <v>37</v>
      </c>
      <c r="R596">
        <v>28</v>
      </c>
      <c r="S596">
        <v>48</v>
      </c>
      <c r="T596" s="13">
        <v>24</v>
      </c>
      <c r="U596" s="13">
        <v>40</v>
      </c>
      <c r="V596" t="s">
        <v>99</v>
      </c>
      <c r="X596" s="13">
        <v>173</v>
      </c>
    </row>
    <row r="597" spans="1:24" x14ac:dyDescent="0.25">
      <c r="A597" t="s">
        <v>703</v>
      </c>
      <c r="B597" t="s">
        <v>62</v>
      </c>
      <c r="C597" t="s">
        <v>580</v>
      </c>
      <c r="D597" t="s">
        <v>581</v>
      </c>
      <c r="E597" t="s">
        <v>62</v>
      </c>
      <c r="F597" t="s">
        <v>94</v>
      </c>
      <c r="G597" t="s">
        <v>277</v>
      </c>
      <c r="H597" s="12">
        <v>6.1619843000000003</v>
      </c>
      <c r="I597" s="12">
        <v>-75.593804000000006</v>
      </c>
      <c r="K597" t="s">
        <v>97</v>
      </c>
      <c r="M597">
        <v>11</v>
      </c>
      <c r="P597" s="13">
        <v>173</v>
      </c>
      <c r="Q597" s="13">
        <v>51</v>
      </c>
      <c r="R597">
        <v>36</v>
      </c>
      <c r="S597">
        <v>26</v>
      </c>
      <c r="T597" s="13">
        <v>26</v>
      </c>
      <c r="U597" s="13">
        <v>33</v>
      </c>
      <c r="V597" t="s">
        <v>99</v>
      </c>
      <c r="X597" s="13">
        <v>173</v>
      </c>
    </row>
    <row r="598" spans="1:24" x14ac:dyDescent="0.25">
      <c r="A598" t="s">
        <v>704</v>
      </c>
      <c r="B598" t="s">
        <v>62</v>
      </c>
      <c r="C598" t="s">
        <v>580</v>
      </c>
      <c r="D598" t="s">
        <v>581</v>
      </c>
      <c r="E598" t="s">
        <v>62</v>
      </c>
      <c r="F598" t="s">
        <v>94</v>
      </c>
      <c r="G598" t="s">
        <v>277</v>
      </c>
      <c r="H598" s="12">
        <v>6.1619843000000003</v>
      </c>
      <c r="I598" s="12">
        <v>-75.593804000000006</v>
      </c>
      <c r="K598" t="s">
        <v>97</v>
      </c>
      <c r="M598">
        <v>11</v>
      </c>
      <c r="P598" s="13">
        <v>173</v>
      </c>
      <c r="Q598" s="13">
        <v>49</v>
      </c>
      <c r="R598">
        <v>28</v>
      </c>
      <c r="S598">
        <v>16</v>
      </c>
      <c r="T598" s="13">
        <v>41</v>
      </c>
      <c r="U598" s="13">
        <v>47</v>
      </c>
      <c r="V598" t="s">
        <v>99</v>
      </c>
      <c r="X598" s="13">
        <v>173</v>
      </c>
    </row>
    <row r="599" spans="1:24" x14ac:dyDescent="0.25">
      <c r="A599" t="s">
        <v>705</v>
      </c>
      <c r="B599" t="s">
        <v>62</v>
      </c>
      <c r="C599" t="s">
        <v>580</v>
      </c>
      <c r="D599" t="s">
        <v>581</v>
      </c>
      <c r="E599" t="s">
        <v>62</v>
      </c>
      <c r="F599" t="s">
        <v>94</v>
      </c>
      <c r="G599" t="s">
        <v>277</v>
      </c>
      <c r="H599" s="12">
        <v>6.1619843000000003</v>
      </c>
      <c r="I599" s="12">
        <v>-75.593804000000006</v>
      </c>
      <c r="K599" t="s">
        <v>97</v>
      </c>
      <c r="M599">
        <v>11</v>
      </c>
      <c r="P599" s="13">
        <v>170</v>
      </c>
      <c r="Q599" s="13">
        <v>41</v>
      </c>
      <c r="R599">
        <v>38</v>
      </c>
      <c r="S599">
        <v>24</v>
      </c>
      <c r="T599" s="13">
        <v>31</v>
      </c>
      <c r="U599" s="13">
        <v>38</v>
      </c>
      <c r="V599" t="s">
        <v>99</v>
      </c>
      <c r="X599" s="13">
        <v>170</v>
      </c>
    </row>
    <row r="600" spans="1:24" x14ac:dyDescent="0.25">
      <c r="A600" t="s">
        <v>706</v>
      </c>
      <c r="B600" t="s">
        <v>62</v>
      </c>
      <c r="C600" t="s">
        <v>580</v>
      </c>
      <c r="D600" t="s">
        <v>581</v>
      </c>
      <c r="E600" t="s">
        <v>62</v>
      </c>
      <c r="F600" t="s">
        <v>94</v>
      </c>
      <c r="G600" t="s">
        <v>277</v>
      </c>
      <c r="H600" s="12">
        <v>6.1619843000000003</v>
      </c>
      <c r="I600" s="12">
        <v>-75.593804000000006</v>
      </c>
      <c r="K600" t="s">
        <v>97</v>
      </c>
      <c r="M600">
        <v>11</v>
      </c>
      <c r="P600" s="13">
        <v>168</v>
      </c>
      <c r="Q600" s="13">
        <v>27</v>
      </c>
      <c r="R600">
        <v>26</v>
      </c>
      <c r="S600">
        <v>38</v>
      </c>
      <c r="T600" s="13">
        <v>33</v>
      </c>
      <c r="U600" s="13">
        <v>65</v>
      </c>
      <c r="V600" t="s">
        <v>99</v>
      </c>
      <c r="X600" s="13">
        <v>168</v>
      </c>
    </row>
    <row r="601" spans="1:24" x14ac:dyDescent="0.25">
      <c r="A601" t="s">
        <v>707</v>
      </c>
      <c r="B601" t="s">
        <v>62</v>
      </c>
      <c r="C601" t="s">
        <v>580</v>
      </c>
      <c r="D601" t="s">
        <v>581</v>
      </c>
      <c r="E601" t="s">
        <v>62</v>
      </c>
      <c r="F601" t="s">
        <v>94</v>
      </c>
      <c r="G601" t="s">
        <v>277</v>
      </c>
      <c r="H601" s="12">
        <v>6.1619843000000003</v>
      </c>
      <c r="I601" s="12">
        <v>-75.593804000000006</v>
      </c>
      <c r="K601" t="s">
        <v>97</v>
      </c>
      <c r="M601">
        <v>11</v>
      </c>
      <c r="P601" s="13">
        <v>165</v>
      </c>
      <c r="Q601" s="13">
        <v>51</v>
      </c>
      <c r="R601">
        <v>30</v>
      </c>
      <c r="S601">
        <v>18</v>
      </c>
      <c r="T601" s="13">
        <v>29</v>
      </c>
      <c r="U601" s="13">
        <v>44</v>
      </c>
      <c r="V601" t="s">
        <v>99</v>
      </c>
      <c r="X601" s="13">
        <v>165</v>
      </c>
    </row>
    <row r="602" spans="1:24" x14ac:dyDescent="0.25">
      <c r="A602" t="s">
        <v>708</v>
      </c>
      <c r="B602" t="s">
        <v>62</v>
      </c>
      <c r="C602" t="s">
        <v>580</v>
      </c>
      <c r="D602" t="s">
        <v>581</v>
      </c>
      <c r="E602" t="s">
        <v>62</v>
      </c>
      <c r="F602" t="s">
        <v>94</v>
      </c>
      <c r="G602" t="s">
        <v>277</v>
      </c>
      <c r="H602" s="12">
        <v>6.1619843000000003</v>
      </c>
      <c r="I602" s="12">
        <v>-75.593804000000006</v>
      </c>
      <c r="K602" t="s">
        <v>97</v>
      </c>
      <c r="M602">
        <v>11</v>
      </c>
      <c r="P602" s="13">
        <v>163</v>
      </c>
      <c r="Q602" s="13">
        <v>44</v>
      </c>
      <c r="R602">
        <v>24</v>
      </c>
      <c r="S602">
        <v>38</v>
      </c>
      <c r="T602" s="13">
        <v>22</v>
      </c>
      <c r="U602" s="13">
        <v>40</v>
      </c>
      <c r="V602" t="s">
        <v>99</v>
      </c>
      <c r="X602" s="13">
        <v>163</v>
      </c>
    </row>
    <row r="603" spans="1:24" x14ac:dyDescent="0.25">
      <c r="A603" t="s">
        <v>709</v>
      </c>
      <c r="B603" t="s">
        <v>62</v>
      </c>
      <c r="C603" t="s">
        <v>580</v>
      </c>
      <c r="D603" t="s">
        <v>581</v>
      </c>
      <c r="E603" t="s">
        <v>62</v>
      </c>
      <c r="F603" t="s">
        <v>94</v>
      </c>
      <c r="G603" t="s">
        <v>277</v>
      </c>
      <c r="H603" s="12">
        <v>6.1619843000000003</v>
      </c>
      <c r="I603" s="12">
        <v>-75.593804000000006</v>
      </c>
      <c r="K603" t="s">
        <v>97</v>
      </c>
      <c r="M603">
        <v>11</v>
      </c>
      <c r="P603" s="13">
        <v>159</v>
      </c>
      <c r="Q603" s="13">
        <v>44</v>
      </c>
      <c r="R603">
        <v>32</v>
      </c>
      <c r="S603">
        <v>22</v>
      </c>
      <c r="T603" s="13">
        <v>28</v>
      </c>
      <c r="U603" s="13">
        <v>36</v>
      </c>
      <c r="V603" t="s">
        <v>99</v>
      </c>
      <c r="X603" s="13">
        <v>159</v>
      </c>
    </row>
    <row r="604" spans="1:24" x14ac:dyDescent="0.25">
      <c r="A604" t="s">
        <v>710</v>
      </c>
      <c r="B604" t="s">
        <v>62</v>
      </c>
      <c r="C604" t="s">
        <v>580</v>
      </c>
      <c r="D604" t="s">
        <v>581</v>
      </c>
      <c r="E604" t="s">
        <v>62</v>
      </c>
      <c r="F604" t="s">
        <v>94</v>
      </c>
      <c r="G604" t="s">
        <v>277</v>
      </c>
      <c r="H604" s="12">
        <v>6.1619843000000003</v>
      </c>
      <c r="I604" s="12">
        <v>-75.593804000000006</v>
      </c>
      <c r="K604" t="s">
        <v>97</v>
      </c>
      <c r="M604">
        <v>11</v>
      </c>
      <c r="P604" s="13">
        <v>157</v>
      </c>
      <c r="Q604" s="13">
        <v>39</v>
      </c>
      <c r="R604">
        <v>28</v>
      </c>
      <c r="S604">
        <v>24</v>
      </c>
      <c r="T604" s="13">
        <v>33</v>
      </c>
      <c r="U604" s="13">
        <v>36</v>
      </c>
      <c r="V604" t="s">
        <v>99</v>
      </c>
      <c r="X604" s="13">
        <v>157</v>
      </c>
    </row>
    <row r="605" spans="1:24" x14ac:dyDescent="0.25">
      <c r="A605" t="s">
        <v>711</v>
      </c>
      <c r="B605" t="s">
        <v>62</v>
      </c>
      <c r="C605" t="s">
        <v>580</v>
      </c>
      <c r="D605" t="s">
        <v>581</v>
      </c>
      <c r="E605" t="s">
        <v>62</v>
      </c>
      <c r="F605" t="s">
        <v>94</v>
      </c>
      <c r="G605" t="s">
        <v>277</v>
      </c>
      <c r="H605" s="12">
        <v>6.1619843000000003</v>
      </c>
      <c r="I605" s="12">
        <v>-75.593804000000006</v>
      </c>
      <c r="K605" t="s">
        <v>97</v>
      </c>
      <c r="M605">
        <v>11</v>
      </c>
      <c r="P605" s="13">
        <v>156</v>
      </c>
      <c r="Q605" s="13">
        <v>24</v>
      </c>
      <c r="R605">
        <v>34</v>
      </c>
      <c r="S605">
        <v>34</v>
      </c>
      <c r="T605" s="13">
        <v>29</v>
      </c>
      <c r="U605" s="13">
        <v>40</v>
      </c>
      <c r="V605" t="s">
        <v>99</v>
      </c>
      <c r="X605" s="13">
        <v>156</v>
      </c>
    </row>
    <row r="606" spans="1:24" x14ac:dyDescent="0.25">
      <c r="A606" t="s">
        <v>712</v>
      </c>
      <c r="B606" t="s">
        <v>62</v>
      </c>
      <c r="C606" t="s">
        <v>580</v>
      </c>
      <c r="D606" t="s">
        <v>581</v>
      </c>
      <c r="E606" t="s">
        <v>62</v>
      </c>
      <c r="F606" t="s">
        <v>94</v>
      </c>
      <c r="G606" t="s">
        <v>277</v>
      </c>
      <c r="H606" s="12">
        <v>6.1619843000000003</v>
      </c>
      <c r="I606" s="12">
        <v>-75.593804000000006</v>
      </c>
      <c r="K606" t="s">
        <v>97</v>
      </c>
      <c r="M606">
        <v>11</v>
      </c>
      <c r="P606" s="13">
        <v>154</v>
      </c>
      <c r="Q606" s="13">
        <v>56</v>
      </c>
      <c r="R606">
        <v>24</v>
      </c>
      <c r="S606">
        <v>18</v>
      </c>
      <c r="T606" s="13">
        <v>26</v>
      </c>
      <c r="U606" s="13">
        <v>27</v>
      </c>
      <c r="V606" t="s">
        <v>99</v>
      </c>
      <c r="X606" s="13">
        <v>154</v>
      </c>
    </row>
    <row r="607" spans="1:24" x14ac:dyDescent="0.25">
      <c r="A607" t="s">
        <v>713</v>
      </c>
      <c r="B607" t="s">
        <v>62</v>
      </c>
      <c r="C607" t="s">
        <v>580</v>
      </c>
      <c r="D607" t="s">
        <v>581</v>
      </c>
      <c r="E607" t="s">
        <v>62</v>
      </c>
      <c r="F607" t="s">
        <v>94</v>
      </c>
      <c r="G607" t="s">
        <v>277</v>
      </c>
      <c r="H607" s="12">
        <v>6.1619843000000003</v>
      </c>
      <c r="I607" s="12">
        <v>-75.593804000000006</v>
      </c>
      <c r="K607" t="s">
        <v>97</v>
      </c>
      <c r="M607">
        <v>11</v>
      </c>
      <c r="P607" s="13">
        <v>153</v>
      </c>
      <c r="Q607" s="13">
        <v>41</v>
      </c>
      <c r="R607">
        <v>28</v>
      </c>
      <c r="S607">
        <v>22</v>
      </c>
      <c r="T607" s="13">
        <v>26</v>
      </c>
      <c r="U607" s="13">
        <v>45</v>
      </c>
      <c r="V607" t="s">
        <v>99</v>
      </c>
      <c r="X607" s="13">
        <v>153</v>
      </c>
    </row>
    <row r="608" spans="1:24" x14ac:dyDescent="0.25">
      <c r="A608" t="s">
        <v>714</v>
      </c>
      <c r="B608" t="s">
        <v>62</v>
      </c>
      <c r="C608" t="s">
        <v>580</v>
      </c>
      <c r="D608" t="s">
        <v>581</v>
      </c>
      <c r="E608" t="s">
        <v>62</v>
      </c>
      <c r="F608" t="s">
        <v>94</v>
      </c>
      <c r="G608" t="s">
        <v>277</v>
      </c>
      <c r="H608" s="12">
        <v>6.1619843000000003</v>
      </c>
      <c r="I608" s="12">
        <v>-75.593804000000006</v>
      </c>
      <c r="K608" t="s">
        <v>97</v>
      </c>
      <c r="M608">
        <v>11</v>
      </c>
      <c r="P608" s="13">
        <v>152</v>
      </c>
      <c r="Q608" s="13">
        <v>34</v>
      </c>
      <c r="R608">
        <v>34</v>
      </c>
      <c r="S608">
        <v>20</v>
      </c>
      <c r="T608" s="13">
        <v>29</v>
      </c>
      <c r="U608" s="13">
        <v>42</v>
      </c>
      <c r="V608" t="s">
        <v>99</v>
      </c>
      <c r="X608" s="13">
        <v>152</v>
      </c>
    </row>
    <row r="609" spans="1:24" x14ac:dyDescent="0.25">
      <c r="A609" t="s">
        <v>715</v>
      </c>
      <c r="B609" t="s">
        <v>62</v>
      </c>
      <c r="C609" t="s">
        <v>580</v>
      </c>
      <c r="D609" t="s">
        <v>581</v>
      </c>
      <c r="E609" t="s">
        <v>62</v>
      </c>
      <c r="F609" t="s">
        <v>94</v>
      </c>
      <c r="G609" t="s">
        <v>277</v>
      </c>
      <c r="H609" s="12">
        <v>6.1619843000000003</v>
      </c>
      <c r="I609" s="12">
        <v>-75.593804000000006</v>
      </c>
      <c r="K609" t="s">
        <v>97</v>
      </c>
      <c r="M609">
        <v>11</v>
      </c>
      <c r="P609" s="13">
        <v>151</v>
      </c>
      <c r="Q609" s="13">
        <v>29</v>
      </c>
      <c r="R609">
        <v>26</v>
      </c>
      <c r="S609">
        <v>26</v>
      </c>
      <c r="T609" s="13">
        <v>33</v>
      </c>
      <c r="U609" s="13">
        <v>51</v>
      </c>
      <c r="V609" t="s">
        <v>99</v>
      </c>
      <c r="X609" s="13">
        <v>151</v>
      </c>
    </row>
    <row r="610" spans="1:24" x14ac:dyDescent="0.25">
      <c r="A610" t="s">
        <v>716</v>
      </c>
      <c r="B610" t="s">
        <v>62</v>
      </c>
      <c r="C610" t="s">
        <v>580</v>
      </c>
      <c r="D610" t="s">
        <v>581</v>
      </c>
      <c r="E610" t="s">
        <v>62</v>
      </c>
      <c r="F610" t="s">
        <v>94</v>
      </c>
      <c r="G610" t="s">
        <v>277</v>
      </c>
      <c r="H610" s="12">
        <v>6.1619843000000003</v>
      </c>
      <c r="I610" s="12">
        <v>-75.593804000000006</v>
      </c>
      <c r="K610" t="s">
        <v>97</v>
      </c>
      <c r="M610">
        <v>11</v>
      </c>
      <c r="P610" s="13">
        <v>151</v>
      </c>
      <c r="Q610" s="13">
        <v>44</v>
      </c>
      <c r="R610">
        <v>26</v>
      </c>
      <c r="S610">
        <v>28</v>
      </c>
      <c r="T610" s="13">
        <v>21</v>
      </c>
      <c r="U610" s="13">
        <v>36</v>
      </c>
      <c r="V610" t="s">
        <v>99</v>
      </c>
      <c r="X610" s="13">
        <v>151</v>
      </c>
    </row>
    <row r="611" spans="1:24" x14ac:dyDescent="0.25">
      <c r="A611" t="s">
        <v>717</v>
      </c>
      <c r="B611" t="s">
        <v>62</v>
      </c>
      <c r="C611" t="s">
        <v>580</v>
      </c>
      <c r="D611" t="s">
        <v>581</v>
      </c>
      <c r="E611" t="s">
        <v>62</v>
      </c>
      <c r="F611" t="s">
        <v>94</v>
      </c>
      <c r="G611" t="s">
        <v>277</v>
      </c>
      <c r="H611" s="12">
        <v>6.1619843000000003</v>
      </c>
      <c r="I611" s="12">
        <v>-75.593804000000006</v>
      </c>
      <c r="K611" t="s">
        <v>97</v>
      </c>
      <c r="M611">
        <v>11</v>
      </c>
      <c r="P611" s="13">
        <v>150</v>
      </c>
      <c r="Q611" s="13">
        <v>27</v>
      </c>
      <c r="R611">
        <v>30</v>
      </c>
      <c r="S611">
        <v>32</v>
      </c>
      <c r="T611" s="13">
        <v>29</v>
      </c>
      <c r="U611" s="13">
        <v>36</v>
      </c>
      <c r="V611" t="s">
        <v>99</v>
      </c>
      <c r="X611" s="13">
        <v>150</v>
      </c>
    </row>
    <row r="612" spans="1:24" x14ac:dyDescent="0.25">
      <c r="A612" t="s">
        <v>718</v>
      </c>
      <c r="B612" t="s">
        <v>62</v>
      </c>
      <c r="C612" t="s">
        <v>580</v>
      </c>
      <c r="D612" t="s">
        <v>581</v>
      </c>
      <c r="E612" t="s">
        <v>62</v>
      </c>
      <c r="F612" t="s">
        <v>94</v>
      </c>
      <c r="G612" t="s">
        <v>277</v>
      </c>
      <c r="H612" s="12">
        <v>6.1619843000000003</v>
      </c>
      <c r="I612" s="12">
        <v>-75.593804000000006</v>
      </c>
      <c r="K612" t="s">
        <v>97</v>
      </c>
      <c r="M612">
        <v>11</v>
      </c>
      <c r="P612" s="13">
        <v>146</v>
      </c>
      <c r="Q612" s="13">
        <v>39</v>
      </c>
      <c r="R612">
        <v>26</v>
      </c>
      <c r="S612">
        <v>14</v>
      </c>
      <c r="T612" s="13">
        <v>34</v>
      </c>
      <c r="U612" s="13">
        <v>38</v>
      </c>
      <c r="V612" t="s">
        <v>99</v>
      </c>
      <c r="X612" s="13">
        <v>146</v>
      </c>
    </row>
    <row r="613" spans="1:24" x14ac:dyDescent="0.25">
      <c r="A613" t="s">
        <v>719</v>
      </c>
      <c r="B613" t="s">
        <v>62</v>
      </c>
      <c r="C613" t="s">
        <v>580</v>
      </c>
      <c r="D613" t="s">
        <v>581</v>
      </c>
      <c r="E613" t="s">
        <v>62</v>
      </c>
      <c r="F613" t="s">
        <v>94</v>
      </c>
      <c r="G613" t="s">
        <v>277</v>
      </c>
      <c r="H613" s="12">
        <v>6.1619843000000003</v>
      </c>
      <c r="I613" s="12">
        <v>-75.593804000000006</v>
      </c>
      <c r="K613" t="s">
        <v>97</v>
      </c>
      <c r="M613">
        <v>11</v>
      </c>
      <c r="P613" s="13">
        <v>141</v>
      </c>
      <c r="Q613" s="13">
        <v>56</v>
      </c>
      <c r="R613">
        <v>22</v>
      </c>
      <c r="S613">
        <v>20</v>
      </c>
      <c r="T613" s="13">
        <v>24</v>
      </c>
      <c r="U613" s="13">
        <v>0</v>
      </c>
      <c r="V613" t="s">
        <v>99</v>
      </c>
      <c r="X613" s="13">
        <v>141</v>
      </c>
    </row>
    <row r="614" spans="1:24" x14ac:dyDescent="0.25">
      <c r="A614" t="s">
        <v>720</v>
      </c>
      <c r="B614" t="s">
        <v>62</v>
      </c>
      <c r="C614" t="s">
        <v>721</v>
      </c>
      <c r="D614" t="s">
        <v>722</v>
      </c>
      <c r="E614" t="s">
        <v>62</v>
      </c>
      <c r="F614" t="s">
        <v>94</v>
      </c>
      <c r="G614" t="s">
        <v>277</v>
      </c>
      <c r="H614" s="12">
        <v>6.1512748999999998</v>
      </c>
      <c r="I614" s="12">
        <v>-75.536050799999998</v>
      </c>
      <c r="K614" t="s">
        <v>97</v>
      </c>
      <c r="M614">
        <v>11</v>
      </c>
      <c r="P614" s="13">
        <v>316</v>
      </c>
      <c r="Q614" s="13">
        <v>68</v>
      </c>
      <c r="R614">
        <v>46</v>
      </c>
      <c r="S614">
        <v>70</v>
      </c>
      <c r="T614" s="13">
        <v>60</v>
      </c>
      <c r="U614" s="13">
        <v>87</v>
      </c>
      <c r="V614" t="s">
        <v>99</v>
      </c>
      <c r="X614" s="13">
        <v>316</v>
      </c>
    </row>
    <row r="615" spans="1:24" x14ac:dyDescent="0.25">
      <c r="A615" t="s">
        <v>723</v>
      </c>
      <c r="B615" t="s">
        <v>62</v>
      </c>
      <c r="C615" t="s">
        <v>721</v>
      </c>
      <c r="D615" t="s">
        <v>722</v>
      </c>
      <c r="E615" t="s">
        <v>62</v>
      </c>
      <c r="F615" t="s">
        <v>94</v>
      </c>
      <c r="G615" t="s">
        <v>277</v>
      </c>
      <c r="H615" s="12">
        <v>6.1512748999999998</v>
      </c>
      <c r="I615" s="12">
        <v>-75.536050799999998</v>
      </c>
      <c r="K615" t="s">
        <v>97</v>
      </c>
      <c r="M615">
        <v>11</v>
      </c>
      <c r="P615" s="13">
        <v>301</v>
      </c>
      <c r="Q615" s="13">
        <v>76</v>
      </c>
      <c r="R615">
        <v>28</v>
      </c>
      <c r="S615">
        <v>66</v>
      </c>
      <c r="T615" s="13">
        <v>66</v>
      </c>
      <c r="U615" s="13">
        <v>76</v>
      </c>
      <c r="V615" t="s">
        <v>99</v>
      </c>
      <c r="X615" s="13">
        <v>301</v>
      </c>
    </row>
    <row r="616" spans="1:24" x14ac:dyDescent="0.25">
      <c r="A616" t="s">
        <v>724</v>
      </c>
      <c r="B616" t="s">
        <v>62</v>
      </c>
      <c r="C616" t="s">
        <v>721</v>
      </c>
      <c r="D616" t="s">
        <v>722</v>
      </c>
      <c r="E616" t="s">
        <v>62</v>
      </c>
      <c r="F616" t="s">
        <v>94</v>
      </c>
      <c r="G616" t="s">
        <v>277</v>
      </c>
      <c r="H616" s="12">
        <v>6.1512748999999998</v>
      </c>
      <c r="I616" s="12">
        <v>-75.536050799999998</v>
      </c>
      <c r="K616" t="s">
        <v>97</v>
      </c>
      <c r="M616">
        <v>11</v>
      </c>
      <c r="P616" s="13">
        <v>282</v>
      </c>
      <c r="Q616" s="13">
        <v>59</v>
      </c>
      <c r="R616">
        <v>44</v>
      </c>
      <c r="S616">
        <v>68</v>
      </c>
      <c r="T616" s="13">
        <v>52</v>
      </c>
      <c r="U616" s="13">
        <v>65</v>
      </c>
      <c r="V616" t="s">
        <v>99</v>
      </c>
      <c r="X616" s="13">
        <v>282</v>
      </c>
    </row>
    <row r="617" spans="1:24" x14ac:dyDescent="0.25">
      <c r="A617" t="s">
        <v>725</v>
      </c>
      <c r="B617" t="s">
        <v>62</v>
      </c>
      <c r="C617" t="s">
        <v>721</v>
      </c>
      <c r="D617" t="s">
        <v>722</v>
      </c>
      <c r="E617" t="s">
        <v>62</v>
      </c>
      <c r="F617" t="s">
        <v>94</v>
      </c>
      <c r="G617" t="s">
        <v>277</v>
      </c>
      <c r="H617" s="12">
        <v>6.1512748999999998</v>
      </c>
      <c r="I617" s="12">
        <v>-75.536050799999998</v>
      </c>
      <c r="K617" t="s">
        <v>97</v>
      </c>
      <c r="M617">
        <v>11</v>
      </c>
      <c r="P617" s="13">
        <v>279</v>
      </c>
      <c r="Q617" s="13">
        <v>78</v>
      </c>
      <c r="R617">
        <v>26</v>
      </c>
      <c r="S617">
        <v>62</v>
      </c>
      <c r="T617" s="13">
        <v>60</v>
      </c>
      <c r="U617" s="13">
        <v>47</v>
      </c>
      <c r="V617" t="s">
        <v>99</v>
      </c>
      <c r="X617" s="13">
        <v>279</v>
      </c>
    </row>
    <row r="618" spans="1:24" x14ac:dyDescent="0.25">
      <c r="A618" t="s">
        <v>726</v>
      </c>
      <c r="B618" t="s">
        <v>62</v>
      </c>
      <c r="C618" t="s">
        <v>721</v>
      </c>
      <c r="D618" t="s">
        <v>722</v>
      </c>
      <c r="E618" t="s">
        <v>62</v>
      </c>
      <c r="F618" t="s">
        <v>94</v>
      </c>
      <c r="G618" t="s">
        <v>277</v>
      </c>
      <c r="H618" s="12">
        <v>6.1512748999999998</v>
      </c>
      <c r="I618" s="12">
        <v>-75.536050799999998</v>
      </c>
      <c r="K618" t="s">
        <v>97</v>
      </c>
      <c r="M618">
        <v>11</v>
      </c>
      <c r="P618" s="13">
        <v>261</v>
      </c>
      <c r="Q618" s="13">
        <v>63</v>
      </c>
      <c r="R618">
        <v>28</v>
      </c>
      <c r="S618">
        <v>74</v>
      </c>
      <c r="T618" s="13">
        <v>45</v>
      </c>
      <c r="U618" s="13">
        <v>49</v>
      </c>
      <c r="V618" t="s">
        <v>99</v>
      </c>
      <c r="X618" s="13">
        <v>261</v>
      </c>
    </row>
    <row r="619" spans="1:24" x14ac:dyDescent="0.25">
      <c r="A619" t="s">
        <v>727</v>
      </c>
      <c r="B619" t="s">
        <v>62</v>
      </c>
      <c r="C619" t="s">
        <v>721</v>
      </c>
      <c r="D619" t="s">
        <v>722</v>
      </c>
      <c r="E619" t="s">
        <v>62</v>
      </c>
      <c r="F619" t="s">
        <v>94</v>
      </c>
      <c r="G619" t="s">
        <v>277</v>
      </c>
      <c r="H619" s="12">
        <v>6.1512748999999998</v>
      </c>
      <c r="I619" s="12">
        <v>-75.536050799999998</v>
      </c>
      <c r="K619" t="s">
        <v>97</v>
      </c>
      <c r="M619">
        <v>11</v>
      </c>
      <c r="P619" s="13">
        <v>255</v>
      </c>
      <c r="Q619" s="13">
        <v>61</v>
      </c>
      <c r="R619">
        <v>40</v>
      </c>
      <c r="S619">
        <v>66</v>
      </c>
      <c r="T619" s="13">
        <v>40</v>
      </c>
      <c r="U619" s="13">
        <v>44</v>
      </c>
      <c r="V619" t="s">
        <v>99</v>
      </c>
      <c r="X619" s="13">
        <v>255</v>
      </c>
    </row>
    <row r="620" spans="1:24" x14ac:dyDescent="0.25">
      <c r="A620" t="s">
        <v>728</v>
      </c>
      <c r="B620" t="s">
        <v>62</v>
      </c>
      <c r="C620" t="s">
        <v>721</v>
      </c>
      <c r="D620" t="s">
        <v>722</v>
      </c>
      <c r="E620" t="s">
        <v>62</v>
      </c>
      <c r="F620" t="s">
        <v>94</v>
      </c>
      <c r="G620" t="s">
        <v>277</v>
      </c>
      <c r="H620" s="12">
        <v>6.1512748999999998</v>
      </c>
      <c r="I620" s="12">
        <v>-75.536050799999998</v>
      </c>
      <c r="K620" t="s">
        <v>97</v>
      </c>
      <c r="M620">
        <v>11</v>
      </c>
      <c r="P620" s="13">
        <v>254</v>
      </c>
      <c r="Q620" s="13">
        <v>66</v>
      </c>
      <c r="R620">
        <v>22</v>
      </c>
      <c r="S620">
        <v>58</v>
      </c>
      <c r="T620" s="13">
        <v>48</v>
      </c>
      <c r="U620" s="13">
        <v>78</v>
      </c>
      <c r="V620" t="s">
        <v>99</v>
      </c>
      <c r="X620" s="13">
        <v>254</v>
      </c>
    </row>
    <row r="621" spans="1:24" x14ac:dyDescent="0.25">
      <c r="A621" t="s">
        <v>729</v>
      </c>
      <c r="B621" t="s">
        <v>62</v>
      </c>
      <c r="C621" t="s">
        <v>721</v>
      </c>
      <c r="D621" t="s">
        <v>722</v>
      </c>
      <c r="E621" t="s">
        <v>62</v>
      </c>
      <c r="F621" t="s">
        <v>94</v>
      </c>
      <c r="G621" t="s">
        <v>277</v>
      </c>
      <c r="H621" s="12">
        <v>6.1512748999999998</v>
      </c>
      <c r="I621" s="12">
        <v>-75.536050799999998</v>
      </c>
      <c r="K621" t="s">
        <v>97</v>
      </c>
      <c r="M621">
        <v>11</v>
      </c>
      <c r="P621" s="13">
        <v>250</v>
      </c>
      <c r="Q621" s="13">
        <v>49</v>
      </c>
      <c r="R621">
        <v>28</v>
      </c>
      <c r="S621">
        <v>70</v>
      </c>
      <c r="T621" s="13">
        <v>47</v>
      </c>
      <c r="U621" s="13">
        <v>69</v>
      </c>
      <c r="V621" t="s">
        <v>99</v>
      </c>
      <c r="X621" s="13">
        <v>250</v>
      </c>
    </row>
    <row r="622" spans="1:24" x14ac:dyDescent="0.25">
      <c r="A622" t="s">
        <v>730</v>
      </c>
      <c r="B622" t="s">
        <v>62</v>
      </c>
      <c r="C622" t="s">
        <v>721</v>
      </c>
      <c r="D622" t="s">
        <v>722</v>
      </c>
      <c r="E622" t="s">
        <v>62</v>
      </c>
      <c r="F622" t="s">
        <v>94</v>
      </c>
      <c r="G622" t="s">
        <v>277</v>
      </c>
      <c r="H622" s="12">
        <v>6.1512748999999998</v>
      </c>
      <c r="I622" s="12">
        <v>-75.536050799999998</v>
      </c>
      <c r="K622" t="s">
        <v>97</v>
      </c>
      <c r="M622">
        <v>11</v>
      </c>
      <c r="P622" s="13">
        <v>247</v>
      </c>
      <c r="Q622" s="13">
        <v>61</v>
      </c>
      <c r="R622">
        <v>40</v>
      </c>
      <c r="S622">
        <v>50</v>
      </c>
      <c r="T622" s="13">
        <v>47</v>
      </c>
      <c r="U622" s="13">
        <v>49</v>
      </c>
      <c r="V622" t="s">
        <v>99</v>
      </c>
      <c r="X622" s="13">
        <v>247</v>
      </c>
    </row>
    <row r="623" spans="1:24" x14ac:dyDescent="0.25">
      <c r="A623" t="s">
        <v>731</v>
      </c>
      <c r="B623" t="s">
        <v>62</v>
      </c>
      <c r="C623" t="s">
        <v>721</v>
      </c>
      <c r="D623" t="s">
        <v>722</v>
      </c>
      <c r="E623" t="s">
        <v>62</v>
      </c>
      <c r="F623" t="s">
        <v>94</v>
      </c>
      <c r="G623" t="s">
        <v>277</v>
      </c>
      <c r="H623" s="12">
        <v>6.1512748999999998</v>
      </c>
      <c r="I623" s="12">
        <v>-75.536050799999998</v>
      </c>
      <c r="K623" t="s">
        <v>97</v>
      </c>
      <c r="M623">
        <v>11</v>
      </c>
      <c r="P623" s="13">
        <v>229</v>
      </c>
      <c r="Q623" s="13">
        <v>63</v>
      </c>
      <c r="R623">
        <v>34</v>
      </c>
      <c r="S623">
        <v>48</v>
      </c>
      <c r="T623" s="13">
        <v>38</v>
      </c>
      <c r="U623" s="13">
        <v>45</v>
      </c>
      <c r="V623" t="s">
        <v>99</v>
      </c>
      <c r="X623" s="13">
        <v>229</v>
      </c>
    </row>
    <row r="624" spans="1:24" x14ac:dyDescent="0.25">
      <c r="A624" t="s">
        <v>732</v>
      </c>
      <c r="B624" t="s">
        <v>62</v>
      </c>
      <c r="C624" t="s">
        <v>721</v>
      </c>
      <c r="D624" t="s">
        <v>722</v>
      </c>
      <c r="E624" t="s">
        <v>62</v>
      </c>
      <c r="F624" t="s">
        <v>94</v>
      </c>
      <c r="G624" t="s">
        <v>277</v>
      </c>
      <c r="H624" s="12">
        <v>6.1512748999999998</v>
      </c>
      <c r="I624" s="12">
        <v>-75.536050799999998</v>
      </c>
      <c r="K624" t="s">
        <v>97</v>
      </c>
      <c r="M624">
        <v>11</v>
      </c>
      <c r="P624" s="13">
        <v>229</v>
      </c>
      <c r="Q624" s="13">
        <v>46</v>
      </c>
      <c r="R624">
        <v>38</v>
      </c>
      <c r="S624">
        <v>32</v>
      </c>
      <c r="T624" s="13">
        <v>53</v>
      </c>
      <c r="U624" s="13">
        <v>85</v>
      </c>
      <c r="V624" t="s">
        <v>99</v>
      </c>
      <c r="X624" s="13">
        <v>229</v>
      </c>
    </row>
    <row r="625" spans="1:24" x14ac:dyDescent="0.25">
      <c r="A625" t="s">
        <v>733</v>
      </c>
      <c r="B625" t="s">
        <v>62</v>
      </c>
      <c r="C625" t="s">
        <v>721</v>
      </c>
      <c r="D625" t="s">
        <v>722</v>
      </c>
      <c r="E625" t="s">
        <v>62</v>
      </c>
      <c r="F625" t="s">
        <v>94</v>
      </c>
      <c r="G625" t="s">
        <v>277</v>
      </c>
      <c r="H625" s="12">
        <v>6.1512748999999998</v>
      </c>
      <c r="I625" s="12">
        <v>-75.536050799999998</v>
      </c>
      <c r="K625" t="s">
        <v>97</v>
      </c>
      <c r="M625">
        <v>11</v>
      </c>
      <c r="P625" s="13">
        <v>226</v>
      </c>
      <c r="Q625" s="13">
        <v>54</v>
      </c>
      <c r="R625">
        <v>32</v>
      </c>
      <c r="S625">
        <v>42</v>
      </c>
      <c r="T625" s="13">
        <v>55</v>
      </c>
      <c r="U625" s="13">
        <v>40</v>
      </c>
      <c r="V625" t="s">
        <v>99</v>
      </c>
      <c r="X625" s="13">
        <v>226</v>
      </c>
    </row>
    <row r="626" spans="1:24" x14ac:dyDescent="0.25">
      <c r="A626" t="s">
        <v>734</v>
      </c>
      <c r="B626" t="s">
        <v>62</v>
      </c>
      <c r="C626" t="s">
        <v>721</v>
      </c>
      <c r="D626" t="s">
        <v>722</v>
      </c>
      <c r="E626" t="s">
        <v>62</v>
      </c>
      <c r="F626" t="s">
        <v>94</v>
      </c>
      <c r="G626" t="s">
        <v>277</v>
      </c>
      <c r="H626" s="12">
        <v>6.1512748999999998</v>
      </c>
      <c r="I626" s="12">
        <v>-75.536050799999998</v>
      </c>
      <c r="K626" t="s">
        <v>97</v>
      </c>
      <c r="M626">
        <v>11</v>
      </c>
      <c r="P626" s="13">
        <v>221</v>
      </c>
      <c r="Q626" s="13">
        <v>44</v>
      </c>
      <c r="R626">
        <v>30</v>
      </c>
      <c r="S626">
        <v>56</v>
      </c>
      <c r="T626" s="13">
        <v>48</v>
      </c>
      <c r="U626" s="13">
        <v>40</v>
      </c>
      <c r="V626" t="s">
        <v>99</v>
      </c>
      <c r="X626" s="13">
        <v>221</v>
      </c>
    </row>
    <row r="627" spans="1:24" x14ac:dyDescent="0.25">
      <c r="A627" t="s">
        <v>735</v>
      </c>
      <c r="B627" t="s">
        <v>62</v>
      </c>
      <c r="C627" t="s">
        <v>721</v>
      </c>
      <c r="D627" t="s">
        <v>722</v>
      </c>
      <c r="E627" t="s">
        <v>62</v>
      </c>
      <c r="F627" t="s">
        <v>94</v>
      </c>
      <c r="G627" t="s">
        <v>277</v>
      </c>
      <c r="H627" s="12">
        <v>6.1512748999999998</v>
      </c>
      <c r="I627" s="12">
        <v>-75.536050799999998</v>
      </c>
      <c r="K627" t="s">
        <v>97</v>
      </c>
      <c r="M627">
        <v>11</v>
      </c>
      <c r="P627" s="13">
        <v>214</v>
      </c>
      <c r="Q627" s="13">
        <v>59</v>
      </c>
      <c r="R627">
        <v>30</v>
      </c>
      <c r="S627">
        <v>48</v>
      </c>
      <c r="T627" s="13">
        <v>29</v>
      </c>
      <c r="U627" s="13">
        <v>60</v>
      </c>
      <c r="V627" t="s">
        <v>99</v>
      </c>
      <c r="X627" s="13">
        <v>214</v>
      </c>
    </row>
    <row r="628" spans="1:24" x14ac:dyDescent="0.25">
      <c r="A628" t="s">
        <v>736</v>
      </c>
      <c r="B628" t="s">
        <v>62</v>
      </c>
      <c r="C628" t="s">
        <v>721</v>
      </c>
      <c r="D628" t="s">
        <v>722</v>
      </c>
      <c r="E628" t="s">
        <v>62</v>
      </c>
      <c r="F628" t="s">
        <v>94</v>
      </c>
      <c r="G628" t="s">
        <v>277</v>
      </c>
      <c r="H628" s="12">
        <v>6.1512748999999998</v>
      </c>
      <c r="I628" s="12">
        <v>-75.536050799999998</v>
      </c>
      <c r="K628" t="s">
        <v>97</v>
      </c>
      <c r="M628">
        <v>11</v>
      </c>
      <c r="P628" s="13">
        <v>211</v>
      </c>
      <c r="Q628" s="13">
        <v>46</v>
      </c>
      <c r="R628">
        <v>32</v>
      </c>
      <c r="S628">
        <v>60</v>
      </c>
      <c r="T628" s="13">
        <v>31</v>
      </c>
      <c r="U628" s="13">
        <v>40</v>
      </c>
      <c r="V628" t="s">
        <v>99</v>
      </c>
      <c r="X628" s="13">
        <v>211</v>
      </c>
    </row>
    <row r="629" spans="1:24" x14ac:dyDescent="0.25">
      <c r="A629" t="s">
        <v>737</v>
      </c>
      <c r="B629" t="s">
        <v>62</v>
      </c>
      <c r="C629" t="s">
        <v>721</v>
      </c>
      <c r="D629" t="s">
        <v>722</v>
      </c>
      <c r="E629" t="s">
        <v>62</v>
      </c>
      <c r="F629" t="s">
        <v>94</v>
      </c>
      <c r="G629" t="s">
        <v>277</v>
      </c>
      <c r="H629" s="12">
        <v>6.1512748999999998</v>
      </c>
      <c r="I629" s="12">
        <v>-75.536050799999998</v>
      </c>
      <c r="K629" t="s">
        <v>97</v>
      </c>
      <c r="M629">
        <v>11</v>
      </c>
      <c r="P629" s="13">
        <v>205</v>
      </c>
      <c r="Q629" s="13">
        <v>59</v>
      </c>
      <c r="R629">
        <v>24</v>
      </c>
      <c r="S629">
        <v>46</v>
      </c>
      <c r="T629" s="13">
        <v>38</v>
      </c>
      <c r="U629" s="13">
        <v>35</v>
      </c>
      <c r="V629" t="s">
        <v>99</v>
      </c>
      <c r="X629" s="13">
        <v>205</v>
      </c>
    </row>
    <row r="630" spans="1:24" x14ac:dyDescent="0.25">
      <c r="A630" t="s">
        <v>738</v>
      </c>
      <c r="B630" t="s">
        <v>62</v>
      </c>
      <c r="C630" t="s">
        <v>721</v>
      </c>
      <c r="D630" t="s">
        <v>722</v>
      </c>
      <c r="E630" t="s">
        <v>62</v>
      </c>
      <c r="F630" t="s">
        <v>94</v>
      </c>
      <c r="G630" t="s">
        <v>277</v>
      </c>
      <c r="H630" s="12">
        <v>6.1512748999999998</v>
      </c>
      <c r="I630" s="12">
        <v>-75.536050799999998</v>
      </c>
      <c r="K630" t="s">
        <v>97</v>
      </c>
      <c r="M630">
        <v>11</v>
      </c>
      <c r="P630" s="13">
        <v>197</v>
      </c>
      <c r="Q630" s="13">
        <v>61</v>
      </c>
      <c r="R630">
        <v>24</v>
      </c>
      <c r="S630">
        <v>32</v>
      </c>
      <c r="T630" s="13">
        <v>34</v>
      </c>
      <c r="U630" s="13">
        <v>58</v>
      </c>
      <c r="V630" t="s">
        <v>99</v>
      </c>
      <c r="X630" s="13">
        <v>197</v>
      </c>
    </row>
    <row r="631" spans="1:24" x14ac:dyDescent="0.25">
      <c r="A631" t="s">
        <v>739</v>
      </c>
      <c r="B631" t="s">
        <v>62</v>
      </c>
      <c r="C631" t="s">
        <v>721</v>
      </c>
      <c r="D631" t="s">
        <v>722</v>
      </c>
      <c r="E631" t="s">
        <v>62</v>
      </c>
      <c r="F631" t="s">
        <v>94</v>
      </c>
      <c r="G631" t="s">
        <v>277</v>
      </c>
      <c r="H631" s="12">
        <v>6.1512748999999998</v>
      </c>
      <c r="I631" s="12">
        <v>-75.536050799999998</v>
      </c>
      <c r="K631" t="s">
        <v>97</v>
      </c>
      <c r="M631">
        <v>11</v>
      </c>
      <c r="P631" s="13">
        <v>192</v>
      </c>
      <c r="Q631" s="13">
        <v>54</v>
      </c>
      <c r="R631">
        <v>40</v>
      </c>
      <c r="S631">
        <v>28</v>
      </c>
      <c r="T631" s="13">
        <v>24</v>
      </c>
      <c r="U631" s="13">
        <v>62</v>
      </c>
      <c r="V631" t="s">
        <v>99</v>
      </c>
      <c r="X631" s="13">
        <v>192</v>
      </c>
    </row>
    <row r="632" spans="1:24" x14ac:dyDescent="0.25">
      <c r="A632" t="s">
        <v>740</v>
      </c>
      <c r="B632" t="s">
        <v>62</v>
      </c>
      <c r="C632" t="s">
        <v>721</v>
      </c>
      <c r="D632" t="s">
        <v>722</v>
      </c>
      <c r="E632" t="s">
        <v>62</v>
      </c>
      <c r="F632" t="s">
        <v>94</v>
      </c>
      <c r="G632" t="s">
        <v>277</v>
      </c>
      <c r="H632" s="12">
        <v>6.1512748999999998</v>
      </c>
      <c r="I632" s="12">
        <v>-75.536050799999998</v>
      </c>
      <c r="K632" t="s">
        <v>97</v>
      </c>
      <c r="M632">
        <v>11</v>
      </c>
      <c r="P632" s="13">
        <v>190</v>
      </c>
      <c r="Q632" s="13">
        <v>46</v>
      </c>
      <c r="R632">
        <v>20</v>
      </c>
      <c r="S632">
        <v>46</v>
      </c>
      <c r="T632" s="13">
        <v>33</v>
      </c>
      <c r="U632" s="13">
        <v>58</v>
      </c>
      <c r="V632" t="s">
        <v>99</v>
      </c>
      <c r="X632" s="13">
        <v>190</v>
      </c>
    </row>
    <row r="633" spans="1:24" x14ac:dyDescent="0.25">
      <c r="A633" t="s">
        <v>741</v>
      </c>
      <c r="B633" t="s">
        <v>62</v>
      </c>
      <c r="C633" t="s">
        <v>721</v>
      </c>
      <c r="D633" t="s">
        <v>722</v>
      </c>
      <c r="E633" t="s">
        <v>62</v>
      </c>
      <c r="F633" t="s">
        <v>94</v>
      </c>
      <c r="G633" t="s">
        <v>277</v>
      </c>
      <c r="H633" s="12">
        <v>6.1512748999999998</v>
      </c>
      <c r="I633" s="12">
        <v>-75.536050799999998</v>
      </c>
      <c r="K633" t="s">
        <v>97</v>
      </c>
      <c r="M633">
        <v>11</v>
      </c>
      <c r="P633" s="13">
        <v>188</v>
      </c>
      <c r="Q633" s="13">
        <v>29</v>
      </c>
      <c r="R633">
        <v>36</v>
      </c>
      <c r="S633">
        <v>40</v>
      </c>
      <c r="T633" s="13">
        <v>52</v>
      </c>
      <c r="U633" s="13">
        <v>18</v>
      </c>
      <c r="V633" t="s">
        <v>99</v>
      </c>
      <c r="X633" s="13">
        <v>188</v>
      </c>
    </row>
    <row r="634" spans="1:24" x14ac:dyDescent="0.25">
      <c r="A634" t="s">
        <v>742</v>
      </c>
      <c r="B634" t="s">
        <v>62</v>
      </c>
      <c r="C634" t="s">
        <v>721</v>
      </c>
      <c r="D634" t="s">
        <v>722</v>
      </c>
      <c r="E634" t="s">
        <v>62</v>
      </c>
      <c r="F634" t="s">
        <v>94</v>
      </c>
      <c r="G634" t="s">
        <v>277</v>
      </c>
      <c r="H634" s="12">
        <v>6.1512748999999998</v>
      </c>
      <c r="I634" s="12">
        <v>-75.536050799999998</v>
      </c>
      <c r="K634" t="s">
        <v>97</v>
      </c>
      <c r="M634">
        <v>11</v>
      </c>
      <c r="P634" s="13">
        <v>187</v>
      </c>
      <c r="Q634" s="13">
        <v>39</v>
      </c>
      <c r="R634">
        <v>26</v>
      </c>
      <c r="S634">
        <v>46</v>
      </c>
      <c r="T634" s="13">
        <v>34</v>
      </c>
      <c r="U634" s="13">
        <v>49</v>
      </c>
      <c r="V634" t="s">
        <v>99</v>
      </c>
      <c r="X634" s="13">
        <v>187</v>
      </c>
    </row>
    <row r="635" spans="1:24" x14ac:dyDescent="0.25">
      <c r="A635" t="s">
        <v>743</v>
      </c>
      <c r="B635" t="s">
        <v>62</v>
      </c>
      <c r="C635" t="s">
        <v>721</v>
      </c>
      <c r="D635" t="s">
        <v>722</v>
      </c>
      <c r="E635" t="s">
        <v>62</v>
      </c>
      <c r="F635" t="s">
        <v>94</v>
      </c>
      <c r="G635" t="s">
        <v>277</v>
      </c>
      <c r="H635" s="12">
        <v>6.1512748999999998</v>
      </c>
      <c r="I635" s="12">
        <v>-75.536050799999998</v>
      </c>
      <c r="K635" t="s">
        <v>97</v>
      </c>
      <c r="M635">
        <v>11</v>
      </c>
      <c r="P635" s="13">
        <v>178</v>
      </c>
      <c r="Q635" s="13">
        <v>56</v>
      </c>
      <c r="R635">
        <v>22</v>
      </c>
      <c r="S635">
        <v>34</v>
      </c>
      <c r="T635" s="13">
        <v>31</v>
      </c>
      <c r="U635" s="13">
        <v>35</v>
      </c>
      <c r="V635" t="s">
        <v>99</v>
      </c>
      <c r="X635" s="13">
        <v>178</v>
      </c>
    </row>
    <row r="636" spans="1:24" x14ac:dyDescent="0.25">
      <c r="A636" t="s">
        <v>744</v>
      </c>
      <c r="B636" t="s">
        <v>62</v>
      </c>
      <c r="C636" t="s">
        <v>721</v>
      </c>
      <c r="D636" t="s">
        <v>722</v>
      </c>
      <c r="E636" t="s">
        <v>62</v>
      </c>
      <c r="F636" t="s">
        <v>94</v>
      </c>
      <c r="G636" t="s">
        <v>277</v>
      </c>
      <c r="H636" s="12">
        <v>6.1512748999999998</v>
      </c>
      <c r="I636" s="12">
        <v>-75.536050799999998</v>
      </c>
      <c r="K636" t="s">
        <v>97</v>
      </c>
      <c r="M636">
        <v>11</v>
      </c>
      <c r="P636" s="13">
        <v>176</v>
      </c>
      <c r="Q636" s="13">
        <v>29</v>
      </c>
      <c r="R636">
        <v>28</v>
      </c>
      <c r="S636">
        <v>36</v>
      </c>
      <c r="T636" s="13">
        <v>40</v>
      </c>
      <c r="U636" s="13">
        <v>58</v>
      </c>
      <c r="V636" t="s">
        <v>99</v>
      </c>
      <c r="X636" s="13">
        <v>176</v>
      </c>
    </row>
    <row r="637" spans="1:24" x14ac:dyDescent="0.25">
      <c r="A637" t="s">
        <v>745</v>
      </c>
      <c r="B637" t="s">
        <v>62</v>
      </c>
      <c r="C637" t="s">
        <v>721</v>
      </c>
      <c r="D637" t="s">
        <v>722</v>
      </c>
      <c r="E637" t="s">
        <v>62</v>
      </c>
      <c r="F637" t="s">
        <v>94</v>
      </c>
      <c r="G637" t="s">
        <v>277</v>
      </c>
      <c r="H637" s="12">
        <v>6.1512748999999998</v>
      </c>
      <c r="I637" s="12">
        <v>-75.536050799999998</v>
      </c>
      <c r="K637" t="s">
        <v>97</v>
      </c>
      <c r="M637">
        <v>11</v>
      </c>
      <c r="P637" s="13">
        <v>175</v>
      </c>
      <c r="Q637" s="13">
        <v>44</v>
      </c>
      <c r="R637">
        <v>28</v>
      </c>
      <c r="S637">
        <v>46</v>
      </c>
      <c r="T637" s="13">
        <v>21</v>
      </c>
      <c r="U637" s="13">
        <v>38</v>
      </c>
      <c r="V637" t="s">
        <v>99</v>
      </c>
      <c r="X637" s="13">
        <v>175</v>
      </c>
    </row>
    <row r="638" spans="1:24" x14ac:dyDescent="0.25">
      <c r="A638" t="s">
        <v>746</v>
      </c>
      <c r="B638" t="s">
        <v>62</v>
      </c>
      <c r="C638" t="s">
        <v>721</v>
      </c>
      <c r="D638" t="s">
        <v>722</v>
      </c>
      <c r="E638" t="s">
        <v>62</v>
      </c>
      <c r="F638" t="s">
        <v>94</v>
      </c>
      <c r="G638" t="s">
        <v>277</v>
      </c>
      <c r="H638" s="12">
        <v>6.1512748999999998</v>
      </c>
      <c r="I638" s="12">
        <v>-75.536050799999998</v>
      </c>
      <c r="K638" t="s">
        <v>97</v>
      </c>
      <c r="M638">
        <v>11</v>
      </c>
      <c r="P638" s="13">
        <v>172</v>
      </c>
      <c r="Q638" s="13">
        <v>41</v>
      </c>
      <c r="R638">
        <v>28</v>
      </c>
      <c r="S638">
        <v>30</v>
      </c>
      <c r="T638" s="13">
        <v>38</v>
      </c>
      <c r="U638" s="13">
        <v>35</v>
      </c>
      <c r="V638" t="s">
        <v>99</v>
      </c>
      <c r="X638" s="13">
        <v>172</v>
      </c>
    </row>
    <row r="639" spans="1:24" x14ac:dyDescent="0.25">
      <c r="A639" t="s">
        <v>747</v>
      </c>
      <c r="B639" t="s">
        <v>62</v>
      </c>
      <c r="C639" t="s">
        <v>721</v>
      </c>
      <c r="D639" t="s">
        <v>722</v>
      </c>
      <c r="E639" t="s">
        <v>62</v>
      </c>
      <c r="F639" t="s">
        <v>94</v>
      </c>
      <c r="G639" t="s">
        <v>277</v>
      </c>
      <c r="H639" s="12">
        <v>6.1512748999999998</v>
      </c>
      <c r="I639" s="12">
        <v>-75.536050799999998</v>
      </c>
      <c r="K639" t="s">
        <v>97</v>
      </c>
      <c r="M639">
        <v>11</v>
      </c>
      <c r="P639" s="13">
        <v>171</v>
      </c>
      <c r="Q639" s="13">
        <v>46</v>
      </c>
      <c r="R639">
        <v>30</v>
      </c>
      <c r="S639">
        <v>26</v>
      </c>
      <c r="T639" s="13">
        <v>31</v>
      </c>
      <c r="U639" s="13">
        <v>44</v>
      </c>
      <c r="V639" t="s">
        <v>99</v>
      </c>
      <c r="X639" s="13">
        <v>171</v>
      </c>
    </row>
    <row r="640" spans="1:24" x14ac:dyDescent="0.25">
      <c r="A640" t="s">
        <v>748</v>
      </c>
      <c r="B640" t="s">
        <v>62</v>
      </c>
      <c r="C640" t="s">
        <v>721</v>
      </c>
      <c r="D640" t="s">
        <v>722</v>
      </c>
      <c r="E640" t="s">
        <v>62</v>
      </c>
      <c r="F640" t="s">
        <v>94</v>
      </c>
      <c r="G640" t="s">
        <v>277</v>
      </c>
      <c r="H640" s="12">
        <v>6.1512748999999998</v>
      </c>
      <c r="I640" s="12">
        <v>-75.536050799999998</v>
      </c>
      <c r="K640" t="s">
        <v>97</v>
      </c>
      <c r="M640">
        <v>11</v>
      </c>
      <c r="P640" s="13">
        <v>169</v>
      </c>
      <c r="Q640" s="13">
        <v>56</v>
      </c>
      <c r="R640">
        <v>26</v>
      </c>
      <c r="S640">
        <v>26</v>
      </c>
      <c r="T640" s="13">
        <v>26</v>
      </c>
      <c r="U640" s="13">
        <v>36</v>
      </c>
      <c r="V640" t="s">
        <v>99</v>
      </c>
      <c r="X640" s="13">
        <v>169</v>
      </c>
    </row>
    <row r="641" spans="1:24" x14ac:dyDescent="0.25">
      <c r="A641" t="s">
        <v>749</v>
      </c>
      <c r="B641" t="s">
        <v>62</v>
      </c>
      <c r="C641" t="s">
        <v>721</v>
      </c>
      <c r="D641" t="s">
        <v>722</v>
      </c>
      <c r="E641" t="s">
        <v>62</v>
      </c>
      <c r="F641" t="s">
        <v>94</v>
      </c>
      <c r="G641" t="s">
        <v>277</v>
      </c>
      <c r="H641" s="12">
        <v>6.1512748999999998</v>
      </c>
      <c r="I641" s="12">
        <v>-75.536050799999998</v>
      </c>
      <c r="K641" t="s">
        <v>97</v>
      </c>
      <c r="M641">
        <v>11</v>
      </c>
      <c r="P641" s="13">
        <v>168</v>
      </c>
      <c r="Q641" s="13">
        <v>51</v>
      </c>
      <c r="R641">
        <v>36</v>
      </c>
      <c r="S641">
        <v>24</v>
      </c>
      <c r="T641" s="13">
        <v>22</v>
      </c>
      <c r="U641" s="13">
        <v>36</v>
      </c>
      <c r="V641" t="s">
        <v>99</v>
      </c>
      <c r="X641" s="13">
        <v>168</v>
      </c>
    </row>
    <row r="642" spans="1:24" x14ac:dyDescent="0.25">
      <c r="A642" t="s">
        <v>750</v>
      </c>
      <c r="B642" t="s">
        <v>62</v>
      </c>
      <c r="C642" t="s">
        <v>721</v>
      </c>
      <c r="D642" t="s">
        <v>722</v>
      </c>
      <c r="E642" t="s">
        <v>62</v>
      </c>
      <c r="F642" t="s">
        <v>94</v>
      </c>
      <c r="G642" t="s">
        <v>277</v>
      </c>
      <c r="H642" s="12">
        <v>6.1512748999999998</v>
      </c>
      <c r="I642" s="12">
        <v>-75.536050799999998</v>
      </c>
      <c r="K642" t="s">
        <v>97</v>
      </c>
      <c r="M642">
        <v>11</v>
      </c>
      <c r="P642" s="13">
        <v>161</v>
      </c>
      <c r="Q642" s="13">
        <v>59</v>
      </c>
      <c r="R642">
        <v>20</v>
      </c>
      <c r="S642">
        <v>30</v>
      </c>
      <c r="T642" s="13">
        <v>21</v>
      </c>
      <c r="U642" s="13">
        <v>31</v>
      </c>
      <c r="V642" t="s">
        <v>99</v>
      </c>
      <c r="X642" s="13">
        <v>161</v>
      </c>
    </row>
    <row r="643" spans="1:24" x14ac:dyDescent="0.25">
      <c r="A643" t="s">
        <v>751</v>
      </c>
      <c r="B643" t="s">
        <v>62</v>
      </c>
      <c r="C643" t="s">
        <v>721</v>
      </c>
      <c r="D643" t="s">
        <v>722</v>
      </c>
      <c r="E643" t="s">
        <v>62</v>
      </c>
      <c r="F643" t="s">
        <v>94</v>
      </c>
      <c r="G643" t="s">
        <v>277</v>
      </c>
      <c r="H643" s="12">
        <v>6.1512748999999998</v>
      </c>
      <c r="I643" s="12">
        <v>-75.536050799999998</v>
      </c>
      <c r="K643" t="s">
        <v>97</v>
      </c>
      <c r="M643">
        <v>11</v>
      </c>
      <c r="P643" s="13">
        <v>160</v>
      </c>
      <c r="Q643" s="13">
        <v>39</v>
      </c>
      <c r="R643">
        <v>16</v>
      </c>
      <c r="S643">
        <v>36</v>
      </c>
      <c r="T643" s="13">
        <v>38</v>
      </c>
      <c r="U643" s="13">
        <v>29</v>
      </c>
      <c r="V643" t="s">
        <v>99</v>
      </c>
      <c r="X643" s="13">
        <v>160</v>
      </c>
    </row>
    <row r="644" spans="1:24" x14ac:dyDescent="0.25">
      <c r="A644" t="s">
        <v>752</v>
      </c>
      <c r="B644" t="s">
        <v>62</v>
      </c>
      <c r="C644" t="s">
        <v>721</v>
      </c>
      <c r="D644" t="s">
        <v>722</v>
      </c>
      <c r="E644" t="s">
        <v>62</v>
      </c>
      <c r="F644" t="s">
        <v>94</v>
      </c>
      <c r="G644" t="s">
        <v>277</v>
      </c>
      <c r="H644" s="12">
        <v>6.1512748999999998</v>
      </c>
      <c r="I644" s="12">
        <v>-75.536050799999998</v>
      </c>
      <c r="K644" t="s">
        <v>97</v>
      </c>
      <c r="M644">
        <v>11</v>
      </c>
      <c r="P644" s="13">
        <v>158</v>
      </c>
      <c r="Q644" s="13">
        <v>37</v>
      </c>
      <c r="R644">
        <v>26</v>
      </c>
      <c r="S644">
        <v>42</v>
      </c>
      <c r="T644" s="13">
        <v>14</v>
      </c>
      <c r="U644" s="13">
        <v>56</v>
      </c>
      <c r="V644" t="s">
        <v>99</v>
      </c>
      <c r="X644" s="13">
        <v>158</v>
      </c>
    </row>
    <row r="645" spans="1:24" x14ac:dyDescent="0.25">
      <c r="A645" t="s">
        <v>753</v>
      </c>
      <c r="B645" t="s">
        <v>62</v>
      </c>
      <c r="C645" t="s">
        <v>721</v>
      </c>
      <c r="D645" t="s">
        <v>722</v>
      </c>
      <c r="E645" t="s">
        <v>62</v>
      </c>
      <c r="F645" t="s">
        <v>94</v>
      </c>
      <c r="G645" t="s">
        <v>277</v>
      </c>
      <c r="H645" s="12">
        <v>6.1512748999999998</v>
      </c>
      <c r="I645" s="12">
        <v>-75.536050799999998</v>
      </c>
      <c r="K645" t="s">
        <v>97</v>
      </c>
      <c r="M645">
        <v>11</v>
      </c>
      <c r="P645" s="13">
        <v>151</v>
      </c>
      <c r="Q645" s="13">
        <v>41</v>
      </c>
      <c r="R645">
        <v>28</v>
      </c>
      <c r="S645">
        <v>26</v>
      </c>
      <c r="T645" s="13">
        <v>24</v>
      </c>
      <c r="U645" s="13">
        <v>33</v>
      </c>
      <c r="V645" t="s">
        <v>99</v>
      </c>
      <c r="X645" s="13">
        <v>151</v>
      </c>
    </row>
    <row r="646" spans="1:24" x14ac:dyDescent="0.25">
      <c r="A646" t="s">
        <v>754</v>
      </c>
      <c r="B646" t="s">
        <v>62</v>
      </c>
      <c r="C646" t="s">
        <v>721</v>
      </c>
      <c r="D646" t="s">
        <v>722</v>
      </c>
      <c r="E646" t="s">
        <v>62</v>
      </c>
      <c r="F646" t="s">
        <v>94</v>
      </c>
      <c r="G646" t="s">
        <v>277</v>
      </c>
      <c r="H646" s="12">
        <v>6.1512748999999998</v>
      </c>
      <c r="I646" s="12">
        <v>-75.536050799999998</v>
      </c>
      <c r="K646" t="s">
        <v>97</v>
      </c>
      <c r="M646">
        <v>11</v>
      </c>
      <c r="P646" s="13">
        <v>147</v>
      </c>
      <c r="Q646" s="13">
        <v>37</v>
      </c>
      <c r="R646">
        <v>12</v>
      </c>
      <c r="S646">
        <v>38</v>
      </c>
      <c r="T646" s="13">
        <v>29</v>
      </c>
      <c r="U646" s="13">
        <v>35</v>
      </c>
      <c r="V646" t="s">
        <v>99</v>
      </c>
      <c r="X646" s="13">
        <v>147</v>
      </c>
    </row>
    <row r="647" spans="1:24" x14ac:dyDescent="0.25">
      <c r="A647" t="s">
        <v>755</v>
      </c>
      <c r="B647" t="s">
        <v>62</v>
      </c>
      <c r="C647" t="s">
        <v>721</v>
      </c>
      <c r="D647" t="s">
        <v>722</v>
      </c>
      <c r="E647" t="s">
        <v>62</v>
      </c>
      <c r="F647" t="s">
        <v>94</v>
      </c>
      <c r="G647" t="s">
        <v>277</v>
      </c>
      <c r="H647" s="12">
        <v>6.1512748999999998</v>
      </c>
      <c r="I647" s="12">
        <v>-75.536050799999998</v>
      </c>
      <c r="K647" t="s">
        <v>97</v>
      </c>
      <c r="M647">
        <v>11</v>
      </c>
      <c r="P647" s="13">
        <v>145</v>
      </c>
      <c r="Q647" s="13">
        <v>39</v>
      </c>
      <c r="R647">
        <v>20</v>
      </c>
      <c r="S647">
        <v>22</v>
      </c>
      <c r="T647" s="13">
        <v>34</v>
      </c>
      <c r="U647" s="13">
        <v>31</v>
      </c>
      <c r="V647" t="s">
        <v>99</v>
      </c>
      <c r="X647" s="13">
        <v>145</v>
      </c>
    </row>
    <row r="648" spans="1:24" x14ac:dyDescent="0.25">
      <c r="A648" t="s">
        <v>756</v>
      </c>
      <c r="B648" t="s">
        <v>62</v>
      </c>
      <c r="C648" t="s">
        <v>721</v>
      </c>
      <c r="D648" t="s">
        <v>722</v>
      </c>
      <c r="E648" t="s">
        <v>62</v>
      </c>
      <c r="F648" t="s">
        <v>94</v>
      </c>
      <c r="G648" t="s">
        <v>277</v>
      </c>
      <c r="H648" s="12">
        <v>6.1512748999999998</v>
      </c>
      <c r="I648" s="12">
        <v>-75.536050799999998</v>
      </c>
      <c r="K648" t="s">
        <v>97</v>
      </c>
      <c r="M648">
        <v>11</v>
      </c>
      <c r="P648" s="13">
        <v>139</v>
      </c>
      <c r="Q648" s="13">
        <v>20</v>
      </c>
      <c r="R648">
        <v>30</v>
      </c>
      <c r="S648">
        <v>28</v>
      </c>
      <c r="T648" s="13">
        <v>26</v>
      </c>
      <c r="U648" s="13">
        <v>51</v>
      </c>
      <c r="V648" t="s">
        <v>99</v>
      </c>
      <c r="X648" s="13">
        <v>139</v>
      </c>
    </row>
    <row r="649" spans="1:24" x14ac:dyDescent="0.25">
      <c r="A649" t="s">
        <v>757</v>
      </c>
      <c r="B649" t="s">
        <v>62</v>
      </c>
      <c r="C649" t="s">
        <v>721</v>
      </c>
      <c r="D649" t="s">
        <v>722</v>
      </c>
      <c r="E649" t="s">
        <v>62</v>
      </c>
      <c r="F649" t="s">
        <v>94</v>
      </c>
      <c r="G649" t="s">
        <v>277</v>
      </c>
      <c r="H649" s="12">
        <v>6.1512748999999998</v>
      </c>
      <c r="I649" s="12">
        <v>-75.536050799999998</v>
      </c>
      <c r="K649" t="s">
        <v>97</v>
      </c>
      <c r="M649">
        <v>11</v>
      </c>
      <c r="P649" s="13">
        <v>136</v>
      </c>
      <c r="Q649" s="13">
        <v>32</v>
      </c>
      <c r="R649">
        <v>32</v>
      </c>
      <c r="S649">
        <v>24</v>
      </c>
      <c r="T649" s="13">
        <v>21</v>
      </c>
      <c r="U649" s="13">
        <v>29</v>
      </c>
      <c r="V649" t="s">
        <v>99</v>
      </c>
      <c r="X649" s="13">
        <v>136</v>
      </c>
    </row>
    <row r="650" spans="1:24" x14ac:dyDescent="0.25">
      <c r="A650" t="s">
        <v>758</v>
      </c>
      <c r="B650" t="s">
        <v>62</v>
      </c>
      <c r="C650" t="s">
        <v>721</v>
      </c>
      <c r="D650" t="s">
        <v>722</v>
      </c>
      <c r="E650" t="s">
        <v>62</v>
      </c>
      <c r="F650" t="s">
        <v>94</v>
      </c>
      <c r="G650" t="s">
        <v>277</v>
      </c>
      <c r="H650" s="12">
        <v>6.1512748999999998</v>
      </c>
      <c r="I650" s="12">
        <v>-75.536050799999998</v>
      </c>
      <c r="K650" t="s">
        <v>97</v>
      </c>
      <c r="M650">
        <v>11</v>
      </c>
      <c r="P650" s="13">
        <v>131</v>
      </c>
      <c r="Q650" s="13">
        <v>24</v>
      </c>
      <c r="R650">
        <v>30</v>
      </c>
      <c r="S650">
        <v>30</v>
      </c>
      <c r="T650" s="13">
        <v>19</v>
      </c>
      <c r="U650" s="13">
        <v>31</v>
      </c>
      <c r="V650" t="s">
        <v>99</v>
      </c>
      <c r="X650" s="13">
        <v>131</v>
      </c>
    </row>
    <row r="651" spans="1:24" x14ac:dyDescent="0.25">
      <c r="A651" t="s">
        <v>759</v>
      </c>
      <c r="B651" t="s">
        <v>62</v>
      </c>
      <c r="C651" t="s">
        <v>721</v>
      </c>
      <c r="D651" t="s">
        <v>722</v>
      </c>
      <c r="E651" t="s">
        <v>62</v>
      </c>
      <c r="F651" t="s">
        <v>94</v>
      </c>
      <c r="G651" t="s">
        <v>277</v>
      </c>
      <c r="H651" s="12">
        <v>6.1512748999999998</v>
      </c>
      <c r="I651" s="12">
        <v>-75.536050799999998</v>
      </c>
      <c r="K651" t="s">
        <v>97</v>
      </c>
      <c r="M651">
        <v>11</v>
      </c>
      <c r="P651" s="13">
        <v>128</v>
      </c>
      <c r="Q651" s="13">
        <v>27</v>
      </c>
      <c r="R651">
        <v>10</v>
      </c>
      <c r="S651">
        <v>40</v>
      </c>
      <c r="T651" s="13">
        <v>26</v>
      </c>
      <c r="U651" s="13">
        <v>24</v>
      </c>
      <c r="V651" t="s">
        <v>99</v>
      </c>
      <c r="X651" s="13">
        <v>128</v>
      </c>
    </row>
    <row r="652" spans="1:24" x14ac:dyDescent="0.25">
      <c r="A652" t="s">
        <v>760</v>
      </c>
      <c r="B652" t="s">
        <v>62</v>
      </c>
      <c r="C652" t="s">
        <v>721</v>
      </c>
      <c r="D652" t="s">
        <v>722</v>
      </c>
      <c r="E652" t="s">
        <v>62</v>
      </c>
      <c r="F652" t="s">
        <v>94</v>
      </c>
      <c r="G652" t="s">
        <v>277</v>
      </c>
      <c r="H652" s="12">
        <v>6.1512748999999998</v>
      </c>
      <c r="I652" s="12">
        <v>-75.536050799999998</v>
      </c>
      <c r="K652" t="s">
        <v>97</v>
      </c>
      <c r="M652">
        <v>11</v>
      </c>
      <c r="P652" s="13">
        <v>125</v>
      </c>
      <c r="Q652" s="13">
        <v>27</v>
      </c>
      <c r="R652">
        <v>36</v>
      </c>
      <c r="S652">
        <v>14</v>
      </c>
      <c r="T652" s="13">
        <v>19</v>
      </c>
      <c r="U652" s="13">
        <v>36</v>
      </c>
      <c r="V652" t="s">
        <v>99</v>
      </c>
      <c r="X652" s="13">
        <v>125</v>
      </c>
    </row>
    <row r="653" spans="1:24" x14ac:dyDescent="0.25">
      <c r="A653" t="s">
        <v>761</v>
      </c>
      <c r="B653" t="s">
        <v>62</v>
      </c>
      <c r="C653" t="s">
        <v>721</v>
      </c>
      <c r="D653" t="s">
        <v>722</v>
      </c>
      <c r="E653" t="s">
        <v>62</v>
      </c>
      <c r="F653" t="s">
        <v>94</v>
      </c>
      <c r="G653" t="s">
        <v>277</v>
      </c>
      <c r="H653" s="12">
        <v>6.1512748999999998</v>
      </c>
      <c r="I653" s="12">
        <v>-75.536050799999998</v>
      </c>
      <c r="K653" t="s">
        <v>97</v>
      </c>
      <c r="M653">
        <v>11</v>
      </c>
      <c r="P653" s="13">
        <v>106</v>
      </c>
      <c r="Q653" s="13">
        <v>22</v>
      </c>
      <c r="R653">
        <v>16</v>
      </c>
      <c r="S653">
        <v>30</v>
      </c>
      <c r="T653" s="13">
        <v>24</v>
      </c>
      <c r="U653" s="13">
        <v>0</v>
      </c>
      <c r="V653" t="s">
        <v>99</v>
      </c>
      <c r="X653" s="13">
        <v>106</v>
      </c>
    </row>
    <row r="654" spans="1:24" x14ac:dyDescent="0.25">
      <c r="A654" t="s">
        <v>762</v>
      </c>
      <c r="B654" t="s">
        <v>62</v>
      </c>
      <c r="C654" t="s">
        <v>763</v>
      </c>
      <c r="D654" t="s">
        <v>764</v>
      </c>
      <c r="E654" t="s">
        <v>62</v>
      </c>
      <c r="F654" t="s">
        <v>94</v>
      </c>
      <c r="G654" t="s">
        <v>277</v>
      </c>
      <c r="H654" s="12">
        <v>6.1632490000000004</v>
      </c>
      <c r="I654" s="12">
        <v>-75.594163600000002</v>
      </c>
      <c r="K654" t="s">
        <v>97</v>
      </c>
      <c r="M654">
        <v>11</v>
      </c>
      <c r="P654" s="13">
        <v>354</v>
      </c>
      <c r="Q654" s="13">
        <v>68</v>
      </c>
      <c r="R654">
        <v>62</v>
      </c>
      <c r="S654">
        <v>78</v>
      </c>
      <c r="T654" s="13">
        <v>67</v>
      </c>
      <c r="U654" s="13">
        <v>93</v>
      </c>
      <c r="V654" t="s">
        <v>99</v>
      </c>
      <c r="X654" s="13">
        <v>354</v>
      </c>
    </row>
    <row r="655" spans="1:24" x14ac:dyDescent="0.25">
      <c r="A655" t="s">
        <v>765</v>
      </c>
      <c r="B655" t="s">
        <v>62</v>
      </c>
      <c r="C655" t="s">
        <v>763</v>
      </c>
      <c r="D655" t="s">
        <v>764</v>
      </c>
      <c r="E655" t="s">
        <v>62</v>
      </c>
      <c r="F655" t="s">
        <v>94</v>
      </c>
      <c r="G655" t="s">
        <v>277</v>
      </c>
      <c r="H655" s="12">
        <v>6.1632490000000004</v>
      </c>
      <c r="I655" s="12">
        <v>-75.594163600000002</v>
      </c>
      <c r="K655" t="s">
        <v>97</v>
      </c>
      <c r="M655">
        <v>11</v>
      </c>
      <c r="P655" s="13">
        <v>334</v>
      </c>
      <c r="Q655" s="13">
        <v>76</v>
      </c>
      <c r="R655">
        <v>70</v>
      </c>
      <c r="S655">
        <v>72</v>
      </c>
      <c r="T655" s="13">
        <v>40</v>
      </c>
      <c r="U655" s="13">
        <v>96</v>
      </c>
      <c r="V655" t="s">
        <v>99</v>
      </c>
      <c r="X655" s="13">
        <v>334</v>
      </c>
    </row>
    <row r="656" spans="1:24" x14ac:dyDescent="0.25">
      <c r="A656" t="s">
        <v>766</v>
      </c>
      <c r="B656" t="s">
        <v>62</v>
      </c>
      <c r="C656" t="s">
        <v>763</v>
      </c>
      <c r="D656" t="s">
        <v>764</v>
      </c>
      <c r="E656" t="s">
        <v>62</v>
      </c>
      <c r="F656" t="s">
        <v>94</v>
      </c>
      <c r="G656" t="s">
        <v>277</v>
      </c>
      <c r="H656" s="12">
        <v>6.1632490000000004</v>
      </c>
      <c r="I656" s="12">
        <v>-75.594163600000002</v>
      </c>
      <c r="K656" t="s">
        <v>97</v>
      </c>
      <c r="M656">
        <v>11</v>
      </c>
      <c r="P656" s="13">
        <v>326</v>
      </c>
      <c r="Q656" s="13">
        <v>68</v>
      </c>
      <c r="R656">
        <v>52</v>
      </c>
      <c r="S656">
        <v>68</v>
      </c>
      <c r="T656" s="13">
        <v>67</v>
      </c>
      <c r="U656" s="13">
        <v>80</v>
      </c>
      <c r="V656" t="s">
        <v>99</v>
      </c>
      <c r="X656" s="13">
        <v>326</v>
      </c>
    </row>
    <row r="657" spans="1:24" x14ac:dyDescent="0.25">
      <c r="A657" t="s">
        <v>767</v>
      </c>
      <c r="B657" t="s">
        <v>62</v>
      </c>
      <c r="C657" t="s">
        <v>763</v>
      </c>
      <c r="D657" t="s">
        <v>764</v>
      </c>
      <c r="E657" t="s">
        <v>62</v>
      </c>
      <c r="F657" t="s">
        <v>94</v>
      </c>
      <c r="G657" t="s">
        <v>277</v>
      </c>
      <c r="H657" s="12">
        <v>6.1632490000000004</v>
      </c>
      <c r="I657" s="12">
        <v>-75.594163600000002</v>
      </c>
      <c r="K657" t="s">
        <v>97</v>
      </c>
      <c r="M657">
        <v>11</v>
      </c>
      <c r="P657" s="13">
        <v>325</v>
      </c>
      <c r="Q657" s="13">
        <v>71</v>
      </c>
      <c r="R657">
        <v>50</v>
      </c>
      <c r="S657">
        <v>82</v>
      </c>
      <c r="T657" s="13">
        <v>53</v>
      </c>
      <c r="U657" s="13">
        <v>76</v>
      </c>
      <c r="V657" t="s">
        <v>99</v>
      </c>
      <c r="X657" s="13">
        <v>325</v>
      </c>
    </row>
    <row r="658" spans="1:24" x14ac:dyDescent="0.25">
      <c r="A658" t="s">
        <v>768</v>
      </c>
      <c r="B658" t="s">
        <v>62</v>
      </c>
      <c r="C658" t="s">
        <v>763</v>
      </c>
      <c r="D658" t="s">
        <v>764</v>
      </c>
      <c r="E658" t="s">
        <v>62</v>
      </c>
      <c r="F658" t="s">
        <v>94</v>
      </c>
      <c r="G658" t="s">
        <v>277</v>
      </c>
      <c r="H658" s="12">
        <v>6.1632490000000004</v>
      </c>
      <c r="I658" s="12">
        <v>-75.594163600000002</v>
      </c>
      <c r="K658" t="s">
        <v>97</v>
      </c>
      <c r="M658">
        <v>11</v>
      </c>
      <c r="P658" s="13">
        <v>312</v>
      </c>
      <c r="Q658" s="13">
        <v>76</v>
      </c>
      <c r="R658">
        <v>56</v>
      </c>
      <c r="S658">
        <v>70</v>
      </c>
      <c r="T658" s="13">
        <v>47</v>
      </c>
      <c r="U658" s="13">
        <v>67</v>
      </c>
      <c r="V658" t="s">
        <v>99</v>
      </c>
      <c r="X658" s="13">
        <v>312</v>
      </c>
    </row>
    <row r="659" spans="1:24" x14ac:dyDescent="0.25">
      <c r="A659" t="s">
        <v>769</v>
      </c>
      <c r="B659" t="s">
        <v>62</v>
      </c>
      <c r="C659" t="s">
        <v>763</v>
      </c>
      <c r="D659" t="s">
        <v>764</v>
      </c>
      <c r="E659" t="s">
        <v>62</v>
      </c>
      <c r="F659" t="s">
        <v>94</v>
      </c>
      <c r="G659" t="s">
        <v>277</v>
      </c>
      <c r="H659" s="12">
        <v>6.1632490000000004</v>
      </c>
      <c r="I659" s="12">
        <v>-75.594163600000002</v>
      </c>
      <c r="K659" t="s">
        <v>97</v>
      </c>
      <c r="M659">
        <v>11</v>
      </c>
      <c r="P659" s="13">
        <v>297</v>
      </c>
      <c r="Q659" s="13">
        <v>83</v>
      </c>
      <c r="R659">
        <v>42</v>
      </c>
      <c r="S659">
        <v>78</v>
      </c>
      <c r="T659" s="13">
        <v>41</v>
      </c>
      <c r="U659" s="13">
        <v>40</v>
      </c>
      <c r="V659" t="s">
        <v>99</v>
      </c>
      <c r="X659" s="13">
        <v>297</v>
      </c>
    </row>
    <row r="660" spans="1:24" x14ac:dyDescent="0.25">
      <c r="A660" t="s">
        <v>770</v>
      </c>
      <c r="B660" t="s">
        <v>62</v>
      </c>
      <c r="C660" t="s">
        <v>763</v>
      </c>
      <c r="D660" t="s">
        <v>764</v>
      </c>
      <c r="E660" t="s">
        <v>62</v>
      </c>
      <c r="F660" t="s">
        <v>94</v>
      </c>
      <c r="G660" t="s">
        <v>277</v>
      </c>
      <c r="H660" s="12">
        <v>6.1632490000000004</v>
      </c>
      <c r="I660" s="12">
        <v>-75.594163600000002</v>
      </c>
      <c r="K660" t="s">
        <v>97</v>
      </c>
      <c r="M660">
        <v>11</v>
      </c>
      <c r="P660" s="13">
        <v>295</v>
      </c>
      <c r="Q660" s="13">
        <v>56</v>
      </c>
      <c r="R660">
        <v>56</v>
      </c>
      <c r="S660">
        <v>66</v>
      </c>
      <c r="T660" s="13">
        <v>52</v>
      </c>
      <c r="U660" s="13">
        <v>78</v>
      </c>
      <c r="V660" t="s">
        <v>99</v>
      </c>
      <c r="X660" s="13">
        <v>295</v>
      </c>
    </row>
    <row r="661" spans="1:24" x14ac:dyDescent="0.25">
      <c r="A661" t="s">
        <v>771</v>
      </c>
      <c r="B661" t="s">
        <v>62</v>
      </c>
      <c r="C661" t="s">
        <v>763</v>
      </c>
      <c r="D661" t="s">
        <v>764</v>
      </c>
      <c r="E661" t="s">
        <v>62</v>
      </c>
      <c r="F661" t="s">
        <v>94</v>
      </c>
      <c r="G661" t="s">
        <v>277</v>
      </c>
      <c r="H661" s="12">
        <v>6.1632490000000004</v>
      </c>
      <c r="I661" s="12">
        <v>-75.594163600000002</v>
      </c>
      <c r="K661" t="s">
        <v>97</v>
      </c>
      <c r="M661">
        <v>11</v>
      </c>
      <c r="P661" s="13">
        <v>292</v>
      </c>
      <c r="Q661" s="13">
        <v>68</v>
      </c>
      <c r="R661">
        <v>46</v>
      </c>
      <c r="S661">
        <v>64</v>
      </c>
      <c r="T661" s="13">
        <v>43</v>
      </c>
      <c r="U661" s="13">
        <v>95</v>
      </c>
      <c r="V661" t="s">
        <v>99</v>
      </c>
      <c r="X661" s="13">
        <v>292</v>
      </c>
    </row>
    <row r="662" spans="1:24" x14ac:dyDescent="0.25">
      <c r="A662" t="s">
        <v>772</v>
      </c>
      <c r="B662" t="s">
        <v>62</v>
      </c>
      <c r="C662" t="s">
        <v>763</v>
      </c>
      <c r="D662" t="s">
        <v>764</v>
      </c>
      <c r="E662" t="s">
        <v>62</v>
      </c>
      <c r="F662" t="s">
        <v>94</v>
      </c>
      <c r="G662" t="s">
        <v>277</v>
      </c>
      <c r="H662" s="12">
        <v>6.1632490000000004</v>
      </c>
      <c r="I662" s="12">
        <v>-75.594163600000002</v>
      </c>
      <c r="K662" t="s">
        <v>97</v>
      </c>
      <c r="M662">
        <v>11</v>
      </c>
      <c r="P662" s="13">
        <v>287</v>
      </c>
      <c r="Q662" s="13">
        <v>59</v>
      </c>
      <c r="R662">
        <v>46</v>
      </c>
      <c r="S662">
        <v>62</v>
      </c>
      <c r="T662" s="13">
        <v>55</v>
      </c>
      <c r="U662" s="13">
        <v>82</v>
      </c>
      <c r="V662" t="s">
        <v>99</v>
      </c>
      <c r="X662" s="13">
        <v>287</v>
      </c>
    </row>
    <row r="663" spans="1:24" x14ac:dyDescent="0.25">
      <c r="A663" t="s">
        <v>773</v>
      </c>
      <c r="B663" t="s">
        <v>62</v>
      </c>
      <c r="C663" t="s">
        <v>763</v>
      </c>
      <c r="D663" t="s">
        <v>764</v>
      </c>
      <c r="E663" t="s">
        <v>62</v>
      </c>
      <c r="F663" t="s">
        <v>94</v>
      </c>
      <c r="G663" t="s">
        <v>277</v>
      </c>
      <c r="H663" s="12">
        <v>6.1632490000000004</v>
      </c>
      <c r="I663" s="12">
        <v>-75.594163600000002</v>
      </c>
      <c r="K663" t="s">
        <v>97</v>
      </c>
      <c r="M663">
        <v>11</v>
      </c>
      <c r="P663" s="13">
        <v>286</v>
      </c>
      <c r="Q663" s="13">
        <v>49</v>
      </c>
      <c r="R663">
        <v>52</v>
      </c>
      <c r="S663">
        <v>82</v>
      </c>
      <c r="T663" s="13">
        <v>45</v>
      </c>
      <c r="U663" s="13">
        <v>60</v>
      </c>
      <c r="V663" t="s">
        <v>99</v>
      </c>
      <c r="X663" s="13">
        <v>286</v>
      </c>
    </row>
    <row r="664" spans="1:24" x14ac:dyDescent="0.25">
      <c r="A664" t="s">
        <v>774</v>
      </c>
      <c r="B664" t="s">
        <v>62</v>
      </c>
      <c r="C664" t="s">
        <v>763</v>
      </c>
      <c r="D664" t="s">
        <v>764</v>
      </c>
      <c r="E664" t="s">
        <v>62</v>
      </c>
      <c r="F664" t="s">
        <v>94</v>
      </c>
      <c r="G664" t="s">
        <v>277</v>
      </c>
      <c r="H664" s="12">
        <v>6.1632490000000004</v>
      </c>
      <c r="I664" s="12">
        <v>-75.594163600000002</v>
      </c>
      <c r="K664" t="s">
        <v>97</v>
      </c>
      <c r="M664">
        <v>11</v>
      </c>
      <c r="P664" s="13">
        <v>284</v>
      </c>
      <c r="Q664" s="13">
        <v>61</v>
      </c>
      <c r="R664">
        <v>32</v>
      </c>
      <c r="S664">
        <v>78</v>
      </c>
      <c r="T664" s="13">
        <v>45</v>
      </c>
      <c r="U664" s="13">
        <v>91</v>
      </c>
      <c r="V664" t="s">
        <v>99</v>
      </c>
      <c r="X664" s="13">
        <v>284</v>
      </c>
    </row>
    <row r="665" spans="1:24" x14ac:dyDescent="0.25">
      <c r="A665" t="s">
        <v>775</v>
      </c>
      <c r="B665" t="s">
        <v>62</v>
      </c>
      <c r="C665" t="s">
        <v>763</v>
      </c>
      <c r="D665" t="s">
        <v>764</v>
      </c>
      <c r="E665" t="s">
        <v>62</v>
      </c>
      <c r="F665" t="s">
        <v>94</v>
      </c>
      <c r="G665" t="s">
        <v>277</v>
      </c>
      <c r="H665" s="12">
        <v>6.1632490000000004</v>
      </c>
      <c r="I665" s="12">
        <v>-75.594163600000002</v>
      </c>
      <c r="K665" t="s">
        <v>97</v>
      </c>
      <c r="M665">
        <v>11</v>
      </c>
      <c r="P665" s="13">
        <v>283</v>
      </c>
      <c r="Q665" s="13">
        <v>66</v>
      </c>
      <c r="R665">
        <v>34</v>
      </c>
      <c r="S665">
        <v>70</v>
      </c>
      <c r="T665" s="13">
        <v>50</v>
      </c>
      <c r="U665" s="13">
        <v>76</v>
      </c>
      <c r="V665" t="s">
        <v>99</v>
      </c>
      <c r="X665" s="13">
        <v>283</v>
      </c>
    </row>
    <row r="666" spans="1:24" x14ac:dyDescent="0.25">
      <c r="A666" t="s">
        <v>776</v>
      </c>
      <c r="B666" t="s">
        <v>62</v>
      </c>
      <c r="C666" t="s">
        <v>763</v>
      </c>
      <c r="D666" t="s">
        <v>764</v>
      </c>
      <c r="E666" t="s">
        <v>62</v>
      </c>
      <c r="F666" t="s">
        <v>94</v>
      </c>
      <c r="G666" t="s">
        <v>277</v>
      </c>
      <c r="H666" s="12">
        <v>6.1632490000000004</v>
      </c>
      <c r="I666" s="12">
        <v>-75.594163600000002</v>
      </c>
      <c r="K666" t="s">
        <v>97</v>
      </c>
      <c r="M666">
        <v>11</v>
      </c>
      <c r="P666" s="13">
        <v>276</v>
      </c>
      <c r="Q666" s="13">
        <v>59</v>
      </c>
      <c r="R666">
        <v>36</v>
      </c>
      <c r="S666">
        <v>74</v>
      </c>
      <c r="T666" s="13">
        <v>48</v>
      </c>
      <c r="U666" s="13">
        <v>67</v>
      </c>
      <c r="V666" t="s">
        <v>99</v>
      </c>
      <c r="X666" s="13">
        <v>276</v>
      </c>
    </row>
    <row r="667" spans="1:24" x14ac:dyDescent="0.25">
      <c r="A667" t="s">
        <v>777</v>
      </c>
      <c r="B667" t="s">
        <v>62</v>
      </c>
      <c r="C667" t="s">
        <v>763</v>
      </c>
      <c r="D667" t="s">
        <v>764</v>
      </c>
      <c r="E667" t="s">
        <v>62</v>
      </c>
      <c r="F667" t="s">
        <v>94</v>
      </c>
      <c r="G667" t="s">
        <v>277</v>
      </c>
      <c r="H667" s="12">
        <v>6.1632490000000004</v>
      </c>
      <c r="I667" s="12">
        <v>-75.594163600000002</v>
      </c>
      <c r="K667" t="s">
        <v>97</v>
      </c>
      <c r="M667">
        <v>11</v>
      </c>
      <c r="P667" s="13">
        <v>275</v>
      </c>
      <c r="Q667" s="13">
        <v>66</v>
      </c>
      <c r="R667">
        <v>46</v>
      </c>
      <c r="S667">
        <v>54</v>
      </c>
      <c r="T667" s="13">
        <v>53</v>
      </c>
      <c r="U667" s="13">
        <v>58</v>
      </c>
      <c r="V667" t="s">
        <v>99</v>
      </c>
      <c r="X667" s="13">
        <v>275</v>
      </c>
    </row>
    <row r="668" spans="1:24" x14ac:dyDescent="0.25">
      <c r="A668" t="s">
        <v>778</v>
      </c>
      <c r="B668" t="s">
        <v>62</v>
      </c>
      <c r="C668" t="s">
        <v>763</v>
      </c>
      <c r="D668" t="s">
        <v>764</v>
      </c>
      <c r="E668" t="s">
        <v>62</v>
      </c>
      <c r="F668" t="s">
        <v>94</v>
      </c>
      <c r="G668" t="s">
        <v>277</v>
      </c>
      <c r="H668" s="12">
        <v>6.1632490000000004</v>
      </c>
      <c r="I668" s="12">
        <v>-75.594163600000002</v>
      </c>
      <c r="K668" t="s">
        <v>97</v>
      </c>
      <c r="M668">
        <v>11</v>
      </c>
      <c r="P668" s="13">
        <v>275</v>
      </c>
      <c r="Q668" s="13">
        <v>63</v>
      </c>
      <c r="R668">
        <v>30</v>
      </c>
      <c r="S668">
        <v>80</v>
      </c>
      <c r="T668" s="13">
        <v>45</v>
      </c>
      <c r="U668" s="13">
        <v>60</v>
      </c>
      <c r="V668" t="s">
        <v>99</v>
      </c>
      <c r="X668" s="13">
        <v>275</v>
      </c>
    </row>
    <row r="669" spans="1:24" x14ac:dyDescent="0.25">
      <c r="A669" t="s">
        <v>779</v>
      </c>
      <c r="B669" t="s">
        <v>62</v>
      </c>
      <c r="C669" t="s">
        <v>763</v>
      </c>
      <c r="D669" t="s">
        <v>764</v>
      </c>
      <c r="E669" t="s">
        <v>62</v>
      </c>
      <c r="F669" t="s">
        <v>94</v>
      </c>
      <c r="G669" t="s">
        <v>277</v>
      </c>
      <c r="H669" s="12">
        <v>6.1632490000000004</v>
      </c>
      <c r="I669" s="12">
        <v>-75.594163600000002</v>
      </c>
      <c r="K669" t="s">
        <v>97</v>
      </c>
      <c r="M669">
        <v>11</v>
      </c>
      <c r="P669" s="13">
        <v>274</v>
      </c>
      <c r="Q669" s="13">
        <v>51</v>
      </c>
      <c r="R669">
        <v>52</v>
      </c>
      <c r="S669">
        <v>60</v>
      </c>
      <c r="T669" s="13">
        <v>48</v>
      </c>
      <c r="U669" s="13">
        <v>78</v>
      </c>
      <c r="V669" t="s">
        <v>99</v>
      </c>
      <c r="X669" s="13">
        <v>274</v>
      </c>
    </row>
    <row r="670" spans="1:24" x14ac:dyDescent="0.25">
      <c r="A670" t="s">
        <v>780</v>
      </c>
      <c r="B670" t="s">
        <v>62</v>
      </c>
      <c r="C670" t="s">
        <v>763</v>
      </c>
      <c r="D670" t="s">
        <v>764</v>
      </c>
      <c r="E670" t="s">
        <v>62</v>
      </c>
      <c r="F670" t="s">
        <v>94</v>
      </c>
      <c r="G670" t="s">
        <v>277</v>
      </c>
      <c r="H670" s="12">
        <v>6.1632490000000004</v>
      </c>
      <c r="I670" s="12">
        <v>-75.594163600000002</v>
      </c>
      <c r="K670" t="s">
        <v>97</v>
      </c>
      <c r="M670">
        <v>11</v>
      </c>
      <c r="P670" s="13">
        <v>271</v>
      </c>
      <c r="Q670" s="13">
        <v>54</v>
      </c>
      <c r="R670">
        <v>48</v>
      </c>
      <c r="S670">
        <v>56</v>
      </c>
      <c r="T670" s="13">
        <v>59</v>
      </c>
      <c r="U670" s="13">
        <v>55</v>
      </c>
      <c r="V670" t="s">
        <v>99</v>
      </c>
      <c r="X670" s="13">
        <v>271</v>
      </c>
    </row>
    <row r="671" spans="1:24" x14ac:dyDescent="0.25">
      <c r="A671" t="s">
        <v>781</v>
      </c>
      <c r="B671" t="s">
        <v>62</v>
      </c>
      <c r="C671" t="s">
        <v>763</v>
      </c>
      <c r="D671" t="s">
        <v>764</v>
      </c>
      <c r="E671" t="s">
        <v>62</v>
      </c>
      <c r="F671" t="s">
        <v>94</v>
      </c>
      <c r="G671" t="s">
        <v>277</v>
      </c>
      <c r="H671" s="12">
        <v>6.1632490000000004</v>
      </c>
      <c r="I671" s="12">
        <v>-75.594163600000002</v>
      </c>
      <c r="K671" t="s">
        <v>97</v>
      </c>
      <c r="M671">
        <v>11</v>
      </c>
      <c r="P671" s="13">
        <v>269</v>
      </c>
      <c r="Q671" s="13">
        <v>66</v>
      </c>
      <c r="R671">
        <v>42</v>
      </c>
      <c r="S671">
        <v>72</v>
      </c>
      <c r="T671" s="13">
        <v>29</v>
      </c>
      <c r="U671" s="13">
        <v>73</v>
      </c>
      <c r="V671" t="s">
        <v>99</v>
      </c>
      <c r="X671" s="13">
        <v>269</v>
      </c>
    </row>
    <row r="672" spans="1:24" x14ac:dyDescent="0.25">
      <c r="A672" t="s">
        <v>782</v>
      </c>
      <c r="B672" t="s">
        <v>62</v>
      </c>
      <c r="C672" t="s">
        <v>763</v>
      </c>
      <c r="D672" t="s">
        <v>764</v>
      </c>
      <c r="E672" t="s">
        <v>62</v>
      </c>
      <c r="F672" t="s">
        <v>94</v>
      </c>
      <c r="G672" t="s">
        <v>277</v>
      </c>
      <c r="H672" s="12">
        <v>6.1632490000000004</v>
      </c>
      <c r="I672" s="12">
        <v>-75.594163600000002</v>
      </c>
      <c r="K672" t="s">
        <v>97</v>
      </c>
      <c r="M672">
        <v>11</v>
      </c>
      <c r="P672" s="13">
        <v>267</v>
      </c>
      <c r="Q672" s="13">
        <v>68</v>
      </c>
      <c r="R672">
        <v>62</v>
      </c>
      <c r="S672">
        <v>24</v>
      </c>
      <c r="T672" s="13">
        <v>57</v>
      </c>
      <c r="U672" s="13">
        <v>62</v>
      </c>
      <c r="V672" t="s">
        <v>99</v>
      </c>
      <c r="X672" s="13">
        <v>267</v>
      </c>
    </row>
    <row r="673" spans="1:24" x14ac:dyDescent="0.25">
      <c r="A673" t="s">
        <v>783</v>
      </c>
      <c r="B673" t="s">
        <v>62</v>
      </c>
      <c r="C673" t="s">
        <v>763</v>
      </c>
      <c r="D673" t="s">
        <v>764</v>
      </c>
      <c r="E673" t="s">
        <v>62</v>
      </c>
      <c r="F673" t="s">
        <v>94</v>
      </c>
      <c r="G673" t="s">
        <v>277</v>
      </c>
      <c r="H673" s="12">
        <v>6.1632490000000004</v>
      </c>
      <c r="I673" s="12">
        <v>-75.594163600000002</v>
      </c>
      <c r="K673" t="s">
        <v>97</v>
      </c>
      <c r="M673">
        <v>11</v>
      </c>
      <c r="P673" s="13">
        <v>264</v>
      </c>
      <c r="Q673" s="13">
        <v>73</v>
      </c>
      <c r="R673">
        <v>28</v>
      </c>
      <c r="S673">
        <v>58</v>
      </c>
      <c r="T673" s="13">
        <v>41</v>
      </c>
      <c r="U673" s="13">
        <v>85</v>
      </c>
      <c r="V673" t="s">
        <v>99</v>
      </c>
      <c r="X673" s="13">
        <v>264</v>
      </c>
    </row>
    <row r="674" spans="1:24" x14ac:dyDescent="0.25">
      <c r="A674" t="s">
        <v>784</v>
      </c>
      <c r="B674" t="s">
        <v>62</v>
      </c>
      <c r="C674" t="s">
        <v>763</v>
      </c>
      <c r="D674" t="s">
        <v>764</v>
      </c>
      <c r="E674" t="s">
        <v>62</v>
      </c>
      <c r="F674" t="s">
        <v>94</v>
      </c>
      <c r="G674" t="s">
        <v>277</v>
      </c>
      <c r="H674" s="12">
        <v>6.1632490000000004</v>
      </c>
      <c r="I674" s="12">
        <v>-75.594163600000002</v>
      </c>
      <c r="K674" t="s">
        <v>97</v>
      </c>
      <c r="M674">
        <v>11</v>
      </c>
      <c r="P674" s="13">
        <v>255</v>
      </c>
      <c r="Q674" s="13">
        <v>51</v>
      </c>
      <c r="R674">
        <v>46</v>
      </c>
      <c r="S674">
        <v>50</v>
      </c>
      <c r="T674" s="13">
        <v>55</v>
      </c>
      <c r="U674" s="13">
        <v>55</v>
      </c>
      <c r="V674" t="s">
        <v>99</v>
      </c>
      <c r="X674" s="13">
        <v>255</v>
      </c>
    </row>
    <row r="675" spans="1:24" x14ac:dyDescent="0.25">
      <c r="A675" t="s">
        <v>785</v>
      </c>
      <c r="B675" t="s">
        <v>62</v>
      </c>
      <c r="C675" t="s">
        <v>763</v>
      </c>
      <c r="D675" t="s">
        <v>764</v>
      </c>
      <c r="E675" t="s">
        <v>62</v>
      </c>
      <c r="F675" t="s">
        <v>94</v>
      </c>
      <c r="G675" t="s">
        <v>277</v>
      </c>
      <c r="H675" s="12">
        <v>6.1632490000000004</v>
      </c>
      <c r="I675" s="12">
        <v>-75.594163600000002</v>
      </c>
      <c r="K675" t="s">
        <v>97</v>
      </c>
      <c r="M675">
        <v>11</v>
      </c>
      <c r="P675" s="13">
        <v>251</v>
      </c>
      <c r="Q675" s="13">
        <v>63</v>
      </c>
      <c r="R675">
        <v>38</v>
      </c>
      <c r="S675">
        <v>70</v>
      </c>
      <c r="T675" s="13">
        <v>29</v>
      </c>
      <c r="U675" s="13">
        <v>51</v>
      </c>
      <c r="V675" t="s">
        <v>99</v>
      </c>
      <c r="X675" s="13">
        <v>251</v>
      </c>
    </row>
    <row r="676" spans="1:24" x14ac:dyDescent="0.25">
      <c r="A676" t="s">
        <v>786</v>
      </c>
      <c r="B676" t="s">
        <v>62</v>
      </c>
      <c r="C676" t="s">
        <v>763</v>
      </c>
      <c r="D676" t="s">
        <v>764</v>
      </c>
      <c r="E676" t="s">
        <v>62</v>
      </c>
      <c r="F676" t="s">
        <v>94</v>
      </c>
      <c r="G676" t="s">
        <v>277</v>
      </c>
      <c r="H676" s="12">
        <v>6.1632490000000004</v>
      </c>
      <c r="I676" s="12">
        <v>-75.594163600000002</v>
      </c>
      <c r="K676" t="s">
        <v>97</v>
      </c>
      <c r="M676">
        <v>11</v>
      </c>
      <c r="P676" s="13">
        <v>251</v>
      </c>
      <c r="Q676" s="13">
        <v>49</v>
      </c>
      <c r="R676">
        <v>52</v>
      </c>
      <c r="S676">
        <v>42</v>
      </c>
      <c r="T676" s="13">
        <v>50</v>
      </c>
      <c r="U676" s="13">
        <v>75</v>
      </c>
      <c r="V676" t="s">
        <v>99</v>
      </c>
      <c r="X676" s="13">
        <v>251</v>
      </c>
    </row>
    <row r="677" spans="1:24" x14ac:dyDescent="0.25">
      <c r="A677" t="s">
        <v>787</v>
      </c>
      <c r="B677" t="s">
        <v>62</v>
      </c>
      <c r="C677" t="s">
        <v>763</v>
      </c>
      <c r="D677" t="s">
        <v>764</v>
      </c>
      <c r="E677" t="s">
        <v>62</v>
      </c>
      <c r="F677" t="s">
        <v>94</v>
      </c>
      <c r="G677" t="s">
        <v>277</v>
      </c>
      <c r="H677" s="12">
        <v>6.1632490000000004</v>
      </c>
      <c r="I677" s="12">
        <v>-75.594163600000002</v>
      </c>
      <c r="K677" t="s">
        <v>97</v>
      </c>
      <c r="M677">
        <v>11</v>
      </c>
      <c r="P677" s="13">
        <v>250</v>
      </c>
      <c r="Q677" s="13">
        <v>49</v>
      </c>
      <c r="R677">
        <v>58</v>
      </c>
      <c r="S677">
        <v>54</v>
      </c>
      <c r="T677" s="13">
        <v>38</v>
      </c>
      <c r="U677" s="13">
        <v>53</v>
      </c>
      <c r="V677" t="s">
        <v>99</v>
      </c>
      <c r="X677" s="13">
        <v>250</v>
      </c>
    </row>
    <row r="678" spans="1:24" x14ac:dyDescent="0.25">
      <c r="A678" t="s">
        <v>788</v>
      </c>
      <c r="B678" t="s">
        <v>62</v>
      </c>
      <c r="C678" t="s">
        <v>763</v>
      </c>
      <c r="D678" t="s">
        <v>764</v>
      </c>
      <c r="E678" t="s">
        <v>62</v>
      </c>
      <c r="F678" t="s">
        <v>94</v>
      </c>
      <c r="G678" t="s">
        <v>277</v>
      </c>
      <c r="H678" s="12">
        <v>6.1632490000000004</v>
      </c>
      <c r="I678" s="12">
        <v>-75.594163600000002</v>
      </c>
      <c r="K678" t="s">
        <v>97</v>
      </c>
      <c r="M678">
        <v>11</v>
      </c>
      <c r="P678" s="13">
        <v>249</v>
      </c>
      <c r="Q678" s="13">
        <v>51</v>
      </c>
      <c r="R678">
        <v>38</v>
      </c>
      <c r="S678">
        <v>62</v>
      </c>
      <c r="T678" s="13">
        <v>48</v>
      </c>
      <c r="U678" s="13">
        <v>49</v>
      </c>
      <c r="V678" t="s">
        <v>99</v>
      </c>
      <c r="X678" s="13">
        <v>249</v>
      </c>
    </row>
    <row r="679" spans="1:24" x14ac:dyDescent="0.25">
      <c r="A679" t="s">
        <v>789</v>
      </c>
      <c r="B679" t="s">
        <v>62</v>
      </c>
      <c r="C679" t="s">
        <v>763</v>
      </c>
      <c r="D679" t="s">
        <v>764</v>
      </c>
      <c r="E679" t="s">
        <v>62</v>
      </c>
      <c r="F679" t="s">
        <v>94</v>
      </c>
      <c r="G679" t="s">
        <v>277</v>
      </c>
      <c r="H679" s="12">
        <v>6.1632490000000004</v>
      </c>
      <c r="I679" s="12">
        <v>-75.594163600000002</v>
      </c>
      <c r="K679" t="s">
        <v>97</v>
      </c>
      <c r="M679">
        <v>11</v>
      </c>
      <c r="P679" s="13">
        <v>248</v>
      </c>
      <c r="Q679" s="13">
        <v>46</v>
      </c>
      <c r="R679">
        <v>42</v>
      </c>
      <c r="S679">
        <v>50</v>
      </c>
      <c r="T679" s="13">
        <v>60</v>
      </c>
      <c r="U679" s="13">
        <v>49</v>
      </c>
      <c r="V679" t="s">
        <v>99</v>
      </c>
      <c r="X679" s="13">
        <v>248</v>
      </c>
    </row>
    <row r="680" spans="1:24" x14ac:dyDescent="0.25">
      <c r="A680" t="s">
        <v>790</v>
      </c>
      <c r="B680" t="s">
        <v>62</v>
      </c>
      <c r="C680" t="s">
        <v>763</v>
      </c>
      <c r="D680" t="s">
        <v>764</v>
      </c>
      <c r="E680" t="s">
        <v>62</v>
      </c>
      <c r="F680" t="s">
        <v>94</v>
      </c>
      <c r="G680" t="s">
        <v>277</v>
      </c>
      <c r="H680" s="12">
        <v>6.1632490000000004</v>
      </c>
      <c r="I680" s="12">
        <v>-75.594163600000002</v>
      </c>
      <c r="K680" t="s">
        <v>97</v>
      </c>
      <c r="M680">
        <v>11</v>
      </c>
      <c r="P680" s="13">
        <v>247</v>
      </c>
      <c r="Q680" s="13">
        <v>59</v>
      </c>
      <c r="R680">
        <v>34</v>
      </c>
      <c r="S680">
        <v>60</v>
      </c>
      <c r="T680" s="13">
        <v>36</v>
      </c>
      <c r="U680" s="13">
        <v>76</v>
      </c>
      <c r="V680" t="s">
        <v>99</v>
      </c>
      <c r="X680" s="13">
        <v>247</v>
      </c>
    </row>
    <row r="681" spans="1:24" x14ac:dyDescent="0.25">
      <c r="A681" t="s">
        <v>791</v>
      </c>
      <c r="B681" t="s">
        <v>62</v>
      </c>
      <c r="C681" t="s">
        <v>763</v>
      </c>
      <c r="D681" t="s">
        <v>764</v>
      </c>
      <c r="E681" t="s">
        <v>62</v>
      </c>
      <c r="F681" t="s">
        <v>94</v>
      </c>
      <c r="G681" t="s">
        <v>277</v>
      </c>
      <c r="H681" s="12">
        <v>6.1632490000000004</v>
      </c>
      <c r="I681" s="12">
        <v>-75.594163600000002</v>
      </c>
      <c r="K681" t="s">
        <v>97</v>
      </c>
      <c r="M681">
        <v>11</v>
      </c>
      <c r="P681" s="13">
        <v>246</v>
      </c>
      <c r="Q681" s="13">
        <v>34</v>
      </c>
      <c r="R681">
        <v>44</v>
      </c>
      <c r="S681">
        <v>74</v>
      </c>
      <c r="T681" s="13">
        <v>33</v>
      </c>
      <c r="U681" s="13">
        <v>85</v>
      </c>
      <c r="V681" t="s">
        <v>99</v>
      </c>
      <c r="X681" s="13">
        <v>246</v>
      </c>
    </row>
    <row r="682" spans="1:24" x14ac:dyDescent="0.25">
      <c r="A682" t="s">
        <v>792</v>
      </c>
      <c r="B682" t="s">
        <v>62</v>
      </c>
      <c r="C682" t="s">
        <v>763</v>
      </c>
      <c r="D682" t="s">
        <v>764</v>
      </c>
      <c r="E682" t="s">
        <v>62</v>
      </c>
      <c r="F682" t="s">
        <v>94</v>
      </c>
      <c r="G682" t="s">
        <v>277</v>
      </c>
      <c r="H682" s="12">
        <v>6.1632490000000004</v>
      </c>
      <c r="I682" s="12">
        <v>-75.594163600000002</v>
      </c>
      <c r="K682" t="s">
        <v>97</v>
      </c>
      <c r="M682">
        <v>11</v>
      </c>
      <c r="P682" s="13">
        <v>244</v>
      </c>
      <c r="Q682" s="13">
        <v>51</v>
      </c>
      <c r="R682">
        <v>50</v>
      </c>
      <c r="S682">
        <v>20</v>
      </c>
      <c r="T682" s="13">
        <v>62</v>
      </c>
      <c r="U682" s="13">
        <v>85</v>
      </c>
      <c r="V682" t="s">
        <v>99</v>
      </c>
      <c r="X682" s="13">
        <v>244</v>
      </c>
    </row>
    <row r="683" spans="1:24" x14ac:dyDescent="0.25">
      <c r="A683" t="s">
        <v>793</v>
      </c>
      <c r="B683" t="s">
        <v>62</v>
      </c>
      <c r="C683" t="s">
        <v>763</v>
      </c>
      <c r="D683" t="s">
        <v>764</v>
      </c>
      <c r="E683" t="s">
        <v>62</v>
      </c>
      <c r="F683" t="s">
        <v>94</v>
      </c>
      <c r="G683" t="s">
        <v>277</v>
      </c>
      <c r="H683" s="12">
        <v>6.1632490000000004</v>
      </c>
      <c r="I683" s="12">
        <v>-75.594163600000002</v>
      </c>
      <c r="K683" t="s">
        <v>97</v>
      </c>
      <c r="M683">
        <v>11</v>
      </c>
      <c r="P683" s="13">
        <v>243</v>
      </c>
      <c r="Q683" s="13">
        <v>66</v>
      </c>
      <c r="R683">
        <v>36</v>
      </c>
      <c r="S683">
        <v>60</v>
      </c>
      <c r="T683" s="13">
        <v>33</v>
      </c>
      <c r="U683" s="13">
        <v>47</v>
      </c>
      <c r="V683" t="s">
        <v>99</v>
      </c>
      <c r="X683" s="13">
        <v>243</v>
      </c>
    </row>
    <row r="684" spans="1:24" x14ac:dyDescent="0.25">
      <c r="A684" t="s">
        <v>794</v>
      </c>
      <c r="B684" t="s">
        <v>62</v>
      </c>
      <c r="C684" t="s">
        <v>763</v>
      </c>
      <c r="D684" t="s">
        <v>764</v>
      </c>
      <c r="E684" t="s">
        <v>62</v>
      </c>
      <c r="F684" t="s">
        <v>94</v>
      </c>
      <c r="G684" t="s">
        <v>277</v>
      </c>
      <c r="H684" s="12">
        <v>6.1632490000000004</v>
      </c>
      <c r="I684" s="12">
        <v>-75.594163600000002</v>
      </c>
      <c r="K684" t="s">
        <v>97</v>
      </c>
      <c r="M684">
        <v>11</v>
      </c>
      <c r="P684" s="13">
        <v>239</v>
      </c>
      <c r="Q684" s="13">
        <v>59</v>
      </c>
      <c r="R684">
        <v>30</v>
      </c>
      <c r="S684">
        <v>58</v>
      </c>
      <c r="T684" s="13">
        <v>33</v>
      </c>
      <c r="U684" s="13">
        <v>84</v>
      </c>
      <c r="V684" t="s">
        <v>99</v>
      </c>
      <c r="X684" s="13">
        <v>239</v>
      </c>
    </row>
    <row r="685" spans="1:24" x14ac:dyDescent="0.25">
      <c r="A685" t="s">
        <v>795</v>
      </c>
      <c r="B685" t="s">
        <v>62</v>
      </c>
      <c r="C685" t="s">
        <v>763</v>
      </c>
      <c r="D685" t="s">
        <v>764</v>
      </c>
      <c r="E685" t="s">
        <v>62</v>
      </c>
      <c r="F685" t="s">
        <v>94</v>
      </c>
      <c r="G685" t="s">
        <v>277</v>
      </c>
      <c r="H685" s="12">
        <v>6.1632490000000004</v>
      </c>
      <c r="I685" s="12">
        <v>-75.594163600000002</v>
      </c>
      <c r="K685" t="s">
        <v>97</v>
      </c>
      <c r="M685">
        <v>11</v>
      </c>
      <c r="P685" s="13">
        <v>239</v>
      </c>
      <c r="Q685" s="13">
        <v>63</v>
      </c>
      <c r="R685">
        <v>38</v>
      </c>
      <c r="S685">
        <v>40</v>
      </c>
      <c r="T685" s="13">
        <v>45</v>
      </c>
      <c r="U685" s="13">
        <v>62</v>
      </c>
      <c r="V685" t="s">
        <v>99</v>
      </c>
      <c r="X685" s="13">
        <v>239</v>
      </c>
    </row>
    <row r="686" spans="1:24" x14ac:dyDescent="0.25">
      <c r="A686" t="s">
        <v>796</v>
      </c>
      <c r="B686" t="s">
        <v>62</v>
      </c>
      <c r="C686" t="s">
        <v>763</v>
      </c>
      <c r="D686" t="s">
        <v>764</v>
      </c>
      <c r="E686" t="s">
        <v>62</v>
      </c>
      <c r="F686" t="s">
        <v>94</v>
      </c>
      <c r="G686" t="s">
        <v>277</v>
      </c>
      <c r="H686" s="12">
        <v>6.1632490000000004</v>
      </c>
      <c r="I686" s="12">
        <v>-75.594163600000002</v>
      </c>
      <c r="K686" t="s">
        <v>97</v>
      </c>
      <c r="M686">
        <v>11</v>
      </c>
      <c r="P686" s="13">
        <v>238</v>
      </c>
      <c r="Q686" s="13">
        <v>78</v>
      </c>
      <c r="R686">
        <v>32</v>
      </c>
      <c r="S686">
        <v>40</v>
      </c>
      <c r="T686" s="13">
        <v>29</v>
      </c>
      <c r="U686" s="13">
        <v>82</v>
      </c>
      <c r="V686" t="s">
        <v>99</v>
      </c>
      <c r="X686" s="13">
        <v>238</v>
      </c>
    </row>
    <row r="687" spans="1:24" x14ac:dyDescent="0.25">
      <c r="A687" t="s">
        <v>797</v>
      </c>
      <c r="B687" t="s">
        <v>62</v>
      </c>
      <c r="C687" t="s">
        <v>763</v>
      </c>
      <c r="D687" t="s">
        <v>764</v>
      </c>
      <c r="E687" t="s">
        <v>62</v>
      </c>
      <c r="F687" t="s">
        <v>94</v>
      </c>
      <c r="G687" t="s">
        <v>277</v>
      </c>
      <c r="H687" s="12">
        <v>6.1632490000000004</v>
      </c>
      <c r="I687" s="12">
        <v>-75.594163600000002</v>
      </c>
      <c r="K687" t="s">
        <v>97</v>
      </c>
      <c r="M687">
        <v>11</v>
      </c>
      <c r="P687" s="13">
        <v>236</v>
      </c>
      <c r="Q687" s="13">
        <v>12</v>
      </c>
      <c r="R687">
        <v>44</v>
      </c>
      <c r="S687">
        <v>58</v>
      </c>
      <c r="T687" s="13">
        <v>59</v>
      </c>
      <c r="U687" s="13">
        <v>96</v>
      </c>
      <c r="V687" t="s">
        <v>99</v>
      </c>
      <c r="X687" s="13">
        <v>236</v>
      </c>
    </row>
    <row r="688" spans="1:24" x14ac:dyDescent="0.25">
      <c r="A688" t="s">
        <v>798</v>
      </c>
      <c r="B688" t="s">
        <v>62</v>
      </c>
      <c r="C688" t="s">
        <v>763</v>
      </c>
      <c r="D688" t="s">
        <v>764</v>
      </c>
      <c r="E688" t="s">
        <v>62</v>
      </c>
      <c r="F688" t="s">
        <v>94</v>
      </c>
      <c r="G688" t="s">
        <v>277</v>
      </c>
      <c r="H688" s="12">
        <v>6.1632490000000004</v>
      </c>
      <c r="I688" s="12">
        <v>-75.594163600000002</v>
      </c>
      <c r="K688" t="s">
        <v>97</v>
      </c>
      <c r="M688">
        <v>11</v>
      </c>
      <c r="P688" s="13">
        <v>234</v>
      </c>
      <c r="Q688" s="13">
        <v>59</v>
      </c>
      <c r="R688">
        <v>42</v>
      </c>
      <c r="S688">
        <v>44</v>
      </c>
      <c r="T688" s="13">
        <v>40</v>
      </c>
      <c r="U688" s="13">
        <v>56</v>
      </c>
      <c r="V688" t="s">
        <v>99</v>
      </c>
      <c r="X688" s="13">
        <v>234</v>
      </c>
    </row>
    <row r="689" spans="1:24" x14ac:dyDescent="0.25">
      <c r="A689" t="s">
        <v>799</v>
      </c>
      <c r="B689" t="s">
        <v>62</v>
      </c>
      <c r="C689" t="s">
        <v>763</v>
      </c>
      <c r="D689" t="s">
        <v>764</v>
      </c>
      <c r="E689" t="s">
        <v>62</v>
      </c>
      <c r="F689" t="s">
        <v>94</v>
      </c>
      <c r="G689" t="s">
        <v>277</v>
      </c>
      <c r="H689" s="12">
        <v>6.1632490000000004</v>
      </c>
      <c r="I689" s="12">
        <v>-75.594163600000002</v>
      </c>
      <c r="K689" t="s">
        <v>97</v>
      </c>
      <c r="M689">
        <v>11</v>
      </c>
      <c r="P689" s="13">
        <v>233</v>
      </c>
      <c r="Q689" s="13">
        <v>49</v>
      </c>
      <c r="R689">
        <v>44</v>
      </c>
      <c r="S689">
        <v>40</v>
      </c>
      <c r="T689" s="13">
        <v>50</v>
      </c>
      <c r="U689" s="13">
        <v>58</v>
      </c>
      <c r="V689" t="s">
        <v>99</v>
      </c>
      <c r="X689" s="13">
        <v>233</v>
      </c>
    </row>
    <row r="690" spans="1:24" x14ac:dyDescent="0.25">
      <c r="A690" t="s">
        <v>800</v>
      </c>
      <c r="B690" t="s">
        <v>62</v>
      </c>
      <c r="C690" t="s">
        <v>763</v>
      </c>
      <c r="D690" t="s">
        <v>764</v>
      </c>
      <c r="E690" t="s">
        <v>62</v>
      </c>
      <c r="F690" t="s">
        <v>94</v>
      </c>
      <c r="G690" t="s">
        <v>277</v>
      </c>
      <c r="H690" s="12">
        <v>6.1632490000000004</v>
      </c>
      <c r="I690" s="12">
        <v>-75.594163600000002</v>
      </c>
      <c r="K690" t="s">
        <v>97</v>
      </c>
      <c r="M690">
        <v>11</v>
      </c>
      <c r="P690" s="13">
        <v>233</v>
      </c>
      <c r="Q690" s="13">
        <v>51</v>
      </c>
      <c r="R690">
        <v>46</v>
      </c>
      <c r="S690">
        <v>62</v>
      </c>
      <c r="T690" s="13">
        <v>26</v>
      </c>
      <c r="U690" s="13">
        <v>51</v>
      </c>
      <c r="V690" t="s">
        <v>99</v>
      </c>
      <c r="X690" s="13">
        <v>233</v>
      </c>
    </row>
    <row r="691" spans="1:24" x14ac:dyDescent="0.25">
      <c r="A691" t="s">
        <v>801</v>
      </c>
      <c r="B691" t="s">
        <v>62</v>
      </c>
      <c r="C691" t="s">
        <v>763</v>
      </c>
      <c r="D691" t="s">
        <v>764</v>
      </c>
      <c r="E691" t="s">
        <v>62</v>
      </c>
      <c r="F691" t="s">
        <v>94</v>
      </c>
      <c r="G691" t="s">
        <v>277</v>
      </c>
      <c r="H691" s="12">
        <v>6.1632490000000004</v>
      </c>
      <c r="I691" s="12">
        <v>-75.594163600000002</v>
      </c>
      <c r="K691" t="s">
        <v>97</v>
      </c>
      <c r="M691">
        <v>11</v>
      </c>
      <c r="P691" s="13">
        <v>231</v>
      </c>
      <c r="Q691" s="13">
        <v>66</v>
      </c>
      <c r="R691">
        <v>28</v>
      </c>
      <c r="S691">
        <v>42</v>
      </c>
      <c r="T691" s="13">
        <v>41</v>
      </c>
      <c r="U691" s="13">
        <v>69</v>
      </c>
      <c r="V691" t="s">
        <v>99</v>
      </c>
      <c r="X691" s="13">
        <v>231</v>
      </c>
    </row>
    <row r="692" spans="1:24" x14ac:dyDescent="0.25">
      <c r="A692" t="s">
        <v>802</v>
      </c>
      <c r="B692" t="s">
        <v>62</v>
      </c>
      <c r="C692" t="s">
        <v>763</v>
      </c>
      <c r="D692" t="s">
        <v>764</v>
      </c>
      <c r="E692" t="s">
        <v>62</v>
      </c>
      <c r="F692" t="s">
        <v>94</v>
      </c>
      <c r="G692" t="s">
        <v>277</v>
      </c>
      <c r="H692" s="12">
        <v>6.1632490000000004</v>
      </c>
      <c r="I692" s="12">
        <v>-75.594163600000002</v>
      </c>
      <c r="K692" t="s">
        <v>97</v>
      </c>
      <c r="M692">
        <v>11</v>
      </c>
      <c r="P692" s="13">
        <v>230</v>
      </c>
      <c r="Q692" s="13">
        <v>76</v>
      </c>
      <c r="R692">
        <v>42</v>
      </c>
      <c r="S692">
        <v>36</v>
      </c>
      <c r="T692" s="13">
        <v>34</v>
      </c>
      <c r="U692" s="13">
        <v>35</v>
      </c>
      <c r="V692" t="s">
        <v>99</v>
      </c>
      <c r="X692" s="13">
        <v>230</v>
      </c>
    </row>
    <row r="693" spans="1:24" x14ac:dyDescent="0.25">
      <c r="A693" t="s">
        <v>803</v>
      </c>
      <c r="B693" t="s">
        <v>62</v>
      </c>
      <c r="C693" t="s">
        <v>763</v>
      </c>
      <c r="D693" t="s">
        <v>764</v>
      </c>
      <c r="E693" t="s">
        <v>62</v>
      </c>
      <c r="F693" t="s">
        <v>94</v>
      </c>
      <c r="G693" t="s">
        <v>277</v>
      </c>
      <c r="H693" s="12">
        <v>6.1632490000000004</v>
      </c>
      <c r="I693" s="12">
        <v>-75.594163600000002</v>
      </c>
      <c r="K693" t="s">
        <v>97</v>
      </c>
      <c r="M693">
        <v>11</v>
      </c>
      <c r="P693" s="13">
        <v>229</v>
      </c>
      <c r="Q693" s="13">
        <v>51</v>
      </c>
      <c r="R693">
        <v>40</v>
      </c>
      <c r="S693">
        <v>60</v>
      </c>
      <c r="T693" s="13">
        <v>33</v>
      </c>
      <c r="U693" s="13">
        <v>44</v>
      </c>
      <c r="V693" t="s">
        <v>99</v>
      </c>
      <c r="X693" s="13">
        <v>229</v>
      </c>
    </row>
    <row r="694" spans="1:24" x14ac:dyDescent="0.25">
      <c r="A694" t="s">
        <v>804</v>
      </c>
      <c r="B694" t="s">
        <v>62</v>
      </c>
      <c r="C694" t="s">
        <v>763</v>
      </c>
      <c r="D694" t="s">
        <v>764</v>
      </c>
      <c r="E694" t="s">
        <v>62</v>
      </c>
      <c r="F694" t="s">
        <v>94</v>
      </c>
      <c r="G694" t="s">
        <v>277</v>
      </c>
      <c r="H694" s="12">
        <v>6.1632490000000004</v>
      </c>
      <c r="I694" s="12">
        <v>-75.594163600000002</v>
      </c>
      <c r="K694" t="s">
        <v>97</v>
      </c>
      <c r="M694">
        <v>11</v>
      </c>
      <c r="P694" s="13">
        <v>228</v>
      </c>
      <c r="Q694" s="13">
        <v>39</v>
      </c>
      <c r="R694">
        <v>36</v>
      </c>
      <c r="S694">
        <v>50</v>
      </c>
      <c r="T694" s="13">
        <v>48</v>
      </c>
      <c r="U694" s="13">
        <v>73</v>
      </c>
      <c r="V694" t="s">
        <v>99</v>
      </c>
      <c r="X694" s="13">
        <v>228</v>
      </c>
    </row>
    <row r="695" spans="1:24" x14ac:dyDescent="0.25">
      <c r="A695" t="s">
        <v>805</v>
      </c>
      <c r="B695" t="s">
        <v>62</v>
      </c>
      <c r="C695" t="s">
        <v>763</v>
      </c>
      <c r="D695" t="s">
        <v>764</v>
      </c>
      <c r="E695" t="s">
        <v>62</v>
      </c>
      <c r="F695" t="s">
        <v>94</v>
      </c>
      <c r="G695" t="s">
        <v>277</v>
      </c>
      <c r="H695" s="12">
        <v>6.1632490000000004</v>
      </c>
      <c r="I695" s="12">
        <v>-75.594163600000002</v>
      </c>
      <c r="K695" t="s">
        <v>97</v>
      </c>
      <c r="M695">
        <v>11</v>
      </c>
      <c r="P695" s="13">
        <v>223</v>
      </c>
      <c r="Q695" s="13">
        <v>56</v>
      </c>
      <c r="R695">
        <v>30</v>
      </c>
      <c r="S695">
        <v>48</v>
      </c>
      <c r="T695" s="13">
        <v>41</v>
      </c>
      <c r="U695" s="13">
        <v>55</v>
      </c>
      <c r="V695" t="s">
        <v>99</v>
      </c>
      <c r="X695" s="13">
        <v>223</v>
      </c>
    </row>
    <row r="696" spans="1:24" x14ac:dyDescent="0.25">
      <c r="A696" t="s">
        <v>806</v>
      </c>
      <c r="B696" t="s">
        <v>62</v>
      </c>
      <c r="C696" t="s">
        <v>763</v>
      </c>
      <c r="D696" t="s">
        <v>764</v>
      </c>
      <c r="E696" t="s">
        <v>62</v>
      </c>
      <c r="F696" t="s">
        <v>94</v>
      </c>
      <c r="G696" t="s">
        <v>277</v>
      </c>
      <c r="H696" s="12">
        <v>6.1632490000000004</v>
      </c>
      <c r="I696" s="12">
        <v>-75.594163600000002</v>
      </c>
      <c r="K696" t="s">
        <v>97</v>
      </c>
      <c r="M696">
        <v>11</v>
      </c>
      <c r="P696" s="13">
        <v>222</v>
      </c>
      <c r="Q696" s="13">
        <v>51</v>
      </c>
      <c r="R696">
        <v>34</v>
      </c>
      <c r="S696">
        <v>38</v>
      </c>
      <c r="T696" s="13">
        <v>48</v>
      </c>
      <c r="U696" s="13">
        <v>64</v>
      </c>
      <c r="V696" t="s">
        <v>99</v>
      </c>
      <c r="X696" s="13">
        <v>222</v>
      </c>
    </row>
    <row r="697" spans="1:24" x14ac:dyDescent="0.25">
      <c r="A697" t="s">
        <v>807</v>
      </c>
      <c r="B697" t="s">
        <v>62</v>
      </c>
      <c r="C697" t="s">
        <v>763</v>
      </c>
      <c r="D697" t="s">
        <v>764</v>
      </c>
      <c r="E697" t="s">
        <v>62</v>
      </c>
      <c r="F697" t="s">
        <v>94</v>
      </c>
      <c r="G697" t="s">
        <v>277</v>
      </c>
      <c r="H697" s="12">
        <v>6.1632490000000004</v>
      </c>
      <c r="I697" s="12">
        <v>-75.594163600000002</v>
      </c>
      <c r="K697" t="s">
        <v>97</v>
      </c>
      <c r="M697">
        <v>11</v>
      </c>
      <c r="P697" s="13">
        <v>220</v>
      </c>
      <c r="Q697" s="13">
        <v>37</v>
      </c>
      <c r="R697">
        <v>52</v>
      </c>
      <c r="S697">
        <v>28</v>
      </c>
      <c r="T697" s="13">
        <v>53</v>
      </c>
      <c r="U697" s="13">
        <v>62</v>
      </c>
      <c r="V697" t="s">
        <v>99</v>
      </c>
      <c r="X697" s="13">
        <v>220</v>
      </c>
    </row>
    <row r="698" spans="1:24" x14ac:dyDescent="0.25">
      <c r="A698" t="s">
        <v>808</v>
      </c>
      <c r="B698" t="s">
        <v>62</v>
      </c>
      <c r="C698" t="s">
        <v>763</v>
      </c>
      <c r="D698" t="s">
        <v>764</v>
      </c>
      <c r="E698" t="s">
        <v>62</v>
      </c>
      <c r="F698" t="s">
        <v>94</v>
      </c>
      <c r="G698" t="s">
        <v>277</v>
      </c>
      <c r="H698" s="12">
        <v>6.1632490000000004</v>
      </c>
      <c r="I698" s="12">
        <v>-75.594163600000002</v>
      </c>
      <c r="K698" t="s">
        <v>97</v>
      </c>
      <c r="M698">
        <v>11</v>
      </c>
      <c r="P698" s="13">
        <v>220</v>
      </c>
      <c r="Q698" s="13">
        <v>68</v>
      </c>
      <c r="R698">
        <v>30</v>
      </c>
      <c r="S698">
        <v>54</v>
      </c>
      <c r="T698" s="13">
        <v>24</v>
      </c>
      <c r="U698" s="13">
        <v>42</v>
      </c>
      <c r="V698" t="s">
        <v>99</v>
      </c>
      <c r="X698" s="13">
        <v>220</v>
      </c>
    </row>
    <row r="699" spans="1:24" x14ac:dyDescent="0.25">
      <c r="A699" t="s">
        <v>809</v>
      </c>
      <c r="B699" t="s">
        <v>62</v>
      </c>
      <c r="C699" t="s">
        <v>763</v>
      </c>
      <c r="D699" t="s">
        <v>764</v>
      </c>
      <c r="E699" t="s">
        <v>62</v>
      </c>
      <c r="F699" t="s">
        <v>94</v>
      </c>
      <c r="G699" t="s">
        <v>277</v>
      </c>
      <c r="H699" s="12">
        <v>6.1632490000000004</v>
      </c>
      <c r="I699" s="12">
        <v>-75.594163600000002</v>
      </c>
      <c r="K699" t="s">
        <v>97</v>
      </c>
      <c r="M699">
        <v>11</v>
      </c>
      <c r="P699" s="13">
        <v>219</v>
      </c>
      <c r="Q699" s="13">
        <v>54</v>
      </c>
      <c r="R699">
        <v>34</v>
      </c>
      <c r="S699">
        <v>48</v>
      </c>
      <c r="T699" s="13">
        <v>38</v>
      </c>
      <c r="U699" s="13">
        <v>49</v>
      </c>
      <c r="V699" t="s">
        <v>99</v>
      </c>
      <c r="X699" s="13">
        <v>219</v>
      </c>
    </row>
    <row r="700" spans="1:24" x14ac:dyDescent="0.25">
      <c r="A700" t="s">
        <v>810</v>
      </c>
      <c r="B700" t="s">
        <v>62</v>
      </c>
      <c r="C700" t="s">
        <v>763</v>
      </c>
      <c r="D700" t="s">
        <v>764</v>
      </c>
      <c r="E700" t="s">
        <v>62</v>
      </c>
      <c r="F700" t="s">
        <v>94</v>
      </c>
      <c r="G700" t="s">
        <v>277</v>
      </c>
      <c r="H700" s="12">
        <v>6.1632490000000004</v>
      </c>
      <c r="I700" s="12">
        <v>-75.594163600000002</v>
      </c>
      <c r="K700" t="s">
        <v>97</v>
      </c>
      <c r="M700">
        <v>11</v>
      </c>
      <c r="P700" s="13">
        <v>218</v>
      </c>
      <c r="Q700" s="13">
        <v>61</v>
      </c>
      <c r="R700">
        <v>38</v>
      </c>
      <c r="S700">
        <v>44</v>
      </c>
      <c r="T700" s="13">
        <v>28</v>
      </c>
      <c r="U700" s="13">
        <v>55</v>
      </c>
      <c r="V700" t="s">
        <v>99</v>
      </c>
      <c r="X700" s="13">
        <v>218</v>
      </c>
    </row>
    <row r="701" spans="1:24" x14ac:dyDescent="0.25">
      <c r="A701" t="s">
        <v>811</v>
      </c>
      <c r="B701" t="s">
        <v>62</v>
      </c>
      <c r="C701" t="s">
        <v>763</v>
      </c>
      <c r="D701" t="s">
        <v>764</v>
      </c>
      <c r="E701" t="s">
        <v>62</v>
      </c>
      <c r="F701" t="s">
        <v>94</v>
      </c>
      <c r="G701" t="s">
        <v>277</v>
      </c>
      <c r="H701" s="12">
        <v>6.1632490000000004</v>
      </c>
      <c r="I701" s="12">
        <v>-75.594163600000002</v>
      </c>
      <c r="K701" t="s">
        <v>97</v>
      </c>
      <c r="M701">
        <v>11</v>
      </c>
      <c r="P701" s="13">
        <v>217</v>
      </c>
      <c r="Q701" s="13">
        <v>56</v>
      </c>
      <c r="R701">
        <v>30</v>
      </c>
      <c r="S701">
        <v>24</v>
      </c>
      <c r="T701" s="13">
        <v>62</v>
      </c>
      <c r="U701" s="13">
        <v>47</v>
      </c>
      <c r="V701" t="s">
        <v>99</v>
      </c>
      <c r="X701" s="13">
        <v>217</v>
      </c>
    </row>
    <row r="702" spans="1:24" x14ac:dyDescent="0.25">
      <c r="A702" t="s">
        <v>812</v>
      </c>
      <c r="B702" t="s">
        <v>62</v>
      </c>
      <c r="C702" t="s">
        <v>763</v>
      </c>
      <c r="D702" t="s">
        <v>764</v>
      </c>
      <c r="E702" t="s">
        <v>62</v>
      </c>
      <c r="F702" t="s">
        <v>94</v>
      </c>
      <c r="G702" t="s">
        <v>277</v>
      </c>
      <c r="H702" s="12">
        <v>6.1632490000000004</v>
      </c>
      <c r="I702" s="12">
        <v>-75.594163600000002</v>
      </c>
      <c r="K702" t="s">
        <v>97</v>
      </c>
      <c r="M702">
        <v>11</v>
      </c>
      <c r="P702" s="13">
        <v>214</v>
      </c>
      <c r="Q702" s="13">
        <v>41</v>
      </c>
      <c r="R702">
        <v>34</v>
      </c>
      <c r="S702">
        <v>40</v>
      </c>
      <c r="T702" s="13">
        <v>47</v>
      </c>
      <c r="U702" s="13">
        <v>69</v>
      </c>
      <c r="V702" t="s">
        <v>99</v>
      </c>
      <c r="X702" s="13">
        <v>214</v>
      </c>
    </row>
    <row r="703" spans="1:24" x14ac:dyDescent="0.25">
      <c r="A703" t="s">
        <v>813</v>
      </c>
      <c r="B703" t="s">
        <v>62</v>
      </c>
      <c r="C703" t="s">
        <v>763</v>
      </c>
      <c r="D703" t="s">
        <v>764</v>
      </c>
      <c r="E703" t="s">
        <v>62</v>
      </c>
      <c r="F703" t="s">
        <v>94</v>
      </c>
      <c r="G703" t="s">
        <v>277</v>
      </c>
      <c r="H703" s="12">
        <v>6.1632490000000004</v>
      </c>
      <c r="I703" s="12">
        <v>-75.594163600000002</v>
      </c>
      <c r="K703" t="s">
        <v>97</v>
      </c>
      <c r="M703">
        <v>11</v>
      </c>
      <c r="P703" s="13">
        <v>212</v>
      </c>
      <c r="Q703" s="13">
        <v>54</v>
      </c>
      <c r="R703">
        <v>32</v>
      </c>
      <c r="S703">
        <v>48</v>
      </c>
      <c r="T703" s="13">
        <v>43</v>
      </c>
      <c r="U703" s="13">
        <v>22</v>
      </c>
      <c r="V703" t="s">
        <v>99</v>
      </c>
      <c r="X703" s="13">
        <v>212</v>
      </c>
    </row>
    <row r="704" spans="1:24" x14ac:dyDescent="0.25">
      <c r="A704" t="s">
        <v>814</v>
      </c>
      <c r="B704" t="s">
        <v>62</v>
      </c>
      <c r="C704" t="s">
        <v>763</v>
      </c>
      <c r="D704" t="s">
        <v>764</v>
      </c>
      <c r="E704" t="s">
        <v>62</v>
      </c>
      <c r="F704" t="s">
        <v>94</v>
      </c>
      <c r="G704" t="s">
        <v>277</v>
      </c>
      <c r="H704" s="12">
        <v>6.1632490000000004</v>
      </c>
      <c r="I704" s="12">
        <v>-75.594163600000002</v>
      </c>
      <c r="K704" t="s">
        <v>97</v>
      </c>
      <c r="M704">
        <v>11</v>
      </c>
      <c r="P704" s="13">
        <v>208</v>
      </c>
      <c r="Q704" s="13">
        <v>49</v>
      </c>
      <c r="R704">
        <v>34</v>
      </c>
      <c r="S704">
        <v>32</v>
      </c>
      <c r="T704" s="13">
        <v>38</v>
      </c>
      <c r="U704" s="13">
        <v>84</v>
      </c>
      <c r="V704" t="s">
        <v>99</v>
      </c>
      <c r="X704" s="13">
        <v>208</v>
      </c>
    </row>
    <row r="705" spans="1:24" x14ac:dyDescent="0.25">
      <c r="A705" t="s">
        <v>815</v>
      </c>
      <c r="B705" t="s">
        <v>62</v>
      </c>
      <c r="C705" t="s">
        <v>763</v>
      </c>
      <c r="D705" t="s">
        <v>764</v>
      </c>
      <c r="E705" t="s">
        <v>62</v>
      </c>
      <c r="F705" t="s">
        <v>94</v>
      </c>
      <c r="G705" t="s">
        <v>277</v>
      </c>
      <c r="H705" s="12">
        <v>6.1632490000000004</v>
      </c>
      <c r="I705" s="12">
        <v>-75.594163600000002</v>
      </c>
      <c r="K705" t="s">
        <v>97</v>
      </c>
      <c r="M705">
        <v>11</v>
      </c>
      <c r="P705" s="13">
        <v>207</v>
      </c>
      <c r="Q705" s="13">
        <v>51</v>
      </c>
      <c r="R705">
        <v>34</v>
      </c>
      <c r="S705">
        <v>32</v>
      </c>
      <c r="T705" s="13">
        <v>45</v>
      </c>
      <c r="U705" s="13">
        <v>53</v>
      </c>
      <c r="V705" t="s">
        <v>99</v>
      </c>
      <c r="X705" s="13">
        <v>207</v>
      </c>
    </row>
    <row r="706" spans="1:24" x14ac:dyDescent="0.25">
      <c r="A706" t="s">
        <v>816</v>
      </c>
      <c r="B706" t="s">
        <v>62</v>
      </c>
      <c r="C706" t="s">
        <v>763</v>
      </c>
      <c r="D706" t="s">
        <v>764</v>
      </c>
      <c r="E706" t="s">
        <v>62</v>
      </c>
      <c r="F706" t="s">
        <v>94</v>
      </c>
      <c r="G706" t="s">
        <v>277</v>
      </c>
      <c r="H706" s="12">
        <v>6.1632490000000004</v>
      </c>
      <c r="I706" s="12">
        <v>-75.594163600000002</v>
      </c>
      <c r="K706" t="s">
        <v>97</v>
      </c>
      <c r="M706">
        <v>11</v>
      </c>
      <c r="P706" s="13">
        <v>207</v>
      </c>
      <c r="Q706" s="13">
        <v>49</v>
      </c>
      <c r="R706">
        <v>42</v>
      </c>
      <c r="S706">
        <v>34</v>
      </c>
      <c r="T706" s="13">
        <v>33</v>
      </c>
      <c r="U706" s="13">
        <v>65</v>
      </c>
      <c r="V706" t="s">
        <v>99</v>
      </c>
      <c r="X706" s="13">
        <v>207</v>
      </c>
    </row>
    <row r="707" spans="1:24" x14ac:dyDescent="0.25">
      <c r="A707" t="s">
        <v>817</v>
      </c>
      <c r="B707" t="s">
        <v>62</v>
      </c>
      <c r="C707" t="s">
        <v>763</v>
      </c>
      <c r="D707" t="s">
        <v>764</v>
      </c>
      <c r="E707" t="s">
        <v>62</v>
      </c>
      <c r="F707" t="s">
        <v>94</v>
      </c>
      <c r="G707" t="s">
        <v>277</v>
      </c>
      <c r="H707" s="12">
        <v>6.1632490000000004</v>
      </c>
      <c r="I707" s="12">
        <v>-75.594163600000002</v>
      </c>
      <c r="K707" t="s">
        <v>97</v>
      </c>
      <c r="M707">
        <v>11</v>
      </c>
      <c r="P707" s="13">
        <v>206</v>
      </c>
      <c r="Q707" s="13">
        <v>41</v>
      </c>
      <c r="R707">
        <v>40</v>
      </c>
      <c r="S707">
        <v>40</v>
      </c>
      <c r="T707" s="13">
        <v>40</v>
      </c>
      <c r="U707" s="13">
        <v>53</v>
      </c>
      <c r="V707" t="s">
        <v>99</v>
      </c>
      <c r="X707" s="13">
        <v>206</v>
      </c>
    </row>
    <row r="708" spans="1:24" x14ac:dyDescent="0.25">
      <c r="A708" t="s">
        <v>818</v>
      </c>
      <c r="B708" t="s">
        <v>62</v>
      </c>
      <c r="C708" t="s">
        <v>763</v>
      </c>
      <c r="D708" t="s">
        <v>764</v>
      </c>
      <c r="E708" t="s">
        <v>62</v>
      </c>
      <c r="F708" t="s">
        <v>94</v>
      </c>
      <c r="G708" t="s">
        <v>277</v>
      </c>
      <c r="H708" s="12">
        <v>6.1632490000000004</v>
      </c>
      <c r="I708" s="12">
        <v>-75.594163600000002</v>
      </c>
      <c r="K708" t="s">
        <v>97</v>
      </c>
      <c r="M708">
        <v>11</v>
      </c>
      <c r="P708" s="13">
        <v>205</v>
      </c>
      <c r="Q708" s="13">
        <v>54</v>
      </c>
      <c r="R708">
        <v>24</v>
      </c>
      <c r="S708">
        <v>44</v>
      </c>
      <c r="T708" s="13">
        <v>29</v>
      </c>
      <c r="U708" s="13">
        <v>80</v>
      </c>
      <c r="V708" t="s">
        <v>99</v>
      </c>
      <c r="X708" s="13">
        <v>205</v>
      </c>
    </row>
    <row r="709" spans="1:24" x14ac:dyDescent="0.25">
      <c r="A709" t="s">
        <v>819</v>
      </c>
      <c r="B709" t="s">
        <v>62</v>
      </c>
      <c r="C709" t="s">
        <v>763</v>
      </c>
      <c r="D709" t="s">
        <v>764</v>
      </c>
      <c r="E709" t="s">
        <v>62</v>
      </c>
      <c r="F709" t="s">
        <v>94</v>
      </c>
      <c r="G709" t="s">
        <v>277</v>
      </c>
      <c r="H709" s="12">
        <v>6.1632490000000004</v>
      </c>
      <c r="I709" s="12">
        <v>-75.594163600000002</v>
      </c>
      <c r="K709" t="s">
        <v>97</v>
      </c>
      <c r="M709">
        <v>11</v>
      </c>
      <c r="P709" s="13">
        <v>203</v>
      </c>
      <c r="Q709" s="13">
        <v>46</v>
      </c>
      <c r="R709">
        <v>30</v>
      </c>
      <c r="S709">
        <v>36</v>
      </c>
      <c r="T709" s="13">
        <v>52</v>
      </c>
      <c r="U709" s="13">
        <v>35</v>
      </c>
      <c r="V709" t="s">
        <v>99</v>
      </c>
      <c r="X709" s="13">
        <v>203</v>
      </c>
    </row>
    <row r="710" spans="1:24" x14ac:dyDescent="0.25">
      <c r="A710" t="s">
        <v>820</v>
      </c>
      <c r="B710" t="s">
        <v>62</v>
      </c>
      <c r="C710" t="s">
        <v>763</v>
      </c>
      <c r="D710" t="s">
        <v>764</v>
      </c>
      <c r="E710" t="s">
        <v>62</v>
      </c>
      <c r="F710" t="s">
        <v>94</v>
      </c>
      <c r="G710" t="s">
        <v>277</v>
      </c>
      <c r="H710" s="12">
        <v>6.1632490000000004</v>
      </c>
      <c r="I710" s="12">
        <v>-75.594163600000002</v>
      </c>
      <c r="K710" t="s">
        <v>97</v>
      </c>
      <c r="M710">
        <v>11</v>
      </c>
      <c r="P710" s="13">
        <v>201</v>
      </c>
      <c r="Q710" s="13">
        <v>49</v>
      </c>
      <c r="R710">
        <v>34</v>
      </c>
      <c r="S710">
        <v>28</v>
      </c>
      <c r="T710" s="13">
        <v>45</v>
      </c>
      <c r="U710" s="13">
        <v>55</v>
      </c>
      <c r="V710" t="s">
        <v>99</v>
      </c>
      <c r="X710" s="13">
        <v>201</v>
      </c>
    </row>
    <row r="711" spans="1:24" x14ac:dyDescent="0.25">
      <c r="A711" t="s">
        <v>821</v>
      </c>
      <c r="B711" t="s">
        <v>62</v>
      </c>
      <c r="C711" t="s">
        <v>763</v>
      </c>
      <c r="D711" t="s">
        <v>764</v>
      </c>
      <c r="E711" t="s">
        <v>62</v>
      </c>
      <c r="F711" t="s">
        <v>94</v>
      </c>
      <c r="G711" t="s">
        <v>277</v>
      </c>
      <c r="H711" s="12">
        <v>6.1632490000000004</v>
      </c>
      <c r="I711" s="12">
        <v>-75.594163600000002</v>
      </c>
      <c r="K711" t="s">
        <v>97</v>
      </c>
      <c r="M711">
        <v>11</v>
      </c>
      <c r="P711" s="13">
        <v>199</v>
      </c>
      <c r="Q711" s="13">
        <v>46</v>
      </c>
      <c r="R711">
        <v>24</v>
      </c>
      <c r="S711">
        <v>34</v>
      </c>
      <c r="T711" s="13">
        <v>52</v>
      </c>
      <c r="U711" s="13">
        <v>49</v>
      </c>
      <c r="V711" t="s">
        <v>99</v>
      </c>
      <c r="X711" s="13">
        <v>199</v>
      </c>
    </row>
    <row r="712" spans="1:24" x14ac:dyDescent="0.25">
      <c r="A712" t="s">
        <v>822</v>
      </c>
      <c r="B712" t="s">
        <v>62</v>
      </c>
      <c r="C712" t="s">
        <v>763</v>
      </c>
      <c r="D712" t="s">
        <v>764</v>
      </c>
      <c r="E712" t="s">
        <v>62</v>
      </c>
      <c r="F712" t="s">
        <v>94</v>
      </c>
      <c r="G712" t="s">
        <v>277</v>
      </c>
      <c r="H712" s="12">
        <v>6.1632490000000004</v>
      </c>
      <c r="I712" s="12">
        <v>-75.594163600000002</v>
      </c>
      <c r="K712" t="s">
        <v>97</v>
      </c>
      <c r="M712">
        <v>11</v>
      </c>
      <c r="P712" s="13">
        <v>198</v>
      </c>
      <c r="Q712" s="13">
        <v>46</v>
      </c>
      <c r="R712">
        <v>24</v>
      </c>
      <c r="S712">
        <v>46</v>
      </c>
      <c r="T712" s="13">
        <v>41</v>
      </c>
      <c r="U712" s="13">
        <v>42</v>
      </c>
      <c r="V712" t="s">
        <v>99</v>
      </c>
      <c r="X712" s="13">
        <v>198</v>
      </c>
    </row>
    <row r="713" spans="1:24" x14ac:dyDescent="0.25">
      <c r="A713" t="s">
        <v>823</v>
      </c>
      <c r="B713" t="s">
        <v>62</v>
      </c>
      <c r="C713" t="s">
        <v>763</v>
      </c>
      <c r="D713" t="s">
        <v>764</v>
      </c>
      <c r="E713" t="s">
        <v>62</v>
      </c>
      <c r="F713" t="s">
        <v>94</v>
      </c>
      <c r="G713" t="s">
        <v>277</v>
      </c>
      <c r="H713" s="12">
        <v>6.1632490000000004</v>
      </c>
      <c r="I713" s="12">
        <v>-75.594163600000002</v>
      </c>
      <c r="K713" t="s">
        <v>97</v>
      </c>
      <c r="M713">
        <v>11</v>
      </c>
      <c r="P713" s="13">
        <v>195</v>
      </c>
      <c r="Q713" s="13">
        <v>39</v>
      </c>
      <c r="R713">
        <v>42</v>
      </c>
      <c r="S713">
        <v>32</v>
      </c>
      <c r="T713" s="13">
        <v>43</v>
      </c>
      <c r="U713" s="13">
        <v>38</v>
      </c>
      <c r="V713" t="s">
        <v>99</v>
      </c>
      <c r="X713" s="13">
        <v>195</v>
      </c>
    </row>
    <row r="714" spans="1:24" x14ac:dyDescent="0.25">
      <c r="A714" t="s">
        <v>824</v>
      </c>
      <c r="B714" t="s">
        <v>62</v>
      </c>
      <c r="C714" t="s">
        <v>763</v>
      </c>
      <c r="D714" t="s">
        <v>764</v>
      </c>
      <c r="E714" t="s">
        <v>62</v>
      </c>
      <c r="F714" t="s">
        <v>94</v>
      </c>
      <c r="G714" t="s">
        <v>277</v>
      </c>
      <c r="H714" s="12">
        <v>6.1632490000000004</v>
      </c>
      <c r="I714" s="12">
        <v>-75.594163600000002</v>
      </c>
      <c r="K714" t="s">
        <v>97</v>
      </c>
      <c r="M714">
        <v>11</v>
      </c>
      <c r="P714" s="13">
        <v>193</v>
      </c>
      <c r="Q714" s="13">
        <v>27</v>
      </c>
      <c r="R714">
        <v>50</v>
      </c>
      <c r="S714">
        <v>30</v>
      </c>
      <c r="T714" s="13">
        <v>36</v>
      </c>
      <c r="U714" s="13">
        <v>73</v>
      </c>
      <c r="V714" t="s">
        <v>99</v>
      </c>
      <c r="X714" s="13">
        <v>193</v>
      </c>
    </row>
    <row r="715" spans="1:24" x14ac:dyDescent="0.25">
      <c r="A715" t="s">
        <v>825</v>
      </c>
      <c r="B715" t="s">
        <v>62</v>
      </c>
      <c r="C715" t="s">
        <v>763</v>
      </c>
      <c r="D715" t="s">
        <v>764</v>
      </c>
      <c r="E715" t="s">
        <v>62</v>
      </c>
      <c r="F715" t="s">
        <v>94</v>
      </c>
      <c r="G715" t="s">
        <v>277</v>
      </c>
      <c r="H715" s="12">
        <v>6.1632490000000004</v>
      </c>
      <c r="I715" s="12">
        <v>-75.594163600000002</v>
      </c>
      <c r="K715" t="s">
        <v>97</v>
      </c>
      <c r="M715">
        <v>11</v>
      </c>
      <c r="P715" s="13">
        <v>188</v>
      </c>
      <c r="Q715" s="13">
        <v>54</v>
      </c>
      <c r="R715">
        <v>44</v>
      </c>
      <c r="S715">
        <v>24</v>
      </c>
      <c r="T715" s="13">
        <v>19</v>
      </c>
      <c r="U715" s="13">
        <v>67</v>
      </c>
      <c r="V715" t="s">
        <v>99</v>
      </c>
      <c r="X715" s="13">
        <v>188</v>
      </c>
    </row>
    <row r="716" spans="1:24" x14ac:dyDescent="0.25">
      <c r="A716" t="s">
        <v>826</v>
      </c>
      <c r="B716" t="s">
        <v>62</v>
      </c>
      <c r="C716" t="s">
        <v>763</v>
      </c>
      <c r="D716" t="s">
        <v>764</v>
      </c>
      <c r="E716" t="s">
        <v>62</v>
      </c>
      <c r="F716" t="s">
        <v>94</v>
      </c>
      <c r="G716" t="s">
        <v>277</v>
      </c>
      <c r="H716" s="12">
        <v>6.1632490000000004</v>
      </c>
      <c r="I716" s="12">
        <v>-75.594163600000002</v>
      </c>
      <c r="K716" t="s">
        <v>97</v>
      </c>
      <c r="M716">
        <v>11</v>
      </c>
      <c r="P716" s="13">
        <v>188</v>
      </c>
      <c r="Q716" s="13">
        <v>68</v>
      </c>
      <c r="R716">
        <v>26</v>
      </c>
      <c r="S716">
        <v>18</v>
      </c>
      <c r="T716" s="13">
        <v>31</v>
      </c>
      <c r="U716" s="13">
        <v>58</v>
      </c>
      <c r="V716" t="s">
        <v>99</v>
      </c>
      <c r="X716" s="13">
        <v>188</v>
      </c>
    </row>
    <row r="717" spans="1:24" x14ac:dyDescent="0.25">
      <c r="A717" t="s">
        <v>827</v>
      </c>
      <c r="B717" t="s">
        <v>62</v>
      </c>
      <c r="C717" t="s">
        <v>763</v>
      </c>
      <c r="D717" t="s">
        <v>764</v>
      </c>
      <c r="E717" t="s">
        <v>62</v>
      </c>
      <c r="F717" t="s">
        <v>94</v>
      </c>
      <c r="G717" t="s">
        <v>277</v>
      </c>
      <c r="H717" s="12">
        <v>6.1632490000000004</v>
      </c>
      <c r="I717" s="12">
        <v>-75.594163600000002</v>
      </c>
      <c r="K717" t="s">
        <v>97</v>
      </c>
      <c r="M717">
        <v>11</v>
      </c>
      <c r="P717" s="13">
        <v>188</v>
      </c>
      <c r="Q717" s="13">
        <v>66</v>
      </c>
      <c r="R717">
        <v>30</v>
      </c>
      <c r="S717">
        <v>34</v>
      </c>
      <c r="T717" s="13">
        <v>33</v>
      </c>
      <c r="U717" s="13">
        <v>0</v>
      </c>
      <c r="V717" t="s">
        <v>99</v>
      </c>
      <c r="X717" s="13">
        <v>188</v>
      </c>
    </row>
    <row r="718" spans="1:24" x14ac:dyDescent="0.25">
      <c r="A718" t="s">
        <v>828</v>
      </c>
      <c r="B718" t="s">
        <v>62</v>
      </c>
      <c r="C718" t="s">
        <v>763</v>
      </c>
      <c r="D718" t="s">
        <v>764</v>
      </c>
      <c r="E718" t="s">
        <v>62</v>
      </c>
      <c r="F718" t="s">
        <v>94</v>
      </c>
      <c r="G718" t="s">
        <v>277</v>
      </c>
      <c r="H718" s="12">
        <v>6.1632490000000004</v>
      </c>
      <c r="I718" s="12">
        <v>-75.594163600000002</v>
      </c>
      <c r="K718" t="s">
        <v>97</v>
      </c>
      <c r="M718">
        <v>11</v>
      </c>
      <c r="P718" s="13">
        <v>184</v>
      </c>
      <c r="Q718" s="13">
        <v>51</v>
      </c>
      <c r="R718">
        <v>38</v>
      </c>
      <c r="S718">
        <v>28</v>
      </c>
      <c r="T718" s="13">
        <v>31</v>
      </c>
      <c r="U718" s="13">
        <v>35</v>
      </c>
      <c r="V718" t="s">
        <v>99</v>
      </c>
      <c r="X718" s="13">
        <v>184</v>
      </c>
    </row>
    <row r="719" spans="1:24" x14ac:dyDescent="0.25">
      <c r="A719" t="s">
        <v>829</v>
      </c>
      <c r="B719" t="s">
        <v>62</v>
      </c>
      <c r="C719" t="s">
        <v>763</v>
      </c>
      <c r="D719" t="s">
        <v>764</v>
      </c>
      <c r="E719" t="s">
        <v>62</v>
      </c>
      <c r="F719" t="s">
        <v>94</v>
      </c>
      <c r="G719" t="s">
        <v>277</v>
      </c>
      <c r="H719" s="12">
        <v>6.1632490000000004</v>
      </c>
      <c r="I719" s="12">
        <v>-75.594163600000002</v>
      </c>
      <c r="K719" t="s">
        <v>97</v>
      </c>
      <c r="M719">
        <v>11</v>
      </c>
      <c r="P719" s="13">
        <v>184</v>
      </c>
      <c r="Q719" s="13">
        <v>54</v>
      </c>
      <c r="R719">
        <v>30</v>
      </c>
      <c r="S719">
        <v>32</v>
      </c>
      <c r="T719" s="13">
        <v>33</v>
      </c>
      <c r="U719" s="13">
        <v>33</v>
      </c>
      <c r="V719" t="s">
        <v>99</v>
      </c>
      <c r="X719" s="13">
        <v>184</v>
      </c>
    </row>
    <row r="720" spans="1:24" x14ac:dyDescent="0.25">
      <c r="A720" t="s">
        <v>830</v>
      </c>
      <c r="B720" t="s">
        <v>62</v>
      </c>
      <c r="C720" t="s">
        <v>763</v>
      </c>
      <c r="D720" t="s">
        <v>764</v>
      </c>
      <c r="E720" t="s">
        <v>62</v>
      </c>
      <c r="F720" t="s">
        <v>94</v>
      </c>
      <c r="G720" t="s">
        <v>277</v>
      </c>
      <c r="H720" s="12">
        <v>6.1632490000000004</v>
      </c>
      <c r="I720" s="12">
        <v>-75.594163600000002</v>
      </c>
      <c r="K720" t="s">
        <v>97</v>
      </c>
      <c r="M720">
        <v>11</v>
      </c>
      <c r="P720" s="13">
        <v>182</v>
      </c>
      <c r="Q720" s="13">
        <v>39</v>
      </c>
      <c r="R720">
        <v>22</v>
      </c>
      <c r="S720">
        <v>52</v>
      </c>
      <c r="T720" s="13">
        <v>29</v>
      </c>
      <c r="U720" s="13">
        <v>45</v>
      </c>
      <c r="V720" t="s">
        <v>99</v>
      </c>
      <c r="X720" s="13">
        <v>182</v>
      </c>
    </row>
    <row r="721" spans="1:24" x14ac:dyDescent="0.25">
      <c r="A721" t="s">
        <v>831</v>
      </c>
      <c r="B721" t="s">
        <v>62</v>
      </c>
      <c r="C721" t="s">
        <v>763</v>
      </c>
      <c r="D721" t="s">
        <v>764</v>
      </c>
      <c r="E721" t="s">
        <v>62</v>
      </c>
      <c r="F721" t="s">
        <v>94</v>
      </c>
      <c r="G721" t="s">
        <v>277</v>
      </c>
      <c r="H721" s="12">
        <v>6.1632490000000004</v>
      </c>
      <c r="I721" s="12">
        <v>-75.594163600000002</v>
      </c>
      <c r="K721" t="s">
        <v>97</v>
      </c>
      <c r="M721">
        <v>11</v>
      </c>
      <c r="P721" s="13">
        <v>182</v>
      </c>
      <c r="Q721" s="13">
        <v>63</v>
      </c>
      <c r="R721">
        <v>38</v>
      </c>
      <c r="S721">
        <v>16</v>
      </c>
      <c r="T721" s="13">
        <v>24</v>
      </c>
      <c r="U721" s="13">
        <v>47</v>
      </c>
      <c r="V721" t="s">
        <v>99</v>
      </c>
      <c r="X721" s="13">
        <v>182</v>
      </c>
    </row>
    <row r="722" spans="1:24" x14ac:dyDescent="0.25">
      <c r="A722" t="s">
        <v>832</v>
      </c>
      <c r="B722" t="s">
        <v>62</v>
      </c>
      <c r="C722" t="s">
        <v>763</v>
      </c>
      <c r="D722" t="s">
        <v>764</v>
      </c>
      <c r="E722" t="s">
        <v>62</v>
      </c>
      <c r="F722" t="s">
        <v>94</v>
      </c>
      <c r="G722" t="s">
        <v>277</v>
      </c>
      <c r="H722" s="12">
        <v>6.1632490000000004</v>
      </c>
      <c r="I722" s="12">
        <v>-75.594163600000002</v>
      </c>
      <c r="K722" t="s">
        <v>97</v>
      </c>
      <c r="M722">
        <v>11</v>
      </c>
      <c r="P722" s="13">
        <v>181</v>
      </c>
      <c r="Q722" s="13">
        <v>51</v>
      </c>
      <c r="R722">
        <v>28</v>
      </c>
      <c r="S722">
        <v>34</v>
      </c>
      <c r="T722" s="13">
        <v>28</v>
      </c>
      <c r="U722" s="13">
        <v>47</v>
      </c>
      <c r="V722" t="s">
        <v>99</v>
      </c>
      <c r="X722" s="13">
        <v>181</v>
      </c>
    </row>
    <row r="723" spans="1:24" x14ac:dyDescent="0.25">
      <c r="A723" t="s">
        <v>833</v>
      </c>
      <c r="B723" t="s">
        <v>62</v>
      </c>
      <c r="C723" t="s">
        <v>763</v>
      </c>
      <c r="D723" t="s">
        <v>764</v>
      </c>
      <c r="E723" t="s">
        <v>62</v>
      </c>
      <c r="F723" t="s">
        <v>94</v>
      </c>
      <c r="G723" t="s">
        <v>277</v>
      </c>
      <c r="H723" s="12">
        <v>6.1632490000000004</v>
      </c>
      <c r="I723" s="12">
        <v>-75.594163600000002</v>
      </c>
      <c r="K723" t="s">
        <v>97</v>
      </c>
      <c r="M723">
        <v>11</v>
      </c>
      <c r="P723" s="13">
        <v>176</v>
      </c>
      <c r="Q723" s="13">
        <v>46</v>
      </c>
      <c r="R723">
        <v>28</v>
      </c>
      <c r="S723">
        <v>34</v>
      </c>
      <c r="T723" s="13">
        <v>29</v>
      </c>
      <c r="U723" s="13">
        <v>44</v>
      </c>
      <c r="V723" t="s">
        <v>99</v>
      </c>
      <c r="X723" s="13">
        <v>176</v>
      </c>
    </row>
    <row r="724" spans="1:24" x14ac:dyDescent="0.25">
      <c r="A724" t="s">
        <v>834</v>
      </c>
      <c r="B724" t="s">
        <v>62</v>
      </c>
      <c r="C724" t="s">
        <v>763</v>
      </c>
      <c r="D724" t="s">
        <v>764</v>
      </c>
      <c r="E724" t="s">
        <v>62</v>
      </c>
      <c r="F724" t="s">
        <v>94</v>
      </c>
      <c r="G724" t="s">
        <v>277</v>
      </c>
      <c r="H724" s="12">
        <v>6.1632490000000004</v>
      </c>
      <c r="I724" s="12">
        <v>-75.594163600000002</v>
      </c>
      <c r="K724" t="s">
        <v>97</v>
      </c>
      <c r="M724">
        <v>11</v>
      </c>
      <c r="P724" s="13">
        <v>171</v>
      </c>
      <c r="Q724" s="13">
        <v>46</v>
      </c>
      <c r="R724">
        <v>30</v>
      </c>
      <c r="S724">
        <v>30</v>
      </c>
      <c r="T724" s="13">
        <v>26</v>
      </c>
      <c r="U724" s="13">
        <v>49</v>
      </c>
      <c r="V724" t="s">
        <v>99</v>
      </c>
      <c r="X724" s="13">
        <v>171</v>
      </c>
    </row>
    <row r="725" spans="1:24" x14ac:dyDescent="0.25">
      <c r="A725" t="s">
        <v>835</v>
      </c>
      <c r="B725" t="s">
        <v>62</v>
      </c>
      <c r="C725" t="s">
        <v>763</v>
      </c>
      <c r="D725" t="s">
        <v>764</v>
      </c>
      <c r="E725" t="s">
        <v>62</v>
      </c>
      <c r="F725" t="s">
        <v>94</v>
      </c>
      <c r="G725" t="s">
        <v>277</v>
      </c>
      <c r="H725" s="12">
        <v>6.1632490000000004</v>
      </c>
      <c r="I725" s="12">
        <v>-75.594163600000002</v>
      </c>
      <c r="K725" t="s">
        <v>97</v>
      </c>
      <c r="M725">
        <v>11</v>
      </c>
      <c r="P725" s="13">
        <v>171</v>
      </c>
      <c r="Q725" s="13">
        <v>37</v>
      </c>
      <c r="R725">
        <v>36</v>
      </c>
      <c r="S725">
        <v>32</v>
      </c>
      <c r="T725" s="13">
        <v>26</v>
      </c>
      <c r="U725" s="13">
        <v>53</v>
      </c>
      <c r="V725" t="s">
        <v>99</v>
      </c>
      <c r="X725" s="13">
        <v>171</v>
      </c>
    </row>
    <row r="726" spans="1:24" x14ac:dyDescent="0.25">
      <c r="A726" t="s">
        <v>836</v>
      </c>
      <c r="B726" t="s">
        <v>62</v>
      </c>
      <c r="C726" t="s">
        <v>763</v>
      </c>
      <c r="D726" t="s">
        <v>764</v>
      </c>
      <c r="E726" t="s">
        <v>62</v>
      </c>
      <c r="F726" t="s">
        <v>94</v>
      </c>
      <c r="G726" t="s">
        <v>277</v>
      </c>
      <c r="H726" s="12">
        <v>6.1632490000000004</v>
      </c>
      <c r="I726" s="12">
        <v>-75.594163600000002</v>
      </c>
      <c r="K726" t="s">
        <v>97</v>
      </c>
      <c r="M726">
        <v>11</v>
      </c>
      <c r="P726" s="13">
        <v>168</v>
      </c>
      <c r="Q726" s="13">
        <v>24</v>
      </c>
      <c r="R726">
        <v>32</v>
      </c>
      <c r="S726">
        <v>36</v>
      </c>
      <c r="T726" s="13">
        <v>40</v>
      </c>
      <c r="U726" s="13">
        <v>42</v>
      </c>
      <c r="V726" t="s">
        <v>99</v>
      </c>
      <c r="X726" s="13">
        <v>168</v>
      </c>
    </row>
    <row r="727" spans="1:24" x14ac:dyDescent="0.25">
      <c r="A727" t="s">
        <v>837</v>
      </c>
      <c r="B727" t="s">
        <v>62</v>
      </c>
      <c r="C727" t="s">
        <v>763</v>
      </c>
      <c r="D727" t="s">
        <v>764</v>
      </c>
      <c r="E727" t="s">
        <v>62</v>
      </c>
      <c r="F727" t="s">
        <v>94</v>
      </c>
      <c r="G727" t="s">
        <v>277</v>
      </c>
      <c r="H727" s="12">
        <v>6.1632490000000004</v>
      </c>
      <c r="I727" s="12">
        <v>-75.594163600000002</v>
      </c>
      <c r="K727" t="s">
        <v>97</v>
      </c>
      <c r="M727">
        <v>11</v>
      </c>
      <c r="P727" s="13">
        <v>167</v>
      </c>
      <c r="Q727" s="13">
        <v>41</v>
      </c>
      <c r="R727">
        <v>28</v>
      </c>
      <c r="S727">
        <v>24</v>
      </c>
      <c r="T727" s="13">
        <v>36</v>
      </c>
      <c r="U727" s="13">
        <v>45</v>
      </c>
      <c r="V727" t="s">
        <v>99</v>
      </c>
      <c r="X727" s="13">
        <v>167</v>
      </c>
    </row>
    <row r="728" spans="1:24" x14ac:dyDescent="0.25">
      <c r="A728" t="s">
        <v>838</v>
      </c>
      <c r="B728" t="s">
        <v>62</v>
      </c>
      <c r="C728" t="s">
        <v>763</v>
      </c>
      <c r="D728" t="s">
        <v>764</v>
      </c>
      <c r="E728" t="s">
        <v>62</v>
      </c>
      <c r="F728" t="s">
        <v>94</v>
      </c>
      <c r="G728" t="s">
        <v>277</v>
      </c>
      <c r="H728" s="12">
        <v>6.1632490000000004</v>
      </c>
      <c r="I728" s="12">
        <v>-75.594163600000002</v>
      </c>
      <c r="K728" t="s">
        <v>97</v>
      </c>
      <c r="M728">
        <v>11</v>
      </c>
      <c r="P728" s="13">
        <v>167</v>
      </c>
      <c r="Q728" s="13">
        <v>44</v>
      </c>
      <c r="R728">
        <v>24</v>
      </c>
      <c r="S728">
        <v>34</v>
      </c>
      <c r="T728" s="13">
        <v>19</v>
      </c>
      <c r="U728" s="13">
        <v>71</v>
      </c>
      <c r="V728" t="s">
        <v>99</v>
      </c>
      <c r="X728" s="13">
        <v>167</v>
      </c>
    </row>
    <row r="729" spans="1:24" x14ac:dyDescent="0.25">
      <c r="A729" t="s">
        <v>839</v>
      </c>
      <c r="B729" t="s">
        <v>62</v>
      </c>
      <c r="C729" t="s">
        <v>763</v>
      </c>
      <c r="D729" t="s">
        <v>764</v>
      </c>
      <c r="E729" t="s">
        <v>62</v>
      </c>
      <c r="F729" t="s">
        <v>94</v>
      </c>
      <c r="G729" t="s">
        <v>277</v>
      </c>
      <c r="H729" s="12">
        <v>6.1632490000000004</v>
      </c>
      <c r="I729" s="12">
        <v>-75.594163600000002</v>
      </c>
      <c r="K729" t="s">
        <v>97</v>
      </c>
      <c r="M729">
        <v>11</v>
      </c>
      <c r="P729" s="13">
        <v>165</v>
      </c>
      <c r="Q729" s="13">
        <v>37</v>
      </c>
      <c r="R729">
        <v>28</v>
      </c>
      <c r="S729">
        <v>28</v>
      </c>
      <c r="T729" s="13">
        <v>29</v>
      </c>
      <c r="U729" s="13">
        <v>64</v>
      </c>
      <c r="V729" t="s">
        <v>99</v>
      </c>
      <c r="X729" s="13">
        <v>165</v>
      </c>
    </row>
    <row r="730" spans="1:24" x14ac:dyDescent="0.25">
      <c r="A730" t="s">
        <v>840</v>
      </c>
      <c r="B730" t="s">
        <v>62</v>
      </c>
      <c r="C730" t="s">
        <v>763</v>
      </c>
      <c r="D730" t="s">
        <v>764</v>
      </c>
      <c r="E730" t="s">
        <v>62</v>
      </c>
      <c r="F730" t="s">
        <v>94</v>
      </c>
      <c r="G730" t="s">
        <v>277</v>
      </c>
      <c r="H730" s="12">
        <v>6.1632490000000004</v>
      </c>
      <c r="I730" s="12">
        <v>-75.594163600000002</v>
      </c>
      <c r="K730" t="s">
        <v>97</v>
      </c>
      <c r="M730">
        <v>11</v>
      </c>
      <c r="P730" s="13">
        <v>162</v>
      </c>
      <c r="Q730" s="13">
        <v>44</v>
      </c>
      <c r="R730">
        <v>38</v>
      </c>
      <c r="S730">
        <v>20</v>
      </c>
      <c r="T730" s="13">
        <v>22</v>
      </c>
      <c r="U730" s="13">
        <v>47</v>
      </c>
      <c r="V730" t="s">
        <v>99</v>
      </c>
      <c r="X730" s="13">
        <v>162</v>
      </c>
    </row>
    <row r="731" spans="1:24" x14ac:dyDescent="0.25">
      <c r="A731" t="s">
        <v>841</v>
      </c>
      <c r="B731" t="s">
        <v>62</v>
      </c>
      <c r="C731" t="s">
        <v>763</v>
      </c>
      <c r="D731" t="s">
        <v>764</v>
      </c>
      <c r="E731" t="s">
        <v>62</v>
      </c>
      <c r="F731" t="s">
        <v>94</v>
      </c>
      <c r="G731" t="s">
        <v>277</v>
      </c>
      <c r="H731" s="12">
        <v>6.1632490000000004</v>
      </c>
      <c r="I731" s="12">
        <v>-75.594163600000002</v>
      </c>
      <c r="K731" t="s">
        <v>97</v>
      </c>
      <c r="M731">
        <v>11</v>
      </c>
      <c r="P731" s="13">
        <v>158</v>
      </c>
      <c r="Q731" s="13">
        <v>29</v>
      </c>
      <c r="R731">
        <v>26</v>
      </c>
      <c r="S731">
        <v>34</v>
      </c>
      <c r="T731" s="13">
        <v>38</v>
      </c>
      <c r="U731" s="13">
        <v>29</v>
      </c>
      <c r="V731" t="s">
        <v>99</v>
      </c>
      <c r="X731" s="13">
        <v>158</v>
      </c>
    </row>
    <row r="732" spans="1:24" x14ac:dyDescent="0.25">
      <c r="A732" t="s">
        <v>842</v>
      </c>
      <c r="B732" t="s">
        <v>62</v>
      </c>
      <c r="C732" t="s">
        <v>763</v>
      </c>
      <c r="D732" t="s">
        <v>764</v>
      </c>
      <c r="E732" t="s">
        <v>62</v>
      </c>
      <c r="F732" t="s">
        <v>94</v>
      </c>
      <c r="G732" t="s">
        <v>277</v>
      </c>
      <c r="H732" s="12">
        <v>6.1632490000000004</v>
      </c>
      <c r="I732" s="12">
        <v>-75.594163600000002</v>
      </c>
      <c r="K732" t="s">
        <v>97</v>
      </c>
      <c r="M732">
        <v>11</v>
      </c>
      <c r="P732" s="13">
        <v>151</v>
      </c>
      <c r="Q732" s="13">
        <v>32</v>
      </c>
      <c r="R732">
        <v>28</v>
      </c>
      <c r="S732">
        <v>30</v>
      </c>
      <c r="T732" s="13">
        <v>28</v>
      </c>
      <c r="U732" s="13">
        <v>40</v>
      </c>
      <c r="V732" t="s">
        <v>99</v>
      </c>
      <c r="X732" s="13">
        <v>151</v>
      </c>
    </row>
    <row r="733" spans="1:24" x14ac:dyDescent="0.25">
      <c r="A733" t="s">
        <v>843</v>
      </c>
      <c r="B733" t="s">
        <v>62</v>
      </c>
      <c r="C733" t="s">
        <v>763</v>
      </c>
      <c r="D733" t="s">
        <v>764</v>
      </c>
      <c r="E733" t="s">
        <v>62</v>
      </c>
      <c r="F733" t="s">
        <v>94</v>
      </c>
      <c r="G733" t="s">
        <v>277</v>
      </c>
      <c r="H733" s="12">
        <v>6.1632490000000004</v>
      </c>
      <c r="I733" s="12">
        <v>-75.594163600000002</v>
      </c>
      <c r="K733" t="s">
        <v>97</v>
      </c>
      <c r="M733">
        <v>11</v>
      </c>
      <c r="P733" s="13">
        <v>150</v>
      </c>
      <c r="Q733" s="13">
        <v>32</v>
      </c>
      <c r="R733">
        <v>28</v>
      </c>
      <c r="S733">
        <v>34</v>
      </c>
      <c r="T733" s="13">
        <v>26</v>
      </c>
      <c r="U733" s="13">
        <v>31</v>
      </c>
      <c r="V733" t="s">
        <v>99</v>
      </c>
      <c r="X733" s="13">
        <v>150</v>
      </c>
    </row>
    <row r="734" spans="1:24" x14ac:dyDescent="0.25">
      <c r="A734" t="s">
        <v>844</v>
      </c>
      <c r="B734" t="s">
        <v>62</v>
      </c>
      <c r="C734" t="s">
        <v>763</v>
      </c>
      <c r="D734" t="s">
        <v>764</v>
      </c>
      <c r="E734" t="s">
        <v>62</v>
      </c>
      <c r="F734" t="s">
        <v>94</v>
      </c>
      <c r="G734" t="s">
        <v>277</v>
      </c>
      <c r="H734" s="12">
        <v>6.1632490000000004</v>
      </c>
      <c r="I734" s="12">
        <v>-75.594163600000002</v>
      </c>
      <c r="K734" t="s">
        <v>97</v>
      </c>
      <c r="M734">
        <v>11</v>
      </c>
      <c r="P734" s="13">
        <v>146</v>
      </c>
      <c r="Q734" s="13">
        <v>29</v>
      </c>
      <c r="R734">
        <v>34</v>
      </c>
      <c r="S734">
        <v>26</v>
      </c>
      <c r="T734" s="13">
        <v>26</v>
      </c>
      <c r="U734" s="13">
        <v>35</v>
      </c>
      <c r="V734" t="s">
        <v>99</v>
      </c>
      <c r="X734" s="13">
        <v>146</v>
      </c>
    </row>
    <row r="735" spans="1:24" x14ac:dyDescent="0.25">
      <c r="A735" t="s">
        <v>845</v>
      </c>
      <c r="B735" t="s">
        <v>62</v>
      </c>
      <c r="C735" t="s">
        <v>763</v>
      </c>
      <c r="D735" t="s">
        <v>764</v>
      </c>
      <c r="E735" t="s">
        <v>62</v>
      </c>
      <c r="F735" t="s">
        <v>94</v>
      </c>
      <c r="G735" t="s">
        <v>277</v>
      </c>
      <c r="H735" s="12">
        <v>6.1632490000000004</v>
      </c>
      <c r="I735" s="12">
        <v>-75.594163600000002</v>
      </c>
      <c r="K735" t="s">
        <v>97</v>
      </c>
      <c r="M735">
        <v>11</v>
      </c>
      <c r="P735" s="13">
        <v>145</v>
      </c>
      <c r="Q735" s="13">
        <v>34</v>
      </c>
      <c r="R735">
        <v>36</v>
      </c>
      <c r="S735">
        <v>20</v>
      </c>
      <c r="T735" s="13">
        <v>22</v>
      </c>
      <c r="U735" s="13">
        <v>40</v>
      </c>
      <c r="V735" t="s">
        <v>99</v>
      </c>
      <c r="X735" s="13">
        <v>145</v>
      </c>
    </row>
    <row r="736" spans="1:24" x14ac:dyDescent="0.25">
      <c r="A736" t="s">
        <v>846</v>
      </c>
      <c r="B736" t="s">
        <v>62</v>
      </c>
      <c r="C736" t="s">
        <v>763</v>
      </c>
      <c r="D736" t="s">
        <v>764</v>
      </c>
      <c r="E736" t="s">
        <v>62</v>
      </c>
      <c r="F736" t="s">
        <v>94</v>
      </c>
      <c r="G736" t="s">
        <v>277</v>
      </c>
      <c r="H736" s="12">
        <v>6.1632490000000004</v>
      </c>
      <c r="I736" s="12">
        <v>-75.594163600000002</v>
      </c>
      <c r="K736" t="s">
        <v>97</v>
      </c>
      <c r="M736">
        <v>11</v>
      </c>
      <c r="P736" s="13">
        <v>142</v>
      </c>
      <c r="Q736" s="13">
        <v>29</v>
      </c>
      <c r="R736">
        <v>32</v>
      </c>
      <c r="S736">
        <v>16</v>
      </c>
      <c r="T736" s="13">
        <v>33</v>
      </c>
      <c r="U736" s="13">
        <v>40</v>
      </c>
      <c r="V736" t="s">
        <v>99</v>
      </c>
      <c r="X736" s="13">
        <v>142</v>
      </c>
    </row>
    <row r="737" spans="1:24" x14ac:dyDescent="0.25">
      <c r="A737" t="s">
        <v>847</v>
      </c>
      <c r="B737" t="s">
        <v>62</v>
      </c>
      <c r="C737" t="s">
        <v>763</v>
      </c>
      <c r="D737" t="s">
        <v>764</v>
      </c>
      <c r="E737" t="s">
        <v>62</v>
      </c>
      <c r="F737" t="s">
        <v>94</v>
      </c>
      <c r="G737" t="s">
        <v>277</v>
      </c>
      <c r="H737" s="12">
        <v>6.1632490000000004</v>
      </c>
      <c r="I737" s="12">
        <v>-75.594163600000002</v>
      </c>
      <c r="K737" t="s">
        <v>97</v>
      </c>
      <c r="M737">
        <v>11</v>
      </c>
      <c r="P737" s="13">
        <v>142</v>
      </c>
      <c r="Q737" s="13">
        <v>39</v>
      </c>
      <c r="R737">
        <v>26</v>
      </c>
      <c r="S737">
        <v>18</v>
      </c>
      <c r="T737" s="13">
        <v>29</v>
      </c>
      <c r="U737" s="13">
        <v>33</v>
      </c>
      <c r="V737" t="s">
        <v>99</v>
      </c>
      <c r="X737" s="13">
        <v>142</v>
      </c>
    </row>
    <row r="738" spans="1:24" x14ac:dyDescent="0.25">
      <c r="A738" t="s">
        <v>848</v>
      </c>
      <c r="B738" t="s">
        <v>62</v>
      </c>
      <c r="C738" t="s">
        <v>763</v>
      </c>
      <c r="D738" t="s">
        <v>764</v>
      </c>
      <c r="E738" t="s">
        <v>62</v>
      </c>
      <c r="F738" t="s">
        <v>94</v>
      </c>
      <c r="G738" t="s">
        <v>277</v>
      </c>
      <c r="H738" s="12">
        <v>6.1632490000000004</v>
      </c>
      <c r="I738" s="12">
        <v>-75.594163600000002</v>
      </c>
      <c r="K738" t="s">
        <v>97</v>
      </c>
      <c r="M738">
        <v>11</v>
      </c>
      <c r="P738" s="13">
        <v>141</v>
      </c>
      <c r="Q738" s="13">
        <v>34</v>
      </c>
      <c r="R738">
        <v>26</v>
      </c>
      <c r="S738">
        <v>20</v>
      </c>
      <c r="T738" s="13">
        <v>29</v>
      </c>
      <c r="U738" s="13">
        <v>38</v>
      </c>
      <c r="V738" t="s">
        <v>99</v>
      </c>
      <c r="X738" s="13">
        <v>141</v>
      </c>
    </row>
    <row r="739" spans="1:24" x14ac:dyDescent="0.25">
      <c r="A739" t="s">
        <v>849</v>
      </c>
      <c r="B739" t="s">
        <v>62</v>
      </c>
      <c r="C739" t="s">
        <v>763</v>
      </c>
      <c r="D739" t="s">
        <v>764</v>
      </c>
      <c r="E739" t="s">
        <v>62</v>
      </c>
      <c r="F739" t="s">
        <v>94</v>
      </c>
      <c r="G739" t="s">
        <v>277</v>
      </c>
      <c r="H739" s="12">
        <v>6.1632490000000004</v>
      </c>
      <c r="I739" s="12">
        <v>-75.594163600000002</v>
      </c>
      <c r="K739" t="s">
        <v>97</v>
      </c>
      <c r="M739">
        <v>11</v>
      </c>
      <c r="P739" s="13">
        <v>140</v>
      </c>
      <c r="Q739" s="13">
        <v>34</v>
      </c>
      <c r="R739">
        <v>24</v>
      </c>
      <c r="S739">
        <v>20</v>
      </c>
      <c r="T739" s="13">
        <v>28</v>
      </c>
      <c r="U739" s="13">
        <v>47</v>
      </c>
      <c r="V739" t="s">
        <v>99</v>
      </c>
      <c r="X739" s="13">
        <v>140</v>
      </c>
    </row>
    <row r="740" spans="1:24" x14ac:dyDescent="0.25">
      <c r="A740" t="s">
        <v>850</v>
      </c>
      <c r="B740" t="s">
        <v>62</v>
      </c>
      <c r="C740" t="s">
        <v>763</v>
      </c>
      <c r="D740" t="s">
        <v>764</v>
      </c>
      <c r="E740" t="s">
        <v>62</v>
      </c>
      <c r="F740" t="s">
        <v>94</v>
      </c>
      <c r="G740" t="s">
        <v>277</v>
      </c>
      <c r="H740" s="12">
        <v>6.1632490000000004</v>
      </c>
      <c r="I740" s="12">
        <v>-75.594163600000002</v>
      </c>
      <c r="K740" t="s">
        <v>97</v>
      </c>
      <c r="M740">
        <v>11</v>
      </c>
      <c r="P740" s="13">
        <v>138</v>
      </c>
      <c r="Q740" s="13">
        <v>27</v>
      </c>
      <c r="R740">
        <v>26</v>
      </c>
      <c r="S740">
        <v>30</v>
      </c>
      <c r="T740" s="13">
        <v>28</v>
      </c>
      <c r="U740" s="13">
        <v>27</v>
      </c>
      <c r="V740" t="s">
        <v>99</v>
      </c>
      <c r="X740" s="13">
        <v>138</v>
      </c>
    </row>
    <row r="741" spans="1:24" x14ac:dyDescent="0.25">
      <c r="A741" t="s">
        <v>851</v>
      </c>
      <c r="B741" t="s">
        <v>62</v>
      </c>
      <c r="C741" t="s">
        <v>763</v>
      </c>
      <c r="D741" t="s">
        <v>764</v>
      </c>
      <c r="E741" t="s">
        <v>62</v>
      </c>
      <c r="F741" t="s">
        <v>94</v>
      </c>
      <c r="G741" t="s">
        <v>277</v>
      </c>
      <c r="H741" s="12">
        <v>6.1632490000000004</v>
      </c>
      <c r="I741" s="12">
        <v>-75.594163600000002</v>
      </c>
      <c r="K741" t="s">
        <v>97</v>
      </c>
      <c r="M741">
        <v>11</v>
      </c>
      <c r="P741" s="13">
        <v>131</v>
      </c>
      <c r="Q741" s="13">
        <v>37</v>
      </c>
      <c r="R741">
        <v>20</v>
      </c>
      <c r="S741">
        <v>22</v>
      </c>
      <c r="T741" s="13">
        <v>24</v>
      </c>
      <c r="U741" s="13">
        <v>33</v>
      </c>
      <c r="V741" t="s">
        <v>99</v>
      </c>
      <c r="X741" s="13">
        <v>131</v>
      </c>
    </row>
    <row r="742" spans="1:24" x14ac:dyDescent="0.25">
      <c r="A742" t="s">
        <v>852</v>
      </c>
      <c r="B742" t="s">
        <v>62</v>
      </c>
      <c r="C742" t="s">
        <v>763</v>
      </c>
      <c r="D742" t="s">
        <v>764</v>
      </c>
      <c r="E742" t="s">
        <v>62</v>
      </c>
      <c r="F742" t="s">
        <v>94</v>
      </c>
      <c r="G742" t="s">
        <v>277</v>
      </c>
      <c r="H742" s="12">
        <v>6.1632490000000004</v>
      </c>
      <c r="I742" s="12">
        <v>-75.594163600000002</v>
      </c>
      <c r="K742" t="s">
        <v>97</v>
      </c>
      <c r="M742">
        <v>11</v>
      </c>
      <c r="P742" s="13">
        <v>127</v>
      </c>
      <c r="Q742" s="13">
        <v>54</v>
      </c>
      <c r="R742">
        <v>24</v>
      </c>
      <c r="S742">
        <v>8</v>
      </c>
      <c r="T742" s="13">
        <v>24</v>
      </c>
      <c r="U742" s="13">
        <v>0</v>
      </c>
      <c r="V742" t="s">
        <v>99</v>
      </c>
      <c r="X742" s="13">
        <v>127</v>
      </c>
    </row>
    <row r="743" spans="1:24" x14ac:dyDescent="0.25">
      <c r="A743" t="s">
        <v>853</v>
      </c>
      <c r="B743" t="s">
        <v>62</v>
      </c>
      <c r="C743" t="s">
        <v>763</v>
      </c>
      <c r="D743" t="s">
        <v>764</v>
      </c>
      <c r="E743" t="s">
        <v>62</v>
      </c>
      <c r="F743" t="s">
        <v>94</v>
      </c>
      <c r="G743" t="s">
        <v>277</v>
      </c>
      <c r="H743" s="12">
        <v>6.1632490000000004</v>
      </c>
      <c r="I743" s="12">
        <v>-75.594163600000002</v>
      </c>
      <c r="K743" t="s">
        <v>97</v>
      </c>
      <c r="M743">
        <v>11</v>
      </c>
      <c r="P743" s="13">
        <v>126</v>
      </c>
      <c r="Q743" s="13">
        <v>27</v>
      </c>
      <c r="R743">
        <v>28</v>
      </c>
      <c r="S743">
        <v>32</v>
      </c>
      <c r="T743" s="13">
        <v>16</v>
      </c>
      <c r="U743" s="13">
        <v>22</v>
      </c>
      <c r="V743" t="s">
        <v>99</v>
      </c>
      <c r="X743" s="13">
        <v>126</v>
      </c>
    </row>
    <row r="744" spans="1:24" x14ac:dyDescent="0.25">
      <c r="A744" t="s">
        <v>854</v>
      </c>
      <c r="B744" t="s">
        <v>62</v>
      </c>
      <c r="C744" t="s">
        <v>763</v>
      </c>
      <c r="D744" t="s">
        <v>764</v>
      </c>
      <c r="E744" t="s">
        <v>62</v>
      </c>
      <c r="F744" t="s">
        <v>94</v>
      </c>
      <c r="G744" t="s">
        <v>277</v>
      </c>
      <c r="H744" s="12">
        <v>6.1632490000000004</v>
      </c>
      <c r="I744" s="12">
        <v>-75.594163600000002</v>
      </c>
      <c r="K744" t="s">
        <v>97</v>
      </c>
      <c r="M744">
        <v>11</v>
      </c>
      <c r="P744" s="13">
        <v>107</v>
      </c>
      <c r="Q744" s="13">
        <v>20</v>
      </c>
      <c r="R744">
        <v>18</v>
      </c>
      <c r="S744">
        <v>28</v>
      </c>
      <c r="T744" s="13">
        <v>19</v>
      </c>
      <c r="U744" s="13">
        <v>25</v>
      </c>
      <c r="V744" t="s">
        <v>99</v>
      </c>
      <c r="X744" s="13">
        <v>107</v>
      </c>
    </row>
    <row r="745" spans="1:24" x14ac:dyDescent="0.25">
      <c r="A745" t="s">
        <v>855</v>
      </c>
      <c r="B745" t="s">
        <v>62</v>
      </c>
      <c r="C745" t="s">
        <v>763</v>
      </c>
      <c r="D745" t="s">
        <v>764</v>
      </c>
      <c r="E745" t="s">
        <v>62</v>
      </c>
      <c r="F745" t="s">
        <v>94</v>
      </c>
      <c r="G745" t="s">
        <v>277</v>
      </c>
      <c r="H745" s="12">
        <v>6.1632490000000004</v>
      </c>
      <c r="I745" s="12">
        <v>-75.594163600000002</v>
      </c>
      <c r="K745" t="s">
        <v>97</v>
      </c>
      <c r="M745">
        <v>11</v>
      </c>
      <c r="P745" s="13">
        <v>103</v>
      </c>
      <c r="Q745" s="13">
        <v>17</v>
      </c>
      <c r="R745">
        <v>22</v>
      </c>
      <c r="S745">
        <v>18</v>
      </c>
      <c r="T745" s="13">
        <v>22</v>
      </c>
      <c r="U745" s="13">
        <v>29</v>
      </c>
      <c r="V745" t="s">
        <v>99</v>
      </c>
      <c r="X745" s="13">
        <v>103</v>
      </c>
    </row>
    <row r="746" spans="1:24" x14ac:dyDescent="0.25">
      <c r="A746" t="s">
        <v>856</v>
      </c>
      <c r="B746" t="s">
        <v>62</v>
      </c>
      <c r="C746" t="s">
        <v>763</v>
      </c>
      <c r="D746" t="s">
        <v>764</v>
      </c>
      <c r="E746" t="s">
        <v>62</v>
      </c>
      <c r="F746" t="s">
        <v>94</v>
      </c>
      <c r="G746" t="s">
        <v>277</v>
      </c>
      <c r="H746" s="12">
        <v>6.1632490000000004</v>
      </c>
      <c r="I746" s="12">
        <v>-75.594163600000002</v>
      </c>
      <c r="K746" t="s">
        <v>97</v>
      </c>
      <c r="M746">
        <v>11</v>
      </c>
      <c r="P746" s="13">
        <v>98</v>
      </c>
      <c r="Q746" s="13">
        <v>39</v>
      </c>
      <c r="R746">
        <v>20</v>
      </c>
      <c r="S746">
        <v>10</v>
      </c>
      <c r="T746" s="13">
        <v>16</v>
      </c>
      <c r="U746" s="13">
        <v>0</v>
      </c>
      <c r="V746" t="s">
        <v>99</v>
      </c>
      <c r="X746" s="13">
        <v>98</v>
      </c>
    </row>
    <row r="747" spans="1:24" x14ac:dyDescent="0.25">
      <c r="A747" t="s">
        <v>857</v>
      </c>
      <c r="B747" t="s">
        <v>62</v>
      </c>
      <c r="C747" t="s">
        <v>763</v>
      </c>
      <c r="D747" t="s">
        <v>764</v>
      </c>
      <c r="E747" t="s">
        <v>62</v>
      </c>
      <c r="F747" t="s">
        <v>94</v>
      </c>
      <c r="G747" t="s">
        <v>277</v>
      </c>
      <c r="H747" s="12">
        <v>6.1632490000000004</v>
      </c>
      <c r="I747" s="12">
        <v>-75.594163600000002</v>
      </c>
      <c r="K747" t="s">
        <v>97</v>
      </c>
      <c r="M747">
        <v>11</v>
      </c>
      <c r="P747" s="13">
        <v>89</v>
      </c>
      <c r="Q747" s="13">
        <v>0</v>
      </c>
      <c r="R747">
        <v>16</v>
      </c>
      <c r="S747">
        <v>28</v>
      </c>
      <c r="T747" s="13">
        <v>21</v>
      </c>
      <c r="U747" s="13">
        <v>38</v>
      </c>
      <c r="V747" t="s">
        <v>99</v>
      </c>
      <c r="X747" s="13">
        <v>89</v>
      </c>
    </row>
    <row r="748" spans="1:24" x14ac:dyDescent="0.25">
      <c r="A748" t="s">
        <v>858</v>
      </c>
      <c r="B748" t="s">
        <v>62</v>
      </c>
      <c r="C748" t="s">
        <v>763</v>
      </c>
      <c r="D748" t="s">
        <v>764</v>
      </c>
      <c r="E748" t="s">
        <v>62</v>
      </c>
      <c r="F748" t="s">
        <v>94</v>
      </c>
      <c r="G748" t="s">
        <v>277</v>
      </c>
      <c r="H748" s="12">
        <v>6.1632490000000004</v>
      </c>
      <c r="I748" s="12">
        <v>-75.594163600000002</v>
      </c>
      <c r="K748" t="s">
        <v>97</v>
      </c>
      <c r="M748">
        <v>11</v>
      </c>
      <c r="P748" s="13">
        <v>86</v>
      </c>
      <c r="Q748" s="13">
        <v>0</v>
      </c>
      <c r="R748">
        <v>10</v>
      </c>
      <c r="S748">
        <v>26</v>
      </c>
      <c r="T748" s="13">
        <v>21</v>
      </c>
      <c r="U748" s="13">
        <v>53</v>
      </c>
      <c r="V748" t="s">
        <v>99</v>
      </c>
      <c r="X748" s="13">
        <v>86</v>
      </c>
    </row>
    <row r="749" spans="1:24" x14ac:dyDescent="0.25">
      <c r="A749" t="s">
        <v>859</v>
      </c>
      <c r="B749" t="s">
        <v>62</v>
      </c>
      <c r="C749" t="s">
        <v>763</v>
      </c>
      <c r="D749" t="s">
        <v>764</v>
      </c>
      <c r="E749" t="s">
        <v>62</v>
      </c>
      <c r="F749" t="s">
        <v>94</v>
      </c>
      <c r="G749" t="s">
        <v>277</v>
      </c>
      <c r="H749" s="12">
        <v>6.1632490000000004</v>
      </c>
      <c r="I749" s="12">
        <v>-75.594163600000002</v>
      </c>
      <c r="K749" t="s">
        <v>97</v>
      </c>
      <c r="M749">
        <v>11</v>
      </c>
      <c r="P749" s="13">
        <v>76</v>
      </c>
      <c r="Q749" s="13">
        <v>0</v>
      </c>
      <c r="R749">
        <v>14</v>
      </c>
      <c r="S749">
        <v>16</v>
      </c>
      <c r="T749" s="13">
        <v>14</v>
      </c>
      <c r="U749" s="13">
        <v>65</v>
      </c>
      <c r="V749" t="s">
        <v>99</v>
      </c>
      <c r="X749" s="13">
        <v>76</v>
      </c>
    </row>
    <row r="750" spans="1:24" x14ac:dyDescent="0.25">
      <c r="A750" t="s">
        <v>860</v>
      </c>
      <c r="B750" t="s">
        <v>62</v>
      </c>
      <c r="C750" t="s">
        <v>763</v>
      </c>
      <c r="D750" t="s">
        <v>764</v>
      </c>
      <c r="E750" t="s">
        <v>62</v>
      </c>
      <c r="F750" t="s">
        <v>94</v>
      </c>
      <c r="G750" t="s">
        <v>277</v>
      </c>
      <c r="H750" s="12">
        <v>6.1632490000000004</v>
      </c>
      <c r="I750" s="12">
        <v>-75.594163600000002</v>
      </c>
      <c r="K750" t="s">
        <v>97</v>
      </c>
      <c r="M750">
        <v>11</v>
      </c>
      <c r="P750" s="13">
        <v>75</v>
      </c>
      <c r="Q750" s="13">
        <v>0</v>
      </c>
      <c r="R750">
        <v>12</v>
      </c>
      <c r="S750">
        <v>20</v>
      </c>
      <c r="T750" s="13">
        <v>21</v>
      </c>
      <c r="U750" s="13">
        <v>38</v>
      </c>
      <c r="V750" t="s">
        <v>99</v>
      </c>
      <c r="X750" s="13">
        <v>75</v>
      </c>
    </row>
    <row r="751" spans="1:24" x14ac:dyDescent="0.25">
      <c r="A751" t="s">
        <v>861</v>
      </c>
      <c r="B751" t="s">
        <v>62</v>
      </c>
      <c r="C751" t="s">
        <v>862</v>
      </c>
      <c r="D751" t="s">
        <v>863</v>
      </c>
      <c r="E751" t="s">
        <v>62</v>
      </c>
      <c r="F751" t="s">
        <v>94</v>
      </c>
      <c r="G751" t="s">
        <v>277</v>
      </c>
      <c r="H751" s="12">
        <v>6.1702636999999996</v>
      </c>
      <c r="I751" s="12">
        <v>-75.589518400000003</v>
      </c>
      <c r="K751" t="s">
        <v>97</v>
      </c>
      <c r="M751">
        <v>11</v>
      </c>
      <c r="P751" s="13">
        <v>359</v>
      </c>
      <c r="Q751" s="13">
        <v>85</v>
      </c>
      <c r="R751">
        <v>48</v>
      </c>
      <c r="S751">
        <v>84</v>
      </c>
      <c r="T751" s="13">
        <v>66</v>
      </c>
      <c r="U751" s="13">
        <v>85</v>
      </c>
      <c r="V751" t="s">
        <v>99</v>
      </c>
      <c r="X751" s="13">
        <v>359</v>
      </c>
    </row>
    <row r="752" spans="1:24" x14ac:dyDescent="0.25">
      <c r="A752" t="s">
        <v>864</v>
      </c>
      <c r="B752" t="s">
        <v>62</v>
      </c>
      <c r="C752" t="s">
        <v>862</v>
      </c>
      <c r="D752" t="s">
        <v>863</v>
      </c>
      <c r="E752" t="s">
        <v>62</v>
      </c>
      <c r="F752" t="s">
        <v>94</v>
      </c>
      <c r="G752" t="s">
        <v>277</v>
      </c>
      <c r="H752" s="12">
        <v>6.1702636999999996</v>
      </c>
      <c r="I752" s="12">
        <v>-75.589518400000003</v>
      </c>
      <c r="K752" t="s">
        <v>97</v>
      </c>
      <c r="M752">
        <v>11</v>
      </c>
      <c r="P752" s="13">
        <v>336</v>
      </c>
      <c r="Q752" s="13">
        <v>85</v>
      </c>
      <c r="R752">
        <v>42</v>
      </c>
      <c r="S752">
        <v>68</v>
      </c>
      <c r="T752" s="13">
        <v>71</v>
      </c>
      <c r="U752" s="13">
        <v>76</v>
      </c>
      <c r="V752" t="s">
        <v>99</v>
      </c>
      <c r="X752" s="13">
        <v>336</v>
      </c>
    </row>
    <row r="753" spans="1:24" x14ac:dyDescent="0.25">
      <c r="A753" t="s">
        <v>865</v>
      </c>
      <c r="B753" t="s">
        <v>62</v>
      </c>
      <c r="C753" t="s">
        <v>862</v>
      </c>
      <c r="D753" t="s">
        <v>863</v>
      </c>
      <c r="E753" t="s">
        <v>62</v>
      </c>
      <c r="F753" t="s">
        <v>94</v>
      </c>
      <c r="G753" t="s">
        <v>277</v>
      </c>
      <c r="H753" s="12">
        <v>6.1702636999999996</v>
      </c>
      <c r="I753" s="12">
        <v>-75.589518400000003</v>
      </c>
      <c r="K753" t="s">
        <v>97</v>
      </c>
      <c r="M753">
        <v>11</v>
      </c>
      <c r="P753" s="13">
        <v>326</v>
      </c>
      <c r="Q753" s="13">
        <v>78</v>
      </c>
      <c r="R753">
        <v>36</v>
      </c>
      <c r="S753">
        <v>82</v>
      </c>
      <c r="T753" s="13">
        <v>57</v>
      </c>
      <c r="U753" s="13">
        <v>89</v>
      </c>
      <c r="V753" t="s">
        <v>99</v>
      </c>
      <c r="X753" s="13">
        <v>326</v>
      </c>
    </row>
    <row r="754" spans="1:24" x14ac:dyDescent="0.25">
      <c r="A754" t="s">
        <v>866</v>
      </c>
      <c r="B754" t="s">
        <v>62</v>
      </c>
      <c r="C754" t="s">
        <v>862</v>
      </c>
      <c r="D754" t="s">
        <v>863</v>
      </c>
      <c r="E754" t="s">
        <v>62</v>
      </c>
      <c r="F754" t="s">
        <v>94</v>
      </c>
      <c r="G754" t="s">
        <v>277</v>
      </c>
      <c r="H754" s="12">
        <v>6.1702636999999996</v>
      </c>
      <c r="I754" s="12">
        <v>-75.589518400000003</v>
      </c>
      <c r="K754" t="s">
        <v>97</v>
      </c>
      <c r="M754">
        <v>11</v>
      </c>
      <c r="P754" s="13">
        <v>318</v>
      </c>
      <c r="Q754" s="13">
        <v>66</v>
      </c>
      <c r="R754">
        <v>56</v>
      </c>
      <c r="S754">
        <v>84</v>
      </c>
      <c r="T754" s="13">
        <v>38</v>
      </c>
      <c r="U754" s="13">
        <v>95</v>
      </c>
      <c r="V754" t="s">
        <v>99</v>
      </c>
      <c r="X754" s="13">
        <v>318</v>
      </c>
    </row>
    <row r="755" spans="1:24" x14ac:dyDescent="0.25">
      <c r="A755" t="s">
        <v>867</v>
      </c>
      <c r="B755" t="s">
        <v>62</v>
      </c>
      <c r="C755" t="s">
        <v>862</v>
      </c>
      <c r="D755" t="s">
        <v>863</v>
      </c>
      <c r="E755" t="s">
        <v>62</v>
      </c>
      <c r="F755" t="s">
        <v>94</v>
      </c>
      <c r="G755" t="s">
        <v>277</v>
      </c>
      <c r="H755" s="12">
        <v>6.1702636999999996</v>
      </c>
      <c r="I755" s="12">
        <v>-75.589518400000003</v>
      </c>
      <c r="K755" t="s">
        <v>97</v>
      </c>
      <c r="M755">
        <v>11</v>
      </c>
      <c r="P755" s="13">
        <v>306</v>
      </c>
      <c r="Q755" s="13">
        <v>56</v>
      </c>
      <c r="R755">
        <v>56</v>
      </c>
      <c r="S755">
        <v>60</v>
      </c>
      <c r="T755" s="13">
        <v>71</v>
      </c>
      <c r="U755" s="13">
        <v>67</v>
      </c>
      <c r="V755" t="s">
        <v>99</v>
      </c>
      <c r="X755" s="13">
        <v>306</v>
      </c>
    </row>
    <row r="756" spans="1:24" x14ac:dyDescent="0.25">
      <c r="A756" t="s">
        <v>868</v>
      </c>
      <c r="B756" t="s">
        <v>62</v>
      </c>
      <c r="C756" t="s">
        <v>862</v>
      </c>
      <c r="D756" t="s">
        <v>863</v>
      </c>
      <c r="E756" t="s">
        <v>62</v>
      </c>
      <c r="F756" t="s">
        <v>94</v>
      </c>
      <c r="G756" t="s">
        <v>277</v>
      </c>
      <c r="H756" s="12">
        <v>6.1702636999999996</v>
      </c>
      <c r="I756" s="12">
        <v>-75.589518400000003</v>
      </c>
      <c r="K756" t="s">
        <v>97</v>
      </c>
      <c r="M756">
        <v>11</v>
      </c>
      <c r="P756" s="13">
        <v>306</v>
      </c>
      <c r="Q756" s="13">
        <v>68</v>
      </c>
      <c r="R756">
        <v>48</v>
      </c>
      <c r="S756">
        <v>52</v>
      </c>
      <c r="T756" s="13">
        <v>64</v>
      </c>
      <c r="U756" s="13">
        <v>98</v>
      </c>
      <c r="V756" t="s">
        <v>99</v>
      </c>
      <c r="X756" s="13">
        <v>306</v>
      </c>
    </row>
    <row r="757" spans="1:24" x14ac:dyDescent="0.25">
      <c r="A757" t="s">
        <v>869</v>
      </c>
      <c r="B757" t="s">
        <v>62</v>
      </c>
      <c r="C757" t="s">
        <v>862</v>
      </c>
      <c r="D757" t="s">
        <v>863</v>
      </c>
      <c r="E757" t="s">
        <v>62</v>
      </c>
      <c r="F757" t="s">
        <v>94</v>
      </c>
      <c r="G757" t="s">
        <v>277</v>
      </c>
      <c r="H757" s="12">
        <v>6.1702636999999996</v>
      </c>
      <c r="I757" s="12">
        <v>-75.589518400000003</v>
      </c>
      <c r="K757" t="s">
        <v>97</v>
      </c>
      <c r="M757">
        <v>11</v>
      </c>
      <c r="P757" s="13">
        <v>297</v>
      </c>
      <c r="Q757" s="13">
        <v>59</v>
      </c>
      <c r="R757">
        <v>48</v>
      </c>
      <c r="S757">
        <v>62</v>
      </c>
      <c r="T757" s="13">
        <v>71</v>
      </c>
      <c r="U757" s="13">
        <v>55</v>
      </c>
      <c r="V757" t="s">
        <v>99</v>
      </c>
      <c r="X757" s="13">
        <v>297</v>
      </c>
    </row>
    <row r="758" spans="1:24" x14ac:dyDescent="0.25">
      <c r="A758" t="s">
        <v>870</v>
      </c>
      <c r="B758" t="s">
        <v>62</v>
      </c>
      <c r="C758" t="s">
        <v>862</v>
      </c>
      <c r="D758" t="s">
        <v>863</v>
      </c>
      <c r="E758" t="s">
        <v>62</v>
      </c>
      <c r="F758" t="s">
        <v>94</v>
      </c>
      <c r="G758" t="s">
        <v>277</v>
      </c>
      <c r="H758" s="12">
        <v>6.1702636999999996</v>
      </c>
      <c r="I758" s="12">
        <v>-75.589518400000003</v>
      </c>
      <c r="K758" t="s">
        <v>97</v>
      </c>
      <c r="M758">
        <v>11</v>
      </c>
      <c r="P758" s="13">
        <v>297</v>
      </c>
      <c r="Q758" s="13">
        <v>76</v>
      </c>
      <c r="R758">
        <v>52</v>
      </c>
      <c r="S758">
        <v>62</v>
      </c>
      <c r="T758" s="13">
        <v>48</v>
      </c>
      <c r="U758" s="13">
        <v>58</v>
      </c>
      <c r="V758" t="s">
        <v>99</v>
      </c>
      <c r="X758" s="13">
        <v>297</v>
      </c>
    </row>
    <row r="759" spans="1:24" x14ac:dyDescent="0.25">
      <c r="A759" t="s">
        <v>871</v>
      </c>
      <c r="B759" t="s">
        <v>62</v>
      </c>
      <c r="C759" t="s">
        <v>862</v>
      </c>
      <c r="D759" t="s">
        <v>863</v>
      </c>
      <c r="E759" t="s">
        <v>62</v>
      </c>
      <c r="F759" t="s">
        <v>94</v>
      </c>
      <c r="G759" t="s">
        <v>277</v>
      </c>
      <c r="H759" s="12">
        <v>6.1702636999999996</v>
      </c>
      <c r="I759" s="12">
        <v>-75.589518400000003</v>
      </c>
      <c r="K759" t="s">
        <v>97</v>
      </c>
      <c r="M759">
        <v>11</v>
      </c>
      <c r="P759" s="13">
        <v>282</v>
      </c>
      <c r="Q759" s="13">
        <v>73</v>
      </c>
      <c r="R759">
        <v>32</v>
      </c>
      <c r="S759">
        <v>66</v>
      </c>
      <c r="T759" s="13">
        <v>45</v>
      </c>
      <c r="U759" s="13">
        <v>85</v>
      </c>
      <c r="V759" t="s">
        <v>99</v>
      </c>
      <c r="X759" s="13">
        <v>282</v>
      </c>
    </row>
    <row r="760" spans="1:24" x14ac:dyDescent="0.25">
      <c r="A760" t="s">
        <v>872</v>
      </c>
      <c r="B760" t="s">
        <v>62</v>
      </c>
      <c r="C760" t="s">
        <v>862</v>
      </c>
      <c r="D760" t="s">
        <v>863</v>
      </c>
      <c r="E760" t="s">
        <v>62</v>
      </c>
      <c r="F760" t="s">
        <v>94</v>
      </c>
      <c r="G760" t="s">
        <v>277</v>
      </c>
      <c r="H760" s="12">
        <v>6.1702636999999996</v>
      </c>
      <c r="I760" s="12">
        <v>-75.589518400000003</v>
      </c>
      <c r="K760" t="s">
        <v>97</v>
      </c>
      <c r="M760">
        <v>11</v>
      </c>
      <c r="P760" s="13">
        <v>275</v>
      </c>
      <c r="Q760" s="13">
        <v>71</v>
      </c>
      <c r="R760">
        <v>30</v>
      </c>
      <c r="S760">
        <v>58</v>
      </c>
      <c r="T760" s="13">
        <v>55</v>
      </c>
      <c r="U760" s="13">
        <v>75</v>
      </c>
      <c r="V760" t="s">
        <v>99</v>
      </c>
      <c r="X760" s="13">
        <v>275</v>
      </c>
    </row>
    <row r="761" spans="1:24" x14ac:dyDescent="0.25">
      <c r="A761" t="s">
        <v>873</v>
      </c>
      <c r="B761" t="s">
        <v>62</v>
      </c>
      <c r="C761" t="s">
        <v>862</v>
      </c>
      <c r="D761" t="s">
        <v>863</v>
      </c>
      <c r="E761" t="s">
        <v>62</v>
      </c>
      <c r="F761" t="s">
        <v>94</v>
      </c>
      <c r="G761" t="s">
        <v>277</v>
      </c>
      <c r="H761" s="12">
        <v>6.1702636999999996</v>
      </c>
      <c r="I761" s="12">
        <v>-75.589518400000003</v>
      </c>
      <c r="K761" t="s">
        <v>97</v>
      </c>
      <c r="M761">
        <v>11</v>
      </c>
      <c r="P761" s="13">
        <v>274</v>
      </c>
      <c r="Q761" s="13">
        <v>63</v>
      </c>
      <c r="R761">
        <v>38</v>
      </c>
      <c r="S761">
        <v>72</v>
      </c>
      <c r="T761" s="13">
        <v>47</v>
      </c>
      <c r="U761" s="13">
        <v>53</v>
      </c>
      <c r="V761" t="s">
        <v>99</v>
      </c>
      <c r="X761" s="13">
        <v>274</v>
      </c>
    </row>
    <row r="762" spans="1:24" x14ac:dyDescent="0.25">
      <c r="A762" t="s">
        <v>874</v>
      </c>
      <c r="B762" t="s">
        <v>62</v>
      </c>
      <c r="C762" t="s">
        <v>862</v>
      </c>
      <c r="D762" t="s">
        <v>863</v>
      </c>
      <c r="E762" t="s">
        <v>62</v>
      </c>
      <c r="F762" t="s">
        <v>94</v>
      </c>
      <c r="G762" t="s">
        <v>277</v>
      </c>
      <c r="H762" s="12">
        <v>6.1702636999999996</v>
      </c>
      <c r="I762" s="12">
        <v>-75.589518400000003</v>
      </c>
      <c r="K762" t="s">
        <v>97</v>
      </c>
      <c r="M762">
        <v>11</v>
      </c>
      <c r="P762" s="13">
        <v>274</v>
      </c>
      <c r="Q762" s="13">
        <v>71</v>
      </c>
      <c r="R762">
        <v>40</v>
      </c>
      <c r="S762">
        <v>54</v>
      </c>
      <c r="T762" s="13">
        <v>52</v>
      </c>
      <c r="U762" s="13">
        <v>62</v>
      </c>
      <c r="V762" t="s">
        <v>99</v>
      </c>
      <c r="X762" s="13">
        <v>274</v>
      </c>
    </row>
    <row r="763" spans="1:24" x14ac:dyDescent="0.25">
      <c r="A763" t="s">
        <v>875</v>
      </c>
      <c r="B763" t="s">
        <v>62</v>
      </c>
      <c r="C763" t="s">
        <v>862</v>
      </c>
      <c r="D763" t="s">
        <v>863</v>
      </c>
      <c r="E763" t="s">
        <v>62</v>
      </c>
      <c r="F763" t="s">
        <v>94</v>
      </c>
      <c r="G763" t="s">
        <v>277</v>
      </c>
      <c r="H763" s="12">
        <v>6.1702636999999996</v>
      </c>
      <c r="I763" s="12">
        <v>-75.589518400000003</v>
      </c>
      <c r="K763" t="s">
        <v>97</v>
      </c>
      <c r="M763">
        <v>11</v>
      </c>
      <c r="P763" s="13">
        <v>269</v>
      </c>
      <c r="Q763" s="13">
        <v>68</v>
      </c>
      <c r="R763">
        <v>40</v>
      </c>
      <c r="S763">
        <v>50</v>
      </c>
      <c r="T763" s="13">
        <v>50</v>
      </c>
      <c r="U763" s="13">
        <v>75</v>
      </c>
      <c r="V763" t="s">
        <v>99</v>
      </c>
      <c r="X763" s="13">
        <v>269</v>
      </c>
    </row>
    <row r="764" spans="1:24" x14ac:dyDescent="0.25">
      <c r="A764" t="s">
        <v>876</v>
      </c>
      <c r="B764" t="s">
        <v>62</v>
      </c>
      <c r="C764" t="s">
        <v>862</v>
      </c>
      <c r="D764" t="s">
        <v>863</v>
      </c>
      <c r="E764" t="s">
        <v>62</v>
      </c>
      <c r="F764" t="s">
        <v>94</v>
      </c>
      <c r="G764" t="s">
        <v>277</v>
      </c>
      <c r="H764" s="12">
        <v>6.1702636999999996</v>
      </c>
      <c r="I764" s="12">
        <v>-75.589518400000003</v>
      </c>
      <c r="K764" t="s">
        <v>97</v>
      </c>
      <c r="M764">
        <v>11</v>
      </c>
      <c r="P764" s="13">
        <v>267</v>
      </c>
      <c r="Q764" s="13">
        <v>54</v>
      </c>
      <c r="R764">
        <v>42</v>
      </c>
      <c r="S764">
        <v>54</v>
      </c>
      <c r="T764" s="13">
        <v>53</v>
      </c>
      <c r="U764" s="13">
        <v>85</v>
      </c>
      <c r="V764" t="s">
        <v>99</v>
      </c>
      <c r="X764" s="13">
        <v>267</v>
      </c>
    </row>
    <row r="765" spans="1:24" x14ac:dyDescent="0.25">
      <c r="A765" t="s">
        <v>877</v>
      </c>
      <c r="B765" t="s">
        <v>62</v>
      </c>
      <c r="C765" t="s">
        <v>862</v>
      </c>
      <c r="D765" t="s">
        <v>863</v>
      </c>
      <c r="E765" t="s">
        <v>62</v>
      </c>
      <c r="F765" t="s">
        <v>94</v>
      </c>
      <c r="G765" t="s">
        <v>277</v>
      </c>
      <c r="H765" s="12">
        <v>6.1702636999999996</v>
      </c>
      <c r="I765" s="12">
        <v>-75.589518400000003</v>
      </c>
      <c r="K765" t="s">
        <v>97</v>
      </c>
      <c r="M765">
        <v>11</v>
      </c>
      <c r="P765" s="13">
        <v>259</v>
      </c>
      <c r="Q765" s="13">
        <v>59</v>
      </c>
      <c r="R765">
        <v>42</v>
      </c>
      <c r="S765">
        <v>58</v>
      </c>
      <c r="T765" s="13">
        <v>50</v>
      </c>
      <c r="U765" s="13">
        <v>47</v>
      </c>
      <c r="V765" t="s">
        <v>99</v>
      </c>
      <c r="X765" s="13">
        <v>259</v>
      </c>
    </row>
    <row r="766" spans="1:24" x14ac:dyDescent="0.25">
      <c r="A766" t="s">
        <v>878</v>
      </c>
      <c r="B766" t="s">
        <v>62</v>
      </c>
      <c r="C766" t="s">
        <v>862</v>
      </c>
      <c r="D766" t="s">
        <v>863</v>
      </c>
      <c r="E766" t="s">
        <v>62</v>
      </c>
      <c r="F766" t="s">
        <v>94</v>
      </c>
      <c r="G766" t="s">
        <v>277</v>
      </c>
      <c r="H766" s="12">
        <v>6.1702636999999996</v>
      </c>
      <c r="I766" s="12">
        <v>-75.589518400000003</v>
      </c>
      <c r="K766" t="s">
        <v>97</v>
      </c>
      <c r="M766">
        <v>11</v>
      </c>
      <c r="P766" s="13">
        <v>256</v>
      </c>
      <c r="Q766" s="13">
        <v>68</v>
      </c>
      <c r="R766">
        <v>50</v>
      </c>
      <c r="S766">
        <v>62</v>
      </c>
      <c r="T766" s="13">
        <v>28</v>
      </c>
      <c r="U766" s="13">
        <v>42</v>
      </c>
      <c r="V766" t="s">
        <v>99</v>
      </c>
      <c r="X766" s="13">
        <v>256</v>
      </c>
    </row>
    <row r="767" spans="1:24" x14ac:dyDescent="0.25">
      <c r="A767" t="s">
        <v>879</v>
      </c>
      <c r="B767" t="s">
        <v>62</v>
      </c>
      <c r="C767" t="s">
        <v>862</v>
      </c>
      <c r="D767" t="s">
        <v>863</v>
      </c>
      <c r="E767" t="s">
        <v>62</v>
      </c>
      <c r="F767" t="s">
        <v>94</v>
      </c>
      <c r="G767" t="s">
        <v>277</v>
      </c>
      <c r="H767" s="12">
        <v>6.1702636999999996</v>
      </c>
      <c r="I767" s="12">
        <v>-75.589518400000003</v>
      </c>
      <c r="K767" t="s">
        <v>97</v>
      </c>
      <c r="M767">
        <v>11</v>
      </c>
      <c r="P767" s="13">
        <v>252</v>
      </c>
      <c r="Q767" s="13">
        <v>73</v>
      </c>
      <c r="R767">
        <v>34</v>
      </c>
      <c r="S767">
        <v>52</v>
      </c>
      <c r="T767" s="13">
        <v>45</v>
      </c>
      <c r="U767" s="13">
        <v>44</v>
      </c>
      <c r="V767" t="s">
        <v>99</v>
      </c>
      <c r="X767" s="13">
        <v>252</v>
      </c>
    </row>
    <row r="768" spans="1:24" x14ac:dyDescent="0.25">
      <c r="A768" t="s">
        <v>880</v>
      </c>
      <c r="B768" t="s">
        <v>62</v>
      </c>
      <c r="C768" t="s">
        <v>862</v>
      </c>
      <c r="D768" t="s">
        <v>863</v>
      </c>
      <c r="E768" t="s">
        <v>62</v>
      </c>
      <c r="F768" t="s">
        <v>94</v>
      </c>
      <c r="G768" t="s">
        <v>277</v>
      </c>
      <c r="H768" s="12">
        <v>6.1702636999999996</v>
      </c>
      <c r="I768" s="12">
        <v>-75.589518400000003</v>
      </c>
      <c r="K768" t="s">
        <v>97</v>
      </c>
      <c r="M768">
        <v>11</v>
      </c>
      <c r="P768" s="13">
        <v>250</v>
      </c>
      <c r="Q768" s="13">
        <v>54</v>
      </c>
      <c r="R768">
        <v>38</v>
      </c>
      <c r="S768">
        <v>46</v>
      </c>
      <c r="T768" s="13">
        <v>59</v>
      </c>
      <c r="U768" s="13">
        <v>62</v>
      </c>
      <c r="V768" t="s">
        <v>99</v>
      </c>
      <c r="X768" s="13">
        <v>250</v>
      </c>
    </row>
    <row r="769" spans="1:24" x14ac:dyDescent="0.25">
      <c r="A769" t="s">
        <v>881</v>
      </c>
      <c r="B769" t="s">
        <v>62</v>
      </c>
      <c r="C769" t="s">
        <v>862</v>
      </c>
      <c r="D769" t="s">
        <v>863</v>
      </c>
      <c r="E769" t="s">
        <v>62</v>
      </c>
      <c r="F769" t="s">
        <v>94</v>
      </c>
      <c r="G769" t="s">
        <v>277</v>
      </c>
      <c r="H769" s="12">
        <v>6.1702636999999996</v>
      </c>
      <c r="I769" s="12">
        <v>-75.589518400000003</v>
      </c>
      <c r="K769" t="s">
        <v>97</v>
      </c>
      <c r="M769">
        <v>11</v>
      </c>
      <c r="P769" s="13">
        <v>249</v>
      </c>
      <c r="Q769" s="13">
        <v>66</v>
      </c>
      <c r="R769">
        <v>38</v>
      </c>
      <c r="S769">
        <v>40</v>
      </c>
      <c r="T769" s="13">
        <v>50</v>
      </c>
      <c r="U769" s="13">
        <v>65</v>
      </c>
      <c r="V769" t="s">
        <v>99</v>
      </c>
      <c r="X769" s="13">
        <v>249</v>
      </c>
    </row>
    <row r="770" spans="1:24" x14ac:dyDescent="0.25">
      <c r="A770" t="s">
        <v>882</v>
      </c>
      <c r="B770" t="s">
        <v>62</v>
      </c>
      <c r="C770" t="s">
        <v>862</v>
      </c>
      <c r="D770" t="s">
        <v>863</v>
      </c>
      <c r="E770" t="s">
        <v>62</v>
      </c>
      <c r="F770" t="s">
        <v>94</v>
      </c>
      <c r="G770" t="s">
        <v>277</v>
      </c>
      <c r="H770" s="12">
        <v>6.1702636999999996</v>
      </c>
      <c r="I770" s="12">
        <v>-75.589518400000003</v>
      </c>
      <c r="K770" t="s">
        <v>97</v>
      </c>
      <c r="M770">
        <v>11</v>
      </c>
      <c r="P770" s="13">
        <v>247</v>
      </c>
      <c r="Q770" s="13">
        <v>73</v>
      </c>
      <c r="R770">
        <v>52</v>
      </c>
      <c r="S770">
        <v>30</v>
      </c>
      <c r="T770" s="13">
        <v>38</v>
      </c>
      <c r="U770" s="13">
        <v>64</v>
      </c>
      <c r="V770" t="s">
        <v>99</v>
      </c>
      <c r="X770" s="13">
        <v>247</v>
      </c>
    </row>
    <row r="771" spans="1:24" x14ac:dyDescent="0.25">
      <c r="A771" t="s">
        <v>883</v>
      </c>
      <c r="B771" t="s">
        <v>62</v>
      </c>
      <c r="C771" t="s">
        <v>862</v>
      </c>
      <c r="D771" t="s">
        <v>863</v>
      </c>
      <c r="E771" t="s">
        <v>62</v>
      </c>
      <c r="F771" t="s">
        <v>94</v>
      </c>
      <c r="G771" t="s">
        <v>277</v>
      </c>
      <c r="H771" s="12">
        <v>6.1702636999999996</v>
      </c>
      <c r="I771" s="12">
        <v>-75.589518400000003</v>
      </c>
      <c r="K771" t="s">
        <v>97</v>
      </c>
      <c r="M771">
        <v>11</v>
      </c>
      <c r="P771" s="13">
        <v>247</v>
      </c>
      <c r="Q771" s="13">
        <v>54</v>
      </c>
      <c r="R771">
        <v>30</v>
      </c>
      <c r="S771">
        <v>52</v>
      </c>
      <c r="T771" s="13">
        <v>52</v>
      </c>
      <c r="U771" s="13">
        <v>80</v>
      </c>
      <c r="V771" t="s">
        <v>99</v>
      </c>
      <c r="X771" s="13">
        <v>247</v>
      </c>
    </row>
    <row r="772" spans="1:24" x14ac:dyDescent="0.25">
      <c r="A772" t="s">
        <v>884</v>
      </c>
      <c r="B772" t="s">
        <v>62</v>
      </c>
      <c r="C772" t="s">
        <v>862</v>
      </c>
      <c r="D772" t="s">
        <v>863</v>
      </c>
      <c r="E772" t="s">
        <v>62</v>
      </c>
      <c r="F772" t="s">
        <v>94</v>
      </c>
      <c r="G772" t="s">
        <v>277</v>
      </c>
      <c r="H772" s="12">
        <v>6.1702636999999996</v>
      </c>
      <c r="I772" s="12">
        <v>-75.589518400000003</v>
      </c>
      <c r="K772" t="s">
        <v>97</v>
      </c>
      <c r="M772">
        <v>11</v>
      </c>
      <c r="P772" s="13">
        <v>247</v>
      </c>
      <c r="Q772" s="13">
        <v>80</v>
      </c>
      <c r="R772">
        <v>26</v>
      </c>
      <c r="S772">
        <v>52</v>
      </c>
      <c r="T772" s="13">
        <v>38</v>
      </c>
      <c r="U772" s="13">
        <v>53</v>
      </c>
      <c r="V772" t="s">
        <v>99</v>
      </c>
      <c r="X772" s="13">
        <v>247</v>
      </c>
    </row>
    <row r="773" spans="1:24" x14ac:dyDescent="0.25">
      <c r="A773" t="s">
        <v>885</v>
      </c>
      <c r="B773" t="s">
        <v>62</v>
      </c>
      <c r="C773" t="s">
        <v>862</v>
      </c>
      <c r="D773" t="s">
        <v>863</v>
      </c>
      <c r="E773" t="s">
        <v>62</v>
      </c>
      <c r="F773" t="s">
        <v>94</v>
      </c>
      <c r="G773" t="s">
        <v>277</v>
      </c>
      <c r="H773" s="12">
        <v>6.1702636999999996</v>
      </c>
      <c r="I773" s="12">
        <v>-75.589518400000003</v>
      </c>
      <c r="K773" t="s">
        <v>97</v>
      </c>
      <c r="M773">
        <v>11</v>
      </c>
      <c r="P773" s="13">
        <v>247</v>
      </c>
      <c r="Q773" s="13">
        <v>66</v>
      </c>
      <c r="R773">
        <v>32</v>
      </c>
      <c r="S773">
        <v>42</v>
      </c>
      <c r="T773" s="13">
        <v>55</v>
      </c>
      <c r="U773" s="13">
        <v>56</v>
      </c>
      <c r="V773" t="s">
        <v>99</v>
      </c>
      <c r="X773" s="13">
        <v>247</v>
      </c>
    </row>
    <row r="774" spans="1:24" x14ac:dyDescent="0.25">
      <c r="A774" t="s">
        <v>886</v>
      </c>
      <c r="B774" t="s">
        <v>62</v>
      </c>
      <c r="C774" t="s">
        <v>862</v>
      </c>
      <c r="D774" t="s">
        <v>863</v>
      </c>
      <c r="E774" t="s">
        <v>62</v>
      </c>
      <c r="F774" t="s">
        <v>94</v>
      </c>
      <c r="G774" t="s">
        <v>277</v>
      </c>
      <c r="H774" s="12">
        <v>6.1702636999999996</v>
      </c>
      <c r="I774" s="12">
        <v>-75.589518400000003</v>
      </c>
      <c r="K774" t="s">
        <v>97</v>
      </c>
      <c r="M774">
        <v>11</v>
      </c>
      <c r="P774" s="13">
        <v>246</v>
      </c>
      <c r="Q774" s="13">
        <v>73</v>
      </c>
      <c r="R774">
        <v>32</v>
      </c>
      <c r="S774">
        <v>58</v>
      </c>
      <c r="T774" s="13">
        <v>31</v>
      </c>
      <c r="U774" s="13">
        <v>58</v>
      </c>
      <c r="V774" t="s">
        <v>99</v>
      </c>
      <c r="X774" s="13">
        <v>246</v>
      </c>
    </row>
    <row r="775" spans="1:24" x14ac:dyDescent="0.25">
      <c r="A775" t="s">
        <v>887</v>
      </c>
      <c r="B775" t="s">
        <v>62</v>
      </c>
      <c r="C775" t="s">
        <v>862</v>
      </c>
      <c r="D775" t="s">
        <v>863</v>
      </c>
      <c r="E775" t="s">
        <v>62</v>
      </c>
      <c r="F775" t="s">
        <v>94</v>
      </c>
      <c r="G775" t="s">
        <v>277</v>
      </c>
      <c r="H775" s="12">
        <v>6.1702636999999996</v>
      </c>
      <c r="I775" s="12">
        <v>-75.589518400000003</v>
      </c>
      <c r="K775" t="s">
        <v>97</v>
      </c>
      <c r="M775">
        <v>11</v>
      </c>
      <c r="P775" s="13">
        <v>243</v>
      </c>
      <c r="Q775" s="13">
        <v>61</v>
      </c>
      <c r="R775">
        <v>36</v>
      </c>
      <c r="S775">
        <v>44</v>
      </c>
      <c r="T775" s="13">
        <v>41</v>
      </c>
      <c r="U775" s="13">
        <v>85</v>
      </c>
      <c r="V775" t="s">
        <v>99</v>
      </c>
      <c r="X775" s="13">
        <v>243</v>
      </c>
    </row>
    <row r="776" spans="1:24" x14ac:dyDescent="0.25">
      <c r="A776" t="s">
        <v>888</v>
      </c>
      <c r="B776" t="s">
        <v>62</v>
      </c>
      <c r="C776" t="s">
        <v>862</v>
      </c>
      <c r="D776" t="s">
        <v>863</v>
      </c>
      <c r="E776" t="s">
        <v>62</v>
      </c>
      <c r="F776" t="s">
        <v>94</v>
      </c>
      <c r="G776" t="s">
        <v>277</v>
      </c>
      <c r="H776" s="12">
        <v>6.1702636999999996</v>
      </c>
      <c r="I776" s="12">
        <v>-75.589518400000003</v>
      </c>
      <c r="K776" t="s">
        <v>97</v>
      </c>
      <c r="M776">
        <v>11</v>
      </c>
      <c r="P776" s="13">
        <v>241</v>
      </c>
      <c r="Q776" s="13">
        <v>54</v>
      </c>
      <c r="R776">
        <v>32</v>
      </c>
      <c r="S776">
        <v>48</v>
      </c>
      <c r="T776" s="13">
        <v>50</v>
      </c>
      <c r="U776" s="13">
        <v>76</v>
      </c>
      <c r="V776" t="s">
        <v>99</v>
      </c>
      <c r="X776" s="13">
        <v>241</v>
      </c>
    </row>
    <row r="777" spans="1:24" x14ac:dyDescent="0.25">
      <c r="A777" t="s">
        <v>889</v>
      </c>
      <c r="B777" t="s">
        <v>62</v>
      </c>
      <c r="C777" t="s">
        <v>862</v>
      </c>
      <c r="D777" t="s">
        <v>863</v>
      </c>
      <c r="E777" t="s">
        <v>62</v>
      </c>
      <c r="F777" t="s">
        <v>94</v>
      </c>
      <c r="G777" t="s">
        <v>277</v>
      </c>
      <c r="H777" s="12">
        <v>6.1702636999999996</v>
      </c>
      <c r="I777" s="12">
        <v>-75.589518400000003</v>
      </c>
      <c r="K777" t="s">
        <v>97</v>
      </c>
      <c r="M777">
        <v>11</v>
      </c>
      <c r="P777" s="13">
        <v>233</v>
      </c>
      <c r="Q777" s="13">
        <v>54</v>
      </c>
      <c r="R777">
        <v>28</v>
      </c>
      <c r="S777">
        <v>60</v>
      </c>
      <c r="T777" s="13">
        <v>43</v>
      </c>
      <c r="U777" s="13">
        <v>51</v>
      </c>
      <c r="V777" t="s">
        <v>99</v>
      </c>
      <c r="X777" s="13">
        <v>233</v>
      </c>
    </row>
    <row r="778" spans="1:24" x14ac:dyDescent="0.25">
      <c r="A778" t="s">
        <v>890</v>
      </c>
      <c r="B778" t="s">
        <v>62</v>
      </c>
      <c r="C778" t="s">
        <v>862</v>
      </c>
      <c r="D778" t="s">
        <v>863</v>
      </c>
      <c r="E778" t="s">
        <v>62</v>
      </c>
      <c r="F778" t="s">
        <v>94</v>
      </c>
      <c r="G778" t="s">
        <v>277</v>
      </c>
      <c r="H778" s="12">
        <v>6.1702636999999996</v>
      </c>
      <c r="I778" s="12">
        <v>-75.589518400000003</v>
      </c>
      <c r="K778" t="s">
        <v>97</v>
      </c>
      <c r="M778">
        <v>11</v>
      </c>
      <c r="P778" s="13">
        <v>233</v>
      </c>
      <c r="Q778" s="13">
        <v>63</v>
      </c>
      <c r="R778">
        <v>44</v>
      </c>
      <c r="S778">
        <v>44</v>
      </c>
      <c r="T778" s="13">
        <v>26</v>
      </c>
      <c r="U778" s="13">
        <v>73</v>
      </c>
      <c r="V778" t="s">
        <v>99</v>
      </c>
      <c r="X778" s="13">
        <v>233</v>
      </c>
    </row>
    <row r="779" spans="1:24" x14ac:dyDescent="0.25">
      <c r="A779" t="s">
        <v>891</v>
      </c>
      <c r="B779" t="s">
        <v>62</v>
      </c>
      <c r="C779" t="s">
        <v>862</v>
      </c>
      <c r="D779" t="s">
        <v>863</v>
      </c>
      <c r="E779" t="s">
        <v>62</v>
      </c>
      <c r="F779" t="s">
        <v>94</v>
      </c>
      <c r="G779" t="s">
        <v>277</v>
      </c>
      <c r="H779" s="12">
        <v>6.1702636999999996</v>
      </c>
      <c r="I779" s="12">
        <v>-75.589518400000003</v>
      </c>
      <c r="K779" t="s">
        <v>97</v>
      </c>
      <c r="M779">
        <v>11</v>
      </c>
      <c r="P779" s="13">
        <v>232</v>
      </c>
      <c r="Q779" s="13">
        <v>66</v>
      </c>
      <c r="R779">
        <v>42</v>
      </c>
      <c r="S779">
        <v>38</v>
      </c>
      <c r="T779" s="13">
        <v>38</v>
      </c>
      <c r="U779" s="13">
        <v>53</v>
      </c>
      <c r="V779" t="s">
        <v>99</v>
      </c>
      <c r="X779" s="13">
        <v>232</v>
      </c>
    </row>
    <row r="780" spans="1:24" x14ac:dyDescent="0.25">
      <c r="A780" t="s">
        <v>892</v>
      </c>
      <c r="B780" t="s">
        <v>62</v>
      </c>
      <c r="C780" t="s">
        <v>862</v>
      </c>
      <c r="D780" t="s">
        <v>863</v>
      </c>
      <c r="E780" t="s">
        <v>62</v>
      </c>
      <c r="F780" t="s">
        <v>94</v>
      </c>
      <c r="G780" t="s">
        <v>277</v>
      </c>
      <c r="H780" s="12">
        <v>6.1702636999999996</v>
      </c>
      <c r="I780" s="12">
        <v>-75.589518400000003</v>
      </c>
      <c r="K780" t="s">
        <v>97</v>
      </c>
      <c r="M780">
        <v>11</v>
      </c>
      <c r="P780" s="13">
        <v>227</v>
      </c>
      <c r="Q780" s="13">
        <v>66</v>
      </c>
      <c r="R780">
        <v>32</v>
      </c>
      <c r="S780">
        <v>58</v>
      </c>
      <c r="T780" s="13">
        <v>21</v>
      </c>
      <c r="U780" s="13">
        <v>62</v>
      </c>
      <c r="V780" t="s">
        <v>99</v>
      </c>
      <c r="X780" s="13">
        <v>227</v>
      </c>
    </row>
    <row r="781" spans="1:24" x14ac:dyDescent="0.25">
      <c r="A781" t="s">
        <v>893</v>
      </c>
      <c r="B781" t="s">
        <v>62</v>
      </c>
      <c r="C781" t="s">
        <v>862</v>
      </c>
      <c r="D781" t="s">
        <v>863</v>
      </c>
      <c r="E781" t="s">
        <v>62</v>
      </c>
      <c r="F781" t="s">
        <v>94</v>
      </c>
      <c r="G781" t="s">
        <v>277</v>
      </c>
      <c r="H781" s="12">
        <v>6.1702636999999996</v>
      </c>
      <c r="I781" s="12">
        <v>-75.589518400000003</v>
      </c>
      <c r="K781" t="s">
        <v>97</v>
      </c>
      <c r="M781">
        <v>11</v>
      </c>
      <c r="P781" s="13">
        <v>227</v>
      </c>
      <c r="Q781" s="13">
        <v>56</v>
      </c>
      <c r="R781">
        <v>38</v>
      </c>
      <c r="S781">
        <v>32</v>
      </c>
      <c r="T781" s="13">
        <v>55</v>
      </c>
      <c r="U781" s="13">
        <v>45</v>
      </c>
      <c r="V781" t="s">
        <v>99</v>
      </c>
      <c r="X781" s="13">
        <v>227</v>
      </c>
    </row>
    <row r="782" spans="1:24" x14ac:dyDescent="0.25">
      <c r="A782" t="s">
        <v>894</v>
      </c>
      <c r="B782" t="s">
        <v>62</v>
      </c>
      <c r="C782" t="s">
        <v>862</v>
      </c>
      <c r="D782" t="s">
        <v>863</v>
      </c>
      <c r="E782" t="s">
        <v>62</v>
      </c>
      <c r="F782" t="s">
        <v>94</v>
      </c>
      <c r="G782" t="s">
        <v>277</v>
      </c>
      <c r="H782" s="12">
        <v>6.1702636999999996</v>
      </c>
      <c r="I782" s="12">
        <v>-75.589518400000003</v>
      </c>
      <c r="K782" t="s">
        <v>97</v>
      </c>
      <c r="M782">
        <v>11</v>
      </c>
      <c r="P782" s="13">
        <v>225</v>
      </c>
      <c r="Q782" s="13">
        <v>59</v>
      </c>
      <c r="R782">
        <v>34</v>
      </c>
      <c r="S782">
        <v>36</v>
      </c>
      <c r="T782" s="13">
        <v>43</v>
      </c>
      <c r="U782" s="13">
        <v>69</v>
      </c>
      <c r="V782" t="s">
        <v>99</v>
      </c>
      <c r="X782" s="13">
        <v>225</v>
      </c>
    </row>
    <row r="783" spans="1:24" x14ac:dyDescent="0.25">
      <c r="A783" t="s">
        <v>895</v>
      </c>
      <c r="B783" t="s">
        <v>62</v>
      </c>
      <c r="C783" t="s">
        <v>862</v>
      </c>
      <c r="D783" t="s">
        <v>863</v>
      </c>
      <c r="E783" t="s">
        <v>62</v>
      </c>
      <c r="F783" t="s">
        <v>94</v>
      </c>
      <c r="G783" t="s">
        <v>277</v>
      </c>
      <c r="H783" s="12">
        <v>6.1702636999999996</v>
      </c>
      <c r="I783" s="12">
        <v>-75.589518400000003</v>
      </c>
      <c r="K783" t="s">
        <v>97</v>
      </c>
      <c r="M783">
        <v>11</v>
      </c>
      <c r="P783" s="13">
        <v>224</v>
      </c>
      <c r="Q783" s="13">
        <v>49</v>
      </c>
      <c r="R783">
        <v>34</v>
      </c>
      <c r="S783">
        <v>44</v>
      </c>
      <c r="T783" s="13">
        <v>47</v>
      </c>
      <c r="U783" s="13">
        <v>64</v>
      </c>
      <c r="V783" t="s">
        <v>99</v>
      </c>
      <c r="X783" s="13">
        <v>224</v>
      </c>
    </row>
    <row r="784" spans="1:24" x14ac:dyDescent="0.25">
      <c r="A784" t="s">
        <v>896</v>
      </c>
      <c r="B784" t="s">
        <v>62</v>
      </c>
      <c r="C784" t="s">
        <v>862</v>
      </c>
      <c r="D784" t="s">
        <v>863</v>
      </c>
      <c r="E784" t="s">
        <v>62</v>
      </c>
      <c r="F784" t="s">
        <v>94</v>
      </c>
      <c r="G784" t="s">
        <v>277</v>
      </c>
      <c r="H784" s="12">
        <v>6.1702636999999996</v>
      </c>
      <c r="I784" s="12">
        <v>-75.589518400000003</v>
      </c>
      <c r="K784" t="s">
        <v>97</v>
      </c>
      <c r="M784">
        <v>11</v>
      </c>
      <c r="P784" s="13">
        <v>224</v>
      </c>
      <c r="Q784" s="13">
        <v>63</v>
      </c>
      <c r="R784">
        <v>36</v>
      </c>
      <c r="S784">
        <v>34</v>
      </c>
      <c r="T784" s="13">
        <v>36</v>
      </c>
      <c r="U784" s="13">
        <v>73</v>
      </c>
      <c r="V784" t="s">
        <v>99</v>
      </c>
      <c r="X784" s="13">
        <v>224</v>
      </c>
    </row>
    <row r="785" spans="1:24" x14ac:dyDescent="0.25">
      <c r="A785" t="s">
        <v>897</v>
      </c>
      <c r="B785" t="s">
        <v>62</v>
      </c>
      <c r="C785" t="s">
        <v>862</v>
      </c>
      <c r="D785" t="s">
        <v>863</v>
      </c>
      <c r="E785" t="s">
        <v>62</v>
      </c>
      <c r="F785" t="s">
        <v>94</v>
      </c>
      <c r="G785" t="s">
        <v>277</v>
      </c>
      <c r="H785" s="12">
        <v>6.1702636999999996</v>
      </c>
      <c r="I785" s="12">
        <v>-75.589518400000003</v>
      </c>
      <c r="K785" t="s">
        <v>97</v>
      </c>
      <c r="M785">
        <v>11</v>
      </c>
      <c r="P785" s="13">
        <v>223</v>
      </c>
      <c r="Q785" s="13">
        <v>51</v>
      </c>
      <c r="R785">
        <v>32</v>
      </c>
      <c r="S785">
        <v>50</v>
      </c>
      <c r="T785" s="13">
        <v>43</v>
      </c>
      <c r="U785" s="13">
        <v>51</v>
      </c>
      <c r="V785" t="s">
        <v>99</v>
      </c>
      <c r="X785" s="13">
        <v>223</v>
      </c>
    </row>
    <row r="786" spans="1:24" x14ac:dyDescent="0.25">
      <c r="A786" t="s">
        <v>898</v>
      </c>
      <c r="B786" t="s">
        <v>62</v>
      </c>
      <c r="C786" t="s">
        <v>862</v>
      </c>
      <c r="D786" t="s">
        <v>863</v>
      </c>
      <c r="E786" t="s">
        <v>62</v>
      </c>
      <c r="F786" t="s">
        <v>94</v>
      </c>
      <c r="G786" t="s">
        <v>277</v>
      </c>
      <c r="H786" s="12">
        <v>6.1702636999999996</v>
      </c>
      <c r="I786" s="12">
        <v>-75.589518400000003</v>
      </c>
      <c r="K786" t="s">
        <v>97</v>
      </c>
      <c r="M786">
        <v>11</v>
      </c>
      <c r="P786" s="13">
        <v>220</v>
      </c>
      <c r="Q786" s="13">
        <v>44</v>
      </c>
      <c r="R786">
        <v>26</v>
      </c>
      <c r="S786">
        <v>50</v>
      </c>
      <c r="T786" s="13">
        <v>52</v>
      </c>
      <c r="U786" s="13">
        <v>58</v>
      </c>
      <c r="V786" t="s">
        <v>99</v>
      </c>
      <c r="X786" s="13">
        <v>220</v>
      </c>
    </row>
    <row r="787" spans="1:24" x14ac:dyDescent="0.25">
      <c r="A787" t="s">
        <v>899</v>
      </c>
      <c r="B787" t="s">
        <v>62</v>
      </c>
      <c r="C787" t="s">
        <v>862</v>
      </c>
      <c r="D787" t="s">
        <v>863</v>
      </c>
      <c r="E787" t="s">
        <v>62</v>
      </c>
      <c r="F787" t="s">
        <v>94</v>
      </c>
      <c r="G787" t="s">
        <v>277</v>
      </c>
      <c r="H787" s="12">
        <v>6.1702636999999996</v>
      </c>
      <c r="I787" s="12">
        <v>-75.589518400000003</v>
      </c>
      <c r="K787" t="s">
        <v>97</v>
      </c>
      <c r="M787">
        <v>11</v>
      </c>
      <c r="P787" s="13">
        <v>217</v>
      </c>
      <c r="Q787" s="13">
        <v>49</v>
      </c>
      <c r="R787">
        <v>40</v>
      </c>
      <c r="S787">
        <v>44</v>
      </c>
      <c r="T787" s="13">
        <v>38</v>
      </c>
      <c r="U787" s="13">
        <v>51</v>
      </c>
      <c r="V787" t="s">
        <v>99</v>
      </c>
      <c r="X787" s="13">
        <v>217</v>
      </c>
    </row>
    <row r="788" spans="1:24" x14ac:dyDescent="0.25">
      <c r="A788" t="s">
        <v>900</v>
      </c>
      <c r="B788" t="s">
        <v>62</v>
      </c>
      <c r="C788" t="s">
        <v>862</v>
      </c>
      <c r="D788" t="s">
        <v>863</v>
      </c>
      <c r="E788" t="s">
        <v>62</v>
      </c>
      <c r="F788" t="s">
        <v>94</v>
      </c>
      <c r="G788" t="s">
        <v>277</v>
      </c>
      <c r="H788" s="12">
        <v>6.1702636999999996</v>
      </c>
      <c r="I788" s="12">
        <v>-75.589518400000003</v>
      </c>
      <c r="K788" t="s">
        <v>97</v>
      </c>
      <c r="M788">
        <v>11</v>
      </c>
      <c r="P788" s="13">
        <v>216</v>
      </c>
      <c r="Q788" s="13">
        <v>44</v>
      </c>
      <c r="R788">
        <v>32</v>
      </c>
      <c r="S788">
        <v>32</v>
      </c>
      <c r="T788" s="13">
        <v>52</v>
      </c>
      <c r="U788" s="13">
        <v>82</v>
      </c>
      <c r="V788" t="s">
        <v>99</v>
      </c>
      <c r="X788" s="13">
        <v>216</v>
      </c>
    </row>
    <row r="789" spans="1:24" x14ac:dyDescent="0.25">
      <c r="A789" t="s">
        <v>901</v>
      </c>
      <c r="B789" t="s">
        <v>62</v>
      </c>
      <c r="C789" t="s">
        <v>862</v>
      </c>
      <c r="D789" t="s">
        <v>863</v>
      </c>
      <c r="E789" t="s">
        <v>62</v>
      </c>
      <c r="F789" t="s">
        <v>94</v>
      </c>
      <c r="G789" t="s">
        <v>277</v>
      </c>
      <c r="H789" s="12">
        <v>6.1702636999999996</v>
      </c>
      <c r="I789" s="12">
        <v>-75.589518400000003</v>
      </c>
      <c r="K789" t="s">
        <v>97</v>
      </c>
      <c r="M789">
        <v>11</v>
      </c>
      <c r="P789" s="13">
        <v>216</v>
      </c>
      <c r="Q789" s="13">
        <v>63</v>
      </c>
      <c r="R789">
        <v>36</v>
      </c>
      <c r="S789">
        <v>42</v>
      </c>
      <c r="T789" s="13">
        <v>34</v>
      </c>
      <c r="U789" s="13">
        <v>33</v>
      </c>
      <c r="V789" t="s">
        <v>99</v>
      </c>
      <c r="X789" s="13">
        <v>216</v>
      </c>
    </row>
    <row r="790" spans="1:24" x14ac:dyDescent="0.25">
      <c r="A790" t="s">
        <v>902</v>
      </c>
      <c r="B790" t="s">
        <v>62</v>
      </c>
      <c r="C790" t="s">
        <v>862</v>
      </c>
      <c r="D790" t="s">
        <v>863</v>
      </c>
      <c r="E790" t="s">
        <v>62</v>
      </c>
      <c r="F790" t="s">
        <v>94</v>
      </c>
      <c r="G790" t="s">
        <v>277</v>
      </c>
      <c r="H790" s="12">
        <v>6.1702636999999996</v>
      </c>
      <c r="I790" s="12">
        <v>-75.589518400000003</v>
      </c>
      <c r="K790" t="s">
        <v>97</v>
      </c>
      <c r="M790">
        <v>11</v>
      </c>
      <c r="P790" s="13">
        <v>215</v>
      </c>
      <c r="Q790" s="13">
        <v>54</v>
      </c>
      <c r="R790">
        <v>38</v>
      </c>
      <c r="S790">
        <v>48</v>
      </c>
      <c r="T790" s="13">
        <v>33</v>
      </c>
      <c r="U790" s="13">
        <v>42</v>
      </c>
      <c r="V790" t="s">
        <v>99</v>
      </c>
      <c r="X790" s="13">
        <v>215</v>
      </c>
    </row>
    <row r="791" spans="1:24" x14ac:dyDescent="0.25">
      <c r="A791" t="s">
        <v>903</v>
      </c>
      <c r="B791" t="s">
        <v>62</v>
      </c>
      <c r="C791" t="s">
        <v>862</v>
      </c>
      <c r="D791" t="s">
        <v>863</v>
      </c>
      <c r="E791" t="s">
        <v>62</v>
      </c>
      <c r="F791" t="s">
        <v>94</v>
      </c>
      <c r="G791" t="s">
        <v>277</v>
      </c>
      <c r="H791" s="12">
        <v>6.1702636999999996</v>
      </c>
      <c r="I791" s="12">
        <v>-75.589518400000003</v>
      </c>
      <c r="K791" t="s">
        <v>97</v>
      </c>
      <c r="M791">
        <v>11</v>
      </c>
      <c r="P791" s="13">
        <v>215</v>
      </c>
      <c r="Q791" s="13">
        <v>56</v>
      </c>
      <c r="R791">
        <v>38</v>
      </c>
      <c r="S791">
        <v>42</v>
      </c>
      <c r="T791" s="13">
        <v>36</v>
      </c>
      <c r="U791" s="13">
        <v>42</v>
      </c>
      <c r="V791" t="s">
        <v>99</v>
      </c>
      <c r="X791" s="13">
        <v>215</v>
      </c>
    </row>
    <row r="792" spans="1:24" x14ac:dyDescent="0.25">
      <c r="A792" t="s">
        <v>904</v>
      </c>
      <c r="B792" t="s">
        <v>62</v>
      </c>
      <c r="C792" t="s">
        <v>862</v>
      </c>
      <c r="D792" t="s">
        <v>863</v>
      </c>
      <c r="E792" t="s">
        <v>62</v>
      </c>
      <c r="F792" t="s">
        <v>94</v>
      </c>
      <c r="G792" t="s">
        <v>277</v>
      </c>
      <c r="H792" s="12">
        <v>6.1702636999999996</v>
      </c>
      <c r="I792" s="12">
        <v>-75.589518400000003</v>
      </c>
      <c r="K792" t="s">
        <v>97</v>
      </c>
      <c r="M792">
        <v>11</v>
      </c>
      <c r="P792" s="13">
        <v>215</v>
      </c>
      <c r="Q792" s="13">
        <v>56</v>
      </c>
      <c r="R792">
        <v>44</v>
      </c>
      <c r="S792">
        <v>44</v>
      </c>
      <c r="T792" s="13">
        <v>31</v>
      </c>
      <c r="U792" s="13">
        <v>33</v>
      </c>
      <c r="V792" t="s">
        <v>99</v>
      </c>
      <c r="X792" s="13">
        <v>215</v>
      </c>
    </row>
    <row r="793" spans="1:24" x14ac:dyDescent="0.25">
      <c r="A793" t="s">
        <v>905</v>
      </c>
      <c r="B793" t="s">
        <v>62</v>
      </c>
      <c r="C793" t="s">
        <v>862</v>
      </c>
      <c r="D793" t="s">
        <v>863</v>
      </c>
      <c r="E793" t="s">
        <v>62</v>
      </c>
      <c r="F793" t="s">
        <v>94</v>
      </c>
      <c r="G793" t="s">
        <v>277</v>
      </c>
      <c r="H793" s="12">
        <v>6.1702636999999996</v>
      </c>
      <c r="I793" s="12">
        <v>-75.589518400000003</v>
      </c>
      <c r="K793" t="s">
        <v>97</v>
      </c>
      <c r="M793">
        <v>11</v>
      </c>
      <c r="P793" s="13">
        <v>213</v>
      </c>
      <c r="Q793" s="13">
        <v>63</v>
      </c>
      <c r="R793">
        <v>34</v>
      </c>
      <c r="S793">
        <v>32</v>
      </c>
      <c r="T793" s="13">
        <v>38</v>
      </c>
      <c r="U793" s="13">
        <v>53</v>
      </c>
      <c r="V793" t="s">
        <v>99</v>
      </c>
      <c r="X793" s="13">
        <v>213</v>
      </c>
    </row>
    <row r="794" spans="1:24" x14ac:dyDescent="0.25">
      <c r="A794" t="s">
        <v>906</v>
      </c>
      <c r="B794" t="s">
        <v>62</v>
      </c>
      <c r="C794" t="s">
        <v>862</v>
      </c>
      <c r="D794" t="s">
        <v>863</v>
      </c>
      <c r="E794" t="s">
        <v>62</v>
      </c>
      <c r="F794" t="s">
        <v>94</v>
      </c>
      <c r="G794" t="s">
        <v>277</v>
      </c>
      <c r="H794" s="12">
        <v>6.1702636999999996</v>
      </c>
      <c r="I794" s="12">
        <v>-75.589518400000003</v>
      </c>
      <c r="K794" t="s">
        <v>97</v>
      </c>
      <c r="M794">
        <v>11</v>
      </c>
      <c r="P794" s="13">
        <v>210</v>
      </c>
      <c r="Q794" s="13">
        <v>44</v>
      </c>
      <c r="R794">
        <v>34</v>
      </c>
      <c r="S794">
        <v>48</v>
      </c>
      <c r="T794" s="13">
        <v>43</v>
      </c>
      <c r="U794" s="13">
        <v>40</v>
      </c>
      <c r="V794" t="s">
        <v>99</v>
      </c>
      <c r="X794" s="13">
        <v>210</v>
      </c>
    </row>
    <row r="795" spans="1:24" x14ac:dyDescent="0.25">
      <c r="A795" t="s">
        <v>907</v>
      </c>
      <c r="B795" t="s">
        <v>62</v>
      </c>
      <c r="C795" t="s">
        <v>862</v>
      </c>
      <c r="D795" t="s">
        <v>863</v>
      </c>
      <c r="E795" t="s">
        <v>62</v>
      </c>
      <c r="F795" t="s">
        <v>94</v>
      </c>
      <c r="G795" t="s">
        <v>277</v>
      </c>
      <c r="H795" s="12">
        <v>6.1702636999999996</v>
      </c>
      <c r="I795" s="12">
        <v>-75.589518400000003</v>
      </c>
      <c r="K795" t="s">
        <v>97</v>
      </c>
      <c r="M795">
        <v>11</v>
      </c>
      <c r="P795" s="13">
        <v>210</v>
      </c>
      <c r="Q795" s="13">
        <v>71</v>
      </c>
      <c r="R795">
        <v>22</v>
      </c>
      <c r="S795">
        <v>42</v>
      </c>
      <c r="T795" s="13">
        <v>31</v>
      </c>
      <c r="U795" s="13">
        <v>49</v>
      </c>
      <c r="V795" t="s">
        <v>99</v>
      </c>
      <c r="X795" s="13">
        <v>210</v>
      </c>
    </row>
    <row r="796" spans="1:24" x14ac:dyDescent="0.25">
      <c r="A796" t="s">
        <v>908</v>
      </c>
      <c r="B796" t="s">
        <v>62</v>
      </c>
      <c r="C796" t="s">
        <v>862</v>
      </c>
      <c r="D796" t="s">
        <v>863</v>
      </c>
      <c r="E796" t="s">
        <v>62</v>
      </c>
      <c r="F796" t="s">
        <v>94</v>
      </c>
      <c r="G796" t="s">
        <v>277</v>
      </c>
      <c r="H796" s="12">
        <v>6.1702636999999996</v>
      </c>
      <c r="I796" s="12">
        <v>-75.589518400000003</v>
      </c>
      <c r="K796" t="s">
        <v>97</v>
      </c>
      <c r="M796">
        <v>11</v>
      </c>
      <c r="P796" s="13">
        <v>209</v>
      </c>
      <c r="Q796" s="13">
        <v>41</v>
      </c>
      <c r="R796">
        <v>28</v>
      </c>
      <c r="S796">
        <v>38</v>
      </c>
      <c r="T796" s="13">
        <v>55</v>
      </c>
      <c r="U796" s="13">
        <v>55</v>
      </c>
      <c r="V796" t="s">
        <v>99</v>
      </c>
      <c r="X796" s="13">
        <v>209</v>
      </c>
    </row>
    <row r="797" spans="1:24" x14ac:dyDescent="0.25">
      <c r="A797" t="s">
        <v>909</v>
      </c>
      <c r="B797" t="s">
        <v>62</v>
      </c>
      <c r="C797" t="s">
        <v>862</v>
      </c>
      <c r="D797" t="s">
        <v>863</v>
      </c>
      <c r="E797" t="s">
        <v>62</v>
      </c>
      <c r="F797" t="s">
        <v>94</v>
      </c>
      <c r="G797" t="s">
        <v>277</v>
      </c>
      <c r="H797" s="12">
        <v>6.1702636999999996</v>
      </c>
      <c r="I797" s="12">
        <v>-75.589518400000003</v>
      </c>
      <c r="K797" t="s">
        <v>97</v>
      </c>
      <c r="M797">
        <v>11</v>
      </c>
      <c r="P797" s="13">
        <v>208</v>
      </c>
      <c r="Q797" s="13">
        <v>66</v>
      </c>
      <c r="R797">
        <v>28</v>
      </c>
      <c r="S797">
        <v>32</v>
      </c>
      <c r="T797" s="13">
        <v>38</v>
      </c>
      <c r="U797" s="13">
        <v>49</v>
      </c>
      <c r="V797" t="s">
        <v>99</v>
      </c>
      <c r="X797" s="13">
        <v>208</v>
      </c>
    </row>
    <row r="798" spans="1:24" x14ac:dyDescent="0.25">
      <c r="A798" t="s">
        <v>910</v>
      </c>
      <c r="B798" t="s">
        <v>62</v>
      </c>
      <c r="C798" t="s">
        <v>862</v>
      </c>
      <c r="D798" t="s">
        <v>863</v>
      </c>
      <c r="E798" t="s">
        <v>62</v>
      </c>
      <c r="F798" t="s">
        <v>94</v>
      </c>
      <c r="G798" t="s">
        <v>277</v>
      </c>
      <c r="H798" s="12">
        <v>6.1702636999999996</v>
      </c>
      <c r="I798" s="12">
        <v>-75.589518400000003</v>
      </c>
      <c r="K798" t="s">
        <v>97</v>
      </c>
      <c r="M798">
        <v>11</v>
      </c>
      <c r="P798" s="13">
        <v>206</v>
      </c>
      <c r="Q798" s="13">
        <v>63</v>
      </c>
      <c r="R798">
        <v>50</v>
      </c>
      <c r="S798">
        <v>18</v>
      </c>
      <c r="T798" s="13">
        <v>24</v>
      </c>
      <c r="U798" s="13">
        <v>69</v>
      </c>
      <c r="V798" t="s">
        <v>99</v>
      </c>
      <c r="X798" s="13">
        <v>206</v>
      </c>
    </row>
    <row r="799" spans="1:24" x14ac:dyDescent="0.25">
      <c r="A799" t="s">
        <v>911</v>
      </c>
      <c r="B799" t="s">
        <v>62</v>
      </c>
      <c r="C799" t="s">
        <v>862</v>
      </c>
      <c r="D799" t="s">
        <v>863</v>
      </c>
      <c r="E799" t="s">
        <v>62</v>
      </c>
      <c r="F799" t="s">
        <v>94</v>
      </c>
      <c r="G799" t="s">
        <v>277</v>
      </c>
      <c r="H799" s="12">
        <v>6.1702636999999996</v>
      </c>
      <c r="I799" s="12">
        <v>-75.589518400000003</v>
      </c>
      <c r="K799" t="s">
        <v>97</v>
      </c>
      <c r="M799">
        <v>11</v>
      </c>
      <c r="P799" s="13">
        <v>206</v>
      </c>
      <c r="Q799" s="13">
        <v>61</v>
      </c>
      <c r="R799">
        <v>28</v>
      </c>
      <c r="S799">
        <v>32</v>
      </c>
      <c r="T799" s="13">
        <v>45</v>
      </c>
      <c r="U799" s="13">
        <v>38</v>
      </c>
      <c r="V799" t="s">
        <v>99</v>
      </c>
      <c r="X799" s="13">
        <v>206</v>
      </c>
    </row>
    <row r="800" spans="1:24" x14ac:dyDescent="0.25">
      <c r="A800" t="s">
        <v>912</v>
      </c>
      <c r="B800" t="s">
        <v>62</v>
      </c>
      <c r="C800" t="s">
        <v>862</v>
      </c>
      <c r="D800" t="s">
        <v>863</v>
      </c>
      <c r="E800" t="s">
        <v>62</v>
      </c>
      <c r="F800" t="s">
        <v>94</v>
      </c>
      <c r="G800" t="s">
        <v>277</v>
      </c>
      <c r="H800" s="12">
        <v>6.1702636999999996</v>
      </c>
      <c r="I800" s="12">
        <v>-75.589518400000003</v>
      </c>
      <c r="K800" t="s">
        <v>97</v>
      </c>
      <c r="M800">
        <v>11</v>
      </c>
      <c r="P800" s="13">
        <v>205</v>
      </c>
      <c r="Q800" s="13">
        <v>54</v>
      </c>
      <c r="R800">
        <v>30</v>
      </c>
      <c r="S800">
        <v>28</v>
      </c>
      <c r="T800" s="13">
        <v>41</v>
      </c>
      <c r="U800" s="13">
        <v>73</v>
      </c>
      <c r="V800" t="s">
        <v>99</v>
      </c>
      <c r="X800" s="13">
        <v>205</v>
      </c>
    </row>
    <row r="801" spans="1:24" x14ac:dyDescent="0.25">
      <c r="A801" t="s">
        <v>913</v>
      </c>
      <c r="B801" t="s">
        <v>62</v>
      </c>
      <c r="C801" t="s">
        <v>862</v>
      </c>
      <c r="D801" t="s">
        <v>863</v>
      </c>
      <c r="E801" t="s">
        <v>62</v>
      </c>
      <c r="F801" t="s">
        <v>94</v>
      </c>
      <c r="G801" t="s">
        <v>277</v>
      </c>
      <c r="H801" s="12">
        <v>6.1702636999999996</v>
      </c>
      <c r="I801" s="12">
        <v>-75.589518400000003</v>
      </c>
      <c r="K801" t="s">
        <v>97</v>
      </c>
      <c r="M801">
        <v>11</v>
      </c>
      <c r="P801" s="13">
        <v>202</v>
      </c>
      <c r="Q801" s="13">
        <v>49</v>
      </c>
      <c r="R801">
        <v>38</v>
      </c>
      <c r="S801">
        <v>32</v>
      </c>
      <c r="T801" s="13">
        <v>33</v>
      </c>
      <c r="U801" s="13">
        <v>71</v>
      </c>
      <c r="V801" t="s">
        <v>99</v>
      </c>
      <c r="X801" s="13">
        <v>202</v>
      </c>
    </row>
    <row r="802" spans="1:24" x14ac:dyDescent="0.25">
      <c r="A802" t="s">
        <v>914</v>
      </c>
      <c r="B802" t="s">
        <v>62</v>
      </c>
      <c r="C802" t="s">
        <v>862</v>
      </c>
      <c r="D802" t="s">
        <v>863</v>
      </c>
      <c r="E802" t="s">
        <v>62</v>
      </c>
      <c r="F802" t="s">
        <v>94</v>
      </c>
      <c r="G802" t="s">
        <v>277</v>
      </c>
      <c r="H802" s="12">
        <v>6.1702636999999996</v>
      </c>
      <c r="I802" s="12">
        <v>-75.589518400000003</v>
      </c>
      <c r="K802" t="s">
        <v>97</v>
      </c>
      <c r="M802">
        <v>11</v>
      </c>
      <c r="P802" s="13">
        <v>202</v>
      </c>
      <c r="Q802" s="13">
        <v>59</v>
      </c>
      <c r="R802">
        <v>24</v>
      </c>
      <c r="S802">
        <v>46</v>
      </c>
      <c r="T802" s="13">
        <v>31</v>
      </c>
      <c r="U802" s="13">
        <v>45</v>
      </c>
      <c r="V802" t="s">
        <v>99</v>
      </c>
      <c r="X802" s="13">
        <v>202</v>
      </c>
    </row>
    <row r="803" spans="1:24" x14ac:dyDescent="0.25">
      <c r="A803" t="s">
        <v>915</v>
      </c>
      <c r="B803" t="s">
        <v>62</v>
      </c>
      <c r="C803" t="s">
        <v>862</v>
      </c>
      <c r="D803" t="s">
        <v>863</v>
      </c>
      <c r="E803" t="s">
        <v>62</v>
      </c>
      <c r="F803" t="s">
        <v>94</v>
      </c>
      <c r="G803" t="s">
        <v>277</v>
      </c>
      <c r="H803" s="12">
        <v>6.1702636999999996</v>
      </c>
      <c r="I803" s="12">
        <v>-75.589518400000003</v>
      </c>
      <c r="K803" t="s">
        <v>97</v>
      </c>
      <c r="M803">
        <v>11</v>
      </c>
      <c r="P803" s="13">
        <v>200</v>
      </c>
      <c r="Q803" s="13">
        <v>49</v>
      </c>
      <c r="R803">
        <v>26</v>
      </c>
      <c r="S803">
        <v>34</v>
      </c>
      <c r="T803" s="13">
        <v>40</v>
      </c>
      <c r="U803" s="13">
        <v>75</v>
      </c>
      <c r="V803" t="s">
        <v>99</v>
      </c>
      <c r="X803" s="13">
        <v>200</v>
      </c>
    </row>
    <row r="804" spans="1:24" x14ac:dyDescent="0.25">
      <c r="A804" t="s">
        <v>916</v>
      </c>
      <c r="B804" t="s">
        <v>62</v>
      </c>
      <c r="C804" t="s">
        <v>862</v>
      </c>
      <c r="D804" t="s">
        <v>863</v>
      </c>
      <c r="E804" t="s">
        <v>62</v>
      </c>
      <c r="F804" t="s">
        <v>94</v>
      </c>
      <c r="G804" t="s">
        <v>277</v>
      </c>
      <c r="H804" s="12">
        <v>6.1702636999999996</v>
      </c>
      <c r="I804" s="12">
        <v>-75.589518400000003</v>
      </c>
      <c r="K804" t="s">
        <v>97</v>
      </c>
      <c r="M804">
        <v>11</v>
      </c>
      <c r="P804" s="13">
        <v>199</v>
      </c>
      <c r="Q804" s="13">
        <v>63</v>
      </c>
      <c r="R804">
        <v>24</v>
      </c>
      <c r="S804">
        <v>34</v>
      </c>
      <c r="T804" s="13">
        <v>38</v>
      </c>
      <c r="U804" s="13">
        <v>40</v>
      </c>
      <c r="V804" t="s">
        <v>99</v>
      </c>
      <c r="X804" s="13">
        <v>199</v>
      </c>
    </row>
    <row r="805" spans="1:24" x14ac:dyDescent="0.25">
      <c r="A805" t="s">
        <v>917</v>
      </c>
      <c r="B805" t="s">
        <v>62</v>
      </c>
      <c r="C805" t="s">
        <v>862</v>
      </c>
      <c r="D805" t="s">
        <v>863</v>
      </c>
      <c r="E805" t="s">
        <v>62</v>
      </c>
      <c r="F805" t="s">
        <v>94</v>
      </c>
      <c r="G805" t="s">
        <v>277</v>
      </c>
      <c r="H805" s="12">
        <v>6.1702636999999996</v>
      </c>
      <c r="I805" s="12">
        <v>-75.589518400000003</v>
      </c>
      <c r="K805" t="s">
        <v>97</v>
      </c>
      <c r="M805">
        <v>11</v>
      </c>
      <c r="P805" s="13">
        <v>198</v>
      </c>
      <c r="Q805" s="13">
        <v>49</v>
      </c>
      <c r="R805">
        <v>30</v>
      </c>
      <c r="S805">
        <v>46</v>
      </c>
      <c r="T805" s="13">
        <v>26</v>
      </c>
      <c r="U805" s="13">
        <v>62</v>
      </c>
      <c r="V805" t="s">
        <v>99</v>
      </c>
      <c r="X805" s="13">
        <v>198</v>
      </c>
    </row>
    <row r="806" spans="1:24" x14ac:dyDescent="0.25">
      <c r="A806" t="s">
        <v>918</v>
      </c>
      <c r="B806" t="s">
        <v>62</v>
      </c>
      <c r="C806" t="s">
        <v>862</v>
      </c>
      <c r="D806" t="s">
        <v>863</v>
      </c>
      <c r="E806" t="s">
        <v>62</v>
      </c>
      <c r="F806" t="s">
        <v>94</v>
      </c>
      <c r="G806" t="s">
        <v>277</v>
      </c>
      <c r="H806" s="12">
        <v>6.1702636999999996</v>
      </c>
      <c r="I806" s="12">
        <v>-75.589518400000003</v>
      </c>
      <c r="K806" t="s">
        <v>97</v>
      </c>
      <c r="M806">
        <v>11</v>
      </c>
      <c r="P806" s="13">
        <v>197</v>
      </c>
      <c r="Q806" s="13">
        <v>41</v>
      </c>
      <c r="R806">
        <v>40</v>
      </c>
      <c r="S806">
        <v>46</v>
      </c>
      <c r="T806" s="13">
        <v>29</v>
      </c>
      <c r="U806" s="13">
        <v>42</v>
      </c>
      <c r="V806" t="s">
        <v>99</v>
      </c>
      <c r="X806" s="13">
        <v>197</v>
      </c>
    </row>
    <row r="807" spans="1:24" x14ac:dyDescent="0.25">
      <c r="A807" t="s">
        <v>919</v>
      </c>
      <c r="B807" t="s">
        <v>62</v>
      </c>
      <c r="C807" t="s">
        <v>862</v>
      </c>
      <c r="D807" t="s">
        <v>863</v>
      </c>
      <c r="E807" t="s">
        <v>62</v>
      </c>
      <c r="F807" t="s">
        <v>94</v>
      </c>
      <c r="G807" t="s">
        <v>277</v>
      </c>
      <c r="H807" s="12">
        <v>6.1702636999999996</v>
      </c>
      <c r="I807" s="12">
        <v>-75.589518400000003</v>
      </c>
      <c r="K807" t="s">
        <v>97</v>
      </c>
      <c r="M807">
        <v>11</v>
      </c>
      <c r="P807" s="13">
        <v>192</v>
      </c>
      <c r="Q807" s="13">
        <v>59</v>
      </c>
      <c r="R807">
        <v>28</v>
      </c>
      <c r="S807">
        <v>42</v>
      </c>
      <c r="T807" s="13">
        <v>29</v>
      </c>
      <c r="U807" s="13">
        <v>25</v>
      </c>
      <c r="V807" t="s">
        <v>99</v>
      </c>
      <c r="X807" s="13">
        <v>192</v>
      </c>
    </row>
    <row r="808" spans="1:24" x14ac:dyDescent="0.25">
      <c r="A808" t="s">
        <v>920</v>
      </c>
      <c r="B808" t="s">
        <v>62</v>
      </c>
      <c r="C808" t="s">
        <v>862</v>
      </c>
      <c r="D808" t="s">
        <v>863</v>
      </c>
      <c r="E808" t="s">
        <v>62</v>
      </c>
      <c r="F808" t="s">
        <v>94</v>
      </c>
      <c r="G808" t="s">
        <v>277</v>
      </c>
      <c r="H808" s="12">
        <v>6.1702636999999996</v>
      </c>
      <c r="I808" s="12">
        <v>-75.589518400000003</v>
      </c>
      <c r="K808" t="s">
        <v>97</v>
      </c>
      <c r="M808">
        <v>11</v>
      </c>
      <c r="P808" s="13">
        <v>192</v>
      </c>
      <c r="Q808" s="13">
        <v>39</v>
      </c>
      <c r="R808">
        <v>38</v>
      </c>
      <c r="S808">
        <v>34</v>
      </c>
      <c r="T808" s="13">
        <v>33</v>
      </c>
      <c r="U808" s="13">
        <v>67</v>
      </c>
      <c r="V808" t="s">
        <v>99</v>
      </c>
      <c r="X808" s="13">
        <v>192</v>
      </c>
    </row>
    <row r="809" spans="1:24" x14ac:dyDescent="0.25">
      <c r="A809" t="s">
        <v>921</v>
      </c>
      <c r="B809" t="s">
        <v>62</v>
      </c>
      <c r="C809" t="s">
        <v>862</v>
      </c>
      <c r="D809" t="s">
        <v>863</v>
      </c>
      <c r="E809" t="s">
        <v>62</v>
      </c>
      <c r="F809" t="s">
        <v>94</v>
      </c>
      <c r="G809" t="s">
        <v>277</v>
      </c>
      <c r="H809" s="12">
        <v>6.1702636999999996</v>
      </c>
      <c r="I809" s="12">
        <v>-75.589518400000003</v>
      </c>
      <c r="K809" t="s">
        <v>97</v>
      </c>
      <c r="M809">
        <v>11</v>
      </c>
      <c r="P809" s="13">
        <v>191</v>
      </c>
      <c r="Q809" s="13">
        <v>41</v>
      </c>
      <c r="R809">
        <v>28</v>
      </c>
      <c r="S809">
        <v>52</v>
      </c>
      <c r="T809" s="13">
        <v>31</v>
      </c>
      <c r="U809" s="13">
        <v>40</v>
      </c>
      <c r="V809" t="s">
        <v>99</v>
      </c>
      <c r="X809" s="13">
        <v>191</v>
      </c>
    </row>
    <row r="810" spans="1:24" x14ac:dyDescent="0.25">
      <c r="A810" t="s">
        <v>922</v>
      </c>
      <c r="B810" t="s">
        <v>62</v>
      </c>
      <c r="C810" t="s">
        <v>862</v>
      </c>
      <c r="D810" t="s">
        <v>863</v>
      </c>
      <c r="E810" t="s">
        <v>62</v>
      </c>
      <c r="F810" t="s">
        <v>94</v>
      </c>
      <c r="G810" t="s">
        <v>277</v>
      </c>
      <c r="H810" s="12">
        <v>6.1702636999999996</v>
      </c>
      <c r="I810" s="12">
        <v>-75.589518400000003</v>
      </c>
      <c r="K810" t="s">
        <v>97</v>
      </c>
      <c r="M810">
        <v>11</v>
      </c>
      <c r="P810" s="13">
        <v>191</v>
      </c>
      <c r="Q810" s="13">
        <v>44</v>
      </c>
      <c r="R810">
        <v>32</v>
      </c>
      <c r="S810">
        <v>40</v>
      </c>
      <c r="T810" s="13">
        <v>34</v>
      </c>
      <c r="U810" s="13">
        <v>45</v>
      </c>
      <c r="V810" t="s">
        <v>99</v>
      </c>
      <c r="X810" s="13">
        <v>191</v>
      </c>
    </row>
    <row r="811" spans="1:24" x14ac:dyDescent="0.25">
      <c r="A811" t="s">
        <v>923</v>
      </c>
      <c r="B811" t="s">
        <v>62</v>
      </c>
      <c r="C811" t="s">
        <v>862</v>
      </c>
      <c r="D811" t="s">
        <v>863</v>
      </c>
      <c r="E811" t="s">
        <v>62</v>
      </c>
      <c r="F811" t="s">
        <v>94</v>
      </c>
      <c r="G811" t="s">
        <v>277</v>
      </c>
      <c r="H811" s="12">
        <v>6.1702636999999996</v>
      </c>
      <c r="I811" s="12">
        <v>-75.589518400000003</v>
      </c>
      <c r="K811" t="s">
        <v>97</v>
      </c>
      <c r="M811">
        <v>11</v>
      </c>
      <c r="P811" s="13">
        <v>189</v>
      </c>
      <c r="Q811" s="13">
        <v>46</v>
      </c>
      <c r="R811">
        <v>30</v>
      </c>
      <c r="S811">
        <v>36</v>
      </c>
      <c r="T811" s="13">
        <v>34</v>
      </c>
      <c r="U811" s="13">
        <v>51</v>
      </c>
      <c r="V811" t="s">
        <v>99</v>
      </c>
      <c r="X811" s="13">
        <v>189</v>
      </c>
    </row>
    <row r="812" spans="1:24" x14ac:dyDescent="0.25">
      <c r="A812" t="s">
        <v>924</v>
      </c>
      <c r="B812" t="s">
        <v>62</v>
      </c>
      <c r="C812" t="s">
        <v>862</v>
      </c>
      <c r="D812" t="s">
        <v>863</v>
      </c>
      <c r="E812" t="s">
        <v>62</v>
      </c>
      <c r="F812" t="s">
        <v>94</v>
      </c>
      <c r="G812" t="s">
        <v>277</v>
      </c>
      <c r="H812" s="12">
        <v>6.1702636999999996</v>
      </c>
      <c r="I812" s="12">
        <v>-75.589518400000003</v>
      </c>
      <c r="K812" t="s">
        <v>97</v>
      </c>
      <c r="M812">
        <v>11</v>
      </c>
      <c r="P812" s="13">
        <v>188</v>
      </c>
      <c r="Q812" s="13">
        <v>41</v>
      </c>
      <c r="R812">
        <v>34</v>
      </c>
      <c r="S812">
        <v>38</v>
      </c>
      <c r="T812" s="13">
        <v>36</v>
      </c>
      <c r="U812" s="13">
        <v>40</v>
      </c>
      <c r="V812" t="s">
        <v>99</v>
      </c>
      <c r="X812" s="13">
        <v>188</v>
      </c>
    </row>
    <row r="813" spans="1:24" x14ac:dyDescent="0.25">
      <c r="A813" t="s">
        <v>925</v>
      </c>
      <c r="B813" t="s">
        <v>62</v>
      </c>
      <c r="C813" t="s">
        <v>862</v>
      </c>
      <c r="D813" t="s">
        <v>863</v>
      </c>
      <c r="E813" t="s">
        <v>62</v>
      </c>
      <c r="F813" t="s">
        <v>94</v>
      </c>
      <c r="G813" t="s">
        <v>277</v>
      </c>
      <c r="H813" s="12">
        <v>6.1702636999999996</v>
      </c>
      <c r="I813" s="12">
        <v>-75.589518400000003</v>
      </c>
      <c r="K813" t="s">
        <v>97</v>
      </c>
      <c r="M813">
        <v>11</v>
      </c>
      <c r="P813" s="13">
        <v>187</v>
      </c>
      <c r="Q813" s="13">
        <v>54</v>
      </c>
      <c r="R813">
        <v>28</v>
      </c>
      <c r="S813">
        <v>32</v>
      </c>
      <c r="T813" s="13">
        <v>38</v>
      </c>
      <c r="U813" s="13">
        <v>31</v>
      </c>
      <c r="V813" t="s">
        <v>99</v>
      </c>
      <c r="X813" s="13">
        <v>187</v>
      </c>
    </row>
    <row r="814" spans="1:24" x14ac:dyDescent="0.25">
      <c r="A814" t="s">
        <v>926</v>
      </c>
      <c r="B814" t="s">
        <v>62</v>
      </c>
      <c r="C814" t="s">
        <v>862</v>
      </c>
      <c r="D814" t="s">
        <v>863</v>
      </c>
      <c r="E814" t="s">
        <v>62</v>
      </c>
      <c r="F814" t="s">
        <v>94</v>
      </c>
      <c r="G814" t="s">
        <v>277</v>
      </c>
      <c r="H814" s="12">
        <v>6.1702636999999996</v>
      </c>
      <c r="I814" s="12">
        <v>-75.589518400000003</v>
      </c>
      <c r="K814" t="s">
        <v>97</v>
      </c>
      <c r="M814">
        <v>11</v>
      </c>
      <c r="P814" s="13">
        <v>185</v>
      </c>
      <c r="Q814" s="13">
        <v>61</v>
      </c>
      <c r="R814">
        <v>14</v>
      </c>
      <c r="S814">
        <v>30</v>
      </c>
      <c r="T814" s="13">
        <v>45</v>
      </c>
      <c r="U814" s="13">
        <v>33</v>
      </c>
      <c r="V814" t="s">
        <v>99</v>
      </c>
      <c r="X814" s="13">
        <v>185</v>
      </c>
    </row>
    <row r="815" spans="1:24" x14ac:dyDescent="0.25">
      <c r="A815" t="s">
        <v>927</v>
      </c>
      <c r="B815" t="s">
        <v>62</v>
      </c>
      <c r="C815" t="s">
        <v>862</v>
      </c>
      <c r="D815" t="s">
        <v>863</v>
      </c>
      <c r="E815" t="s">
        <v>62</v>
      </c>
      <c r="F815" t="s">
        <v>94</v>
      </c>
      <c r="G815" t="s">
        <v>277</v>
      </c>
      <c r="H815" s="12">
        <v>6.1702636999999996</v>
      </c>
      <c r="I815" s="12">
        <v>-75.589518400000003</v>
      </c>
      <c r="K815" t="s">
        <v>97</v>
      </c>
      <c r="M815">
        <v>11</v>
      </c>
      <c r="P815" s="13">
        <v>184</v>
      </c>
      <c r="Q815" s="13">
        <v>44</v>
      </c>
      <c r="R815">
        <v>28</v>
      </c>
      <c r="S815">
        <v>38</v>
      </c>
      <c r="T815" s="13">
        <v>38</v>
      </c>
      <c r="U815" s="13">
        <v>35</v>
      </c>
      <c r="V815" t="s">
        <v>99</v>
      </c>
      <c r="X815" s="13">
        <v>184</v>
      </c>
    </row>
    <row r="816" spans="1:24" x14ac:dyDescent="0.25">
      <c r="A816" t="s">
        <v>928</v>
      </c>
      <c r="B816" t="s">
        <v>62</v>
      </c>
      <c r="C816" t="s">
        <v>862</v>
      </c>
      <c r="D816" t="s">
        <v>863</v>
      </c>
      <c r="E816" t="s">
        <v>62</v>
      </c>
      <c r="F816" t="s">
        <v>94</v>
      </c>
      <c r="G816" t="s">
        <v>277</v>
      </c>
      <c r="H816" s="12">
        <v>6.1702636999999996</v>
      </c>
      <c r="I816" s="12">
        <v>-75.589518400000003</v>
      </c>
      <c r="K816" t="s">
        <v>97</v>
      </c>
      <c r="M816">
        <v>11</v>
      </c>
      <c r="P816" s="13">
        <v>179</v>
      </c>
      <c r="Q816" s="13">
        <v>54</v>
      </c>
      <c r="R816">
        <v>24</v>
      </c>
      <c r="S816">
        <v>28</v>
      </c>
      <c r="T816" s="13">
        <v>36</v>
      </c>
      <c r="U816" s="13">
        <v>40</v>
      </c>
      <c r="V816" t="s">
        <v>99</v>
      </c>
      <c r="X816" s="13">
        <v>179</v>
      </c>
    </row>
    <row r="817" spans="1:24" x14ac:dyDescent="0.25">
      <c r="A817" t="s">
        <v>929</v>
      </c>
      <c r="B817" t="s">
        <v>62</v>
      </c>
      <c r="C817" t="s">
        <v>862</v>
      </c>
      <c r="D817" t="s">
        <v>863</v>
      </c>
      <c r="E817" t="s">
        <v>62</v>
      </c>
      <c r="F817" t="s">
        <v>94</v>
      </c>
      <c r="G817" t="s">
        <v>277</v>
      </c>
      <c r="H817" s="12">
        <v>6.1702636999999996</v>
      </c>
      <c r="I817" s="12">
        <v>-75.589518400000003</v>
      </c>
      <c r="K817" t="s">
        <v>97</v>
      </c>
      <c r="M817">
        <v>11</v>
      </c>
      <c r="P817" s="13">
        <v>179</v>
      </c>
      <c r="Q817" s="13">
        <v>37</v>
      </c>
      <c r="R817">
        <v>32</v>
      </c>
      <c r="S817">
        <v>42</v>
      </c>
      <c r="T817" s="13">
        <v>28</v>
      </c>
      <c r="U817" s="13">
        <v>51</v>
      </c>
      <c r="V817" t="s">
        <v>99</v>
      </c>
      <c r="X817" s="13">
        <v>179</v>
      </c>
    </row>
    <row r="818" spans="1:24" x14ac:dyDescent="0.25">
      <c r="A818" t="s">
        <v>930</v>
      </c>
      <c r="B818" t="s">
        <v>62</v>
      </c>
      <c r="C818" t="s">
        <v>862</v>
      </c>
      <c r="D818" t="s">
        <v>863</v>
      </c>
      <c r="E818" t="s">
        <v>62</v>
      </c>
      <c r="F818" t="s">
        <v>94</v>
      </c>
      <c r="G818" t="s">
        <v>277</v>
      </c>
      <c r="H818" s="12">
        <v>6.1702636999999996</v>
      </c>
      <c r="I818" s="12">
        <v>-75.589518400000003</v>
      </c>
      <c r="K818" t="s">
        <v>97</v>
      </c>
      <c r="M818">
        <v>11</v>
      </c>
      <c r="P818" s="13">
        <v>178</v>
      </c>
      <c r="Q818" s="13">
        <v>41</v>
      </c>
      <c r="R818">
        <v>30</v>
      </c>
      <c r="S818">
        <v>38</v>
      </c>
      <c r="T818" s="13">
        <v>33</v>
      </c>
      <c r="U818" s="13">
        <v>36</v>
      </c>
      <c r="V818" t="s">
        <v>99</v>
      </c>
      <c r="X818" s="13">
        <v>178</v>
      </c>
    </row>
    <row r="819" spans="1:24" x14ac:dyDescent="0.25">
      <c r="A819" t="s">
        <v>931</v>
      </c>
      <c r="B819" t="s">
        <v>62</v>
      </c>
      <c r="C819" t="s">
        <v>862</v>
      </c>
      <c r="D819" t="s">
        <v>863</v>
      </c>
      <c r="E819" t="s">
        <v>62</v>
      </c>
      <c r="F819" t="s">
        <v>94</v>
      </c>
      <c r="G819" t="s">
        <v>277</v>
      </c>
      <c r="H819" s="12">
        <v>6.1702636999999996</v>
      </c>
      <c r="I819" s="12">
        <v>-75.589518400000003</v>
      </c>
      <c r="K819" t="s">
        <v>97</v>
      </c>
      <c r="M819">
        <v>11</v>
      </c>
      <c r="P819" s="13">
        <v>177</v>
      </c>
      <c r="Q819" s="13">
        <v>54</v>
      </c>
      <c r="R819">
        <v>24</v>
      </c>
      <c r="S819">
        <v>34</v>
      </c>
      <c r="T819" s="13">
        <v>22</v>
      </c>
      <c r="U819" s="13">
        <v>58</v>
      </c>
      <c r="V819" t="s">
        <v>99</v>
      </c>
      <c r="X819" s="13">
        <v>177</v>
      </c>
    </row>
    <row r="820" spans="1:24" x14ac:dyDescent="0.25">
      <c r="A820" t="s">
        <v>932</v>
      </c>
      <c r="B820" t="s">
        <v>62</v>
      </c>
      <c r="C820" t="s">
        <v>862</v>
      </c>
      <c r="D820" t="s">
        <v>863</v>
      </c>
      <c r="E820" t="s">
        <v>62</v>
      </c>
      <c r="F820" t="s">
        <v>94</v>
      </c>
      <c r="G820" t="s">
        <v>277</v>
      </c>
      <c r="H820" s="12">
        <v>6.1702636999999996</v>
      </c>
      <c r="I820" s="12">
        <v>-75.589518400000003</v>
      </c>
      <c r="K820" t="s">
        <v>97</v>
      </c>
      <c r="M820">
        <v>11</v>
      </c>
      <c r="P820" s="13">
        <v>177</v>
      </c>
      <c r="Q820" s="13">
        <v>54</v>
      </c>
      <c r="R820">
        <v>24</v>
      </c>
      <c r="S820">
        <v>30</v>
      </c>
      <c r="T820" s="13">
        <v>33</v>
      </c>
      <c r="U820" s="13">
        <v>38</v>
      </c>
      <c r="V820" t="s">
        <v>99</v>
      </c>
      <c r="X820" s="13">
        <v>177</v>
      </c>
    </row>
    <row r="821" spans="1:24" x14ac:dyDescent="0.25">
      <c r="A821" t="s">
        <v>933</v>
      </c>
      <c r="B821" t="s">
        <v>62</v>
      </c>
      <c r="C821" t="s">
        <v>862</v>
      </c>
      <c r="D821" t="s">
        <v>863</v>
      </c>
      <c r="E821" t="s">
        <v>62</v>
      </c>
      <c r="F821" t="s">
        <v>94</v>
      </c>
      <c r="G821" t="s">
        <v>277</v>
      </c>
      <c r="H821" s="12">
        <v>6.1702636999999996</v>
      </c>
      <c r="I821" s="12">
        <v>-75.589518400000003</v>
      </c>
      <c r="K821" t="s">
        <v>97</v>
      </c>
      <c r="M821">
        <v>11</v>
      </c>
      <c r="P821" s="13">
        <v>177</v>
      </c>
      <c r="Q821" s="13">
        <v>41</v>
      </c>
      <c r="R821">
        <v>28</v>
      </c>
      <c r="S821">
        <v>40</v>
      </c>
      <c r="T821" s="13">
        <v>22</v>
      </c>
      <c r="U821" s="13">
        <v>64</v>
      </c>
      <c r="V821" t="s">
        <v>99</v>
      </c>
      <c r="X821" s="13">
        <v>177</v>
      </c>
    </row>
    <row r="822" spans="1:24" x14ac:dyDescent="0.25">
      <c r="A822" t="s">
        <v>934</v>
      </c>
      <c r="B822" t="s">
        <v>62</v>
      </c>
      <c r="C822" t="s">
        <v>862</v>
      </c>
      <c r="D822" t="s">
        <v>863</v>
      </c>
      <c r="E822" t="s">
        <v>62</v>
      </c>
      <c r="F822" t="s">
        <v>94</v>
      </c>
      <c r="G822" t="s">
        <v>277</v>
      </c>
      <c r="H822" s="12">
        <v>6.1702636999999996</v>
      </c>
      <c r="I822" s="12">
        <v>-75.589518400000003</v>
      </c>
      <c r="K822" t="s">
        <v>97</v>
      </c>
      <c r="M822">
        <v>11</v>
      </c>
      <c r="P822" s="13">
        <v>176</v>
      </c>
      <c r="Q822" s="13">
        <v>46</v>
      </c>
      <c r="R822">
        <v>16</v>
      </c>
      <c r="S822">
        <v>42</v>
      </c>
      <c r="T822" s="13">
        <v>33</v>
      </c>
      <c r="U822" s="13">
        <v>47</v>
      </c>
      <c r="V822" t="s">
        <v>99</v>
      </c>
      <c r="X822" s="13">
        <v>176</v>
      </c>
    </row>
    <row r="823" spans="1:24" x14ac:dyDescent="0.25">
      <c r="A823" t="s">
        <v>935</v>
      </c>
      <c r="B823" t="s">
        <v>62</v>
      </c>
      <c r="C823" t="s">
        <v>862</v>
      </c>
      <c r="D823" t="s">
        <v>863</v>
      </c>
      <c r="E823" t="s">
        <v>62</v>
      </c>
      <c r="F823" t="s">
        <v>94</v>
      </c>
      <c r="G823" t="s">
        <v>277</v>
      </c>
      <c r="H823" s="12">
        <v>6.1702636999999996</v>
      </c>
      <c r="I823" s="12">
        <v>-75.589518400000003</v>
      </c>
      <c r="K823" t="s">
        <v>97</v>
      </c>
      <c r="M823">
        <v>11</v>
      </c>
      <c r="P823" s="13">
        <v>176</v>
      </c>
      <c r="Q823" s="13">
        <v>37</v>
      </c>
      <c r="R823">
        <v>36</v>
      </c>
      <c r="S823">
        <v>40</v>
      </c>
      <c r="T823" s="13">
        <v>24</v>
      </c>
      <c r="U823" s="13">
        <v>47</v>
      </c>
      <c r="V823" t="s">
        <v>99</v>
      </c>
      <c r="X823" s="13">
        <v>176</v>
      </c>
    </row>
    <row r="824" spans="1:24" x14ac:dyDescent="0.25">
      <c r="A824" t="s">
        <v>936</v>
      </c>
      <c r="B824" t="s">
        <v>62</v>
      </c>
      <c r="C824" t="s">
        <v>862</v>
      </c>
      <c r="D824" t="s">
        <v>863</v>
      </c>
      <c r="E824" t="s">
        <v>62</v>
      </c>
      <c r="F824" t="s">
        <v>94</v>
      </c>
      <c r="G824" t="s">
        <v>277</v>
      </c>
      <c r="H824" s="12">
        <v>6.1702636999999996</v>
      </c>
      <c r="I824" s="12">
        <v>-75.589518400000003</v>
      </c>
      <c r="K824" t="s">
        <v>97</v>
      </c>
      <c r="M824">
        <v>11</v>
      </c>
      <c r="P824" s="13">
        <v>175</v>
      </c>
      <c r="Q824" s="13">
        <v>41</v>
      </c>
      <c r="R824">
        <v>12</v>
      </c>
      <c r="S824">
        <v>46</v>
      </c>
      <c r="T824" s="13">
        <v>28</v>
      </c>
      <c r="U824" s="13">
        <v>75</v>
      </c>
      <c r="V824" t="s">
        <v>99</v>
      </c>
      <c r="X824" s="13">
        <v>175</v>
      </c>
    </row>
    <row r="825" spans="1:24" x14ac:dyDescent="0.25">
      <c r="A825" t="s">
        <v>937</v>
      </c>
      <c r="B825" t="s">
        <v>62</v>
      </c>
      <c r="C825" t="s">
        <v>862</v>
      </c>
      <c r="D825" t="s">
        <v>863</v>
      </c>
      <c r="E825" t="s">
        <v>62</v>
      </c>
      <c r="F825" t="s">
        <v>94</v>
      </c>
      <c r="G825" t="s">
        <v>277</v>
      </c>
      <c r="H825" s="12">
        <v>6.1702636999999996</v>
      </c>
      <c r="I825" s="12">
        <v>-75.589518400000003</v>
      </c>
      <c r="K825" t="s">
        <v>97</v>
      </c>
      <c r="M825">
        <v>11</v>
      </c>
      <c r="P825" s="13">
        <v>175</v>
      </c>
      <c r="Q825" s="13">
        <v>49</v>
      </c>
      <c r="R825">
        <v>30</v>
      </c>
      <c r="S825">
        <v>28</v>
      </c>
      <c r="T825" s="13">
        <v>33</v>
      </c>
      <c r="U825" s="13">
        <v>36</v>
      </c>
      <c r="V825" t="s">
        <v>99</v>
      </c>
      <c r="X825" s="13">
        <v>175</v>
      </c>
    </row>
    <row r="826" spans="1:24" x14ac:dyDescent="0.25">
      <c r="A826" t="s">
        <v>938</v>
      </c>
      <c r="B826" t="s">
        <v>62</v>
      </c>
      <c r="C826" t="s">
        <v>862</v>
      </c>
      <c r="D826" t="s">
        <v>863</v>
      </c>
      <c r="E826" t="s">
        <v>62</v>
      </c>
      <c r="F826" t="s">
        <v>94</v>
      </c>
      <c r="G826" t="s">
        <v>277</v>
      </c>
      <c r="H826" s="12">
        <v>6.1702636999999996</v>
      </c>
      <c r="I826" s="12">
        <v>-75.589518400000003</v>
      </c>
      <c r="K826" t="s">
        <v>97</v>
      </c>
      <c r="M826">
        <v>11</v>
      </c>
      <c r="P826" s="13">
        <v>173</v>
      </c>
      <c r="Q826" s="13">
        <v>54</v>
      </c>
      <c r="R826">
        <v>32</v>
      </c>
      <c r="S826">
        <v>24</v>
      </c>
      <c r="T826" s="13">
        <v>22</v>
      </c>
      <c r="U826" s="13">
        <v>55</v>
      </c>
      <c r="V826" t="s">
        <v>99</v>
      </c>
      <c r="X826" s="13">
        <v>173</v>
      </c>
    </row>
    <row r="827" spans="1:24" x14ac:dyDescent="0.25">
      <c r="A827" t="s">
        <v>939</v>
      </c>
      <c r="B827" t="s">
        <v>62</v>
      </c>
      <c r="C827" t="s">
        <v>862</v>
      </c>
      <c r="D827" t="s">
        <v>863</v>
      </c>
      <c r="E827" t="s">
        <v>62</v>
      </c>
      <c r="F827" t="s">
        <v>94</v>
      </c>
      <c r="G827" t="s">
        <v>277</v>
      </c>
      <c r="H827" s="12">
        <v>6.1702636999999996</v>
      </c>
      <c r="I827" s="12">
        <v>-75.589518400000003</v>
      </c>
      <c r="K827" t="s">
        <v>97</v>
      </c>
      <c r="M827">
        <v>11</v>
      </c>
      <c r="P827" s="13">
        <v>168</v>
      </c>
      <c r="Q827" s="13">
        <v>24</v>
      </c>
      <c r="R827">
        <v>30</v>
      </c>
      <c r="S827">
        <v>50</v>
      </c>
      <c r="T827" s="13">
        <v>29</v>
      </c>
      <c r="U827" s="13">
        <v>35</v>
      </c>
      <c r="V827" t="s">
        <v>99</v>
      </c>
      <c r="X827" s="13">
        <v>168</v>
      </c>
    </row>
    <row r="828" spans="1:24" x14ac:dyDescent="0.25">
      <c r="A828" t="s">
        <v>940</v>
      </c>
      <c r="B828" t="s">
        <v>62</v>
      </c>
      <c r="C828" t="s">
        <v>862</v>
      </c>
      <c r="D828" t="s">
        <v>863</v>
      </c>
      <c r="E828" t="s">
        <v>62</v>
      </c>
      <c r="F828" t="s">
        <v>94</v>
      </c>
      <c r="G828" t="s">
        <v>277</v>
      </c>
      <c r="H828" s="12">
        <v>6.1702636999999996</v>
      </c>
      <c r="I828" s="12">
        <v>-75.589518400000003</v>
      </c>
      <c r="K828" t="s">
        <v>97</v>
      </c>
      <c r="M828">
        <v>11</v>
      </c>
      <c r="P828" s="13">
        <v>163</v>
      </c>
      <c r="Q828" s="13">
        <v>54</v>
      </c>
      <c r="R828">
        <v>28</v>
      </c>
      <c r="S828">
        <v>14</v>
      </c>
      <c r="T828" s="13">
        <v>34</v>
      </c>
      <c r="U828" s="13">
        <v>33</v>
      </c>
      <c r="V828" t="s">
        <v>99</v>
      </c>
      <c r="X828" s="13">
        <v>163</v>
      </c>
    </row>
    <row r="829" spans="1:24" x14ac:dyDescent="0.25">
      <c r="A829" t="s">
        <v>941</v>
      </c>
      <c r="B829" t="s">
        <v>62</v>
      </c>
      <c r="C829" t="s">
        <v>862</v>
      </c>
      <c r="D829" t="s">
        <v>863</v>
      </c>
      <c r="E829" t="s">
        <v>62</v>
      </c>
      <c r="F829" t="s">
        <v>94</v>
      </c>
      <c r="G829" t="s">
        <v>277</v>
      </c>
      <c r="H829" s="12">
        <v>6.1702636999999996</v>
      </c>
      <c r="I829" s="12">
        <v>-75.589518400000003</v>
      </c>
      <c r="K829" t="s">
        <v>97</v>
      </c>
      <c r="M829">
        <v>11</v>
      </c>
      <c r="P829" s="13">
        <v>161</v>
      </c>
      <c r="Q829" s="13">
        <v>39</v>
      </c>
      <c r="R829">
        <v>22</v>
      </c>
      <c r="S829">
        <v>38</v>
      </c>
      <c r="T829" s="13">
        <v>29</v>
      </c>
      <c r="U829" s="13">
        <v>33</v>
      </c>
      <c r="V829" t="s">
        <v>99</v>
      </c>
      <c r="X829" s="13">
        <v>161</v>
      </c>
    </row>
    <row r="830" spans="1:24" x14ac:dyDescent="0.25">
      <c r="A830" t="s">
        <v>942</v>
      </c>
      <c r="B830" t="s">
        <v>62</v>
      </c>
      <c r="C830" t="s">
        <v>862</v>
      </c>
      <c r="D830" t="s">
        <v>863</v>
      </c>
      <c r="E830" t="s">
        <v>62</v>
      </c>
      <c r="F830" t="s">
        <v>94</v>
      </c>
      <c r="G830" t="s">
        <v>277</v>
      </c>
      <c r="H830" s="12">
        <v>6.1702636999999996</v>
      </c>
      <c r="I830" s="12">
        <v>-75.589518400000003</v>
      </c>
      <c r="K830" t="s">
        <v>97</v>
      </c>
      <c r="M830">
        <v>11</v>
      </c>
      <c r="P830" s="13">
        <v>160</v>
      </c>
      <c r="Q830" s="13">
        <v>46</v>
      </c>
      <c r="R830">
        <v>34</v>
      </c>
      <c r="S830">
        <v>20</v>
      </c>
      <c r="T830" s="13">
        <v>17</v>
      </c>
      <c r="U830" s="13">
        <v>64</v>
      </c>
      <c r="V830" t="s">
        <v>99</v>
      </c>
      <c r="X830" s="13">
        <v>160</v>
      </c>
    </row>
    <row r="831" spans="1:24" x14ac:dyDescent="0.25">
      <c r="A831" t="s">
        <v>943</v>
      </c>
      <c r="B831" t="s">
        <v>62</v>
      </c>
      <c r="C831" t="s">
        <v>862</v>
      </c>
      <c r="D831" t="s">
        <v>863</v>
      </c>
      <c r="E831" t="s">
        <v>62</v>
      </c>
      <c r="F831" t="s">
        <v>94</v>
      </c>
      <c r="G831" t="s">
        <v>277</v>
      </c>
      <c r="H831" s="12">
        <v>6.1702636999999996</v>
      </c>
      <c r="I831" s="12">
        <v>-75.589518400000003</v>
      </c>
      <c r="K831" t="s">
        <v>97</v>
      </c>
      <c r="M831">
        <v>11</v>
      </c>
      <c r="P831" s="13">
        <v>158</v>
      </c>
      <c r="Q831" s="13">
        <v>46</v>
      </c>
      <c r="R831">
        <v>28</v>
      </c>
      <c r="S831">
        <v>24</v>
      </c>
      <c r="T831" s="13">
        <v>26</v>
      </c>
      <c r="U831" s="13">
        <v>38</v>
      </c>
      <c r="V831" t="s">
        <v>99</v>
      </c>
      <c r="X831" s="13">
        <v>158</v>
      </c>
    </row>
    <row r="832" spans="1:24" x14ac:dyDescent="0.25">
      <c r="A832" t="s">
        <v>944</v>
      </c>
      <c r="B832" t="s">
        <v>62</v>
      </c>
      <c r="C832" t="s">
        <v>862</v>
      </c>
      <c r="D832" t="s">
        <v>863</v>
      </c>
      <c r="E832" t="s">
        <v>62</v>
      </c>
      <c r="F832" t="s">
        <v>94</v>
      </c>
      <c r="G832" t="s">
        <v>277</v>
      </c>
      <c r="H832" s="12">
        <v>6.1702636999999996</v>
      </c>
      <c r="I832" s="12">
        <v>-75.589518400000003</v>
      </c>
      <c r="K832" t="s">
        <v>97</v>
      </c>
      <c r="M832">
        <v>11</v>
      </c>
      <c r="P832" s="13">
        <v>157</v>
      </c>
      <c r="Q832" s="13">
        <v>29</v>
      </c>
      <c r="R832">
        <v>28</v>
      </c>
      <c r="S832">
        <v>42</v>
      </c>
      <c r="T832" s="13">
        <v>24</v>
      </c>
      <c r="U832" s="13">
        <v>38</v>
      </c>
      <c r="V832" t="s">
        <v>99</v>
      </c>
      <c r="X832" s="13">
        <v>157</v>
      </c>
    </row>
    <row r="833" spans="1:24" x14ac:dyDescent="0.25">
      <c r="A833" t="s">
        <v>945</v>
      </c>
      <c r="B833" t="s">
        <v>62</v>
      </c>
      <c r="C833" t="s">
        <v>862</v>
      </c>
      <c r="D833" t="s">
        <v>863</v>
      </c>
      <c r="E833" t="s">
        <v>62</v>
      </c>
      <c r="F833" t="s">
        <v>94</v>
      </c>
      <c r="G833" t="s">
        <v>277</v>
      </c>
      <c r="H833" s="12">
        <v>6.1702636999999996</v>
      </c>
      <c r="I833" s="12">
        <v>-75.589518400000003</v>
      </c>
      <c r="K833" t="s">
        <v>97</v>
      </c>
      <c r="M833">
        <v>11</v>
      </c>
      <c r="P833" s="13">
        <v>155</v>
      </c>
      <c r="Q833" s="13">
        <v>41</v>
      </c>
      <c r="R833">
        <v>32</v>
      </c>
      <c r="S833">
        <v>26</v>
      </c>
      <c r="T833" s="13">
        <v>22</v>
      </c>
      <c r="U833" s="13">
        <v>38</v>
      </c>
      <c r="V833" t="s">
        <v>99</v>
      </c>
      <c r="X833" s="13">
        <v>155</v>
      </c>
    </row>
    <row r="834" spans="1:24" x14ac:dyDescent="0.25">
      <c r="A834" t="s">
        <v>946</v>
      </c>
      <c r="B834" t="s">
        <v>62</v>
      </c>
      <c r="C834" t="s">
        <v>862</v>
      </c>
      <c r="D834" t="s">
        <v>863</v>
      </c>
      <c r="E834" t="s">
        <v>62</v>
      </c>
      <c r="F834" t="s">
        <v>94</v>
      </c>
      <c r="G834" t="s">
        <v>277</v>
      </c>
      <c r="H834" s="12">
        <v>6.1702636999999996</v>
      </c>
      <c r="I834" s="12">
        <v>-75.589518400000003</v>
      </c>
      <c r="K834" t="s">
        <v>97</v>
      </c>
      <c r="M834">
        <v>11</v>
      </c>
      <c r="P834" s="13">
        <v>154</v>
      </c>
      <c r="Q834" s="13">
        <v>41</v>
      </c>
      <c r="R834">
        <v>28</v>
      </c>
      <c r="S834">
        <v>20</v>
      </c>
      <c r="T834" s="13">
        <v>31</v>
      </c>
      <c r="U834" s="13">
        <v>40</v>
      </c>
      <c r="V834" t="s">
        <v>99</v>
      </c>
      <c r="X834" s="13">
        <v>154</v>
      </c>
    </row>
    <row r="835" spans="1:24" x14ac:dyDescent="0.25">
      <c r="A835" t="s">
        <v>947</v>
      </c>
      <c r="B835" t="s">
        <v>62</v>
      </c>
      <c r="C835" t="s">
        <v>862</v>
      </c>
      <c r="D835" t="s">
        <v>863</v>
      </c>
      <c r="E835" t="s">
        <v>62</v>
      </c>
      <c r="F835" t="s">
        <v>94</v>
      </c>
      <c r="G835" t="s">
        <v>277</v>
      </c>
      <c r="H835" s="12">
        <v>6.1702636999999996</v>
      </c>
      <c r="I835" s="12">
        <v>-75.589518400000003</v>
      </c>
      <c r="K835" t="s">
        <v>97</v>
      </c>
      <c r="M835">
        <v>11</v>
      </c>
      <c r="P835" s="13">
        <v>152</v>
      </c>
      <c r="Q835" s="13">
        <v>32</v>
      </c>
      <c r="R835">
        <v>24</v>
      </c>
      <c r="S835">
        <v>30</v>
      </c>
      <c r="T835" s="13">
        <v>29</v>
      </c>
      <c r="U835" s="13">
        <v>49</v>
      </c>
      <c r="V835" t="s">
        <v>99</v>
      </c>
      <c r="X835" s="13">
        <v>152</v>
      </c>
    </row>
    <row r="836" spans="1:24" x14ac:dyDescent="0.25">
      <c r="A836" t="s">
        <v>948</v>
      </c>
      <c r="B836" t="s">
        <v>62</v>
      </c>
      <c r="C836" t="s">
        <v>862</v>
      </c>
      <c r="D836" t="s">
        <v>863</v>
      </c>
      <c r="E836" t="s">
        <v>62</v>
      </c>
      <c r="F836" t="s">
        <v>94</v>
      </c>
      <c r="G836" t="s">
        <v>277</v>
      </c>
      <c r="H836" s="12">
        <v>6.1702636999999996</v>
      </c>
      <c r="I836" s="12">
        <v>-75.589518400000003</v>
      </c>
      <c r="K836" t="s">
        <v>97</v>
      </c>
      <c r="M836">
        <v>11</v>
      </c>
      <c r="P836" s="13">
        <v>150</v>
      </c>
      <c r="Q836" s="13">
        <v>32</v>
      </c>
      <c r="R836">
        <v>28</v>
      </c>
      <c r="S836">
        <v>26</v>
      </c>
      <c r="T836" s="13">
        <v>31</v>
      </c>
      <c r="U836" s="13">
        <v>40</v>
      </c>
      <c r="V836" t="s">
        <v>99</v>
      </c>
      <c r="X836" s="13">
        <v>150</v>
      </c>
    </row>
    <row r="837" spans="1:24" x14ac:dyDescent="0.25">
      <c r="A837" t="s">
        <v>949</v>
      </c>
      <c r="B837" t="s">
        <v>62</v>
      </c>
      <c r="C837" t="s">
        <v>862</v>
      </c>
      <c r="D837" t="s">
        <v>863</v>
      </c>
      <c r="E837" t="s">
        <v>62</v>
      </c>
      <c r="F837" t="s">
        <v>94</v>
      </c>
      <c r="G837" t="s">
        <v>277</v>
      </c>
      <c r="H837" s="12">
        <v>6.1702636999999996</v>
      </c>
      <c r="I837" s="12">
        <v>-75.589518400000003</v>
      </c>
      <c r="K837" t="s">
        <v>97</v>
      </c>
      <c r="M837">
        <v>11</v>
      </c>
      <c r="P837" s="13">
        <v>138</v>
      </c>
      <c r="Q837" s="13">
        <v>17</v>
      </c>
      <c r="R837">
        <v>28</v>
      </c>
      <c r="S837">
        <v>26</v>
      </c>
      <c r="T837" s="13">
        <v>36</v>
      </c>
      <c r="U837" s="13">
        <v>38</v>
      </c>
      <c r="V837" t="s">
        <v>99</v>
      </c>
      <c r="X837" s="13">
        <v>138</v>
      </c>
    </row>
    <row r="838" spans="1:24" x14ac:dyDescent="0.25">
      <c r="A838" t="s">
        <v>950</v>
      </c>
      <c r="B838" t="s">
        <v>62</v>
      </c>
      <c r="C838" t="s">
        <v>862</v>
      </c>
      <c r="D838" t="s">
        <v>863</v>
      </c>
      <c r="E838" t="s">
        <v>62</v>
      </c>
      <c r="F838" t="s">
        <v>94</v>
      </c>
      <c r="G838" t="s">
        <v>277</v>
      </c>
      <c r="H838" s="12">
        <v>6.1702636999999996</v>
      </c>
      <c r="I838" s="12">
        <v>-75.589518400000003</v>
      </c>
      <c r="K838" t="s">
        <v>97</v>
      </c>
      <c r="M838">
        <v>11</v>
      </c>
      <c r="P838" s="13">
        <v>137</v>
      </c>
      <c r="Q838" s="13">
        <v>27</v>
      </c>
      <c r="R838">
        <v>32</v>
      </c>
      <c r="S838">
        <v>24</v>
      </c>
      <c r="T838" s="13">
        <v>24</v>
      </c>
      <c r="U838" s="13">
        <v>36</v>
      </c>
      <c r="V838" t="s">
        <v>99</v>
      </c>
      <c r="X838" s="13">
        <v>137</v>
      </c>
    </row>
    <row r="839" spans="1:24" x14ac:dyDescent="0.25">
      <c r="A839" t="s">
        <v>951</v>
      </c>
      <c r="B839" t="s">
        <v>62</v>
      </c>
      <c r="C839" t="s">
        <v>862</v>
      </c>
      <c r="D839" t="s">
        <v>863</v>
      </c>
      <c r="E839" t="s">
        <v>62</v>
      </c>
      <c r="F839" t="s">
        <v>94</v>
      </c>
      <c r="G839" t="s">
        <v>277</v>
      </c>
      <c r="H839" s="12">
        <v>6.1702636999999996</v>
      </c>
      <c r="I839" s="12">
        <v>-75.589518400000003</v>
      </c>
      <c r="K839" t="s">
        <v>97</v>
      </c>
      <c r="M839">
        <v>11</v>
      </c>
      <c r="P839" s="13">
        <v>136</v>
      </c>
      <c r="Q839" s="13">
        <v>27</v>
      </c>
      <c r="R839">
        <v>28</v>
      </c>
      <c r="S839">
        <v>20</v>
      </c>
      <c r="T839" s="13">
        <v>28</v>
      </c>
      <c r="U839" s="13">
        <v>45</v>
      </c>
      <c r="V839" t="s">
        <v>99</v>
      </c>
      <c r="X839" s="13">
        <v>136</v>
      </c>
    </row>
    <row r="840" spans="1:24" x14ac:dyDescent="0.25">
      <c r="A840" t="s">
        <v>952</v>
      </c>
      <c r="B840" t="s">
        <v>62</v>
      </c>
      <c r="C840" t="s">
        <v>862</v>
      </c>
      <c r="D840" t="s">
        <v>863</v>
      </c>
      <c r="E840" t="s">
        <v>62</v>
      </c>
      <c r="F840" t="s">
        <v>94</v>
      </c>
      <c r="G840" t="s">
        <v>277</v>
      </c>
      <c r="H840" s="12">
        <v>6.1702636999999996</v>
      </c>
      <c r="I840" s="12">
        <v>-75.589518400000003</v>
      </c>
      <c r="K840" t="s">
        <v>97</v>
      </c>
      <c r="M840">
        <v>11</v>
      </c>
      <c r="P840" s="13">
        <v>134</v>
      </c>
      <c r="Q840" s="13">
        <v>34</v>
      </c>
      <c r="R840">
        <v>18</v>
      </c>
      <c r="S840">
        <v>18</v>
      </c>
      <c r="T840" s="13">
        <v>31</v>
      </c>
      <c r="U840" s="13">
        <v>44</v>
      </c>
      <c r="V840" t="s">
        <v>99</v>
      </c>
      <c r="X840" s="13">
        <v>134</v>
      </c>
    </row>
    <row r="841" spans="1:24" x14ac:dyDescent="0.25">
      <c r="A841" t="s">
        <v>953</v>
      </c>
      <c r="B841" t="s">
        <v>62</v>
      </c>
      <c r="C841" t="s">
        <v>862</v>
      </c>
      <c r="D841" t="s">
        <v>863</v>
      </c>
      <c r="E841" t="s">
        <v>62</v>
      </c>
      <c r="F841" t="s">
        <v>94</v>
      </c>
      <c r="G841" t="s">
        <v>277</v>
      </c>
      <c r="H841" s="12">
        <v>6.1702636999999996</v>
      </c>
      <c r="I841" s="12">
        <v>-75.589518400000003</v>
      </c>
      <c r="K841" t="s">
        <v>97</v>
      </c>
      <c r="M841">
        <v>11</v>
      </c>
      <c r="P841" s="13">
        <v>133</v>
      </c>
      <c r="Q841" s="13">
        <v>24</v>
      </c>
      <c r="R841">
        <v>30</v>
      </c>
      <c r="S841">
        <v>26</v>
      </c>
      <c r="T841" s="13">
        <v>22</v>
      </c>
      <c r="U841" s="13">
        <v>38</v>
      </c>
      <c r="V841" t="s">
        <v>99</v>
      </c>
      <c r="X841" s="13">
        <v>133</v>
      </c>
    </row>
    <row r="842" spans="1:24" x14ac:dyDescent="0.25">
      <c r="A842" t="s">
        <v>954</v>
      </c>
      <c r="B842" t="s">
        <v>62</v>
      </c>
      <c r="C842" t="s">
        <v>862</v>
      </c>
      <c r="D842" t="s">
        <v>863</v>
      </c>
      <c r="E842" t="s">
        <v>62</v>
      </c>
      <c r="F842" t="s">
        <v>94</v>
      </c>
      <c r="G842" t="s">
        <v>277</v>
      </c>
      <c r="H842" s="12">
        <v>6.1702636999999996</v>
      </c>
      <c r="I842" s="12">
        <v>-75.589518400000003</v>
      </c>
      <c r="K842" t="s">
        <v>97</v>
      </c>
      <c r="M842">
        <v>11</v>
      </c>
      <c r="P842" s="13">
        <v>128</v>
      </c>
      <c r="Q842" s="13">
        <v>24</v>
      </c>
      <c r="R842">
        <v>28</v>
      </c>
      <c r="S842">
        <v>22</v>
      </c>
      <c r="T842" s="13">
        <v>22</v>
      </c>
      <c r="U842" s="13">
        <v>42</v>
      </c>
      <c r="V842" t="s">
        <v>99</v>
      </c>
      <c r="X842" s="13">
        <v>128</v>
      </c>
    </row>
    <row r="843" spans="1:24" x14ac:dyDescent="0.25">
      <c r="A843" t="s">
        <v>955</v>
      </c>
      <c r="B843" t="s">
        <v>62</v>
      </c>
      <c r="C843" t="s">
        <v>862</v>
      </c>
      <c r="D843" t="s">
        <v>863</v>
      </c>
      <c r="E843" t="s">
        <v>62</v>
      </c>
      <c r="F843" t="s">
        <v>94</v>
      </c>
      <c r="G843" t="s">
        <v>277</v>
      </c>
      <c r="H843" s="12">
        <v>6.1702636999999996</v>
      </c>
      <c r="I843" s="12">
        <v>-75.589518400000003</v>
      </c>
      <c r="K843" t="s">
        <v>97</v>
      </c>
      <c r="M843">
        <v>11</v>
      </c>
      <c r="P843" s="13">
        <v>126</v>
      </c>
      <c r="Q843" s="13">
        <v>17</v>
      </c>
      <c r="R843">
        <v>28</v>
      </c>
      <c r="S843">
        <v>26</v>
      </c>
      <c r="T843" s="13">
        <v>28</v>
      </c>
      <c r="U843" s="13">
        <v>31</v>
      </c>
      <c r="V843" t="s">
        <v>99</v>
      </c>
      <c r="X843" s="13">
        <v>126</v>
      </c>
    </row>
    <row r="844" spans="1:24" x14ac:dyDescent="0.25">
      <c r="A844" t="s">
        <v>956</v>
      </c>
      <c r="B844" t="s">
        <v>62</v>
      </c>
      <c r="C844" t="s">
        <v>862</v>
      </c>
      <c r="D844" t="s">
        <v>863</v>
      </c>
      <c r="E844" t="s">
        <v>62</v>
      </c>
      <c r="F844" t="s">
        <v>94</v>
      </c>
      <c r="G844" t="s">
        <v>277</v>
      </c>
      <c r="H844" s="12">
        <v>6.1702636999999996</v>
      </c>
      <c r="I844" s="12">
        <v>-75.589518400000003</v>
      </c>
      <c r="K844" t="s">
        <v>97</v>
      </c>
      <c r="M844">
        <v>11</v>
      </c>
      <c r="P844" s="13">
        <v>122</v>
      </c>
      <c r="Q844" s="13">
        <v>51</v>
      </c>
      <c r="R844">
        <v>14</v>
      </c>
      <c r="S844">
        <v>20</v>
      </c>
      <c r="T844" s="13">
        <v>21</v>
      </c>
      <c r="U844" s="13">
        <v>0</v>
      </c>
      <c r="V844" t="s">
        <v>99</v>
      </c>
      <c r="X844" s="13">
        <v>122</v>
      </c>
    </row>
    <row r="845" spans="1:24" x14ac:dyDescent="0.25">
      <c r="A845" t="s">
        <v>957</v>
      </c>
      <c r="B845" t="s">
        <v>62</v>
      </c>
      <c r="C845" t="s">
        <v>862</v>
      </c>
      <c r="D845" t="s">
        <v>863</v>
      </c>
      <c r="E845" t="s">
        <v>62</v>
      </c>
      <c r="F845" t="s">
        <v>94</v>
      </c>
      <c r="G845" t="s">
        <v>277</v>
      </c>
      <c r="H845" s="12">
        <v>6.1702636999999996</v>
      </c>
      <c r="I845" s="12">
        <v>-75.589518400000003</v>
      </c>
      <c r="K845" t="s">
        <v>97</v>
      </c>
      <c r="M845">
        <v>11</v>
      </c>
      <c r="P845" s="13">
        <v>118</v>
      </c>
      <c r="Q845" s="13">
        <v>17</v>
      </c>
      <c r="R845">
        <v>26</v>
      </c>
      <c r="S845">
        <v>24</v>
      </c>
      <c r="T845" s="13">
        <v>24</v>
      </c>
      <c r="U845" s="13">
        <v>33</v>
      </c>
      <c r="V845" t="s">
        <v>99</v>
      </c>
      <c r="X845" s="13">
        <v>118</v>
      </c>
    </row>
    <row r="846" spans="1:24" x14ac:dyDescent="0.25">
      <c r="A846" t="s">
        <v>958</v>
      </c>
      <c r="B846" t="s">
        <v>62</v>
      </c>
      <c r="C846" t="s">
        <v>862</v>
      </c>
      <c r="D846" t="s">
        <v>863</v>
      </c>
      <c r="E846" t="s">
        <v>62</v>
      </c>
      <c r="F846" t="s">
        <v>94</v>
      </c>
      <c r="G846" t="s">
        <v>277</v>
      </c>
      <c r="H846" s="12">
        <v>6.1702636999999996</v>
      </c>
      <c r="I846" s="12">
        <v>-75.589518400000003</v>
      </c>
      <c r="K846" t="s">
        <v>97</v>
      </c>
      <c r="M846">
        <v>11</v>
      </c>
      <c r="P846" s="13">
        <v>117</v>
      </c>
      <c r="Q846" s="13">
        <v>15</v>
      </c>
      <c r="R846">
        <v>20</v>
      </c>
      <c r="S846">
        <v>26</v>
      </c>
      <c r="T846" s="13">
        <v>29</v>
      </c>
      <c r="U846" s="13">
        <v>35</v>
      </c>
      <c r="V846" t="s">
        <v>99</v>
      </c>
      <c r="X846" s="13">
        <v>117</v>
      </c>
    </row>
    <row r="847" spans="1:24" x14ac:dyDescent="0.25">
      <c r="A847" t="s">
        <v>959</v>
      </c>
      <c r="B847" t="s">
        <v>62</v>
      </c>
      <c r="C847" t="s">
        <v>862</v>
      </c>
      <c r="D847" t="s">
        <v>863</v>
      </c>
      <c r="E847" t="s">
        <v>62</v>
      </c>
      <c r="F847" t="s">
        <v>94</v>
      </c>
      <c r="G847" t="s">
        <v>277</v>
      </c>
      <c r="H847" s="12">
        <v>6.1702636999999996</v>
      </c>
      <c r="I847" s="12">
        <v>-75.589518400000003</v>
      </c>
      <c r="K847" t="s">
        <v>97</v>
      </c>
      <c r="M847">
        <v>11</v>
      </c>
      <c r="P847" s="13">
        <v>115</v>
      </c>
      <c r="Q847" s="13">
        <v>37</v>
      </c>
      <c r="R847">
        <v>18</v>
      </c>
      <c r="S847">
        <v>14</v>
      </c>
      <c r="T847" s="13">
        <v>31</v>
      </c>
      <c r="U847" s="13">
        <v>0</v>
      </c>
      <c r="V847" t="s">
        <v>99</v>
      </c>
      <c r="X847" s="13">
        <v>115</v>
      </c>
    </row>
    <row r="848" spans="1:24" x14ac:dyDescent="0.25">
      <c r="A848" t="s">
        <v>960</v>
      </c>
      <c r="B848" t="s">
        <v>62</v>
      </c>
      <c r="C848" t="s">
        <v>862</v>
      </c>
      <c r="D848" t="s">
        <v>863</v>
      </c>
      <c r="E848" t="s">
        <v>62</v>
      </c>
      <c r="F848" t="s">
        <v>94</v>
      </c>
      <c r="G848" t="s">
        <v>277</v>
      </c>
      <c r="H848" s="12">
        <v>6.1702636999999996</v>
      </c>
      <c r="I848" s="12">
        <v>-75.589518400000003</v>
      </c>
      <c r="K848" t="s">
        <v>97</v>
      </c>
      <c r="M848">
        <v>11</v>
      </c>
      <c r="P848" s="13">
        <v>84</v>
      </c>
      <c r="Q848" s="13">
        <v>0</v>
      </c>
      <c r="R848">
        <v>16</v>
      </c>
      <c r="S848">
        <v>20</v>
      </c>
      <c r="T848" s="13">
        <v>12</v>
      </c>
      <c r="U848" s="13">
        <v>75</v>
      </c>
      <c r="V848" t="s">
        <v>99</v>
      </c>
      <c r="X848" s="13">
        <v>84</v>
      </c>
    </row>
    <row r="849" spans="1:24" x14ac:dyDescent="0.25">
      <c r="A849" t="s">
        <v>961</v>
      </c>
      <c r="B849" t="s">
        <v>62</v>
      </c>
      <c r="C849" t="s">
        <v>962</v>
      </c>
      <c r="D849" t="s">
        <v>963</v>
      </c>
      <c r="E849" t="s">
        <v>62</v>
      </c>
      <c r="F849" t="s">
        <v>94</v>
      </c>
      <c r="G849" t="s">
        <v>277</v>
      </c>
      <c r="H849" s="12">
        <v>6.1869357999999997</v>
      </c>
      <c r="I849" s="12">
        <v>-75.489992200000003</v>
      </c>
      <c r="K849" t="s">
        <v>97</v>
      </c>
      <c r="M849">
        <v>11</v>
      </c>
      <c r="P849" s="13">
        <v>326</v>
      </c>
      <c r="Q849" s="13">
        <v>71</v>
      </c>
      <c r="R849">
        <v>56</v>
      </c>
      <c r="S849">
        <v>78</v>
      </c>
      <c r="T849" s="13">
        <v>55</v>
      </c>
      <c r="U849" s="13">
        <v>67</v>
      </c>
      <c r="V849" t="s">
        <v>99</v>
      </c>
      <c r="X849" s="13">
        <v>326</v>
      </c>
    </row>
    <row r="850" spans="1:24" x14ac:dyDescent="0.25">
      <c r="A850" t="s">
        <v>964</v>
      </c>
      <c r="B850" t="s">
        <v>62</v>
      </c>
      <c r="C850" t="s">
        <v>962</v>
      </c>
      <c r="D850" t="s">
        <v>963</v>
      </c>
      <c r="E850" t="s">
        <v>62</v>
      </c>
      <c r="F850" t="s">
        <v>94</v>
      </c>
      <c r="G850" t="s">
        <v>277</v>
      </c>
      <c r="H850" s="12">
        <v>6.1869357999999997</v>
      </c>
      <c r="I850" s="12">
        <v>-75.489992200000003</v>
      </c>
      <c r="K850" t="s">
        <v>97</v>
      </c>
      <c r="M850">
        <v>11</v>
      </c>
      <c r="P850" s="13">
        <v>305</v>
      </c>
      <c r="Q850" s="13">
        <v>66</v>
      </c>
      <c r="R850">
        <v>50</v>
      </c>
      <c r="S850">
        <v>68</v>
      </c>
      <c r="T850" s="13">
        <v>59</v>
      </c>
      <c r="U850" s="13">
        <v>65</v>
      </c>
      <c r="V850" t="s">
        <v>99</v>
      </c>
      <c r="X850" s="13">
        <v>305</v>
      </c>
    </row>
    <row r="851" spans="1:24" x14ac:dyDescent="0.25">
      <c r="A851" t="s">
        <v>965</v>
      </c>
      <c r="B851" t="s">
        <v>62</v>
      </c>
      <c r="C851" t="s">
        <v>962</v>
      </c>
      <c r="D851" t="s">
        <v>963</v>
      </c>
      <c r="E851" t="s">
        <v>62</v>
      </c>
      <c r="F851" t="s">
        <v>94</v>
      </c>
      <c r="G851" t="s">
        <v>277</v>
      </c>
      <c r="H851" s="12">
        <v>6.1869357999999997</v>
      </c>
      <c r="I851" s="12">
        <v>-75.489992200000003</v>
      </c>
      <c r="K851" t="s">
        <v>97</v>
      </c>
      <c r="M851">
        <v>11</v>
      </c>
      <c r="P851" s="13">
        <v>300</v>
      </c>
      <c r="Q851" s="13">
        <v>73</v>
      </c>
      <c r="R851">
        <v>40</v>
      </c>
      <c r="S851">
        <v>58</v>
      </c>
      <c r="T851" s="13">
        <v>62</v>
      </c>
      <c r="U851" s="13">
        <v>80</v>
      </c>
      <c r="V851" t="s">
        <v>99</v>
      </c>
      <c r="X851" s="13">
        <v>300</v>
      </c>
    </row>
    <row r="852" spans="1:24" x14ac:dyDescent="0.25">
      <c r="A852" t="s">
        <v>966</v>
      </c>
      <c r="B852" t="s">
        <v>62</v>
      </c>
      <c r="C852" t="s">
        <v>962</v>
      </c>
      <c r="D852" t="s">
        <v>963</v>
      </c>
      <c r="E852" t="s">
        <v>62</v>
      </c>
      <c r="F852" t="s">
        <v>94</v>
      </c>
      <c r="G852" t="s">
        <v>277</v>
      </c>
      <c r="H852" s="12">
        <v>6.1869357999999997</v>
      </c>
      <c r="I852" s="12">
        <v>-75.489992200000003</v>
      </c>
      <c r="K852" t="s">
        <v>97</v>
      </c>
      <c r="M852">
        <v>11</v>
      </c>
      <c r="P852" s="13">
        <v>297</v>
      </c>
      <c r="Q852" s="13">
        <v>61</v>
      </c>
      <c r="R852">
        <v>44</v>
      </c>
      <c r="S852">
        <v>86</v>
      </c>
      <c r="T852" s="13">
        <v>41</v>
      </c>
      <c r="U852" s="13">
        <v>75</v>
      </c>
      <c r="V852" t="s">
        <v>99</v>
      </c>
      <c r="X852" s="13">
        <v>297</v>
      </c>
    </row>
    <row r="853" spans="1:24" x14ac:dyDescent="0.25">
      <c r="A853" t="s">
        <v>967</v>
      </c>
      <c r="B853" t="s">
        <v>62</v>
      </c>
      <c r="C853" t="s">
        <v>962</v>
      </c>
      <c r="D853" t="s">
        <v>963</v>
      </c>
      <c r="E853" t="s">
        <v>62</v>
      </c>
      <c r="F853" t="s">
        <v>94</v>
      </c>
      <c r="G853" t="s">
        <v>277</v>
      </c>
      <c r="H853" s="12">
        <v>6.1869357999999997</v>
      </c>
      <c r="I853" s="12">
        <v>-75.489992200000003</v>
      </c>
      <c r="K853" t="s">
        <v>97</v>
      </c>
      <c r="M853">
        <v>11</v>
      </c>
      <c r="P853" s="13">
        <v>293</v>
      </c>
      <c r="Q853" s="13">
        <v>68</v>
      </c>
      <c r="R853">
        <v>42</v>
      </c>
      <c r="S853">
        <v>74</v>
      </c>
      <c r="T853" s="13">
        <v>52</v>
      </c>
      <c r="U853" s="13">
        <v>55</v>
      </c>
      <c r="V853" t="s">
        <v>99</v>
      </c>
      <c r="X853" s="13">
        <v>293</v>
      </c>
    </row>
    <row r="854" spans="1:24" x14ac:dyDescent="0.25">
      <c r="A854" t="s">
        <v>968</v>
      </c>
      <c r="B854" t="s">
        <v>62</v>
      </c>
      <c r="C854" t="s">
        <v>962</v>
      </c>
      <c r="D854" t="s">
        <v>963</v>
      </c>
      <c r="E854" t="s">
        <v>62</v>
      </c>
      <c r="F854" t="s">
        <v>94</v>
      </c>
      <c r="G854" t="s">
        <v>277</v>
      </c>
      <c r="H854" s="12">
        <v>6.1869357999999997</v>
      </c>
      <c r="I854" s="12">
        <v>-75.489992200000003</v>
      </c>
      <c r="K854" t="s">
        <v>97</v>
      </c>
      <c r="M854">
        <v>11</v>
      </c>
      <c r="P854" s="13">
        <v>291</v>
      </c>
      <c r="Q854" s="13">
        <v>76</v>
      </c>
      <c r="R854">
        <v>30</v>
      </c>
      <c r="S854">
        <v>70</v>
      </c>
      <c r="T854" s="13">
        <v>59</v>
      </c>
      <c r="U854" s="13">
        <v>55</v>
      </c>
      <c r="V854" t="s">
        <v>99</v>
      </c>
      <c r="X854" s="13">
        <v>291</v>
      </c>
    </row>
    <row r="855" spans="1:24" x14ac:dyDescent="0.25">
      <c r="A855" t="s">
        <v>969</v>
      </c>
      <c r="B855" t="s">
        <v>62</v>
      </c>
      <c r="C855" t="s">
        <v>962</v>
      </c>
      <c r="D855" t="s">
        <v>963</v>
      </c>
      <c r="E855" t="s">
        <v>62</v>
      </c>
      <c r="F855" t="s">
        <v>94</v>
      </c>
      <c r="G855" t="s">
        <v>277</v>
      </c>
      <c r="H855" s="12">
        <v>6.1869357999999997</v>
      </c>
      <c r="I855" s="12">
        <v>-75.489992200000003</v>
      </c>
      <c r="K855" t="s">
        <v>97</v>
      </c>
      <c r="M855">
        <v>11</v>
      </c>
      <c r="P855" s="13">
        <v>280</v>
      </c>
      <c r="Q855" s="13">
        <v>78</v>
      </c>
      <c r="R855">
        <v>24</v>
      </c>
      <c r="S855">
        <v>70</v>
      </c>
      <c r="T855" s="13">
        <v>57</v>
      </c>
      <c r="U855" s="13">
        <v>40</v>
      </c>
      <c r="V855" t="s">
        <v>99</v>
      </c>
      <c r="X855" s="13">
        <v>280</v>
      </c>
    </row>
    <row r="856" spans="1:24" x14ac:dyDescent="0.25">
      <c r="A856" t="s">
        <v>970</v>
      </c>
      <c r="B856" t="s">
        <v>62</v>
      </c>
      <c r="C856" t="s">
        <v>962</v>
      </c>
      <c r="D856" t="s">
        <v>963</v>
      </c>
      <c r="E856" t="s">
        <v>62</v>
      </c>
      <c r="F856" t="s">
        <v>94</v>
      </c>
      <c r="G856" t="s">
        <v>277</v>
      </c>
      <c r="H856" s="12">
        <v>6.1869357999999997</v>
      </c>
      <c r="I856" s="12">
        <v>-75.489992200000003</v>
      </c>
      <c r="K856" t="s">
        <v>97</v>
      </c>
      <c r="M856">
        <v>11</v>
      </c>
      <c r="P856" s="13">
        <v>273</v>
      </c>
      <c r="Q856" s="13">
        <v>61</v>
      </c>
      <c r="R856">
        <v>42</v>
      </c>
      <c r="S856">
        <v>62</v>
      </c>
      <c r="T856" s="13">
        <v>57</v>
      </c>
      <c r="U856" s="13">
        <v>45</v>
      </c>
      <c r="V856" t="s">
        <v>99</v>
      </c>
      <c r="X856" s="13">
        <v>273</v>
      </c>
    </row>
    <row r="857" spans="1:24" x14ac:dyDescent="0.25">
      <c r="A857" t="s">
        <v>971</v>
      </c>
      <c r="B857" t="s">
        <v>62</v>
      </c>
      <c r="C857" t="s">
        <v>962</v>
      </c>
      <c r="D857" t="s">
        <v>963</v>
      </c>
      <c r="E857" t="s">
        <v>62</v>
      </c>
      <c r="F857" t="s">
        <v>94</v>
      </c>
      <c r="G857" t="s">
        <v>277</v>
      </c>
      <c r="H857" s="12">
        <v>6.1869357999999997</v>
      </c>
      <c r="I857" s="12">
        <v>-75.489992200000003</v>
      </c>
      <c r="K857" t="s">
        <v>97</v>
      </c>
      <c r="M857">
        <v>11</v>
      </c>
      <c r="P857" s="13">
        <v>269</v>
      </c>
      <c r="Q857" s="13">
        <v>76</v>
      </c>
      <c r="R857">
        <v>34</v>
      </c>
      <c r="S857">
        <v>62</v>
      </c>
      <c r="T857" s="13">
        <v>41</v>
      </c>
      <c r="U857" s="13">
        <v>60</v>
      </c>
      <c r="V857" t="s">
        <v>99</v>
      </c>
      <c r="X857" s="13">
        <v>269</v>
      </c>
    </row>
    <row r="858" spans="1:24" x14ac:dyDescent="0.25">
      <c r="A858" t="s">
        <v>972</v>
      </c>
      <c r="B858" t="s">
        <v>62</v>
      </c>
      <c r="C858" t="s">
        <v>962</v>
      </c>
      <c r="D858" t="s">
        <v>963</v>
      </c>
      <c r="E858" t="s">
        <v>62</v>
      </c>
      <c r="F858" t="s">
        <v>94</v>
      </c>
      <c r="G858" t="s">
        <v>277</v>
      </c>
      <c r="H858" s="12">
        <v>6.1869357999999997</v>
      </c>
      <c r="I858" s="12">
        <v>-75.489992200000003</v>
      </c>
      <c r="K858" t="s">
        <v>97</v>
      </c>
      <c r="M858">
        <v>11</v>
      </c>
      <c r="P858" s="13">
        <v>247</v>
      </c>
      <c r="Q858" s="13">
        <v>54</v>
      </c>
      <c r="R858">
        <v>28</v>
      </c>
      <c r="S858">
        <v>62</v>
      </c>
      <c r="T858" s="13">
        <v>50</v>
      </c>
      <c r="U858" s="13">
        <v>60</v>
      </c>
      <c r="V858" t="s">
        <v>99</v>
      </c>
      <c r="X858" s="13">
        <v>247</v>
      </c>
    </row>
    <row r="859" spans="1:24" x14ac:dyDescent="0.25">
      <c r="A859" t="s">
        <v>973</v>
      </c>
      <c r="B859" t="s">
        <v>62</v>
      </c>
      <c r="C859" t="s">
        <v>962</v>
      </c>
      <c r="D859" t="s">
        <v>963</v>
      </c>
      <c r="E859" t="s">
        <v>62</v>
      </c>
      <c r="F859" t="s">
        <v>94</v>
      </c>
      <c r="G859" t="s">
        <v>277</v>
      </c>
      <c r="H859" s="12">
        <v>6.1869357999999997</v>
      </c>
      <c r="I859" s="12">
        <v>-75.489992200000003</v>
      </c>
      <c r="K859" t="s">
        <v>97</v>
      </c>
      <c r="M859">
        <v>11</v>
      </c>
      <c r="P859" s="13">
        <v>236</v>
      </c>
      <c r="Q859" s="13">
        <v>54</v>
      </c>
      <c r="R859">
        <v>30</v>
      </c>
      <c r="S859">
        <v>62</v>
      </c>
      <c r="T859" s="13">
        <v>41</v>
      </c>
      <c r="U859" s="13">
        <v>53</v>
      </c>
      <c r="V859" t="s">
        <v>99</v>
      </c>
      <c r="X859" s="13">
        <v>236</v>
      </c>
    </row>
    <row r="860" spans="1:24" x14ac:dyDescent="0.25">
      <c r="A860" t="s">
        <v>974</v>
      </c>
      <c r="B860" t="s">
        <v>62</v>
      </c>
      <c r="C860" t="s">
        <v>962</v>
      </c>
      <c r="D860" t="s">
        <v>963</v>
      </c>
      <c r="E860" t="s">
        <v>62</v>
      </c>
      <c r="F860" t="s">
        <v>94</v>
      </c>
      <c r="G860" t="s">
        <v>277</v>
      </c>
      <c r="H860" s="12">
        <v>6.1869357999999997</v>
      </c>
      <c r="I860" s="12">
        <v>-75.489992200000003</v>
      </c>
      <c r="K860" t="s">
        <v>97</v>
      </c>
      <c r="M860">
        <v>11</v>
      </c>
      <c r="P860" s="13">
        <v>226</v>
      </c>
      <c r="Q860" s="13">
        <v>51</v>
      </c>
      <c r="R860">
        <v>48</v>
      </c>
      <c r="S860">
        <v>30</v>
      </c>
      <c r="T860" s="13">
        <v>50</v>
      </c>
      <c r="U860" s="13">
        <v>49</v>
      </c>
      <c r="V860" t="s">
        <v>99</v>
      </c>
      <c r="X860" s="13">
        <v>226</v>
      </c>
    </row>
    <row r="861" spans="1:24" x14ac:dyDescent="0.25">
      <c r="A861" t="s">
        <v>975</v>
      </c>
      <c r="B861" t="s">
        <v>62</v>
      </c>
      <c r="C861" t="s">
        <v>962</v>
      </c>
      <c r="D861" t="s">
        <v>963</v>
      </c>
      <c r="E861" t="s">
        <v>62</v>
      </c>
      <c r="F861" t="s">
        <v>94</v>
      </c>
      <c r="G861" t="s">
        <v>277</v>
      </c>
      <c r="H861" s="12">
        <v>6.1869357999999997</v>
      </c>
      <c r="I861" s="12">
        <v>-75.489992200000003</v>
      </c>
      <c r="K861" t="s">
        <v>97</v>
      </c>
      <c r="M861">
        <v>11</v>
      </c>
      <c r="P861" s="13">
        <v>218</v>
      </c>
      <c r="Q861" s="13">
        <v>56</v>
      </c>
      <c r="R861">
        <v>30</v>
      </c>
      <c r="S861">
        <v>44</v>
      </c>
      <c r="T861" s="13">
        <v>50</v>
      </c>
      <c r="U861" s="13">
        <v>25</v>
      </c>
      <c r="V861" t="s">
        <v>99</v>
      </c>
      <c r="X861" s="13">
        <v>218</v>
      </c>
    </row>
    <row r="862" spans="1:24" x14ac:dyDescent="0.25">
      <c r="A862" t="s">
        <v>976</v>
      </c>
      <c r="B862" t="s">
        <v>62</v>
      </c>
      <c r="C862" t="s">
        <v>962</v>
      </c>
      <c r="D862" t="s">
        <v>963</v>
      </c>
      <c r="E862" t="s">
        <v>62</v>
      </c>
      <c r="F862" t="s">
        <v>94</v>
      </c>
      <c r="G862" t="s">
        <v>277</v>
      </c>
      <c r="H862" s="12">
        <v>6.1869357999999997</v>
      </c>
      <c r="I862" s="12">
        <v>-75.489992200000003</v>
      </c>
      <c r="K862" t="s">
        <v>97</v>
      </c>
      <c r="M862">
        <v>11</v>
      </c>
      <c r="P862" s="13">
        <v>206</v>
      </c>
      <c r="Q862" s="13">
        <v>49</v>
      </c>
      <c r="R862">
        <v>38</v>
      </c>
      <c r="S862">
        <v>40</v>
      </c>
      <c r="T862" s="13">
        <v>40</v>
      </c>
      <c r="U862" s="13">
        <v>36</v>
      </c>
      <c r="V862" t="s">
        <v>99</v>
      </c>
      <c r="X862" s="13">
        <v>206</v>
      </c>
    </row>
    <row r="863" spans="1:24" x14ac:dyDescent="0.25">
      <c r="A863" t="s">
        <v>977</v>
      </c>
      <c r="B863" t="s">
        <v>62</v>
      </c>
      <c r="C863" t="s">
        <v>962</v>
      </c>
      <c r="D863" t="s">
        <v>963</v>
      </c>
      <c r="E863" t="s">
        <v>62</v>
      </c>
      <c r="F863" t="s">
        <v>94</v>
      </c>
      <c r="G863" t="s">
        <v>277</v>
      </c>
      <c r="H863" s="12">
        <v>6.1869357999999997</v>
      </c>
      <c r="I863" s="12">
        <v>-75.489992200000003</v>
      </c>
      <c r="K863" t="s">
        <v>97</v>
      </c>
      <c r="M863">
        <v>11</v>
      </c>
      <c r="P863" s="13">
        <v>200</v>
      </c>
      <c r="Q863" s="13">
        <v>34</v>
      </c>
      <c r="R863">
        <v>32</v>
      </c>
      <c r="S863">
        <v>46</v>
      </c>
      <c r="T863" s="13">
        <v>50</v>
      </c>
      <c r="U863" s="13">
        <v>33</v>
      </c>
      <c r="V863" t="s">
        <v>99</v>
      </c>
      <c r="X863" s="13">
        <v>200</v>
      </c>
    </row>
    <row r="864" spans="1:24" x14ac:dyDescent="0.25">
      <c r="A864" t="s">
        <v>978</v>
      </c>
      <c r="B864" t="s">
        <v>62</v>
      </c>
      <c r="C864" t="s">
        <v>962</v>
      </c>
      <c r="D864" t="s">
        <v>963</v>
      </c>
      <c r="E864" t="s">
        <v>62</v>
      </c>
      <c r="F864" t="s">
        <v>94</v>
      </c>
      <c r="G864" t="s">
        <v>277</v>
      </c>
      <c r="H864" s="12">
        <v>6.1869357999999997</v>
      </c>
      <c r="I864" s="12">
        <v>-75.489992200000003</v>
      </c>
      <c r="K864" t="s">
        <v>97</v>
      </c>
      <c r="M864">
        <v>11</v>
      </c>
      <c r="P864" s="13">
        <v>178</v>
      </c>
      <c r="Q864" s="13">
        <v>39</v>
      </c>
      <c r="R864">
        <v>34</v>
      </c>
      <c r="S864">
        <v>26</v>
      </c>
      <c r="T864" s="13">
        <v>36</v>
      </c>
      <c r="U864" s="13">
        <v>56</v>
      </c>
      <c r="V864" t="s">
        <v>99</v>
      </c>
      <c r="X864" s="13">
        <v>178</v>
      </c>
    </row>
    <row r="865" spans="1:24" x14ac:dyDescent="0.25">
      <c r="A865" t="s">
        <v>979</v>
      </c>
      <c r="B865" t="s">
        <v>62</v>
      </c>
      <c r="C865" t="s">
        <v>962</v>
      </c>
      <c r="D865" t="s">
        <v>963</v>
      </c>
      <c r="E865" t="s">
        <v>62</v>
      </c>
      <c r="F865" t="s">
        <v>94</v>
      </c>
      <c r="G865" t="s">
        <v>277</v>
      </c>
      <c r="H865" s="12">
        <v>6.1869357999999997</v>
      </c>
      <c r="I865" s="12">
        <v>-75.489992200000003</v>
      </c>
      <c r="K865" t="s">
        <v>97</v>
      </c>
      <c r="M865">
        <v>11</v>
      </c>
      <c r="P865" s="13">
        <v>161</v>
      </c>
      <c r="Q865" s="13">
        <v>39</v>
      </c>
      <c r="R865">
        <v>22</v>
      </c>
      <c r="S865">
        <v>26</v>
      </c>
      <c r="T865" s="13">
        <v>40</v>
      </c>
      <c r="U865" s="13">
        <v>38</v>
      </c>
      <c r="V865" t="s">
        <v>99</v>
      </c>
      <c r="X865" s="13">
        <v>161</v>
      </c>
    </row>
    <row r="866" spans="1:24" x14ac:dyDescent="0.25">
      <c r="A866" t="s">
        <v>980</v>
      </c>
      <c r="B866" t="s">
        <v>62</v>
      </c>
      <c r="C866" t="s">
        <v>981</v>
      </c>
      <c r="D866" t="s">
        <v>982</v>
      </c>
      <c r="E866" t="s">
        <v>62</v>
      </c>
      <c r="F866" t="s">
        <v>94</v>
      </c>
      <c r="G866" t="s">
        <v>277</v>
      </c>
      <c r="H866" s="12">
        <v>6.1709288999999998</v>
      </c>
      <c r="I866" s="12">
        <v>-75.577122299999999</v>
      </c>
      <c r="K866" t="s">
        <v>97</v>
      </c>
      <c r="M866">
        <v>11</v>
      </c>
      <c r="P866" s="13">
        <v>359</v>
      </c>
      <c r="Q866" s="13">
        <v>68</v>
      </c>
      <c r="R866">
        <v>74</v>
      </c>
      <c r="S866">
        <v>80</v>
      </c>
      <c r="T866" s="13">
        <v>59</v>
      </c>
      <c r="U866" s="13">
        <v>91</v>
      </c>
      <c r="V866" t="s">
        <v>99</v>
      </c>
      <c r="X866" s="13">
        <v>359</v>
      </c>
    </row>
    <row r="867" spans="1:24" x14ac:dyDescent="0.25">
      <c r="A867" t="s">
        <v>983</v>
      </c>
      <c r="B867" t="s">
        <v>62</v>
      </c>
      <c r="C867" t="s">
        <v>981</v>
      </c>
      <c r="D867" t="s">
        <v>982</v>
      </c>
      <c r="E867" t="s">
        <v>62</v>
      </c>
      <c r="F867" t="s">
        <v>94</v>
      </c>
      <c r="G867" t="s">
        <v>277</v>
      </c>
      <c r="H867" s="12">
        <v>6.1709288999999998</v>
      </c>
      <c r="I867" s="12">
        <v>-75.577122299999999</v>
      </c>
      <c r="K867" t="s">
        <v>97</v>
      </c>
      <c r="M867">
        <v>11</v>
      </c>
      <c r="P867" s="13">
        <v>322</v>
      </c>
      <c r="Q867" s="13">
        <v>63</v>
      </c>
      <c r="R867">
        <v>58</v>
      </c>
      <c r="S867">
        <v>80</v>
      </c>
      <c r="T867" s="13">
        <v>48</v>
      </c>
      <c r="U867" s="13">
        <v>87</v>
      </c>
      <c r="V867" t="s">
        <v>99</v>
      </c>
      <c r="X867" s="13">
        <v>322</v>
      </c>
    </row>
    <row r="868" spans="1:24" x14ac:dyDescent="0.25">
      <c r="A868" t="s">
        <v>984</v>
      </c>
      <c r="B868" t="s">
        <v>62</v>
      </c>
      <c r="C868" t="s">
        <v>981</v>
      </c>
      <c r="D868" t="s">
        <v>982</v>
      </c>
      <c r="E868" t="s">
        <v>62</v>
      </c>
      <c r="F868" t="s">
        <v>94</v>
      </c>
      <c r="G868" t="s">
        <v>277</v>
      </c>
      <c r="H868" s="12">
        <v>6.1709288999999998</v>
      </c>
      <c r="I868" s="12">
        <v>-75.577122299999999</v>
      </c>
      <c r="K868" t="s">
        <v>97</v>
      </c>
      <c r="M868">
        <v>11</v>
      </c>
      <c r="P868" s="13">
        <v>301</v>
      </c>
      <c r="Q868" s="13">
        <v>71</v>
      </c>
      <c r="R868">
        <v>44</v>
      </c>
      <c r="S868">
        <v>80</v>
      </c>
      <c r="T868" s="13">
        <v>40</v>
      </c>
      <c r="U868" s="13">
        <v>78</v>
      </c>
      <c r="V868" t="s">
        <v>99</v>
      </c>
      <c r="X868" s="13">
        <v>301</v>
      </c>
    </row>
    <row r="869" spans="1:24" x14ac:dyDescent="0.25">
      <c r="A869" t="s">
        <v>985</v>
      </c>
      <c r="B869" t="s">
        <v>62</v>
      </c>
      <c r="C869" t="s">
        <v>981</v>
      </c>
      <c r="D869" t="s">
        <v>982</v>
      </c>
      <c r="E869" t="s">
        <v>62</v>
      </c>
      <c r="F869" t="s">
        <v>94</v>
      </c>
      <c r="G869" t="s">
        <v>277</v>
      </c>
      <c r="H869" s="12">
        <v>6.1709288999999998</v>
      </c>
      <c r="I869" s="12">
        <v>-75.577122299999999</v>
      </c>
      <c r="K869" t="s">
        <v>97</v>
      </c>
      <c r="M869">
        <v>11</v>
      </c>
      <c r="P869" s="13">
        <v>281</v>
      </c>
      <c r="Q869" s="13">
        <v>59</v>
      </c>
      <c r="R869">
        <v>38</v>
      </c>
      <c r="S869">
        <v>74</v>
      </c>
      <c r="T869" s="13">
        <v>59</v>
      </c>
      <c r="U869" s="13">
        <v>44</v>
      </c>
      <c r="V869" t="s">
        <v>99</v>
      </c>
      <c r="X869" s="13">
        <v>281</v>
      </c>
    </row>
    <row r="870" spans="1:24" x14ac:dyDescent="0.25">
      <c r="A870" t="s">
        <v>986</v>
      </c>
      <c r="B870" t="s">
        <v>62</v>
      </c>
      <c r="C870" t="s">
        <v>981</v>
      </c>
      <c r="D870" t="s">
        <v>982</v>
      </c>
      <c r="E870" t="s">
        <v>62</v>
      </c>
      <c r="F870" t="s">
        <v>94</v>
      </c>
      <c r="G870" t="s">
        <v>277</v>
      </c>
      <c r="H870" s="12">
        <v>6.1709288999999998</v>
      </c>
      <c r="I870" s="12">
        <v>-75.577122299999999</v>
      </c>
      <c r="K870" t="s">
        <v>97</v>
      </c>
      <c r="M870">
        <v>11</v>
      </c>
      <c r="P870" s="13">
        <v>271</v>
      </c>
      <c r="Q870" s="13">
        <v>76</v>
      </c>
      <c r="R870">
        <v>50</v>
      </c>
      <c r="S870">
        <v>38</v>
      </c>
      <c r="T870" s="13">
        <v>53</v>
      </c>
      <c r="U870" s="13">
        <v>53</v>
      </c>
      <c r="V870" t="s">
        <v>99</v>
      </c>
      <c r="X870" s="13">
        <v>271</v>
      </c>
    </row>
    <row r="871" spans="1:24" x14ac:dyDescent="0.25">
      <c r="A871" t="s">
        <v>987</v>
      </c>
      <c r="B871" t="s">
        <v>62</v>
      </c>
      <c r="C871" t="s">
        <v>981</v>
      </c>
      <c r="D871" t="s">
        <v>982</v>
      </c>
      <c r="E871" t="s">
        <v>62</v>
      </c>
      <c r="F871" t="s">
        <v>94</v>
      </c>
      <c r="G871" t="s">
        <v>277</v>
      </c>
      <c r="H871" s="12">
        <v>6.1709288999999998</v>
      </c>
      <c r="I871" s="12">
        <v>-75.577122299999999</v>
      </c>
      <c r="K871" t="s">
        <v>97</v>
      </c>
      <c r="M871">
        <v>11</v>
      </c>
      <c r="P871" s="13">
        <v>270</v>
      </c>
      <c r="Q871" s="13">
        <v>59</v>
      </c>
      <c r="R871">
        <v>42</v>
      </c>
      <c r="S871">
        <v>64</v>
      </c>
      <c r="T871" s="13">
        <v>53</v>
      </c>
      <c r="U871" s="13">
        <v>49</v>
      </c>
      <c r="V871" t="s">
        <v>99</v>
      </c>
      <c r="X871" s="13">
        <v>270</v>
      </c>
    </row>
    <row r="872" spans="1:24" x14ac:dyDescent="0.25">
      <c r="A872" t="s">
        <v>988</v>
      </c>
      <c r="B872" t="s">
        <v>62</v>
      </c>
      <c r="C872" t="s">
        <v>981</v>
      </c>
      <c r="D872" t="s">
        <v>982</v>
      </c>
      <c r="E872" t="s">
        <v>62</v>
      </c>
      <c r="F872" t="s">
        <v>94</v>
      </c>
      <c r="G872" t="s">
        <v>277</v>
      </c>
      <c r="H872" s="12">
        <v>6.1709288999999998</v>
      </c>
      <c r="I872" s="12">
        <v>-75.577122299999999</v>
      </c>
      <c r="K872" t="s">
        <v>97</v>
      </c>
      <c r="M872">
        <v>11</v>
      </c>
      <c r="P872" s="13">
        <v>266</v>
      </c>
      <c r="Q872" s="13">
        <v>73</v>
      </c>
      <c r="R872">
        <v>26</v>
      </c>
      <c r="S872">
        <v>66</v>
      </c>
      <c r="T872" s="13">
        <v>41</v>
      </c>
      <c r="U872" s="13">
        <v>73</v>
      </c>
      <c r="V872" t="s">
        <v>99</v>
      </c>
      <c r="X872" s="13">
        <v>266</v>
      </c>
    </row>
    <row r="873" spans="1:24" x14ac:dyDescent="0.25">
      <c r="A873" t="s">
        <v>989</v>
      </c>
      <c r="B873" t="s">
        <v>62</v>
      </c>
      <c r="C873" t="s">
        <v>981</v>
      </c>
      <c r="D873" t="s">
        <v>982</v>
      </c>
      <c r="E873" t="s">
        <v>62</v>
      </c>
      <c r="F873" t="s">
        <v>94</v>
      </c>
      <c r="G873" t="s">
        <v>277</v>
      </c>
      <c r="H873" s="12">
        <v>6.1709288999999998</v>
      </c>
      <c r="I873" s="12">
        <v>-75.577122299999999</v>
      </c>
      <c r="K873" t="s">
        <v>97</v>
      </c>
      <c r="M873">
        <v>11</v>
      </c>
      <c r="P873" s="13">
        <v>266</v>
      </c>
      <c r="Q873" s="13">
        <v>71</v>
      </c>
      <c r="R873">
        <v>44</v>
      </c>
      <c r="S873">
        <v>66</v>
      </c>
      <c r="T873" s="13">
        <v>33</v>
      </c>
      <c r="U873" s="13">
        <v>51</v>
      </c>
      <c r="V873" t="s">
        <v>99</v>
      </c>
      <c r="X873" s="13">
        <v>266</v>
      </c>
    </row>
    <row r="874" spans="1:24" x14ac:dyDescent="0.25">
      <c r="A874" t="s">
        <v>990</v>
      </c>
      <c r="B874" t="s">
        <v>62</v>
      </c>
      <c r="C874" t="s">
        <v>981</v>
      </c>
      <c r="D874" t="s">
        <v>982</v>
      </c>
      <c r="E874" t="s">
        <v>62</v>
      </c>
      <c r="F874" t="s">
        <v>94</v>
      </c>
      <c r="G874" t="s">
        <v>277</v>
      </c>
      <c r="H874" s="12">
        <v>6.1709288999999998</v>
      </c>
      <c r="I874" s="12">
        <v>-75.577122299999999</v>
      </c>
      <c r="K874" t="s">
        <v>97</v>
      </c>
      <c r="M874">
        <v>11</v>
      </c>
      <c r="P874" s="13">
        <v>263</v>
      </c>
      <c r="Q874" s="13">
        <v>71</v>
      </c>
      <c r="R874">
        <v>42</v>
      </c>
      <c r="S874">
        <v>52</v>
      </c>
      <c r="T874" s="13">
        <v>33</v>
      </c>
      <c r="U874" s="13">
        <v>91</v>
      </c>
      <c r="V874" t="s">
        <v>99</v>
      </c>
      <c r="X874" s="13">
        <v>263</v>
      </c>
    </row>
    <row r="875" spans="1:24" x14ac:dyDescent="0.25">
      <c r="A875" t="s">
        <v>991</v>
      </c>
      <c r="B875" t="s">
        <v>62</v>
      </c>
      <c r="C875" t="s">
        <v>981</v>
      </c>
      <c r="D875" t="s">
        <v>982</v>
      </c>
      <c r="E875" t="s">
        <v>62</v>
      </c>
      <c r="F875" t="s">
        <v>94</v>
      </c>
      <c r="G875" t="s">
        <v>277</v>
      </c>
      <c r="H875" s="12">
        <v>6.1709288999999998</v>
      </c>
      <c r="I875" s="12">
        <v>-75.577122299999999</v>
      </c>
      <c r="K875" t="s">
        <v>97</v>
      </c>
      <c r="M875">
        <v>11</v>
      </c>
      <c r="P875" s="13">
        <v>255</v>
      </c>
      <c r="Q875" s="13">
        <v>71</v>
      </c>
      <c r="R875">
        <v>36</v>
      </c>
      <c r="S875">
        <v>54</v>
      </c>
      <c r="T875" s="13">
        <v>34</v>
      </c>
      <c r="U875" s="13">
        <v>78</v>
      </c>
      <c r="V875" t="s">
        <v>99</v>
      </c>
      <c r="X875" s="13">
        <v>255</v>
      </c>
    </row>
    <row r="876" spans="1:24" x14ac:dyDescent="0.25">
      <c r="A876" t="s">
        <v>992</v>
      </c>
      <c r="B876" t="s">
        <v>62</v>
      </c>
      <c r="C876" t="s">
        <v>981</v>
      </c>
      <c r="D876" t="s">
        <v>982</v>
      </c>
      <c r="E876" t="s">
        <v>62</v>
      </c>
      <c r="F876" t="s">
        <v>94</v>
      </c>
      <c r="G876" t="s">
        <v>277</v>
      </c>
      <c r="H876" s="12">
        <v>6.1709288999999998</v>
      </c>
      <c r="I876" s="12">
        <v>-75.577122299999999</v>
      </c>
      <c r="K876" t="s">
        <v>97</v>
      </c>
      <c r="M876">
        <v>11</v>
      </c>
      <c r="P876" s="13">
        <v>250</v>
      </c>
      <c r="Q876" s="13">
        <v>71</v>
      </c>
      <c r="R876">
        <v>46</v>
      </c>
      <c r="S876">
        <v>38</v>
      </c>
      <c r="T876" s="13">
        <v>38</v>
      </c>
      <c r="U876" s="13">
        <v>71</v>
      </c>
      <c r="V876" t="s">
        <v>99</v>
      </c>
      <c r="X876" s="13">
        <v>250</v>
      </c>
    </row>
    <row r="877" spans="1:24" x14ac:dyDescent="0.25">
      <c r="A877" t="s">
        <v>993</v>
      </c>
      <c r="B877" t="s">
        <v>62</v>
      </c>
      <c r="C877" t="s">
        <v>981</v>
      </c>
      <c r="D877" t="s">
        <v>982</v>
      </c>
      <c r="E877" t="s">
        <v>62</v>
      </c>
      <c r="F877" t="s">
        <v>94</v>
      </c>
      <c r="G877" t="s">
        <v>277</v>
      </c>
      <c r="H877" s="12">
        <v>6.1709288999999998</v>
      </c>
      <c r="I877" s="12">
        <v>-75.577122299999999</v>
      </c>
      <c r="K877" t="s">
        <v>97</v>
      </c>
      <c r="M877">
        <v>11</v>
      </c>
      <c r="P877" s="13">
        <v>214</v>
      </c>
      <c r="Q877" s="13">
        <v>56</v>
      </c>
      <c r="R877">
        <v>36</v>
      </c>
      <c r="S877">
        <v>40</v>
      </c>
      <c r="T877" s="13">
        <v>40</v>
      </c>
      <c r="U877" s="13">
        <v>42</v>
      </c>
      <c r="V877" t="s">
        <v>99</v>
      </c>
      <c r="X877" s="13">
        <v>214</v>
      </c>
    </row>
    <row r="878" spans="1:24" x14ac:dyDescent="0.25">
      <c r="A878" t="s">
        <v>994</v>
      </c>
      <c r="B878" t="s">
        <v>62</v>
      </c>
      <c r="C878" t="s">
        <v>981</v>
      </c>
      <c r="D878" t="s">
        <v>982</v>
      </c>
      <c r="E878" t="s">
        <v>62</v>
      </c>
      <c r="F878" t="s">
        <v>94</v>
      </c>
      <c r="G878" t="s">
        <v>277</v>
      </c>
      <c r="H878" s="12">
        <v>6.1709288999999998</v>
      </c>
      <c r="I878" s="12">
        <v>-75.577122299999999</v>
      </c>
      <c r="K878" t="s">
        <v>97</v>
      </c>
      <c r="M878">
        <v>11</v>
      </c>
      <c r="P878" s="13">
        <v>202</v>
      </c>
      <c r="Q878" s="13">
        <v>44</v>
      </c>
      <c r="R878">
        <v>30</v>
      </c>
      <c r="S878">
        <v>38</v>
      </c>
      <c r="T878" s="13">
        <v>50</v>
      </c>
      <c r="U878" s="13">
        <v>40</v>
      </c>
      <c r="V878" t="s">
        <v>99</v>
      </c>
      <c r="X878" s="13">
        <v>202</v>
      </c>
    </row>
    <row r="879" spans="1:24" x14ac:dyDescent="0.25">
      <c r="A879" t="s">
        <v>995</v>
      </c>
      <c r="B879" t="s">
        <v>62</v>
      </c>
      <c r="C879" t="s">
        <v>981</v>
      </c>
      <c r="D879" t="s">
        <v>982</v>
      </c>
      <c r="E879" t="s">
        <v>62</v>
      </c>
      <c r="F879" t="s">
        <v>94</v>
      </c>
      <c r="G879" t="s">
        <v>277</v>
      </c>
      <c r="H879" s="12">
        <v>6.1709288999999998</v>
      </c>
      <c r="I879" s="12">
        <v>-75.577122299999999</v>
      </c>
      <c r="K879" t="s">
        <v>97</v>
      </c>
      <c r="M879">
        <v>11</v>
      </c>
      <c r="P879" s="13">
        <v>198</v>
      </c>
      <c r="Q879" s="13">
        <v>56</v>
      </c>
      <c r="R879">
        <v>32</v>
      </c>
      <c r="S879">
        <v>48</v>
      </c>
      <c r="T879" s="13">
        <v>19</v>
      </c>
      <c r="U879" s="13">
        <v>51</v>
      </c>
      <c r="V879" t="s">
        <v>99</v>
      </c>
      <c r="X879" s="13">
        <v>198</v>
      </c>
    </row>
    <row r="880" spans="1:24" x14ac:dyDescent="0.25">
      <c r="A880" t="s">
        <v>996</v>
      </c>
      <c r="B880" t="s">
        <v>62</v>
      </c>
      <c r="C880" t="s">
        <v>981</v>
      </c>
      <c r="D880" t="s">
        <v>982</v>
      </c>
      <c r="E880" t="s">
        <v>62</v>
      </c>
      <c r="F880" t="s">
        <v>94</v>
      </c>
      <c r="G880" t="s">
        <v>277</v>
      </c>
      <c r="H880" s="12">
        <v>6.1709288999999998</v>
      </c>
      <c r="I880" s="12">
        <v>-75.577122299999999</v>
      </c>
      <c r="K880" t="s">
        <v>97</v>
      </c>
      <c r="M880">
        <v>11</v>
      </c>
      <c r="P880" s="13">
        <v>193</v>
      </c>
      <c r="Q880" s="13">
        <v>44</v>
      </c>
      <c r="R880">
        <v>20</v>
      </c>
      <c r="S880">
        <v>48</v>
      </c>
      <c r="T880" s="13">
        <v>43</v>
      </c>
      <c r="U880" s="13">
        <v>36</v>
      </c>
      <c r="V880" t="s">
        <v>99</v>
      </c>
      <c r="X880" s="13">
        <v>193</v>
      </c>
    </row>
    <row r="881" spans="1:24" x14ac:dyDescent="0.25">
      <c r="A881" t="s">
        <v>997</v>
      </c>
      <c r="B881" t="s">
        <v>62</v>
      </c>
      <c r="C881" t="s">
        <v>981</v>
      </c>
      <c r="D881" t="s">
        <v>982</v>
      </c>
      <c r="E881" t="s">
        <v>62</v>
      </c>
      <c r="F881" t="s">
        <v>94</v>
      </c>
      <c r="G881" t="s">
        <v>277</v>
      </c>
      <c r="H881" s="12">
        <v>6.1709288999999998</v>
      </c>
      <c r="I881" s="12">
        <v>-75.577122299999999</v>
      </c>
      <c r="K881" t="s">
        <v>97</v>
      </c>
      <c r="M881">
        <v>11</v>
      </c>
      <c r="P881" s="13">
        <v>184</v>
      </c>
      <c r="Q881" s="13">
        <v>41</v>
      </c>
      <c r="R881">
        <v>26</v>
      </c>
      <c r="S881">
        <v>34</v>
      </c>
      <c r="T881" s="13">
        <v>41</v>
      </c>
      <c r="U881" s="13">
        <v>49</v>
      </c>
      <c r="V881" t="s">
        <v>99</v>
      </c>
      <c r="X881" s="13">
        <v>184</v>
      </c>
    </row>
    <row r="882" spans="1:24" x14ac:dyDescent="0.25">
      <c r="A882" t="s">
        <v>998</v>
      </c>
      <c r="B882" t="s">
        <v>62</v>
      </c>
      <c r="C882" t="s">
        <v>981</v>
      </c>
      <c r="D882" t="s">
        <v>982</v>
      </c>
      <c r="E882" t="s">
        <v>62</v>
      </c>
      <c r="F882" t="s">
        <v>94</v>
      </c>
      <c r="G882" t="s">
        <v>277</v>
      </c>
      <c r="H882" s="12">
        <v>6.1709288999999998</v>
      </c>
      <c r="I882" s="12">
        <v>-75.577122299999999</v>
      </c>
      <c r="K882" t="s">
        <v>97</v>
      </c>
      <c r="M882">
        <v>11</v>
      </c>
      <c r="P882" s="13">
        <v>179</v>
      </c>
      <c r="Q882" s="13">
        <v>49</v>
      </c>
      <c r="R882">
        <v>28</v>
      </c>
      <c r="S882">
        <v>46</v>
      </c>
      <c r="T882" s="13">
        <v>22</v>
      </c>
      <c r="U882" s="13">
        <v>31</v>
      </c>
      <c r="V882" t="s">
        <v>99</v>
      </c>
      <c r="X882" s="13">
        <v>179</v>
      </c>
    </row>
    <row r="883" spans="1:24" x14ac:dyDescent="0.25">
      <c r="A883" t="s">
        <v>999</v>
      </c>
      <c r="B883" t="s">
        <v>62</v>
      </c>
      <c r="C883" t="s">
        <v>981</v>
      </c>
      <c r="D883" t="s">
        <v>982</v>
      </c>
      <c r="E883" t="s">
        <v>62</v>
      </c>
      <c r="F883" t="s">
        <v>94</v>
      </c>
      <c r="G883" t="s">
        <v>277</v>
      </c>
      <c r="H883" s="12">
        <v>6.1709288999999998</v>
      </c>
      <c r="I883" s="12">
        <v>-75.577122299999999</v>
      </c>
      <c r="K883" t="s">
        <v>97</v>
      </c>
      <c r="M883">
        <v>11</v>
      </c>
      <c r="P883" s="13">
        <v>168</v>
      </c>
      <c r="Q883" s="13">
        <v>29</v>
      </c>
      <c r="R883">
        <v>30</v>
      </c>
      <c r="S883">
        <v>36</v>
      </c>
      <c r="T883" s="13">
        <v>40</v>
      </c>
      <c r="U883" s="13">
        <v>31</v>
      </c>
      <c r="V883" t="s">
        <v>99</v>
      </c>
      <c r="X883" s="13">
        <v>168</v>
      </c>
    </row>
    <row r="884" spans="1:24" x14ac:dyDescent="0.25">
      <c r="A884" t="s">
        <v>1000</v>
      </c>
      <c r="B884" t="s">
        <v>62</v>
      </c>
      <c r="C884" t="s">
        <v>981</v>
      </c>
      <c r="D884" t="s">
        <v>982</v>
      </c>
      <c r="E884" t="s">
        <v>62</v>
      </c>
      <c r="F884" t="s">
        <v>94</v>
      </c>
      <c r="G884" t="s">
        <v>277</v>
      </c>
      <c r="H884" s="12">
        <v>6.1709288999999998</v>
      </c>
      <c r="I884" s="12">
        <v>-75.577122299999999</v>
      </c>
      <c r="K884" t="s">
        <v>97</v>
      </c>
      <c r="M884">
        <v>11</v>
      </c>
      <c r="P884" s="13">
        <v>167</v>
      </c>
      <c r="Q884" s="13">
        <v>41</v>
      </c>
      <c r="R884">
        <v>26</v>
      </c>
      <c r="S884">
        <v>32</v>
      </c>
      <c r="T884" s="13">
        <v>33</v>
      </c>
      <c r="U884" s="13">
        <v>38</v>
      </c>
      <c r="V884" t="s">
        <v>99</v>
      </c>
      <c r="X884" s="13">
        <v>167</v>
      </c>
    </row>
    <row r="885" spans="1:24" x14ac:dyDescent="0.25">
      <c r="A885" t="s">
        <v>1001</v>
      </c>
      <c r="B885" t="s">
        <v>62</v>
      </c>
      <c r="C885" t="s">
        <v>981</v>
      </c>
      <c r="D885" t="s">
        <v>982</v>
      </c>
      <c r="E885" t="s">
        <v>62</v>
      </c>
      <c r="F885" t="s">
        <v>94</v>
      </c>
      <c r="G885" t="s">
        <v>277</v>
      </c>
      <c r="H885" s="12">
        <v>6.1709288999999998</v>
      </c>
      <c r="I885" s="12">
        <v>-75.577122299999999</v>
      </c>
      <c r="K885" t="s">
        <v>97</v>
      </c>
      <c r="M885">
        <v>11</v>
      </c>
      <c r="P885" s="13">
        <v>164</v>
      </c>
      <c r="Q885" s="13">
        <v>41</v>
      </c>
      <c r="R885">
        <v>32</v>
      </c>
      <c r="S885">
        <v>32</v>
      </c>
      <c r="T885" s="13">
        <v>29</v>
      </c>
      <c r="U885" s="13">
        <v>22</v>
      </c>
      <c r="V885" t="s">
        <v>99</v>
      </c>
      <c r="X885" s="13">
        <v>164</v>
      </c>
    </row>
    <row r="886" spans="1:24" x14ac:dyDescent="0.25">
      <c r="A886" t="s">
        <v>1002</v>
      </c>
      <c r="B886" t="s">
        <v>62</v>
      </c>
      <c r="C886" t="s">
        <v>981</v>
      </c>
      <c r="D886" t="s">
        <v>982</v>
      </c>
      <c r="E886" t="s">
        <v>62</v>
      </c>
      <c r="F886" t="s">
        <v>94</v>
      </c>
      <c r="G886" t="s">
        <v>277</v>
      </c>
      <c r="H886" s="12">
        <v>6.1709288999999998</v>
      </c>
      <c r="I886" s="12">
        <v>-75.577122299999999</v>
      </c>
      <c r="K886" t="s">
        <v>97</v>
      </c>
      <c r="M886">
        <v>11</v>
      </c>
      <c r="P886" s="13">
        <v>148</v>
      </c>
      <c r="Q886" s="13">
        <v>27</v>
      </c>
      <c r="R886">
        <v>44</v>
      </c>
      <c r="S886">
        <v>24</v>
      </c>
      <c r="T886" s="13">
        <v>17</v>
      </c>
      <c r="U886" s="13">
        <v>49</v>
      </c>
      <c r="V886" t="s">
        <v>99</v>
      </c>
      <c r="X886" s="13">
        <v>148</v>
      </c>
    </row>
    <row r="887" spans="1:24" x14ac:dyDescent="0.25">
      <c r="A887" t="s">
        <v>1003</v>
      </c>
      <c r="B887" t="s">
        <v>62</v>
      </c>
      <c r="C887" t="s">
        <v>1004</v>
      </c>
      <c r="D887" t="s">
        <v>1005</v>
      </c>
      <c r="E887" t="s">
        <v>62</v>
      </c>
      <c r="F887" t="s">
        <v>94</v>
      </c>
      <c r="G887" t="s">
        <v>277</v>
      </c>
      <c r="H887" s="12">
        <v>6.1670337999999996</v>
      </c>
      <c r="I887" s="12">
        <v>-75.581835699999999</v>
      </c>
      <c r="K887" t="s">
        <v>97</v>
      </c>
      <c r="M887">
        <v>11</v>
      </c>
      <c r="P887" s="13">
        <v>382</v>
      </c>
      <c r="Q887" s="13">
        <v>80</v>
      </c>
      <c r="R887">
        <v>76</v>
      </c>
      <c r="S887">
        <v>76</v>
      </c>
      <c r="T887" s="13">
        <v>66</v>
      </c>
      <c r="U887" s="13">
        <v>98</v>
      </c>
      <c r="V887" t="s">
        <v>99</v>
      </c>
      <c r="X887" s="13">
        <v>382</v>
      </c>
    </row>
    <row r="888" spans="1:24" x14ac:dyDescent="0.25">
      <c r="A888" t="s">
        <v>1006</v>
      </c>
      <c r="B888" t="s">
        <v>62</v>
      </c>
      <c r="C888" t="s">
        <v>1004</v>
      </c>
      <c r="D888" t="s">
        <v>1005</v>
      </c>
      <c r="E888" t="s">
        <v>62</v>
      </c>
      <c r="F888" t="s">
        <v>94</v>
      </c>
      <c r="G888" t="s">
        <v>277</v>
      </c>
      <c r="H888" s="12">
        <v>6.1670337999999996</v>
      </c>
      <c r="I888" s="12">
        <v>-75.581835699999999</v>
      </c>
      <c r="K888" t="s">
        <v>97</v>
      </c>
      <c r="M888">
        <v>11</v>
      </c>
      <c r="P888" s="13">
        <v>361</v>
      </c>
      <c r="Q888" s="13">
        <v>78</v>
      </c>
      <c r="R888">
        <v>52</v>
      </c>
      <c r="S888">
        <v>86</v>
      </c>
      <c r="T888" s="13">
        <v>64</v>
      </c>
      <c r="U888" s="13">
        <v>98</v>
      </c>
      <c r="V888" t="s">
        <v>99</v>
      </c>
      <c r="X888" s="13">
        <v>361</v>
      </c>
    </row>
    <row r="889" spans="1:24" x14ac:dyDescent="0.25">
      <c r="A889" t="s">
        <v>1007</v>
      </c>
      <c r="B889" t="s">
        <v>62</v>
      </c>
      <c r="C889" t="s">
        <v>1004</v>
      </c>
      <c r="D889" t="s">
        <v>1005</v>
      </c>
      <c r="E889" t="s">
        <v>62</v>
      </c>
      <c r="F889" t="s">
        <v>94</v>
      </c>
      <c r="G889" t="s">
        <v>277</v>
      </c>
      <c r="H889" s="12">
        <v>6.1670337999999996</v>
      </c>
      <c r="I889" s="12">
        <v>-75.581835699999999</v>
      </c>
      <c r="K889" t="s">
        <v>97</v>
      </c>
      <c r="M889">
        <v>11</v>
      </c>
      <c r="P889" s="13">
        <v>352</v>
      </c>
      <c r="Q889" s="13">
        <v>80</v>
      </c>
      <c r="R889">
        <v>44</v>
      </c>
      <c r="S889">
        <v>78</v>
      </c>
      <c r="T889" s="13">
        <v>72</v>
      </c>
      <c r="U889" s="13">
        <v>91</v>
      </c>
      <c r="V889" t="s">
        <v>99</v>
      </c>
      <c r="X889" s="13">
        <v>352</v>
      </c>
    </row>
    <row r="890" spans="1:24" x14ac:dyDescent="0.25">
      <c r="A890" t="s">
        <v>1008</v>
      </c>
      <c r="B890" t="s">
        <v>62</v>
      </c>
      <c r="C890" t="s">
        <v>1004</v>
      </c>
      <c r="D890" t="s">
        <v>1005</v>
      </c>
      <c r="E890" t="s">
        <v>62</v>
      </c>
      <c r="F890" t="s">
        <v>94</v>
      </c>
      <c r="G890" t="s">
        <v>277</v>
      </c>
      <c r="H890" s="12">
        <v>6.1670337999999996</v>
      </c>
      <c r="I890" s="12">
        <v>-75.581835699999999</v>
      </c>
      <c r="K890" t="s">
        <v>97</v>
      </c>
      <c r="M890">
        <v>11</v>
      </c>
      <c r="P890" s="13">
        <v>341</v>
      </c>
      <c r="Q890" s="13">
        <v>76</v>
      </c>
      <c r="R890">
        <v>58</v>
      </c>
      <c r="S890">
        <v>70</v>
      </c>
      <c r="T890" s="13">
        <v>64</v>
      </c>
      <c r="U890" s="13">
        <v>85</v>
      </c>
      <c r="V890" t="s">
        <v>99</v>
      </c>
      <c r="X890" s="13">
        <v>341</v>
      </c>
    </row>
    <row r="891" spans="1:24" x14ac:dyDescent="0.25">
      <c r="A891" t="s">
        <v>1009</v>
      </c>
      <c r="B891" t="s">
        <v>62</v>
      </c>
      <c r="C891" t="s">
        <v>1004</v>
      </c>
      <c r="D891" t="s">
        <v>1005</v>
      </c>
      <c r="E891" t="s">
        <v>62</v>
      </c>
      <c r="F891" t="s">
        <v>94</v>
      </c>
      <c r="G891" t="s">
        <v>277</v>
      </c>
      <c r="H891" s="12">
        <v>6.1670337999999996</v>
      </c>
      <c r="I891" s="12">
        <v>-75.581835699999999</v>
      </c>
      <c r="K891" t="s">
        <v>97</v>
      </c>
      <c r="M891">
        <v>11</v>
      </c>
      <c r="P891" s="13">
        <v>340</v>
      </c>
      <c r="Q891" s="13">
        <v>71</v>
      </c>
      <c r="R891">
        <v>48</v>
      </c>
      <c r="S891">
        <v>76</v>
      </c>
      <c r="T891" s="13">
        <v>72</v>
      </c>
      <c r="U891" s="13">
        <v>82</v>
      </c>
      <c r="V891" t="s">
        <v>99</v>
      </c>
      <c r="X891" s="13">
        <v>340</v>
      </c>
    </row>
    <row r="892" spans="1:24" x14ac:dyDescent="0.25">
      <c r="A892" t="s">
        <v>1010</v>
      </c>
      <c r="B892" t="s">
        <v>62</v>
      </c>
      <c r="C892" t="s">
        <v>1004</v>
      </c>
      <c r="D892" t="s">
        <v>1005</v>
      </c>
      <c r="E892" t="s">
        <v>62</v>
      </c>
      <c r="F892" t="s">
        <v>94</v>
      </c>
      <c r="G892" t="s">
        <v>277</v>
      </c>
      <c r="H892" s="12">
        <v>6.1670337999999996</v>
      </c>
      <c r="I892" s="12">
        <v>-75.581835699999999</v>
      </c>
      <c r="K892" t="s">
        <v>97</v>
      </c>
      <c r="M892">
        <v>11</v>
      </c>
      <c r="P892" s="13">
        <v>324</v>
      </c>
      <c r="Q892" s="13">
        <v>73</v>
      </c>
      <c r="R892">
        <v>44</v>
      </c>
      <c r="S892">
        <v>74</v>
      </c>
      <c r="T892" s="13">
        <v>62</v>
      </c>
      <c r="U892" s="13">
        <v>84</v>
      </c>
      <c r="V892" t="s">
        <v>99</v>
      </c>
      <c r="X892" s="13">
        <v>324</v>
      </c>
    </row>
    <row r="893" spans="1:24" x14ac:dyDescent="0.25">
      <c r="A893" t="s">
        <v>1011</v>
      </c>
      <c r="B893" t="s">
        <v>62</v>
      </c>
      <c r="C893" t="s">
        <v>1004</v>
      </c>
      <c r="D893" t="s">
        <v>1005</v>
      </c>
      <c r="E893" t="s">
        <v>62</v>
      </c>
      <c r="F893" t="s">
        <v>94</v>
      </c>
      <c r="G893" t="s">
        <v>277</v>
      </c>
      <c r="H893" s="12">
        <v>6.1670337999999996</v>
      </c>
      <c r="I893" s="12">
        <v>-75.581835699999999</v>
      </c>
      <c r="K893" t="s">
        <v>97</v>
      </c>
      <c r="M893">
        <v>11</v>
      </c>
      <c r="P893" s="13">
        <v>324</v>
      </c>
      <c r="Q893" s="13">
        <v>63</v>
      </c>
      <c r="R893">
        <v>48</v>
      </c>
      <c r="S893">
        <v>80</v>
      </c>
      <c r="T893" s="13">
        <v>64</v>
      </c>
      <c r="U893" s="13">
        <v>76</v>
      </c>
      <c r="V893" t="s">
        <v>99</v>
      </c>
      <c r="X893" s="13">
        <v>324</v>
      </c>
    </row>
    <row r="894" spans="1:24" x14ac:dyDescent="0.25">
      <c r="A894" t="s">
        <v>1012</v>
      </c>
      <c r="B894" t="s">
        <v>62</v>
      </c>
      <c r="C894" t="s">
        <v>1004</v>
      </c>
      <c r="D894" t="s">
        <v>1005</v>
      </c>
      <c r="E894" t="s">
        <v>62</v>
      </c>
      <c r="F894" t="s">
        <v>94</v>
      </c>
      <c r="G894" t="s">
        <v>277</v>
      </c>
      <c r="H894" s="12">
        <v>6.1670337999999996</v>
      </c>
      <c r="I894" s="12">
        <v>-75.581835699999999</v>
      </c>
      <c r="K894" t="s">
        <v>97</v>
      </c>
      <c r="M894">
        <v>11</v>
      </c>
      <c r="P894" s="13">
        <v>319</v>
      </c>
      <c r="Q894" s="13">
        <v>44</v>
      </c>
      <c r="R894">
        <v>52</v>
      </c>
      <c r="S894">
        <v>72</v>
      </c>
      <c r="T894" s="13">
        <v>78</v>
      </c>
      <c r="U894" s="13">
        <v>93</v>
      </c>
      <c r="V894" t="s">
        <v>99</v>
      </c>
      <c r="X894" s="13">
        <v>319</v>
      </c>
    </row>
    <row r="895" spans="1:24" x14ac:dyDescent="0.25">
      <c r="A895" t="s">
        <v>1013</v>
      </c>
      <c r="B895" t="s">
        <v>62</v>
      </c>
      <c r="C895" t="s">
        <v>1004</v>
      </c>
      <c r="D895" t="s">
        <v>1005</v>
      </c>
      <c r="E895" t="s">
        <v>62</v>
      </c>
      <c r="F895" t="s">
        <v>94</v>
      </c>
      <c r="G895" t="s">
        <v>277</v>
      </c>
      <c r="H895" s="12">
        <v>6.1670337999999996</v>
      </c>
      <c r="I895" s="12">
        <v>-75.581835699999999</v>
      </c>
      <c r="K895" t="s">
        <v>97</v>
      </c>
      <c r="M895">
        <v>11</v>
      </c>
      <c r="P895" s="13">
        <v>316</v>
      </c>
      <c r="Q895" s="13">
        <v>76</v>
      </c>
      <c r="R895">
        <v>40</v>
      </c>
      <c r="S895">
        <v>78</v>
      </c>
      <c r="T895" s="13">
        <v>57</v>
      </c>
      <c r="U895" s="13">
        <v>69</v>
      </c>
      <c r="V895" t="s">
        <v>99</v>
      </c>
      <c r="X895" s="13">
        <v>316</v>
      </c>
    </row>
    <row r="896" spans="1:24" x14ac:dyDescent="0.25">
      <c r="A896" t="s">
        <v>1014</v>
      </c>
      <c r="B896" t="s">
        <v>62</v>
      </c>
      <c r="C896" t="s">
        <v>1004</v>
      </c>
      <c r="D896" t="s">
        <v>1005</v>
      </c>
      <c r="E896" t="s">
        <v>62</v>
      </c>
      <c r="F896" t="s">
        <v>94</v>
      </c>
      <c r="G896" t="s">
        <v>277</v>
      </c>
      <c r="H896" s="12">
        <v>6.1670337999999996</v>
      </c>
      <c r="I896" s="12">
        <v>-75.581835699999999</v>
      </c>
      <c r="K896" t="s">
        <v>97</v>
      </c>
      <c r="M896">
        <v>11</v>
      </c>
      <c r="P896" s="13">
        <v>308</v>
      </c>
      <c r="Q896" s="13">
        <v>63</v>
      </c>
      <c r="R896">
        <v>34</v>
      </c>
      <c r="S896">
        <v>84</v>
      </c>
      <c r="T896" s="13">
        <v>55</v>
      </c>
      <c r="U896" s="13">
        <v>91</v>
      </c>
      <c r="V896" t="s">
        <v>99</v>
      </c>
      <c r="X896" s="13">
        <v>308</v>
      </c>
    </row>
    <row r="897" spans="1:24" x14ac:dyDescent="0.25">
      <c r="A897" t="s">
        <v>1015</v>
      </c>
      <c r="B897" t="s">
        <v>62</v>
      </c>
      <c r="C897" t="s">
        <v>1004</v>
      </c>
      <c r="D897" t="s">
        <v>1005</v>
      </c>
      <c r="E897" t="s">
        <v>62</v>
      </c>
      <c r="F897" t="s">
        <v>94</v>
      </c>
      <c r="G897" t="s">
        <v>277</v>
      </c>
      <c r="H897" s="12">
        <v>6.1670337999999996</v>
      </c>
      <c r="I897" s="12">
        <v>-75.581835699999999</v>
      </c>
      <c r="K897" t="s">
        <v>97</v>
      </c>
      <c r="M897">
        <v>11</v>
      </c>
      <c r="P897" s="13">
        <v>307</v>
      </c>
      <c r="Q897" s="13">
        <v>76</v>
      </c>
      <c r="R897">
        <v>44</v>
      </c>
      <c r="S897">
        <v>50</v>
      </c>
      <c r="T897" s="13">
        <v>67</v>
      </c>
      <c r="U897" s="13">
        <v>87</v>
      </c>
      <c r="V897" t="s">
        <v>99</v>
      </c>
      <c r="X897" s="13">
        <v>307</v>
      </c>
    </row>
    <row r="898" spans="1:24" x14ac:dyDescent="0.25">
      <c r="A898" t="s">
        <v>1016</v>
      </c>
      <c r="B898" t="s">
        <v>62</v>
      </c>
      <c r="C898" t="s">
        <v>1004</v>
      </c>
      <c r="D898" t="s">
        <v>1005</v>
      </c>
      <c r="E898" t="s">
        <v>62</v>
      </c>
      <c r="F898" t="s">
        <v>94</v>
      </c>
      <c r="G898" t="s">
        <v>277</v>
      </c>
      <c r="H898" s="12">
        <v>6.1670337999999996</v>
      </c>
      <c r="I898" s="12">
        <v>-75.581835699999999</v>
      </c>
      <c r="K898" t="s">
        <v>97</v>
      </c>
      <c r="M898">
        <v>11</v>
      </c>
      <c r="P898" s="13">
        <v>306</v>
      </c>
      <c r="Q898" s="13">
        <v>76</v>
      </c>
      <c r="R898">
        <v>48</v>
      </c>
      <c r="S898">
        <v>68</v>
      </c>
      <c r="T898" s="13">
        <v>47</v>
      </c>
      <c r="U898" s="13">
        <v>80</v>
      </c>
      <c r="V898" t="s">
        <v>99</v>
      </c>
      <c r="X898" s="13">
        <v>306</v>
      </c>
    </row>
    <row r="899" spans="1:24" x14ac:dyDescent="0.25">
      <c r="A899" t="s">
        <v>1017</v>
      </c>
      <c r="B899" t="s">
        <v>62</v>
      </c>
      <c r="C899" t="s">
        <v>1004</v>
      </c>
      <c r="D899" t="s">
        <v>1005</v>
      </c>
      <c r="E899" t="s">
        <v>62</v>
      </c>
      <c r="F899" t="s">
        <v>94</v>
      </c>
      <c r="G899" t="s">
        <v>277</v>
      </c>
      <c r="H899" s="12">
        <v>6.1670337999999996</v>
      </c>
      <c r="I899" s="12">
        <v>-75.581835699999999</v>
      </c>
      <c r="K899" t="s">
        <v>97</v>
      </c>
      <c r="M899">
        <v>11</v>
      </c>
      <c r="P899" s="13">
        <v>303</v>
      </c>
      <c r="Q899" s="13">
        <v>63</v>
      </c>
      <c r="R899">
        <v>40</v>
      </c>
      <c r="S899">
        <v>64</v>
      </c>
      <c r="T899" s="13">
        <v>64</v>
      </c>
      <c r="U899" s="13">
        <v>95</v>
      </c>
      <c r="V899" t="s">
        <v>99</v>
      </c>
      <c r="X899" s="13">
        <v>303</v>
      </c>
    </row>
    <row r="900" spans="1:24" x14ac:dyDescent="0.25">
      <c r="A900" t="s">
        <v>1018</v>
      </c>
      <c r="B900" t="s">
        <v>62</v>
      </c>
      <c r="C900" t="s">
        <v>1004</v>
      </c>
      <c r="D900" t="s">
        <v>1005</v>
      </c>
      <c r="E900" t="s">
        <v>62</v>
      </c>
      <c r="F900" t="s">
        <v>94</v>
      </c>
      <c r="G900" t="s">
        <v>277</v>
      </c>
      <c r="H900" s="12">
        <v>6.1670337999999996</v>
      </c>
      <c r="I900" s="12">
        <v>-75.581835699999999</v>
      </c>
      <c r="K900" t="s">
        <v>97</v>
      </c>
      <c r="M900">
        <v>11</v>
      </c>
      <c r="P900" s="13">
        <v>302</v>
      </c>
      <c r="Q900" s="13">
        <v>66</v>
      </c>
      <c r="R900">
        <v>48</v>
      </c>
      <c r="S900">
        <v>56</v>
      </c>
      <c r="T900" s="13">
        <v>60</v>
      </c>
      <c r="U900" s="13">
        <v>95</v>
      </c>
      <c r="V900" t="s">
        <v>99</v>
      </c>
      <c r="X900" s="13">
        <v>302</v>
      </c>
    </row>
    <row r="901" spans="1:24" x14ac:dyDescent="0.25">
      <c r="A901" t="s">
        <v>1019</v>
      </c>
      <c r="B901" t="s">
        <v>62</v>
      </c>
      <c r="C901" t="s">
        <v>1004</v>
      </c>
      <c r="D901" t="s">
        <v>1005</v>
      </c>
      <c r="E901" t="s">
        <v>62</v>
      </c>
      <c r="F901" t="s">
        <v>94</v>
      </c>
      <c r="G901" t="s">
        <v>277</v>
      </c>
      <c r="H901" s="12">
        <v>6.1670337999999996</v>
      </c>
      <c r="I901" s="12">
        <v>-75.581835699999999</v>
      </c>
      <c r="K901" t="s">
        <v>97</v>
      </c>
      <c r="M901">
        <v>11</v>
      </c>
      <c r="P901" s="13">
        <v>294</v>
      </c>
      <c r="Q901" s="13">
        <v>68</v>
      </c>
      <c r="R901">
        <v>38</v>
      </c>
      <c r="S901">
        <v>72</v>
      </c>
      <c r="T901" s="13">
        <v>69</v>
      </c>
      <c r="U901" s="13">
        <v>24</v>
      </c>
      <c r="V901" t="s">
        <v>99</v>
      </c>
      <c r="X901" s="13">
        <v>294</v>
      </c>
    </row>
    <row r="902" spans="1:24" x14ac:dyDescent="0.25">
      <c r="A902" t="s">
        <v>1020</v>
      </c>
      <c r="B902" t="s">
        <v>62</v>
      </c>
      <c r="C902" t="s">
        <v>1004</v>
      </c>
      <c r="D902" t="s">
        <v>1005</v>
      </c>
      <c r="E902" t="s">
        <v>62</v>
      </c>
      <c r="F902" t="s">
        <v>94</v>
      </c>
      <c r="G902" t="s">
        <v>277</v>
      </c>
      <c r="H902" s="12">
        <v>6.1670337999999996</v>
      </c>
      <c r="I902" s="12">
        <v>-75.581835699999999</v>
      </c>
      <c r="K902" t="s">
        <v>97</v>
      </c>
      <c r="M902">
        <v>11</v>
      </c>
      <c r="P902" s="13">
        <v>291</v>
      </c>
      <c r="Q902" s="13">
        <v>63</v>
      </c>
      <c r="R902">
        <v>52</v>
      </c>
      <c r="S902">
        <v>60</v>
      </c>
      <c r="T902" s="13">
        <v>55</v>
      </c>
      <c r="U902" s="13">
        <v>65</v>
      </c>
      <c r="V902" t="s">
        <v>99</v>
      </c>
      <c r="X902" s="13">
        <v>291</v>
      </c>
    </row>
    <row r="903" spans="1:24" x14ac:dyDescent="0.25">
      <c r="A903" t="s">
        <v>1021</v>
      </c>
      <c r="B903" t="s">
        <v>62</v>
      </c>
      <c r="C903" t="s">
        <v>1004</v>
      </c>
      <c r="D903" t="s">
        <v>1005</v>
      </c>
      <c r="E903" t="s">
        <v>62</v>
      </c>
      <c r="F903" t="s">
        <v>94</v>
      </c>
      <c r="G903" t="s">
        <v>277</v>
      </c>
      <c r="H903" s="12">
        <v>6.1670337999999996</v>
      </c>
      <c r="I903" s="12">
        <v>-75.581835699999999</v>
      </c>
      <c r="K903" t="s">
        <v>97</v>
      </c>
      <c r="M903">
        <v>11</v>
      </c>
      <c r="P903" s="13">
        <v>287</v>
      </c>
      <c r="Q903" s="13">
        <v>68</v>
      </c>
      <c r="R903">
        <v>36</v>
      </c>
      <c r="S903">
        <v>66</v>
      </c>
      <c r="T903" s="13">
        <v>55</v>
      </c>
      <c r="U903" s="13">
        <v>69</v>
      </c>
      <c r="V903" t="s">
        <v>99</v>
      </c>
      <c r="X903" s="13">
        <v>287</v>
      </c>
    </row>
    <row r="904" spans="1:24" x14ac:dyDescent="0.25">
      <c r="A904" t="s">
        <v>1022</v>
      </c>
      <c r="B904" t="s">
        <v>62</v>
      </c>
      <c r="C904" t="s">
        <v>1004</v>
      </c>
      <c r="D904" t="s">
        <v>1005</v>
      </c>
      <c r="E904" t="s">
        <v>62</v>
      </c>
      <c r="F904" t="s">
        <v>94</v>
      </c>
      <c r="G904" t="s">
        <v>277</v>
      </c>
      <c r="H904" s="12">
        <v>6.1670337999999996</v>
      </c>
      <c r="I904" s="12">
        <v>-75.581835699999999</v>
      </c>
      <c r="K904" t="s">
        <v>97</v>
      </c>
      <c r="M904">
        <v>11</v>
      </c>
      <c r="P904" s="13">
        <v>285</v>
      </c>
      <c r="Q904" s="13">
        <v>71</v>
      </c>
      <c r="R904">
        <v>38</v>
      </c>
      <c r="S904">
        <v>82</v>
      </c>
      <c r="T904" s="13">
        <v>40</v>
      </c>
      <c r="U904" s="13">
        <v>51</v>
      </c>
      <c r="V904" t="s">
        <v>99</v>
      </c>
      <c r="X904" s="13">
        <v>285</v>
      </c>
    </row>
    <row r="905" spans="1:24" x14ac:dyDescent="0.25">
      <c r="A905" t="s">
        <v>1023</v>
      </c>
      <c r="B905" t="s">
        <v>62</v>
      </c>
      <c r="C905" t="s">
        <v>1004</v>
      </c>
      <c r="D905" t="s">
        <v>1005</v>
      </c>
      <c r="E905" t="s">
        <v>62</v>
      </c>
      <c r="F905" t="s">
        <v>94</v>
      </c>
      <c r="G905" t="s">
        <v>277</v>
      </c>
      <c r="H905" s="12">
        <v>6.1670337999999996</v>
      </c>
      <c r="I905" s="12">
        <v>-75.581835699999999</v>
      </c>
      <c r="K905" t="s">
        <v>97</v>
      </c>
      <c r="M905">
        <v>11</v>
      </c>
      <c r="P905" s="13">
        <v>285</v>
      </c>
      <c r="Q905" s="13">
        <v>49</v>
      </c>
      <c r="R905">
        <v>38</v>
      </c>
      <c r="S905">
        <v>80</v>
      </c>
      <c r="T905" s="13">
        <v>59</v>
      </c>
      <c r="U905" s="13">
        <v>64</v>
      </c>
      <c r="V905" t="s">
        <v>99</v>
      </c>
      <c r="X905" s="13">
        <v>285</v>
      </c>
    </row>
    <row r="906" spans="1:24" x14ac:dyDescent="0.25">
      <c r="A906" t="s">
        <v>1024</v>
      </c>
      <c r="B906" t="s">
        <v>62</v>
      </c>
      <c r="C906" t="s">
        <v>1004</v>
      </c>
      <c r="D906" t="s">
        <v>1005</v>
      </c>
      <c r="E906" t="s">
        <v>62</v>
      </c>
      <c r="F906" t="s">
        <v>94</v>
      </c>
      <c r="G906" t="s">
        <v>277</v>
      </c>
      <c r="H906" s="12">
        <v>6.1670337999999996</v>
      </c>
      <c r="I906" s="12">
        <v>-75.581835699999999</v>
      </c>
      <c r="K906" t="s">
        <v>97</v>
      </c>
      <c r="M906">
        <v>11</v>
      </c>
      <c r="P906" s="13">
        <v>282</v>
      </c>
      <c r="Q906" s="13">
        <v>66</v>
      </c>
      <c r="R906">
        <v>44</v>
      </c>
      <c r="S906">
        <v>66</v>
      </c>
      <c r="T906" s="13">
        <v>47</v>
      </c>
      <c r="U906" s="13">
        <v>67</v>
      </c>
      <c r="V906" t="s">
        <v>99</v>
      </c>
      <c r="X906" s="13">
        <v>282</v>
      </c>
    </row>
    <row r="907" spans="1:24" x14ac:dyDescent="0.25">
      <c r="A907" t="s">
        <v>1025</v>
      </c>
      <c r="B907" t="s">
        <v>62</v>
      </c>
      <c r="C907" t="s">
        <v>1004</v>
      </c>
      <c r="D907" t="s">
        <v>1005</v>
      </c>
      <c r="E907" t="s">
        <v>62</v>
      </c>
      <c r="F907" t="s">
        <v>94</v>
      </c>
      <c r="G907" t="s">
        <v>277</v>
      </c>
      <c r="H907" s="12">
        <v>6.1670337999999996</v>
      </c>
      <c r="I907" s="12">
        <v>-75.581835699999999</v>
      </c>
      <c r="K907" t="s">
        <v>97</v>
      </c>
      <c r="M907">
        <v>11</v>
      </c>
      <c r="P907" s="13">
        <v>282</v>
      </c>
      <c r="Q907" s="13">
        <v>63</v>
      </c>
      <c r="R907">
        <v>52</v>
      </c>
      <c r="S907">
        <v>72</v>
      </c>
      <c r="T907" s="13">
        <v>45</v>
      </c>
      <c r="U907" s="13">
        <v>36</v>
      </c>
      <c r="V907" t="s">
        <v>99</v>
      </c>
      <c r="X907" s="13">
        <v>282</v>
      </c>
    </row>
    <row r="908" spans="1:24" x14ac:dyDescent="0.25">
      <c r="A908" t="s">
        <v>1026</v>
      </c>
      <c r="B908" t="s">
        <v>62</v>
      </c>
      <c r="C908" t="s">
        <v>1004</v>
      </c>
      <c r="D908" t="s">
        <v>1005</v>
      </c>
      <c r="E908" t="s">
        <v>62</v>
      </c>
      <c r="F908" t="s">
        <v>94</v>
      </c>
      <c r="G908" t="s">
        <v>277</v>
      </c>
      <c r="H908" s="12">
        <v>6.1670337999999996</v>
      </c>
      <c r="I908" s="12">
        <v>-75.581835699999999</v>
      </c>
      <c r="K908" t="s">
        <v>97</v>
      </c>
      <c r="M908">
        <v>11</v>
      </c>
      <c r="P908" s="13">
        <v>280</v>
      </c>
      <c r="Q908" s="13">
        <v>66</v>
      </c>
      <c r="R908">
        <v>38</v>
      </c>
      <c r="S908">
        <v>80</v>
      </c>
      <c r="T908" s="13">
        <v>45</v>
      </c>
      <c r="U908" s="13">
        <v>42</v>
      </c>
      <c r="V908" t="s">
        <v>99</v>
      </c>
      <c r="X908" s="13">
        <v>280</v>
      </c>
    </row>
    <row r="909" spans="1:24" x14ac:dyDescent="0.25">
      <c r="A909" t="s">
        <v>1027</v>
      </c>
      <c r="B909" t="s">
        <v>62</v>
      </c>
      <c r="C909" t="s">
        <v>1004</v>
      </c>
      <c r="D909" t="s">
        <v>1005</v>
      </c>
      <c r="E909" t="s">
        <v>62</v>
      </c>
      <c r="F909" t="s">
        <v>94</v>
      </c>
      <c r="G909" t="s">
        <v>277</v>
      </c>
      <c r="H909" s="12">
        <v>6.1670337999999996</v>
      </c>
      <c r="I909" s="12">
        <v>-75.581835699999999</v>
      </c>
      <c r="K909" t="s">
        <v>97</v>
      </c>
      <c r="M909">
        <v>11</v>
      </c>
      <c r="P909" s="13">
        <v>276</v>
      </c>
      <c r="Q909" s="13">
        <v>71</v>
      </c>
      <c r="R909">
        <v>30</v>
      </c>
      <c r="S909">
        <v>78</v>
      </c>
      <c r="T909" s="13">
        <v>29</v>
      </c>
      <c r="U909" s="13">
        <v>95</v>
      </c>
      <c r="V909" t="s">
        <v>99</v>
      </c>
      <c r="X909" s="13">
        <v>276</v>
      </c>
    </row>
    <row r="910" spans="1:24" x14ac:dyDescent="0.25">
      <c r="A910" t="s">
        <v>1028</v>
      </c>
      <c r="B910" t="s">
        <v>62</v>
      </c>
      <c r="C910" t="s">
        <v>1004</v>
      </c>
      <c r="D910" t="s">
        <v>1005</v>
      </c>
      <c r="E910" t="s">
        <v>62</v>
      </c>
      <c r="F910" t="s">
        <v>94</v>
      </c>
      <c r="G910" t="s">
        <v>277</v>
      </c>
      <c r="H910" s="12">
        <v>6.1670337999999996</v>
      </c>
      <c r="I910" s="12">
        <v>-75.581835699999999</v>
      </c>
      <c r="K910" t="s">
        <v>97</v>
      </c>
      <c r="M910">
        <v>11</v>
      </c>
      <c r="P910" s="13">
        <v>274</v>
      </c>
      <c r="Q910" s="13">
        <v>56</v>
      </c>
      <c r="R910">
        <v>42</v>
      </c>
      <c r="S910">
        <v>54</v>
      </c>
      <c r="T910" s="13">
        <v>55</v>
      </c>
      <c r="U910" s="13">
        <v>91</v>
      </c>
      <c r="V910" t="s">
        <v>99</v>
      </c>
      <c r="X910" s="13">
        <v>274</v>
      </c>
    </row>
    <row r="911" spans="1:24" x14ac:dyDescent="0.25">
      <c r="A911" t="s">
        <v>1029</v>
      </c>
      <c r="B911" t="s">
        <v>62</v>
      </c>
      <c r="C911" t="s">
        <v>1004</v>
      </c>
      <c r="D911" t="s">
        <v>1005</v>
      </c>
      <c r="E911" t="s">
        <v>62</v>
      </c>
      <c r="F911" t="s">
        <v>94</v>
      </c>
      <c r="G911" t="s">
        <v>277</v>
      </c>
      <c r="H911" s="12">
        <v>6.1670337999999996</v>
      </c>
      <c r="I911" s="12">
        <v>-75.581835699999999</v>
      </c>
      <c r="K911" t="s">
        <v>97</v>
      </c>
      <c r="M911">
        <v>11</v>
      </c>
      <c r="P911" s="13">
        <v>272</v>
      </c>
      <c r="Q911" s="13">
        <v>73</v>
      </c>
      <c r="R911">
        <v>40</v>
      </c>
      <c r="S911">
        <v>78</v>
      </c>
      <c r="T911" s="13">
        <v>21</v>
      </c>
      <c r="U911" s="13">
        <v>73</v>
      </c>
      <c r="V911" t="s">
        <v>99</v>
      </c>
      <c r="X911" s="13">
        <v>272</v>
      </c>
    </row>
    <row r="912" spans="1:24" x14ac:dyDescent="0.25">
      <c r="A912" t="s">
        <v>1030</v>
      </c>
      <c r="B912" t="s">
        <v>62</v>
      </c>
      <c r="C912" t="s">
        <v>1004</v>
      </c>
      <c r="D912" t="s">
        <v>1005</v>
      </c>
      <c r="E912" t="s">
        <v>62</v>
      </c>
      <c r="F912" t="s">
        <v>94</v>
      </c>
      <c r="G912" t="s">
        <v>277</v>
      </c>
      <c r="H912" s="12">
        <v>6.1670337999999996</v>
      </c>
      <c r="I912" s="12">
        <v>-75.581835699999999</v>
      </c>
      <c r="K912" t="s">
        <v>97</v>
      </c>
      <c r="M912">
        <v>11</v>
      </c>
      <c r="P912" s="13">
        <v>272</v>
      </c>
      <c r="Q912" s="13">
        <v>61</v>
      </c>
      <c r="R912">
        <v>50</v>
      </c>
      <c r="S912">
        <v>62</v>
      </c>
      <c r="T912" s="13">
        <v>43</v>
      </c>
      <c r="U912" s="13">
        <v>58</v>
      </c>
      <c r="V912" t="s">
        <v>99</v>
      </c>
      <c r="X912" s="13">
        <v>272</v>
      </c>
    </row>
    <row r="913" spans="1:24" x14ac:dyDescent="0.25">
      <c r="A913" t="s">
        <v>1031</v>
      </c>
      <c r="B913" t="s">
        <v>62</v>
      </c>
      <c r="C913" t="s">
        <v>1004</v>
      </c>
      <c r="D913" t="s">
        <v>1005</v>
      </c>
      <c r="E913" t="s">
        <v>62</v>
      </c>
      <c r="F913" t="s">
        <v>94</v>
      </c>
      <c r="G913" t="s">
        <v>277</v>
      </c>
      <c r="H913" s="12">
        <v>6.1670337999999996</v>
      </c>
      <c r="I913" s="12">
        <v>-75.581835699999999</v>
      </c>
      <c r="K913" t="s">
        <v>97</v>
      </c>
      <c r="M913">
        <v>11</v>
      </c>
      <c r="P913" s="13">
        <v>270</v>
      </c>
      <c r="Q913" s="13">
        <v>76</v>
      </c>
      <c r="R913">
        <v>36</v>
      </c>
      <c r="S913">
        <v>44</v>
      </c>
      <c r="T913" s="13">
        <v>59</v>
      </c>
      <c r="U913" s="13">
        <v>60</v>
      </c>
      <c r="V913" t="s">
        <v>99</v>
      </c>
      <c r="X913" s="13">
        <v>270</v>
      </c>
    </row>
    <row r="914" spans="1:24" x14ac:dyDescent="0.25">
      <c r="A914" t="s">
        <v>1032</v>
      </c>
      <c r="B914" t="s">
        <v>62</v>
      </c>
      <c r="C914" t="s">
        <v>1004</v>
      </c>
      <c r="D914" t="s">
        <v>1005</v>
      </c>
      <c r="E914" t="s">
        <v>62</v>
      </c>
      <c r="F914" t="s">
        <v>94</v>
      </c>
      <c r="G914" t="s">
        <v>277</v>
      </c>
      <c r="H914" s="12">
        <v>6.1670337999999996</v>
      </c>
      <c r="I914" s="12">
        <v>-75.581835699999999</v>
      </c>
      <c r="K914" t="s">
        <v>97</v>
      </c>
      <c r="M914">
        <v>11</v>
      </c>
      <c r="P914" s="13">
        <v>266</v>
      </c>
      <c r="Q914" s="13">
        <v>68</v>
      </c>
      <c r="R914">
        <v>46</v>
      </c>
      <c r="S914">
        <v>44</v>
      </c>
      <c r="T914" s="13">
        <v>48</v>
      </c>
      <c r="U914" s="13">
        <v>71</v>
      </c>
      <c r="V914" t="s">
        <v>99</v>
      </c>
      <c r="X914" s="13">
        <v>266</v>
      </c>
    </row>
    <row r="915" spans="1:24" x14ac:dyDescent="0.25">
      <c r="A915" t="s">
        <v>1033</v>
      </c>
      <c r="B915" t="s">
        <v>62</v>
      </c>
      <c r="C915" t="s">
        <v>1004</v>
      </c>
      <c r="D915" t="s">
        <v>1005</v>
      </c>
      <c r="E915" t="s">
        <v>62</v>
      </c>
      <c r="F915" t="s">
        <v>94</v>
      </c>
      <c r="G915" t="s">
        <v>277</v>
      </c>
      <c r="H915" s="12">
        <v>6.1670337999999996</v>
      </c>
      <c r="I915" s="12">
        <v>-75.581835699999999</v>
      </c>
      <c r="K915" t="s">
        <v>97</v>
      </c>
      <c r="M915">
        <v>11</v>
      </c>
      <c r="P915" s="13">
        <v>264</v>
      </c>
      <c r="Q915" s="13">
        <v>66</v>
      </c>
      <c r="R915">
        <v>46</v>
      </c>
      <c r="S915">
        <v>44</v>
      </c>
      <c r="T915" s="13">
        <v>45</v>
      </c>
      <c r="U915" s="13">
        <v>85</v>
      </c>
      <c r="V915" t="s">
        <v>99</v>
      </c>
      <c r="X915" s="13">
        <v>264</v>
      </c>
    </row>
    <row r="916" spans="1:24" x14ac:dyDescent="0.25">
      <c r="A916" t="s">
        <v>1034</v>
      </c>
      <c r="B916" t="s">
        <v>62</v>
      </c>
      <c r="C916" t="s">
        <v>1004</v>
      </c>
      <c r="D916" t="s">
        <v>1005</v>
      </c>
      <c r="E916" t="s">
        <v>62</v>
      </c>
      <c r="F916" t="s">
        <v>94</v>
      </c>
      <c r="G916" t="s">
        <v>277</v>
      </c>
      <c r="H916" s="12">
        <v>6.1670337999999996</v>
      </c>
      <c r="I916" s="12">
        <v>-75.581835699999999</v>
      </c>
      <c r="K916" t="s">
        <v>97</v>
      </c>
      <c r="M916">
        <v>11</v>
      </c>
      <c r="P916" s="13">
        <v>263</v>
      </c>
      <c r="Q916" s="13">
        <v>71</v>
      </c>
      <c r="R916">
        <v>40</v>
      </c>
      <c r="S916">
        <v>66</v>
      </c>
      <c r="T916" s="13">
        <v>33</v>
      </c>
      <c r="U916" s="13">
        <v>56</v>
      </c>
      <c r="V916" t="s">
        <v>99</v>
      </c>
      <c r="X916" s="13">
        <v>263</v>
      </c>
    </row>
    <row r="917" spans="1:24" x14ac:dyDescent="0.25">
      <c r="A917" t="s">
        <v>1035</v>
      </c>
      <c r="B917" t="s">
        <v>62</v>
      </c>
      <c r="C917" t="s">
        <v>1004</v>
      </c>
      <c r="D917" t="s">
        <v>1005</v>
      </c>
      <c r="E917" t="s">
        <v>62</v>
      </c>
      <c r="F917" t="s">
        <v>94</v>
      </c>
      <c r="G917" t="s">
        <v>277</v>
      </c>
      <c r="H917" s="12">
        <v>6.1670337999999996</v>
      </c>
      <c r="I917" s="12">
        <v>-75.581835699999999</v>
      </c>
      <c r="K917" t="s">
        <v>97</v>
      </c>
      <c r="M917">
        <v>11</v>
      </c>
      <c r="P917" s="13">
        <v>263</v>
      </c>
      <c r="Q917" s="13">
        <v>63</v>
      </c>
      <c r="R917">
        <v>38</v>
      </c>
      <c r="S917">
        <v>66</v>
      </c>
      <c r="T917" s="13">
        <v>38</v>
      </c>
      <c r="U917" s="13">
        <v>67</v>
      </c>
      <c r="V917" t="s">
        <v>99</v>
      </c>
      <c r="X917" s="13">
        <v>263</v>
      </c>
    </row>
    <row r="918" spans="1:24" x14ac:dyDescent="0.25">
      <c r="A918" t="s">
        <v>1036</v>
      </c>
      <c r="B918" t="s">
        <v>62</v>
      </c>
      <c r="C918" t="s">
        <v>1004</v>
      </c>
      <c r="D918" t="s">
        <v>1005</v>
      </c>
      <c r="E918" t="s">
        <v>62</v>
      </c>
      <c r="F918" t="s">
        <v>94</v>
      </c>
      <c r="G918" t="s">
        <v>277</v>
      </c>
      <c r="H918" s="12">
        <v>6.1670337999999996</v>
      </c>
      <c r="I918" s="12">
        <v>-75.581835699999999</v>
      </c>
      <c r="K918" t="s">
        <v>97</v>
      </c>
      <c r="M918">
        <v>11</v>
      </c>
      <c r="P918" s="13">
        <v>262</v>
      </c>
      <c r="Q918" s="13">
        <v>54</v>
      </c>
      <c r="R918">
        <v>40</v>
      </c>
      <c r="S918">
        <v>60</v>
      </c>
      <c r="T918" s="13">
        <v>60</v>
      </c>
      <c r="U918" s="13">
        <v>40</v>
      </c>
      <c r="V918" t="s">
        <v>99</v>
      </c>
      <c r="X918" s="13">
        <v>262</v>
      </c>
    </row>
    <row r="919" spans="1:24" x14ac:dyDescent="0.25">
      <c r="A919" t="s">
        <v>1037</v>
      </c>
      <c r="B919" t="s">
        <v>62</v>
      </c>
      <c r="C919" t="s">
        <v>1004</v>
      </c>
      <c r="D919" t="s">
        <v>1005</v>
      </c>
      <c r="E919" t="s">
        <v>62</v>
      </c>
      <c r="F919" t="s">
        <v>94</v>
      </c>
      <c r="G919" t="s">
        <v>277</v>
      </c>
      <c r="H919" s="12">
        <v>6.1670337999999996</v>
      </c>
      <c r="I919" s="12">
        <v>-75.581835699999999</v>
      </c>
      <c r="K919" t="s">
        <v>97</v>
      </c>
      <c r="M919">
        <v>11</v>
      </c>
      <c r="P919" s="13">
        <v>262</v>
      </c>
      <c r="Q919" s="13">
        <v>61</v>
      </c>
      <c r="R919">
        <v>40</v>
      </c>
      <c r="S919">
        <v>58</v>
      </c>
      <c r="T919" s="13">
        <v>48</v>
      </c>
      <c r="U919" s="13">
        <v>60</v>
      </c>
      <c r="V919" t="s">
        <v>99</v>
      </c>
      <c r="X919" s="13">
        <v>262</v>
      </c>
    </row>
    <row r="920" spans="1:24" x14ac:dyDescent="0.25">
      <c r="A920" t="s">
        <v>1038</v>
      </c>
      <c r="B920" t="s">
        <v>62</v>
      </c>
      <c r="C920" t="s">
        <v>1004</v>
      </c>
      <c r="D920" t="s">
        <v>1005</v>
      </c>
      <c r="E920" t="s">
        <v>62</v>
      </c>
      <c r="F920" t="s">
        <v>94</v>
      </c>
      <c r="G920" t="s">
        <v>277</v>
      </c>
      <c r="H920" s="12">
        <v>6.1670337999999996</v>
      </c>
      <c r="I920" s="12">
        <v>-75.581835699999999</v>
      </c>
      <c r="K920" t="s">
        <v>97</v>
      </c>
      <c r="M920">
        <v>11</v>
      </c>
      <c r="P920" s="13">
        <v>262</v>
      </c>
      <c r="Q920" s="13">
        <v>66</v>
      </c>
      <c r="R920">
        <v>38</v>
      </c>
      <c r="S920">
        <v>54</v>
      </c>
      <c r="T920" s="13">
        <v>53</v>
      </c>
      <c r="U920" s="13">
        <v>47</v>
      </c>
      <c r="V920" t="s">
        <v>99</v>
      </c>
      <c r="X920" s="13">
        <v>262</v>
      </c>
    </row>
    <row r="921" spans="1:24" x14ac:dyDescent="0.25">
      <c r="A921" t="s">
        <v>1039</v>
      </c>
      <c r="B921" t="s">
        <v>62</v>
      </c>
      <c r="C921" t="s">
        <v>1004</v>
      </c>
      <c r="D921" t="s">
        <v>1005</v>
      </c>
      <c r="E921" t="s">
        <v>62</v>
      </c>
      <c r="F921" t="s">
        <v>94</v>
      </c>
      <c r="G921" t="s">
        <v>277</v>
      </c>
      <c r="H921" s="12">
        <v>6.1670337999999996</v>
      </c>
      <c r="I921" s="12">
        <v>-75.581835699999999</v>
      </c>
      <c r="K921" t="s">
        <v>97</v>
      </c>
      <c r="M921">
        <v>11</v>
      </c>
      <c r="P921" s="13">
        <v>262</v>
      </c>
      <c r="Q921" s="13">
        <v>59</v>
      </c>
      <c r="R921">
        <v>42</v>
      </c>
      <c r="S921">
        <v>46</v>
      </c>
      <c r="T921" s="13">
        <v>53</v>
      </c>
      <c r="U921" s="13">
        <v>80</v>
      </c>
      <c r="V921" t="s">
        <v>99</v>
      </c>
      <c r="X921" s="13">
        <v>262</v>
      </c>
    </row>
    <row r="922" spans="1:24" x14ac:dyDescent="0.25">
      <c r="A922" t="s">
        <v>1040</v>
      </c>
      <c r="B922" t="s">
        <v>62</v>
      </c>
      <c r="C922" t="s">
        <v>1004</v>
      </c>
      <c r="D922" t="s">
        <v>1005</v>
      </c>
      <c r="E922" t="s">
        <v>62</v>
      </c>
      <c r="F922" t="s">
        <v>94</v>
      </c>
      <c r="G922" t="s">
        <v>277</v>
      </c>
      <c r="H922" s="12">
        <v>6.1670337999999996</v>
      </c>
      <c r="I922" s="12">
        <v>-75.581835699999999</v>
      </c>
      <c r="K922" t="s">
        <v>97</v>
      </c>
      <c r="M922">
        <v>11</v>
      </c>
      <c r="P922" s="13">
        <v>261</v>
      </c>
      <c r="Q922" s="13">
        <v>51</v>
      </c>
      <c r="R922">
        <v>48</v>
      </c>
      <c r="S922">
        <v>52</v>
      </c>
      <c r="T922" s="13">
        <v>62</v>
      </c>
      <c r="U922" s="13">
        <v>40</v>
      </c>
      <c r="V922" t="s">
        <v>99</v>
      </c>
      <c r="X922" s="13">
        <v>261</v>
      </c>
    </row>
    <row r="923" spans="1:24" x14ac:dyDescent="0.25">
      <c r="A923" t="s">
        <v>1041</v>
      </c>
      <c r="B923" t="s">
        <v>62</v>
      </c>
      <c r="C923" t="s">
        <v>1004</v>
      </c>
      <c r="D923" t="s">
        <v>1005</v>
      </c>
      <c r="E923" t="s">
        <v>62</v>
      </c>
      <c r="F923" t="s">
        <v>94</v>
      </c>
      <c r="G923" t="s">
        <v>277</v>
      </c>
      <c r="H923" s="12">
        <v>6.1670337999999996</v>
      </c>
      <c r="I923" s="12">
        <v>-75.581835699999999</v>
      </c>
      <c r="K923" t="s">
        <v>97</v>
      </c>
      <c r="M923">
        <v>11</v>
      </c>
      <c r="P923" s="13">
        <v>261</v>
      </c>
      <c r="Q923" s="13">
        <v>61</v>
      </c>
      <c r="R923">
        <v>36</v>
      </c>
      <c r="S923">
        <v>50</v>
      </c>
      <c r="T923" s="13">
        <v>50</v>
      </c>
      <c r="U923" s="13">
        <v>87</v>
      </c>
      <c r="V923" t="s">
        <v>99</v>
      </c>
      <c r="X923" s="13">
        <v>261</v>
      </c>
    </row>
    <row r="924" spans="1:24" x14ac:dyDescent="0.25">
      <c r="A924" t="s">
        <v>1042</v>
      </c>
      <c r="B924" t="s">
        <v>62</v>
      </c>
      <c r="C924" t="s">
        <v>1004</v>
      </c>
      <c r="D924" t="s">
        <v>1005</v>
      </c>
      <c r="E924" t="s">
        <v>62</v>
      </c>
      <c r="F924" t="s">
        <v>94</v>
      </c>
      <c r="G924" t="s">
        <v>277</v>
      </c>
      <c r="H924" s="12">
        <v>6.1670337999999996</v>
      </c>
      <c r="I924" s="12">
        <v>-75.581835699999999</v>
      </c>
      <c r="K924" t="s">
        <v>97</v>
      </c>
      <c r="M924">
        <v>11</v>
      </c>
      <c r="P924" s="13">
        <v>260</v>
      </c>
      <c r="Q924" s="13">
        <v>51</v>
      </c>
      <c r="R924">
        <v>36</v>
      </c>
      <c r="S924">
        <v>60</v>
      </c>
      <c r="T924" s="13">
        <v>53</v>
      </c>
      <c r="U924" s="13">
        <v>73</v>
      </c>
      <c r="V924" t="s">
        <v>99</v>
      </c>
      <c r="X924" s="13">
        <v>260</v>
      </c>
    </row>
    <row r="925" spans="1:24" x14ac:dyDescent="0.25">
      <c r="A925" t="s">
        <v>1043</v>
      </c>
      <c r="B925" t="s">
        <v>62</v>
      </c>
      <c r="C925" t="s">
        <v>1004</v>
      </c>
      <c r="D925" t="s">
        <v>1005</v>
      </c>
      <c r="E925" t="s">
        <v>62</v>
      </c>
      <c r="F925" t="s">
        <v>94</v>
      </c>
      <c r="G925" t="s">
        <v>277</v>
      </c>
      <c r="H925" s="12">
        <v>6.1670337999999996</v>
      </c>
      <c r="I925" s="12">
        <v>-75.581835699999999</v>
      </c>
      <c r="K925" t="s">
        <v>97</v>
      </c>
      <c r="M925">
        <v>11</v>
      </c>
      <c r="P925" s="13">
        <v>256</v>
      </c>
      <c r="Q925" s="13">
        <v>63</v>
      </c>
      <c r="R925">
        <v>30</v>
      </c>
      <c r="S925">
        <v>60</v>
      </c>
      <c r="T925" s="13">
        <v>45</v>
      </c>
      <c r="U925" s="13">
        <v>71</v>
      </c>
      <c r="V925" t="s">
        <v>99</v>
      </c>
      <c r="X925" s="13">
        <v>256</v>
      </c>
    </row>
    <row r="926" spans="1:24" x14ac:dyDescent="0.25">
      <c r="A926" t="s">
        <v>1044</v>
      </c>
      <c r="B926" t="s">
        <v>62</v>
      </c>
      <c r="C926" t="s">
        <v>1004</v>
      </c>
      <c r="D926" t="s">
        <v>1005</v>
      </c>
      <c r="E926" t="s">
        <v>62</v>
      </c>
      <c r="F926" t="s">
        <v>94</v>
      </c>
      <c r="G926" t="s">
        <v>277</v>
      </c>
      <c r="H926" s="12">
        <v>6.1670337999999996</v>
      </c>
      <c r="I926" s="12">
        <v>-75.581835699999999</v>
      </c>
      <c r="K926" t="s">
        <v>97</v>
      </c>
      <c r="M926">
        <v>11</v>
      </c>
      <c r="P926" s="13">
        <v>256</v>
      </c>
      <c r="Q926" s="13">
        <v>59</v>
      </c>
      <c r="R926">
        <v>42</v>
      </c>
      <c r="S926">
        <v>50</v>
      </c>
      <c r="T926" s="13">
        <v>48</v>
      </c>
      <c r="U926" s="13">
        <v>69</v>
      </c>
      <c r="V926" t="s">
        <v>99</v>
      </c>
      <c r="X926" s="13">
        <v>256</v>
      </c>
    </row>
    <row r="927" spans="1:24" x14ac:dyDescent="0.25">
      <c r="A927" t="s">
        <v>1045</v>
      </c>
      <c r="B927" t="s">
        <v>62</v>
      </c>
      <c r="C927" t="s">
        <v>1004</v>
      </c>
      <c r="D927" t="s">
        <v>1005</v>
      </c>
      <c r="E927" t="s">
        <v>62</v>
      </c>
      <c r="F927" t="s">
        <v>94</v>
      </c>
      <c r="G927" t="s">
        <v>277</v>
      </c>
      <c r="H927" s="12">
        <v>6.1670337999999996</v>
      </c>
      <c r="I927" s="12">
        <v>-75.581835699999999</v>
      </c>
      <c r="K927" t="s">
        <v>97</v>
      </c>
      <c r="M927">
        <v>11</v>
      </c>
      <c r="P927" s="13">
        <v>253</v>
      </c>
      <c r="Q927" s="13">
        <v>56</v>
      </c>
      <c r="R927">
        <v>42</v>
      </c>
      <c r="S927">
        <v>52</v>
      </c>
      <c r="T927" s="13">
        <v>55</v>
      </c>
      <c r="U927" s="13">
        <v>42</v>
      </c>
      <c r="V927" t="s">
        <v>99</v>
      </c>
      <c r="X927" s="13">
        <v>253</v>
      </c>
    </row>
    <row r="928" spans="1:24" x14ac:dyDescent="0.25">
      <c r="A928" t="s">
        <v>1046</v>
      </c>
      <c r="B928" t="s">
        <v>62</v>
      </c>
      <c r="C928" t="s">
        <v>1004</v>
      </c>
      <c r="D928" t="s">
        <v>1005</v>
      </c>
      <c r="E928" t="s">
        <v>62</v>
      </c>
      <c r="F928" t="s">
        <v>94</v>
      </c>
      <c r="G928" t="s">
        <v>277</v>
      </c>
      <c r="H928" s="12">
        <v>6.1670337999999996</v>
      </c>
      <c r="I928" s="12">
        <v>-75.581835699999999</v>
      </c>
      <c r="K928" t="s">
        <v>97</v>
      </c>
      <c r="M928">
        <v>11</v>
      </c>
      <c r="P928" s="13">
        <v>252</v>
      </c>
      <c r="Q928" s="13">
        <v>61</v>
      </c>
      <c r="R928">
        <v>42</v>
      </c>
      <c r="S928">
        <v>44</v>
      </c>
      <c r="T928" s="13">
        <v>45</v>
      </c>
      <c r="U928" s="13">
        <v>80</v>
      </c>
      <c r="V928" t="s">
        <v>99</v>
      </c>
      <c r="X928" s="13">
        <v>252</v>
      </c>
    </row>
    <row r="929" spans="1:24" x14ac:dyDescent="0.25">
      <c r="A929" t="s">
        <v>1047</v>
      </c>
      <c r="B929" t="s">
        <v>62</v>
      </c>
      <c r="C929" t="s">
        <v>1004</v>
      </c>
      <c r="D929" t="s">
        <v>1005</v>
      </c>
      <c r="E929" t="s">
        <v>62</v>
      </c>
      <c r="F929" t="s">
        <v>94</v>
      </c>
      <c r="G929" t="s">
        <v>277</v>
      </c>
      <c r="H929" s="12">
        <v>6.1670337999999996</v>
      </c>
      <c r="I929" s="12">
        <v>-75.581835699999999</v>
      </c>
      <c r="K929" t="s">
        <v>97</v>
      </c>
      <c r="M929">
        <v>11</v>
      </c>
      <c r="P929" s="13">
        <v>245</v>
      </c>
      <c r="Q929" s="13">
        <v>76</v>
      </c>
      <c r="R929">
        <v>30</v>
      </c>
      <c r="S929">
        <v>42</v>
      </c>
      <c r="T929" s="13">
        <v>50</v>
      </c>
      <c r="U929" s="13">
        <v>45</v>
      </c>
      <c r="V929" t="s">
        <v>99</v>
      </c>
      <c r="X929" s="13">
        <v>245</v>
      </c>
    </row>
    <row r="930" spans="1:24" x14ac:dyDescent="0.25">
      <c r="A930" t="s">
        <v>1048</v>
      </c>
      <c r="B930" t="s">
        <v>62</v>
      </c>
      <c r="C930" t="s">
        <v>1004</v>
      </c>
      <c r="D930" t="s">
        <v>1005</v>
      </c>
      <c r="E930" t="s">
        <v>62</v>
      </c>
      <c r="F930" t="s">
        <v>94</v>
      </c>
      <c r="G930" t="s">
        <v>277</v>
      </c>
      <c r="H930" s="12">
        <v>6.1670337999999996</v>
      </c>
      <c r="I930" s="12">
        <v>-75.581835699999999</v>
      </c>
      <c r="K930" t="s">
        <v>97</v>
      </c>
      <c r="M930">
        <v>11</v>
      </c>
      <c r="P930" s="13">
        <v>245</v>
      </c>
      <c r="Q930" s="13">
        <v>44</v>
      </c>
      <c r="R930">
        <v>36</v>
      </c>
      <c r="S930">
        <v>58</v>
      </c>
      <c r="T930" s="13">
        <v>59</v>
      </c>
      <c r="U930" s="13">
        <v>47</v>
      </c>
      <c r="V930" t="s">
        <v>99</v>
      </c>
      <c r="X930" s="13">
        <v>245</v>
      </c>
    </row>
    <row r="931" spans="1:24" x14ac:dyDescent="0.25">
      <c r="A931" t="s">
        <v>1049</v>
      </c>
      <c r="B931" t="s">
        <v>62</v>
      </c>
      <c r="C931" t="s">
        <v>1004</v>
      </c>
      <c r="D931" t="s">
        <v>1005</v>
      </c>
      <c r="E931" t="s">
        <v>62</v>
      </c>
      <c r="F931" t="s">
        <v>94</v>
      </c>
      <c r="G931" t="s">
        <v>277</v>
      </c>
      <c r="H931" s="12">
        <v>6.1670337999999996</v>
      </c>
      <c r="I931" s="12">
        <v>-75.581835699999999</v>
      </c>
      <c r="K931" t="s">
        <v>97</v>
      </c>
      <c r="M931">
        <v>11</v>
      </c>
      <c r="P931" s="13">
        <v>244</v>
      </c>
      <c r="Q931" s="13">
        <v>49</v>
      </c>
      <c r="R931">
        <v>32</v>
      </c>
      <c r="S931">
        <v>70</v>
      </c>
      <c r="T931" s="13">
        <v>36</v>
      </c>
      <c r="U931" s="13">
        <v>73</v>
      </c>
      <c r="V931" t="s">
        <v>99</v>
      </c>
      <c r="X931" s="13">
        <v>244</v>
      </c>
    </row>
    <row r="932" spans="1:24" x14ac:dyDescent="0.25">
      <c r="A932" t="s">
        <v>1050</v>
      </c>
      <c r="B932" t="s">
        <v>62</v>
      </c>
      <c r="C932" t="s">
        <v>1004</v>
      </c>
      <c r="D932" t="s">
        <v>1005</v>
      </c>
      <c r="E932" t="s">
        <v>62</v>
      </c>
      <c r="F932" t="s">
        <v>94</v>
      </c>
      <c r="G932" t="s">
        <v>277</v>
      </c>
      <c r="H932" s="12">
        <v>6.1670337999999996</v>
      </c>
      <c r="I932" s="12">
        <v>-75.581835699999999</v>
      </c>
      <c r="K932" t="s">
        <v>97</v>
      </c>
      <c r="M932">
        <v>11</v>
      </c>
      <c r="P932" s="13">
        <v>243</v>
      </c>
      <c r="Q932" s="13">
        <v>0</v>
      </c>
      <c r="R932">
        <v>46</v>
      </c>
      <c r="S932">
        <v>82</v>
      </c>
      <c r="T932" s="13">
        <v>53</v>
      </c>
      <c r="U932" s="13">
        <v>87</v>
      </c>
      <c r="V932" t="s">
        <v>99</v>
      </c>
      <c r="X932" s="13">
        <v>243</v>
      </c>
    </row>
    <row r="933" spans="1:24" x14ac:dyDescent="0.25">
      <c r="A933" t="s">
        <v>1051</v>
      </c>
      <c r="B933" t="s">
        <v>62</v>
      </c>
      <c r="C933" t="s">
        <v>1004</v>
      </c>
      <c r="D933" t="s">
        <v>1005</v>
      </c>
      <c r="E933" t="s">
        <v>62</v>
      </c>
      <c r="F933" t="s">
        <v>94</v>
      </c>
      <c r="G933" t="s">
        <v>277</v>
      </c>
      <c r="H933" s="12">
        <v>6.1670337999999996</v>
      </c>
      <c r="I933" s="12">
        <v>-75.581835699999999</v>
      </c>
      <c r="K933" t="s">
        <v>97</v>
      </c>
      <c r="M933">
        <v>11</v>
      </c>
      <c r="P933" s="13">
        <v>242</v>
      </c>
      <c r="Q933" s="13">
        <v>49</v>
      </c>
      <c r="R933">
        <v>30</v>
      </c>
      <c r="S933">
        <v>52</v>
      </c>
      <c r="T933" s="13">
        <v>57</v>
      </c>
      <c r="U933" s="13">
        <v>67</v>
      </c>
      <c r="V933" t="s">
        <v>99</v>
      </c>
      <c r="X933" s="13">
        <v>242</v>
      </c>
    </row>
    <row r="934" spans="1:24" x14ac:dyDescent="0.25">
      <c r="A934" t="s">
        <v>1052</v>
      </c>
      <c r="B934" t="s">
        <v>62</v>
      </c>
      <c r="C934" t="s">
        <v>1004</v>
      </c>
      <c r="D934" t="s">
        <v>1005</v>
      </c>
      <c r="E934" t="s">
        <v>62</v>
      </c>
      <c r="F934" t="s">
        <v>94</v>
      </c>
      <c r="G934" t="s">
        <v>277</v>
      </c>
      <c r="H934" s="12">
        <v>6.1670337999999996</v>
      </c>
      <c r="I934" s="12">
        <v>-75.581835699999999</v>
      </c>
      <c r="K934" t="s">
        <v>97</v>
      </c>
      <c r="M934">
        <v>11</v>
      </c>
      <c r="P934" s="13">
        <v>241</v>
      </c>
      <c r="Q934" s="13">
        <v>59</v>
      </c>
      <c r="R934">
        <v>36</v>
      </c>
      <c r="S934">
        <v>54</v>
      </c>
      <c r="T934" s="13">
        <v>43</v>
      </c>
      <c r="U934" s="13">
        <v>51</v>
      </c>
      <c r="V934" t="s">
        <v>99</v>
      </c>
      <c r="X934" s="13">
        <v>241</v>
      </c>
    </row>
    <row r="935" spans="1:24" x14ac:dyDescent="0.25">
      <c r="A935" t="s">
        <v>1053</v>
      </c>
      <c r="B935" t="s">
        <v>62</v>
      </c>
      <c r="C935" t="s">
        <v>1004</v>
      </c>
      <c r="D935" t="s">
        <v>1005</v>
      </c>
      <c r="E935" t="s">
        <v>62</v>
      </c>
      <c r="F935" t="s">
        <v>94</v>
      </c>
      <c r="G935" t="s">
        <v>277</v>
      </c>
      <c r="H935" s="12">
        <v>6.1670337999999996</v>
      </c>
      <c r="I935" s="12">
        <v>-75.581835699999999</v>
      </c>
      <c r="K935" t="s">
        <v>97</v>
      </c>
      <c r="M935">
        <v>11</v>
      </c>
      <c r="P935" s="13">
        <v>240</v>
      </c>
      <c r="Q935" s="13">
        <v>66</v>
      </c>
      <c r="R935">
        <v>40</v>
      </c>
      <c r="S935">
        <v>38</v>
      </c>
      <c r="T935" s="13">
        <v>45</v>
      </c>
      <c r="U935" s="13">
        <v>58</v>
      </c>
      <c r="V935" t="s">
        <v>99</v>
      </c>
      <c r="X935" s="13">
        <v>240</v>
      </c>
    </row>
    <row r="936" spans="1:24" x14ac:dyDescent="0.25">
      <c r="A936" t="s">
        <v>1054</v>
      </c>
      <c r="B936" t="s">
        <v>62</v>
      </c>
      <c r="C936" t="s">
        <v>1004</v>
      </c>
      <c r="D936" t="s">
        <v>1005</v>
      </c>
      <c r="E936" t="s">
        <v>62</v>
      </c>
      <c r="F936" t="s">
        <v>94</v>
      </c>
      <c r="G936" t="s">
        <v>277</v>
      </c>
      <c r="H936" s="12">
        <v>6.1670337999999996</v>
      </c>
      <c r="I936" s="12">
        <v>-75.581835699999999</v>
      </c>
      <c r="K936" t="s">
        <v>97</v>
      </c>
      <c r="M936">
        <v>11</v>
      </c>
      <c r="P936" s="13">
        <v>239</v>
      </c>
      <c r="Q936" s="13">
        <v>46</v>
      </c>
      <c r="R936">
        <v>42</v>
      </c>
      <c r="S936">
        <v>46</v>
      </c>
      <c r="T936" s="13">
        <v>57</v>
      </c>
      <c r="U936" s="13">
        <v>47</v>
      </c>
      <c r="V936" t="s">
        <v>99</v>
      </c>
      <c r="X936" s="13">
        <v>239</v>
      </c>
    </row>
    <row r="937" spans="1:24" x14ac:dyDescent="0.25">
      <c r="A937" t="s">
        <v>1055</v>
      </c>
      <c r="B937" t="s">
        <v>62</v>
      </c>
      <c r="C937" t="s">
        <v>1004</v>
      </c>
      <c r="D937" t="s">
        <v>1005</v>
      </c>
      <c r="E937" t="s">
        <v>62</v>
      </c>
      <c r="F937" t="s">
        <v>94</v>
      </c>
      <c r="G937" t="s">
        <v>277</v>
      </c>
      <c r="H937" s="12">
        <v>6.1670337999999996</v>
      </c>
      <c r="I937" s="12">
        <v>-75.581835699999999</v>
      </c>
      <c r="K937" t="s">
        <v>97</v>
      </c>
      <c r="M937">
        <v>11</v>
      </c>
      <c r="P937" s="13">
        <v>238</v>
      </c>
      <c r="Q937" s="13">
        <v>63</v>
      </c>
      <c r="R937">
        <v>32</v>
      </c>
      <c r="S937">
        <v>56</v>
      </c>
      <c r="T937" s="13">
        <v>40</v>
      </c>
      <c r="U937" s="13">
        <v>45</v>
      </c>
      <c r="V937" t="s">
        <v>99</v>
      </c>
      <c r="X937" s="13">
        <v>238</v>
      </c>
    </row>
    <row r="938" spans="1:24" x14ac:dyDescent="0.25">
      <c r="A938" t="s">
        <v>1056</v>
      </c>
      <c r="B938" t="s">
        <v>62</v>
      </c>
      <c r="C938" t="s">
        <v>1004</v>
      </c>
      <c r="D938" t="s">
        <v>1005</v>
      </c>
      <c r="E938" t="s">
        <v>62</v>
      </c>
      <c r="F938" t="s">
        <v>94</v>
      </c>
      <c r="G938" t="s">
        <v>277</v>
      </c>
      <c r="H938" s="12">
        <v>6.1670337999999996</v>
      </c>
      <c r="I938" s="12">
        <v>-75.581835699999999</v>
      </c>
      <c r="K938" t="s">
        <v>97</v>
      </c>
      <c r="M938">
        <v>11</v>
      </c>
      <c r="P938" s="13">
        <v>238</v>
      </c>
      <c r="Q938" s="13">
        <v>59</v>
      </c>
      <c r="R938">
        <v>36</v>
      </c>
      <c r="S938">
        <v>64</v>
      </c>
      <c r="T938" s="13">
        <v>31</v>
      </c>
      <c r="U938" s="13">
        <v>49</v>
      </c>
      <c r="V938" t="s">
        <v>99</v>
      </c>
      <c r="X938" s="13">
        <v>238</v>
      </c>
    </row>
    <row r="939" spans="1:24" x14ac:dyDescent="0.25">
      <c r="A939" t="s">
        <v>1057</v>
      </c>
      <c r="B939" t="s">
        <v>62</v>
      </c>
      <c r="C939" t="s">
        <v>1004</v>
      </c>
      <c r="D939" t="s">
        <v>1005</v>
      </c>
      <c r="E939" t="s">
        <v>62</v>
      </c>
      <c r="F939" t="s">
        <v>94</v>
      </c>
      <c r="G939" t="s">
        <v>277</v>
      </c>
      <c r="H939" s="12">
        <v>6.1670337999999996</v>
      </c>
      <c r="I939" s="12">
        <v>-75.581835699999999</v>
      </c>
      <c r="K939" t="s">
        <v>97</v>
      </c>
      <c r="M939">
        <v>11</v>
      </c>
      <c r="P939" s="13">
        <v>236</v>
      </c>
      <c r="Q939" s="13">
        <v>68</v>
      </c>
      <c r="R939">
        <v>20</v>
      </c>
      <c r="S939">
        <v>46</v>
      </c>
      <c r="T939" s="13">
        <v>50</v>
      </c>
      <c r="U939" s="13">
        <v>60</v>
      </c>
      <c r="V939" t="s">
        <v>99</v>
      </c>
      <c r="X939" s="13">
        <v>236</v>
      </c>
    </row>
    <row r="940" spans="1:24" x14ac:dyDescent="0.25">
      <c r="A940" t="s">
        <v>1058</v>
      </c>
      <c r="B940" t="s">
        <v>62</v>
      </c>
      <c r="C940" t="s">
        <v>1004</v>
      </c>
      <c r="D940" t="s">
        <v>1005</v>
      </c>
      <c r="E940" t="s">
        <v>62</v>
      </c>
      <c r="F940" t="s">
        <v>94</v>
      </c>
      <c r="G940" t="s">
        <v>277</v>
      </c>
      <c r="H940" s="12">
        <v>6.1670337999999996</v>
      </c>
      <c r="I940" s="12">
        <v>-75.581835699999999</v>
      </c>
      <c r="K940" t="s">
        <v>97</v>
      </c>
      <c r="M940">
        <v>11</v>
      </c>
      <c r="P940" s="13">
        <v>233</v>
      </c>
      <c r="Q940" s="13">
        <v>51</v>
      </c>
      <c r="R940">
        <v>32</v>
      </c>
      <c r="S940">
        <v>52</v>
      </c>
      <c r="T940" s="13">
        <v>50</v>
      </c>
      <c r="U940" s="13">
        <v>51</v>
      </c>
      <c r="V940" t="s">
        <v>99</v>
      </c>
      <c r="X940" s="13">
        <v>233</v>
      </c>
    </row>
    <row r="941" spans="1:24" x14ac:dyDescent="0.25">
      <c r="A941" t="s">
        <v>1059</v>
      </c>
      <c r="B941" t="s">
        <v>62</v>
      </c>
      <c r="C941" t="s">
        <v>1004</v>
      </c>
      <c r="D941" t="s">
        <v>1005</v>
      </c>
      <c r="E941" t="s">
        <v>62</v>
      </c>
      <c r="F941" t="s">
        <v>94</v>
      </c>
      <c r="G941" t="s">
        <v>277</v>
      </c>
      <c r="H941" s="12">
        <v>6.1670337999999996</v>
      </c>
      <c r="I941" s="12">
        <v>-75.581835699999999</v>
      </c>
      <c r="K941" t="s">
        <v>97</v>
      </c>
      <c r="M941">
        <v>11</v>
      </c>
      <c r="P941" s="13">
        <v>229</v>
      </c>
      <c r="Q941" s="13">
        <v>61</v>
      </c>
      <c r="R941">
        <v>34</v>
      </c>
      <c r="S941">
        <v>56</v>
      </c>
      <c r="T941" s="13">
        <v>34</v>
      </c>
      <c r="U941" s="13">
        <v>40</v>
      </c>
      <c r="V941" t="s">
        <v>99</v>
      </c>
      <c r="X941" s="13">
        <v>229</v>
      </c>
    </row>
    <row r="942" spans="1:24" x14ac:dyDescent="0.25">
      <c r="A942" t="s">
        <v>1060</v>
      </c>
      <c r="B942" t="s">
        <v>62</v>
      </c>
      <c r="C942" t="s">
        <v>1004</v>
      </c>
      <c r="D942" t="s">
        <v>1005</v>
      </c>
      <c r="E942" t="s">
        <v>62</v>
      </c>
      <c r="F942" t="s">
        <v>94</v>
      </c>
      <c r="G942" t="s">
        <v>277</v>
      </c>
      <c r="H942" s="12">
        <v>6.1670337999999996</v>
      </c>
      <c r="I942" s="12">
        <v>-75.581835699999999</v>
      </c>
      <c r="K942" t="s">
        <v>97</v>
      </c>
      <c r="M942">
        <v>11</v>
      </c>
      <c r="P942" s="13">
        <v>228</v>
      </c>
      <c r="Q942" s="13">
        <v>66</v>
      </c>
      <c r="R942">
        <v>44</v>
      </c>
      <c r="S942">
        <v>36</v>
      </c>
      <c r="T942" s="13">
        <v>34</v>
      </c>
      <c r="U942" s="13">
        <v>53</v>
      </c>
      <c r="V942" t="s">
        <v>99</v>
      </c>
      <c r="X942" s="13">
        <v>228</v>
      </c>
    </row>
    <row r="943" spans="1:24" x14ac:dyDescent="0.25">
      <c r="A943" t="s">
        <v>1061</v>
      </c>
      <c r="B943" t="s">
        <v>62</v>
      </c>
      <c r="C943" t="s">
        <v>1004</v>
      </c>
      <c r="D943" t="s">
        <v>1005</v>
      </c>
      <c r="E943" t="s">
        <v>62</v>
      </c>
      <c r="F943" t="s">
        <v>94</v>
      </c>
      <c r="G943" t="s">
        <v>277</v>
      </c>
      <c r="H943" s="12">
        <v>6.1670337999999996</v>
      </c>
      <c r="I943" s="12">
        <v>-75.581835699999999</v>
      </c>
      <c r="K943" t="s">
        <v>97</v>
      </c>
      <c r="M943">
        <v>11</v>
      </c>
      <c r="P943" s="13">
        <v>225</v>
      </c>
      <c r="Q943" s="13">
        <v>56</v>
      </c>
      <c r="R943">
        <v>40</v>
      </c>
      <c r="S943">
        <v>32</v>
      </c>
      <c r="T943" s="13">
        <v>55</v>
      </c>
      <c r="U943" s="13">
        <v>36</v>
      </c>
      <c r="V943" t="s">
        <v>99</v>
      </c>
      <c r="X943" s="13">
        <v>225</v>
      </c>
    </row>
    <row r="944" spans="1:24" x14ac:dyDescent="0.25">
      <c r="A944" t="s">
        <v>1062</v>
      </c>
      <c r="B944" t="s">
        <v>62</v>
      </c>
      <c r="C944" t="s">
        <v>1004</v>
      </c>
      <c r="D944" t="s">
        <v>1005</v>
      </c>
      <c r="E944" t="s">
        <v>62</v>
      </c>
      <c r="F944" t="s">
        <v>94</v>
      </c>
      <c r="G944" t="s">
        <v>277</v>
      </c>
      <c r="H944" s="12">
        <v>6.1670337999999996</v>
      </c>
      <c r="I944" s="12">
        <v>-75.581835699999999</v>
      </c>
      <c r="K944" t="s">
        <v>97</v>
      </c>
      <c r="M944">
        <v>11</v>
      </c>
      <c r="P944" s="13">
        <v>223</v>
      </c>
      <c r="Q944" s="13">
        <v>56</v>
      </c>
      <c r="R944">
        <v>26</v>
      </c>
      <c r="S944">
        <v>64</v>
      </c>
      <c r="T944" s="13">
        <v>34</v>
      </c>
      <c r="U944" s="13">
        <v>38</v>
      </c>
      <c r="V944" t="s">
        <v>99</v>
      </c>
      <c r="X944" s="13">
        <v>223</v>
      </c>
    </row>
    <row r="945" spans="1:24" x14ac:dyDescent="0.25">
      <c r="A945" t="s">
        <v>1063</v>
      </c>
      <c r="B945" t="s">
        <v>62</v>
      </c>
      <c r="C945" t="s">
        <v>1004</v>
      </c>
      <c r="D945" t="s">
        <v>1005</v>
      </c>
      <c r="E945" t="s">
        <v>62</v>
      </c>
      <c r="F945" t="s">
        <v>94</v>
      </c>
      <c r="G945" t="s">
        <v>277</v>
      </c>
      <c r="H945" s="12">
        <v>6.1670337999999996</v>
      </c>
      <c r="I945" s="12">
        <v>-75.581835699999999</v>
      </c>
      <c r="K945" t="s">
        <v>97</v>
      </c>
      <c r="M945">
        <v>11</v>
      </c>
      <c r="P945" s="13">
        <v>223</v>
      </c>
      <c r="Q945" s="13">
        <v>61</v>
      </c>
      <c r="R945">
        <v>32</v>
      </c>
      <c r="S945">
        <v>44</v>
      </c>
      <c r="T945" s="13">
        <v>40</v>
      </c>
      <c r="U945" s="13">
        <v>49</v>
      </c>
      <c r="V945" t="s">
        <v>99</v>
      </c>
      <c r="X945" s="13">
        <v>223</v>
      </c>
    </row>
    <row r="946" spans="1:24" x14ac:dyDescent="0.25">
      <c r="A946" t="s">
        <v>1064</v>
      </c>
      <c r="B946" t="s">
        <v>62</v>
      </c>
      <c r="C946" t="s">
        <v>1004</v>
      </c>
      <c r="D946" t="s">
        <v>1005</v>
      </c>
      <c r="E946" t="s">
        <v>62</v>
      </c>
      <c r="F946" t="s">
        <v>94</v>
      </c>
      <c r="G946" t="s">
        <v>277</v>
      </c>
      <c r="H946" s="12">
        <v>6.1670337999999996</v>
      </c>
      <c r="I946" s="12">
        <v>-75.581835699999999</v>
      </c>
      <c r="K946" t="s">
        <v>97</v>
      </c>
      <c r="M946">
        <v>11</v>
      </c>
      <c r="P946" s="13">
        <v>221</v>
      </c>
      <c r="Q946" s="13">
        <v>54</v>
      </c>
      <c r="R946">
        <v>28</v>
      </c>
      <c r="S946">
        <v>62</v>
      </c>
      <c r="T946" s="13">
        <v>38</v>
      </c>
      <c r="U946" s="13">
        <v>31</v>
      </c>
      <c r="V946" t="s">
        <v>99</v>
      </c>
      <c r="X946" s="13">
        <v>221</v>
      </c>
    </row>
    <row r="947" spans="1:24" x14ac:dyDescent="0.25">
      <c r="A947" t="s">
        <v>1065</v>
      </c>
      <c r="B947" t="s">
        <v>62</v>
      </c>
      <c r="C947" t="s">
        <v>1004</v>
      </c>
      <c r="D947" t="s">
        <v>1005</v>
      </c>
      <c r="E947" t="s">
        <v>62</v>
      </c>
      <c r="F947" t="s">
        <v>94</v>
      </c>
      <c r="G947" t="s">
        <v>277</v>
      </c>
      <c r="H947" s="12">
        <v>6.1670337999999996</v>
      </c>
      <c r="I947" s="12">
        <v>-75.581835699999999</v>
      </c>
      <c r="K947" t="s">
        <v>97</v>
      </c>
      <c r="M947">
        <v>11</v>
      </c>
      <c r="P947" s="13">
        <v>220</v>
      </c>
      <c r="Q947" s="13">
        <v>54</v>
      </c>
      <c r="R947">
        <v>46</v>
      </c>
      <c r="S947">
        <v>42</v>
      </c>
      <c r="T947" s="13">
        <v>34</v>
      </c>
      <c r="U947" s="13">
        <v>44</v>
      </c>
      <c r="V947" t="s">
        <v>99</v>
      </c>
      <c r="X947" s="13">
        <v>220</v>
      </c>
    </row>
    <row r="948" spans="1:24" x14ac:dyDescent="0.25">
      <c r="A948" t="s">
        <v>1066</v>
      </c>
      <c r="B948" t="s">
        <v>62</v>
      </c>
      <c r="C948" t="s">
        <v>1004</v>
      </c>
      <c r="D948" t="s">
        <v>1005</v>
      </c>
      <c r="E948" t="s">
        <v>62</v>
      </c>
      <c r="F948" t="s">
        <v>94</v>
      </c>
      <c r="G948" t="s">
        <v>277</v>
      </c>
      <c r="H948" s="12">
        <v>6.1670337999999996</v>
      </c>
      <c r="I948" s="12">
        <v>-75.581835699999999</v>
      </c>
      <c r="K948" t="s">
        <v>97</v>
      </c>
      <c r="M948">
        <v>11</v>
      </c>
      <c r="P948" s="13">
        <v>220</v>
      </c>
      <c r="Q948" s="13">
        <v>54</v>
      </c>
      <c r="R948">
        <v>30</v>
      </c>
      <c r="S948">
        <v>52</v>
      </c>
      <c r="T948" s="13">
        <v>36</v>
      </c>
      <c r="U948" s="13">
        <v>56</v>
      </c>
      <c r="V948" t="s">
        <v>99</v>
      </c>
      <c r="X948" s="13">
        <v>220</v>
      </c>
    </row>
    <row r="949" spans="1:24" x14ac:dyDescent="0.25">
      <c r="A949" t="s">
        <v>1067</v>
      </c>
      <c r="B949" t="s">
        <v>62</v>
      </c>
      <c r="C949" t="s">
        <v>1004</v>
      </c>
      <c r="D949" t="s">
        <v>1005</v>
      </c>
      <c r="E949" t="s">
        <v>62</v>
      </c>
      <c r="F949" t="s">
        <v>94</v>
      </c>
      <c r="G949" t="s">
        <v>277</v>
      </c>
      <c r="H949" s="12">
        <v>6.1670337999999996</v>
      </c>
      <c r="I949" s="12">
        <v>-75.581835699999999</v>
      </c>
      <c r="K949" t="s">
        <v>97</v>
      </c>
      <c r="M949">
        <v>11</v>
      </c>
      <c r="P949" s="13">
        <v>218</v>
      </c>
      <c r="Q949" s="13">
        <v>44</v>
      </c>
      <c r="R949">
        <v>46</v>
      </c>
      <c r="S949">
        <v>42</v>
      </c>
      <c r="T949" s="13">
        <v>40</v>
      </c>
      <c r="U949" s="13">
        <v>53</v>
      </c>
      <c r="V949" t="s">
        <v>99</v>
      </c>
      <c r="X949" s="13">
        <v>218</v>
      </c>
    </row>
    <row r="950" spans="1:24" x14ac:dyDescent="0.25">
      <c r="A950" t="s">
        <v>1068</v>
      </c>
      <c r="B950" t="s">
        <v>62</v>
      </c>
      <c r="C950" t="s">
        <v>1004</v>
      </c>
      <c r="D950" t="s">
        <v>1005</v>
      </c>
      <c r="E950" t="s">
        <v>62</v>
      </c>
      <c r="F950" t="s">
        <v>94</v>
      </c>
      <c r="G950" t="s">
        <v>277</v>
      </c>
      <c r="H950" s="12">
        <v>6.1670337999999996</v>
      </c>
      <c r="I950" s="12">
        <v>-75.581835699999999</v>
      </c>
      <c r="K950" t="s">
        <v>97</v>
      </c>
      <c r="M950">
        <v>11</v>
      </c>
      <c r="P950" s="13">
        <v>217</v>
      </c>
      <c r="Q950" s="13">
        <v>54</v>
      </c>
      <c r="R950">
        <v>48</v>
      </c>
      <c r="S950">
        <v>36</v>
      </c>
      <c r="T950" s="13">
        <v>36</v>
      </c>
      <c r="U950" s="13">
        <v>44</v>
      </c>
      <c r="V950" t="s">
        <v>99</v>
      </c>
      <c r="X950" s="13">
        <v>217</v>
      </c>
    </row>
    <row r="951" spans="1:24" x14ac:dyDescent="0.25">
      <c r="A951" t="s">
        <v>1069</v>
      </c>
      <c r="B951" t="s">
        <v>62</v>
      </c>
      <c r="C951" t="s">
        <v>1004</v>
      </c>
      <c r="D951" t="s">
        <v>1005</v>
      </c>
      <c r="E951" t="s">
        <v>62</v>
      </c>
      <c r="F951" t="s">
        <v>94</v>
      </c>
      <c r="G951" t="s">
        <v>277</v>
      </c>
      <c r="H951" s="12">
        <v>6.1670337999999996</v>
      </c>
      <c r="I951" s="12">
        <v>-75.581835699999999</v>
      </c>
      <c r="K951" t="s">
        <v>97</v>
      </c>
      <c r="M951">
        <v>11</v>
      </c>
      <c r="P951" s="13">
        <v>216</v>
      </c>
      <c r="Q951" s="13">
        <v>44</v>
      </c>
      <c r="R951">
        <v>30</v>
      </c>
      <c r="S951">
        <v>56</v>
      </c>
      <c r="T951" s="13">
        <v>47</v>
      </c>
      <c r="U951" s="13">
        <v>33</v>
      </c>
      <c r="V951" t="s">
        <v>99</v>
      </c>
      <c r="X951" s="13">
        <v>216</v>
      </c>
    </row>
    <row r="952" spans="1:24" x14ac:dyDescent="0.25">
      <c r="A952" t="s">
        <v>1070</v>
      </c>
      <c r="B952" t="s">
        <v>62</v>
      </c>
      <c r="C952" t="s">
        <v>1004</v>
      </c>
      <c r="D952" t="s">
        <v>1005</v>
      </c>
      <c r="E952" t="s">
        <v>62</v>
      </c>
      <c r="F952" t="s">
        <v>94</v>
      </c>
      <c r="G952" t="s">
        <v>277</v>
      </c>
      <c r="H952" s="12">
        <v>6.1670337999999996</v>
      </c>
      <c r="I952" s="12">
        <v>-75.581835699999999</v>
      </c>
      <c r="K952" t="s">
        <v>97</v>
      </c>
      <c r="M952">
        <v>11</v>
      </c>
      <c r="P952" s="13">
        <v>216</v>
      </c>
      <c r="Q952" s="13">
        <v>71</v>
      </c>
      <c r="R952">
        <v>26</v>
      </c>
      <c r="S952">
        <v>52</v>
      </c>
      <c r="T952" s="13">
        <v>24</v>
      </c>
      <c r="U952" s="13">
        <v>42</v>
      </c>
      <c r="V952" t="s">
        <v>99</v>
      </c>
      <c r="X952" s="13">
        <v>216</v>
      </c>
    </row>
    <row r="953" spans="1:24" x14ac:dyDescent="0.25">
      <c r="A953" t="s">
        <v>1071</v>
      </c>
      <c r="B953" t="s">
        <v>62</v>
      </c>
      <c r="C953" t="s">
        <v>1004</v>
      </c>
      <c r="D953" t="s">
        <v>1005</v>
      </c>
      <c r="E953" t="s">
        <v>62</v>
      </c>
      <c r="F953" t="s">
        <v>94</v>
      </c>
      <c r="G953" t="s">
        <v>277</v>
      </c>
      <c r="H953" s="12">
        <v>6.1670337999999996</v>
      </c>
      <c r="I953" s="12">
        <v>-75.581835699999999</v>
      </c>
      <c r="K953" t="s">
        <v>97</v>
      </c>
      <c r="M953">
        <v>11</v>
      </c>
      <c r="P953" s="13">
        <v>215</v>
      </c>
      <c r="Q953" s="13">
        <v>56</v>
      </c>
      <c r="R953">
        <v>52</v>
      </c>
      <c r="S953">
        <v>40</v>
      </c>
      <c r="T953" s="13">
        <v>17</v>
      </c>
      <c r="U953" s="13">
        <v>64</v>
      </c>
      <c r="V953" t="s">
        <v>99</v>
      </c>
      <c r="X953" s="13">
        <v>215</v>
      </c>
    </row>
    <row r="954" spans="1:24" x14ac:dyDescent="0.25">
      <c r="A954" t="s">
        <v>1072</v>
      </c>
      <c r="B954" t="s">
        <v>62</v>
      </c>
      <c r="C954" t="s">
        <v>1004</v>
      </c>
      <c r="D954" t="s">
        <v>1005</v>
      </c>
      <c r="E954" t="s">
        <v>62</v>
      </c>
      <c r="F954" t="s">
        <v>94</v>
      </c>
      <c r="G954" t="s">
        <v>277</v>
      </c>
      <c r="H954" s="12">
        <v>6.1670337999999996</v>
      </c>
      <c r="I954" s="12">
        <v>-75.581835699999999</v>
      </c>
      <c r="K954" t="s">
        <v>97</v>
      </c>
      <c r="M954">
        <v>11</v>
      </c>
      <c r="P954" s="13">
        <v>214</v>
      </c>
      <c r="Q954" s="13">
        <v>56</v>
      </c>
      <c r="R954">
        <v>38</v>
      </c>
      <c r="S954">
        <v>40</v>
      </c>
      <c r="T954" s="13">
        <v>33</v>
      </c>
      <c r="U954" s="13">
        <v>56</v>
      </c>
      <c r="V954" t="s">
        <v>99</v>
      </c>
      <c r="X954" s="13">
        <v>214</v>
      </c>
    </row>
    <row r="955" spans="1:24" x14ac:dyDescent="0.25">
      <c r="A955" t="s">
        <v>1073</v>
      </c>
      <c r="B955" t="s">
        <v>62</v>
      </c>
      <c r="C955" t="s">
        <v>1004</v>
      </c>
      <c r="D955" t="s">
        <v>1005</v>
      </c>
      <c r="E955" t="s">
        <v>62</v>
      </c>
      <c r="F955" t="s">
        <v>94</v>
      </c>
      <c r="G955" t="s">
        <v>277</v>
      </c>
      <c r="H955" s="12">
        <v>6.1670337999999996</v>
      </c>
      <c r="I955" s="12">
        <v>-75.581835699999999</v>
      </c>
      <c r="K955" t="s">
        <v>97</v>
      </c>
      <c r="M955">
        <v>11</v>
      </c>
      <c r="P955" s="13">
        <v>214</v>
      </c>
      <c r="Q955" s="13">
        <v>46</v>
      </c>
      <c r="R955">
        <v>34</v>
      </c>
      <c r="S955">
        <v>50</v>
      </c>
      <c r="T955" s="13">
        <v>40</v>
      </c>
      <c r="U955" s="13">
        <v>45</v>
      </c>
      <c r="V955" t="s">
        <v>99</v>
      </c>
      <c r="X955" s="13">
        <v>214</v>
      </c>
    </row>
    <row r="956" spans="1:24" x14ac:dyDescent="0.25">
      <c r="A956" t="s">
        <v>1074</v>
      </c>
      <c r="B956" t="s">
        <v>62</v>
      </c>
      <c r="C956" t="s">
        <v>1004</v>
      </c>
      <c r="D956" t="s">
        <v>1005</v>
      </c>
      <c r="E956" t="s">
        <v>62</v>
      </c>
      <c r="F956" t="s">
        <v>94</v>
      </c>
      <c r="G956" t="s">
        <v>277</v>
      </c>
      <c r="H956" s="12">
        <v>6.1670337999999996</v>
      </c>
      <c r="I956" s="12">
        <v>-75.581835699999999</v>
      </c>
      <c r="K956" t="s">
        <v>97</v>
      </c>
      <c r="M956">
        <v>11</v>
      </c>
      <c r="P956" s="13">
        <v>212</v>
      </c>
      <c r="Q956" s="13">
        <v>49</v>
      </c>
      <c r="R956">
        <v>36</v>
      </c>
      <c r="S956">
        <v>28</v>
      </c>
      <c r="T956" s="13">
        <v>48</v>
      </c>
      <c r="U956" s="13">
        <v>67</v>
      </c>
      <c r="V956" t="s">
        <v>99</v>
      </c>
      <c r="X956" s="13">
        <v>212</v>
      </c>
    </row>
    <row r="957" spans="1:24" x14ac:dyDescent="0.25">
      <c r="A957" t="s">
        <v>1075</v>
      </c>
      <c r="B957" t="s">
        <v>62</v>
      </c>
      <c r="C957" t="s">
        <v>1004</v>
      </c>
      <c r="D957" t="s">
        <v>1005</v>
      </c>
      <c r="E957" t="s">
        <v>62</v>
      </c>
      <c r="F957" t="s">
        <v>94</v>
      </c>
      <c r="G957" t="s">
        <v>277</v>
      </c>
      <c r="H957" s="12">
        <v>6.1670337999999996</v>
      </c>
      <c r="I957" s="12">
        <v>-75.581835699999999</v>
      </c>
      <c r="K957" t="s">
        <v>97</v>
      </c>
      <c r="M957">
        <v>11</v>
      </c>
      <c r="P957" s="13">
        <v>210</v>
      </c>
      <c r="Q957" s="13">
        <v>44</v>
      </c>
      <c r="R957">
        <v>16</v>
      </c>
      <c r="S957">
        <v>54</v>
      </c>
      <c r="T957" s="13">
        <v>50</v>
      </c>
      <c r="U957" s="13">
        <v>55</v>
      </c>
      <c r="V957" t="s">
        <v>99</v>
      </c>
      <c r="X957" s="13">
        <v>210</v>
      </c>
    </row>
    <row r="958" spans="1:24" x14ac:dyDescent="0.25">
      <c r="A958" t="s">
        <v>1076</v>
      </c>
      <c r="B958" t="s">
        <v>62</v>
      </c>
      <c r="C958" t="s">
        <v>1004</v>
      </c>
      <c r="D958" t="s">
        <v>1005</v>
      </c>
      <c r="E958" t="s">
        <v>62</v>
      </c>
      <c r="F958" t="s">
        <v>94</v>
      </c>
      <c r="G958" t="s">
        <v>277</v>
      </c>
      <c r="H958" s="12">
        <v>6.1670337999999996</v>
      </c>
      <c r="I958" s="12">
        <v>-75.581835699999999</v>
      </c>
      <c r="K958" t="s">
        <v>97</v>
      </c>
      <c r="M958">
        <v>11</v>
      </c>
      <c r="P958" s="13">
        <v>210</v>
      </c>
      <c r="Q958" s="13">
        <v>59</v>
      </c>
      <c r="R958">
        <v>30</v>
      </c>
      <c r="S958">
        <v>50</v>
      </c>
      <c r="T958" s="13">
        <v>31</v>
      </c>
      <c r="U958" s="13">
        <v>36</v>
      </c>
      <c r="V958" t="s">
        <v>99</v>
      </c>
      <c r="X958" s="13">
        <v>210</v>
      </c>
    </row>
    <row r="959" spans="1:24" x14ac:dyDescent="0.25">
      <c r="A959" t="s">
        <v>1077</v>
      </c>
      <c r="B959" t="s">
        <v>62</v>
      </c>
      <c r="C959" t="s">
        <v>1004</v>
      </c>
      <c r="D959" t="s">
        <v>1005</v>
      </c>
      <c r="E959" t="s">
        <v>62</v>
      </c>
      <c r="F959" t="s">
        <v>94</v>
      </c>
      <c r="G959" t="s">
        <v>277</v>
      </c>
      <c r="H959" s="12">
        <v>6.1670337999999996</v>
      </c>
      <c r="I959" s="12">
        <v>-75.581835699999999</v>
      </c>
      <c r="K959" t="s">
        <v>97</v>
      </c>
      <c r="M959">
        <v>11</v>
      </c>
      <c r="P959" s="13">
        <v>209</v>
      </c>
      <c r="Q959" s="13">
        <v>54</v>
      </c>
      <c r="R959">
        <v>34</v>
      </c>
      <c r="S959">
        <v>24</v>
      </c>
      <c r="T959" s="13">
        <v>55</v>
      </c>
      <c r="U959" s="13">
        <v>42</v>
      </c>
      <c r="V959" t="s">
        <v>99</v>
      </c>
      <c r="X959" s="13">
        <v>209</v>
      </c>
    </row>
    <row r="960" spans="1:24" x14ac:dyDescent="0.25">
      <c r="A960" t="s">
        <v>1078</v>
      </c>
      <c r="B960" t="s">
        <v>62</v>
      </c>
      <c r="C960" t="s">
        <v>1004</v>
      </c>
      <c r="D960" t="s">
        <v>1005</v>
      </c>
      <c r="E960" t="s">
        <v>62</v>
      </c>
      <c r="F960" t="s">
        <v>94</v>
      </c>
      <c r="G960" t="s">
        <v>277</v>
      </c>
      <c r="H960" s="12">
        <v>6.1670337999999996</v>
      </c>
      <c r="I960" s="12">
        <v>-75.581835699999999</v>
      </c>
      <c r="K960" t="s">
        <v>97</v>
      </c>
      <c r="M960">
        <v>11</v>
      </c>
      <c r="P960" s="13">
        <v>208</v>
      </c>
      <c r="Q960" s="13">
        <v>46</v>
      </c>
      <c r="R960">
        <v>32</v>
      </c>
      <c r="S960">
        <v>42</v>
      </c>
      <c r="T960" s="13">
        <v>45</v>
      </c>
      <c r="U960" s="13">
        <v>45</v>
      </c>
      <c r="V960" t="s">
        <v>99</v>
      </c>
      <c r="X960" s="13">
        <v>208</v>
      </c>
    </row>
    <row r="961" spans="1:24" x14ac:dyDescent="0.25">
      <c r="A961" t="s">
        <v>1079</v>
      </c>
      <c r="B961" t="s">
        <v>62</v>
      </c>
      <c r="C961" t="s">
        <v>1004</v>
      </c>
      <c r="D961" t="s">
        <v>1005</v>
      </c>
      <c r="E961" t="s">
        <v>62</v>
      </c>
      <c r="F961" t="s">
        <v>94</v>
      </c>
      <c r="G961" t="s">
        <v>277</v>
      </c>
      <c r="H961" s="12">
        <v>6.1670337999999996</v>
      </c>
      <c r="I961" s="12">
        <v>-75.581835699999999</v>
      </c>
      <c r="K961" t="s">
        <v>97</v>
      </c>
      <c r="M961">
        <v>11</v>
      </c>
      <c r="P961" s="13">
        <v>207</v>
      </c>
      <c r="Q961" s="13">
        <v>56</v>
      </c>
      <c r="R961">
        <v>34</v>
      </c>
      <c r="S961">
        <v>38</v>
      </c>
      <c r="T961" s="13">
        <v>43</v>
      </c>
      <c r="U961" s="13">
        <v>25</v>
      </c>
      <c r="V961" t="s">
        <v>99</v>
      </c>
      <c r="X961" s="13">
        <v>207</v>
      </c>
    </row>
    <row r="962" spans="1:24" x14ac:dyDescent="0.25">
      <c r="A962" t="s">
        <v>1080</v>
      </c>
      <c r="B962" t="s">
        <v>62</v>
      </c>
      <c r="C962" t="s">
        <v>1004</v>
      </c>
      <c r="D962" t="s">
        <v>1005</v>
      </c>
      <c r="E962" t="s">
        <v>62</v>
      </c>
      <c r="F962" t="s">
        <v>94</v>
      </c>
      <c r="G962" t="s">
        <v>277</v>
      </c>
      <c r="H962" s="12">
        <v>6.1670337999999996</v>
      </c>
      <c r="I962" s="12">
        <v>-75.581835699999999</v>
      </c>
      <c r="K962" t="s">
        <v>97</v>
      </c>
      <c r="M962">
        <v>11</v>
      </c>
      <c r="P962" s="13">
        <v>206</v>
      </c>
      <c r="Q962" s="13">
        <v>54</v>
      </c>
      <c r="R962">
        <v>34</v>
      </c>
      <c r="S962">
        <v>34</v>
      </c>
      <c r="T962" s="13">
        <v>36</v>
      </c>
      <c r="U962" s="13">
        <v>62</v>
      </c>
      <c r="V962" t="s">
        <v>99</v>
      </c>
      <c r="X962" s="13">
        <v>206</v>
      </c>
    </row>
    <row r="963" spans="1:24" x14ac:dyDescent="0.25">
      <c r="A963" t="s">
        <v>1081</v>
      </c>
      <c r="B963" t="s">
        <v>62</v>
      </c>
      <c r="C963" t="s">
        <v>1004</v>
      </c>
      <c r="D963" t="s">
        <v>1005</v>
      </c>
      <c r="E963" t="s">
        <v>62</v>
      </c>
      <c r="F963" t="s">
        <v>94</v>
      </c>
      <c r="G963" t="s">
        <v>277</v>
      </c>
      <c r="H963" s="12">
        <v>6.1670337999999996</v>
      </c>
      <c r="I963" s="12">
        <v>-75.581835699999999</v>
      </c>
      <c r="K963" t="s">
        <v>97</v>
      </c>
      <c r="M963">
        <v>11</v>
      </c>
      <c r="P963" s="13">
        <v>204</v>
      </c>
      <c r="Q963" s="13">
        <v>44</v>
      </c>
      <c r="R963">
        <v>40</v>
      </c>
      <c r="S963">
        <v>36</v>
      </c>
      <c r="T963" s="13">
        <v>45</v>
      </c>
      <c r="U963" s="13">
        <v>36</v>
      </c>
      <c r="V963" t="s">
        <v>99</v>
      </c>
      <c r="X963" s="13">
        <v>204</v>
      </c>
    </row>
    <row r="964" spans="1:24" x14ac:dyDescent="0.25">
      <c r="A964" t="s">
        <v>1082</v>
      </c>
      <c r="B964" t="s">
        <v>62</v>
      </c>
      <c r="C964" t="s">
        <v>1004</v>
      </c>
      <c r="D964" t="s">
        <v>1005</v>
      </c>
      <c r="E964" t="s">
        <v>62</v>
      </c>
      <c r="F964" t="s">
        <v>94</v>
      </c>
      <c r="G964" t="s">
        <v>277</v>
      </c>
      <c r="H964" s="12">
        <v>6.1670337999999996</v>
      </c>
      <c r="I964" s="12">
        <v>-75.581835699999999</v>
      </c>
      <c r="K964" t="s">
        <v>97</v>
      </c>
      <c r="M964">
        <v>11</v>
      </c>
      <c r="P964" s="13">
        <v>204</v>
      </c>
      <c r="Q964" s="13">
        <v>56</v>
      </c>
      <c r="R964">
        <v>22</v>
      </c>
      <c r="S964">
        <v>42</v>
      </c>
      <c r="T964" s="13">
        <v>43</v>
      </c>
      <c r="U964" s="13">
        <v>40</v>
      </c>
      <c r="V964" t="s">
        <v>99</v>
      </c>
      <c r="X964" s="13">
        <v>204</v>
      </c>
    </row>
    <row r="965" spans="1:24" x14ac:dyDescent="0.25">
      <c r="A965" t="s">
        <v>1083</v>
      </c>
      <c r="B965" t="s">
        <v>62</v>
      </c>
      <c r="C965" t="s">
        <v>1004</v>
      </c>
      <c r="D965" t="s">
        <v>1005</v>
      </c>
      <c r="E965" t="s">
        <v>62</v>
      </c>
      <c r="F965" t="s">
        <v>94</v>
      </c>
      <c r="G965" t="s">
        <v>277</v>
      </c>
      <c r="H965" s="12">
        <v>6.1670337999999996</v>
      </c>
      <c r="I965" s="12">
        <v>-75.581835699999999</v>
      </c>
      <c r="K965" t="s">
        <v>97</v>
      </c>
      <c r="M965">
        <v>11</v>
      </c>
      <c r="P965" s="13">
        <v>200</v>
      </c>
      <c r="Q965" s="13">
        <v>56</v>
      </c>
      <c r="R965">
        <v>26</v>
      </c>
      <c r="S965">
        <v>42</v>
      </c>
      <c r="T965" s="13">
        <v>22</v>
      </c>
      <c r="U965" s="13">
        <v>80</v>
      </c>
      <c r="V965" t="s">
        <v>99</v>
      </c>
      <c r="X965" s="13">
        <v>200</v>
      </c>
    </row>
    <row r="966" spans="1:24" x14ac:dyDescent="0.25">
      <c r="A966" t="s">
        <v>1084</v>
      </c>
      <c r="B966" t="s">
        <v>62</v>
      </c>
      <c r="C966" t="s">
        <v>1004</v>
      </c>
      <c r="D966" t="s">
        <v>1005</v>
      </c>
      <c r="E966" t="s">
        <v>62</v>
      </c>
      <c r="F966" t="s">
        <v>94</v>
      </c>
      <c r="G966" t="s">
        <v>277</v>
      </c>
      <c r="H966" s="12">
        <v>6.1670337999999996</v>
      </c>
      <c r="I966" s="12">
        <v>-75.581835699999999</v>
      </c>
      <c r="K966" t="s">
        <v>97</v>
      </c>
      <c r="M966">
        <v>11</v>
      </c>
      <c r="P966" s="13">
        <v>199</v>
      </c>
      <c r="Q966" s="13">
        <v>61</v>
      </c>
      <c r="R966">
        <v>40</v>
      </c>
      <c r="S966">
        <v>22</v>
      </c>
      <c r="T966" s="13">
        <v>31</v>
      </c>
      <c r="U966" s="13">
        <v>56</v>
      </c>
      <c r="V966" t="s">
        <v>99</v>
      </c>
      <c r="X966" s="13">
        <v>199</v>
      </c>
    </row>
    <row r="967" spans="1:24" x14ac:dyDescent="0.25">
      <c r="A967" t="s">
        <v>1085</v>
      </c>
      <c r="B967" t="s">
        <v>62</v>
      </c>
      <c r="C967" t="s">
        <v>1004</v>
      </c>
      <c r="D967" t="s">
        <v>1005</v>
      </c>
      <c r="E967" t="s">
        <v>62</v>
      </c>
      <c r="F967" t="s">
        <v>94</v>
      </c>
      <c r="G967" t="s">
        <v>277</v>
      </c>
      <c r="H967" s="12">
        <v>6.1670337999999996</v>
      </c>
      <c r="I967" s="12">
        <v>-75.581835699999999</v>
      </c>
      <c r="K967" t="s">
        <v>97</v>
      </c>
      <c r="M967">
        <v>11</v>
      </c>
      <c r="P967" s="13">
        <v>199</v>
      </c>
      <c r="Q967" s="13">
        <v>56</v>
      </c>
      <c r="R967">
        <v>32</v>
      </c>
      <c r="S967">
        <v>42</v>
      </c>
      <c r="T967" s="13">
        <v>19</v>
      </c>
      <c r="U967" s="13">
        <v>71</v>
      </c>
      <c r="V967" t="s">
        <v>99</v>
      </c>
      <c r="X967" s="13">
        <v>199</v>
      </c>
    </row>
    <row r="968" spans="1:24" x14ac:dyDescent="0.25">
      <c r="A968" t="s">
        <v>1086</v>
      </c>
      <c r="B968" t="s">
        <v>62</v>
      </c>
      <c r="C968" t="s">
        <v>1004</v>
      </c>
      <c r="D968" t="s">
        <v>1005</v>
      </c>
      <c r="E968" t="s">
        <v>62</v>
      </c>
      <c r="F968" t="s">
        <v>94</v>
      </c>
      <c r="G968" t="s">
        <v>277</v>
      </c>
      <c r="H968" s="12">
        <v>6.1670337999999996</v>
      </c>
      <c r="I968" s="12">
        <v>-75.581835699999999</v>
      </c>
      <c r="K968" t="s">
        <v>97</v>
      </c>
      <c r="M968">
        <v>11</v>
      </c>
      <c r="P968" s="13">
        <v>197</v>
      </c>
      <c r="Q968" s="13">
        <v>54</v>
      </c>
      <c r="R968">
        <v>38</v>
      </c>
      <c r="S968">
        <v>24</v>
      </c>
      <c r="T968" s="13">
        <v>43</v>
      </c>
      <c r="U968" s="13">
        <v>36</v>
      </c>
      <c r="V968" t="s">
        <v>99</v>
      </c>
      <c r="X968" s="13">
        <v>197</v>
      </c>
    </row>
    <row r="969" spans="1:24" x14ac:dyDescent="0.25">
      <c r="A969" t="s">
        <v>1087</v>
      </c>
      <c r="B969" t="s">
        <v>62</v>
      </c>
      <c r="C969" t="s">
        <v>1004</v>
      </c>
      <c r="D969" t="s">
        <v>1005</v>
      </c>
      <c r="E969" t="s">
        <v>62</v>
      </c>
      <c r="F969" t="s">
        <v>94</v>
      </c>
      <c r="G969" t="s">
        <v>277</v>
      </c>
      <c r="H969" s="12">
        <v>6.1670337999999996</v>
      </c>
      <c r="I969" s="12">
        <v>-75.581835699999999</v>
      </c>
      <c r="K969" t="s">
        <v>97</v>
      </c>
      <c r="M969">
        <v>11</v>
      </c>
      <c r="P969" s="13">
        <v>196</v>
      </c>
      <c r="Q969" s="13">
        <v>39</v>
      </c>
      <c r="R969">
        <v>34</v>
      </c>
      <c r="S969">
        <v>42</v>
      </c>
      <c r="T969" s="13">
        <v>41</v>
      </c>
      <c r="U969" s="13">
        <v>40</v>
      </c>
      <c r="V969" t="s">
        <v>99</v>
      </c>
      <c r="X969" s="13">
        <v>196</v>
      </c>
    </row>
    <row r="970" spans="1:24" x14ac:dyDescent="0.25">
      <c r="A970" t="s">
        <v>1088</v>
      </c>
      <c r="B970" t="s">
        <v>62</v>
      </c>
      <c r="C970" t="s">
        <v>1004</v>
      </c>
      <c r="D970" t="s">
        <v>1005</v>
      </c>
      <c r="E970" t="s">
        <v>62</v>
      </c>
      <c r="F970" t="s">
        <v>94</v>
      </c>
      <c r="G970" t="s">
        <v>277</v>
      </c>
      <c r="H970" s="12">
        <v>6.1670337999999996</v>
      </c>
      <c r="I970" s="12">
        <v>-75.581835699999999</v>
      </c>
      <c r="K970" t="s">
        <v>97</v>
      </c>
      <c r="M970">
        <v>11</v>
      </c>
      <c r="P970" s="13">
        <v>195</v>
      </c>
      <c r="Q970" s="13">
        <v>61</v>
      </c>
      <c r="R970">
        <v>28</v>
      </c>
      <c r="S970">
        <v>34</v>
      </c>
      <c r="T970" s="13">
        <v>31</v>
      </c>
      <c r="U970" s="13">
        <v>45</v>
      </c>
      <c r="V970" t="s">
        <v>99</v>
      </c>
      <c r="X970" s="13">
        <v>195</v>
      </c>
    </row>
    <row r="971" spans="1:24" x14ac:dyDescent="0.25">
      <c r="A971" t="s">
        <v>1089</v>
      </c>
      <c r="B971" t="s">
        <v>62</v>
      </c>
      <c r="C971" t="s">
        <v>1004</v>
      </c>
      <c r="D971" t="s">
        <v>1005</v>
      </c>
      <c r="E971" t="s">
        <v>62</v>
      </c>
      <c r="F971" t="s">
        <v>94</v>
      </c>
      <c r="G971" t="s">
        <v>277</v>
      </c>
      <c r="H971" s="12">
        <v>6.1670337999999996</v>
      </c>
      <c r="I971" s="12">
        <v>-75.581835699999999</v>
      </c>
      <c r="K971" t="s">
        <v>97</v>
      </c>
      <c r="M971">
        <v>11</v>
      </c>
      <c r="P971" s="13">
        <v>195</v>
      </c>
      <c r="Q971" s="13">
        <v>54</v>
      </c>
      <c r="R971">
        <v>32</v>
      </c>
      <c r="S971">
        <v>32</v>
      </c>
      <c r="T971" s="13">
        <v>40</v>
      </c>
      <c r="U971" s="13">
        <v>35</v>
      </c>
      <c r="V971" t="s">
        <v>99</v>
      </c>
      <c r="X971" s="13">
        <v>195</v>
      </c>
    </row>
    <row r="972" spans="1:24" x14ac:dyDescent="0.25">
      <c r="A972" t="s">
        <v>1090</v>
      </c>
      <c r="B972" t="s">
        <v>62</v>
      </c>
      <c r="C972" t="s">
        <v>1004</v>
      </c>
      <c r="D972" t="s">
        <v>1005</v>
      </c>
      <c r="E972" t="s">
        <v>62</v>
      </c>
      <c r="F972" t="s">
        <v>94</v>
      </c>
      <c r="G972" t="s">
        <v>277</v>
      </c>
      <c r="H972" s="12">
        <v>6.1670337999999996</v>
      </c>
      <c r="I972" s="12">
        <v>-75.581835699999999</v>
      </c>
      <c r="K972" t="s">
        <v>97</v>
      </c>
      <c r="M972">
        <v>11</v>
      </c>
      <c r="P972" s="13">
        <v>194</v>
      </c>
      <c r="Q972" s="13">
        <v>51</v>
      </c>
      <c r="R972">
        <v>28</v>
      </c>
      <c r="S972">
        <v>44</v>
      </c>
      <c r="T972" s="13">
        <v>34</v>
      </c>
      <c r="U972" s="13">
        <v>31</v>
      </c>
      <c r="V972" t="s">
        <v>99</v>
      </c>
      <c r="X972" s="13">
        <v>194</v>
      </c>
    </row>
    <row r="973" spans="1:24" x14ac:dyDescent="0.25">
      <c r="A973" t="s">
        <v>1091</v>
      </c>
      <c r="B973" t="s">
        <v>62</v>
      </c>
      <c r="C973" t="s">
        <v>1004</v>
      </c>
      <c r="D973" t="s">
        <v>1005</v>
      </c>
      <c r="E973" t="s">
        <v>62</v>
      </c>
      <c r="F973" t="s">
        <v>94</v>
      </c>
      <c r="G973" t="s">
        <v>277</v>
      </c>
      <c r="H973" s="12">
        <v>6.1670337999999996</v>
      </c>
      <c r="I973" s="12">
        <v>-75.581835699999999</v>
      </c>
      <c r="K973" t="s">
        <v>97</v>
      </c>
      <c r="M973">
        <v>11</v>
      </c>
      <c r="P973" s="13">
        <v>191</v>
      </c>
      <c r="Q973" s="13">
        <v>51</v>
      </c>
      <c r="R973">
        <v>32</v>
      </c>
      <c r="S973">
        <v>20</v>
      </c>
      <c r="T973" s="13">
        <v>43</v>
      </c>
      <c r="U973" s="13">
        <v>58</v>
      </c>
      <c r="V973" t="s">
        <v>99</v>
      </c>
      <c r="X973" s="13">
        <v>191</v>
      </c>
    </row>
    <row r="974" spans="1:24" x14ac:dyDescent="0.25">
      <c r="A974" t="s">
        <v>1092</v>
      </c>
      <c r="B974" t="s">
        <v>62</v>
      </c>
      <c r="C974" t="s">
        <v>1004</v>
      </c>
      <c r="D974" t="s">
        <v>1005</v>
      </c>
      <c r="E974" t="s">
        <v>62</v>
      </c>
      <c r="F974" t="s">
        <v>94</v>
      </c>
      <c r="G974" t="s">
        <v>277</v>
      </c>
      <c r="H974" s="12">
        <v>6.1670337999999996</v>
      </c>
      <c r="I974" s="12">
        <v>-75.581835699999999</v>
      </c>
      <c r="K974" t="s">
        <v>97</v>
      </c>
      <c r="M974">
        <v>11</v>
      </c>
      <c r="P974" s="13">
        <v>190</v>
      </c>
      <c r="Q974" s="13">
        <v>56</v>
      </c>
      <c r="R974">
        <v>22</v>
      </c>
      <c r="S974">
        <v>36</v>
      </c>
      <c r="T974" s="13">
        <v>36</v>
      </c>
      <c r="U974" s="13">
        <v>44</v>
      </c>
      <c r="V974" t="s">
        <v>99</v>
      </c>
      <c r="X974" s="13">
        <v>190</v>
      </c>
    </row>
    <row r="975" spans="1:24" x14ac:dyDescent="0.25">
      <c r="A975" t="s">
        <v>1093</v>
      </c>
      <c r="B975" t="s">
        <v>62</v>
      </c>
      <c r="C975" t="s">
        <v>1004</v>
      </c>
      <c r="D975" t="s">
        <v>1005</v>
      </c>
      <c r="E975" t="s">
        <v>62</v>
      </c>
      <c r="F975" t="s">
        <v>94</v>
      </c>
      <c r="G975" t="s">
        <v>277</v>
      </c>
      <c r="H975" s="12">
        <v>6.1670337999999996</v>
      </c>
      <c r="I975" s="12">
        <v>-75.581835699999999</v>
      </c>
      <c r="K975" t="s">
        <v>97</v>
      </c>
      <c r="M975">
        <v>11</v>
      </c>
      <c r="P975" s="13">
        <v>189</v>
      </c>
      <c r="Q975" s="13">
        <v>63</v>
      </c>
      <c r="R975">
        <v>22</v>
      </c>
      <c r="S975">
        <v>28</v>
      </c>
      <c r="T975" s="13">
        <v>31</v>
      </c>
      <c r="U975" s="13">
        <v>58</v>
      </c>
      <c r="V975" t="s">
        <v>99</v>
      </c>
      <c r="X975" s="13">
        <v>189</v>
      </c>
    </row>
    <row r="976" spans="1:24" x14ac:dyDescent="0.25">
      <c r="A976" t="s">
        <v>1094</v>
      </c>
      <c r="B976" t="s">
        <v>62</v>
      </c>
      <c r="C976" t="s">
        <v>1004</v>
      </c>
      <c r="D976" t="s">
        <v>1005</v>
      </c>
      <c r="E976" t="s">
        <v>62</v>
      </c>
      <c r="F976" t="s">
        <v>94</v>
      </c>
      <c r="G976" t="s">
        <v>277</v>
      </c>
      <c r="H976" s="12">
        <v>6.1670337999999996</v>
      </c>
      <c r="I976" s="12">
        <v>-75.581835699999999</v>
      </c>
      <c r="K976" t="s">
        <v>97</v>
      </c>
      <c r="M976">
        <v>11</v>
      </c>
      <c r="P976" s="13">
        <v>188</v>
      </c>
      <c r="Q976" s="13">
        <v>41</v>
      </c>
      <c r="R976">
        <v>28</v>
      </c>
      <c r="S976">
        <v>38</v>
      </c>
      <c r="T976" s="13">
        <v>43</v>
      </c>
      <c r="U976" s="13">
        <v>38</v>
      </c>
      <c r="V976" t="s">
        <v>99</v>
      </c>
      <c r="X976" s="13">
        <v>188</v>
      </c>
    </row>
    <row r="977" spans="1:24" x14ac:dyDescent="0.25">
      <c r="A977" t="s">
        <v>1095</v>
      </c>
      <c r="B977" t="s">
        <v>62</v>
      </c>
      <c r="C977" t="s">
        <v>1004</v>
      </c>
      <c r="D977" t="s">
        <v>1005</v>
      </c>
      <c r="E977" t="s">
        <v>62</v>
      </c>
      <c r="F977" t="s">
        <v>94</v>
      </c>
      <c r="G977" t="s">
        <v>277</v>
      </c>
      <c r="H977" s="12">
        <v>6.1670337999999996</v>
      </c>
      <c r="I977" s="12">
        <v>-75.581835699999999</v>
      </c>
      <c r="K977" t="s">
        <v>97</v>
      </c>
      <c r="M977">
        <v>11</v>
      </c>
      <c r="P977" s="13">
        <v>188</v>
      </c>
      <c r="Q977" s="13">
        <v>49</v>
      </c>
      <c r="R977">
        <v>40</v>
      </c>
      <c r="S977">
        <v>34</v>
      </c>
      <c r="T977" s="13">
        <v>26</v>
      </c>
      <c r="U977" s="13">
        <v>42</v>
      </c>
      <c r="V977" t="s">
        <v>99</v>
      </c>
      <c r="X977" s="13">
        <v>188</v>
      </c>
    </row>
    <row r="978" spans="1:24" x14ac:dyDescent="0.25">
      <c r="A978" t="s">
        <v>1096</v>
      </c>
      <c r="B978" t="s">
        <v>62</v>
      </c>
      <c r="C978" t="s">
        <v>1004</v>
      </c>
      <c r="D978" t="s">
        <v>1005</v>
      </c>
      <c r="E978" t="s">
        <v>62</v>
      </c>
      <c r="F978" t="s">
        <v>94</v>
      </c>
      <c r="G978" t="s">
        <v>277</v>
      </c>
      <c r="H978" s="12">
        <v>6.1670337999999996</v>
      </c>
      <c r="I978" s="12">
        <v>-75.581835699999999</v>
      </c>
      <c r="K978" t="s">
        <v>97</v>
      </c>
      <c r="M978">
        <v>11</v>
      </c>
      <c r="P978" s="13">
        <v>187</v>
      </c>
      <c r="Q978" s="13">
        <v>41</v>
      </c>
      <c r="R978">
        <v>38</v>
      </c>
      <c r="S978">
        <v>34</v>
      </c>
      <c r="T978" s="13">
        <v>34</v>
      </c>
      <c r="U978" s="13">
        <v>44</v>
      </c>
      <c r="V978" t="s">
        <v>99</v>
      </c>
      <c r="X978" s="13">
        <v>187</v>
      </c>
    </row>
    <row r="979" spans="1:24" x14ac:dyDescent="0.25">
      <c r="A979" t="s">
        <v>1097</v>
      </c>
      <c r="B979" t="s">
        <v>62</v>
      </c>
      <c r="C979" t="s">
        <v>1004</v>
      </c>
      <c r="D979" t="s">
        <v>1005</v>
      </c>
      <c r="E979" t="s">
        <v>62</v>
      </c>
      <c r="F979" t="s">
        <v>94</v>
      </c>
      <c r="G979" t="s">
        <v>277</v>
      </c>
      <c r="H979" s="12">
        <v>6.1670337999999996</v>
      </c>
      <c r="I979" s="12">
        <v>-75.581835699999999</v>
      </c>
      <c r="K979" t="s">
        <v>97</v>
      </c>
      <c r="M979">
        <v>11</v>
      </c>
      <c r="P979" s="13">
        <v>187</v>
      </c>
      <c r="Q979" s="13">
        <v>44</v>
      </c>
      <c r="R979">
        <v>34</v>
      </c>
      <c r="S979">
        <v>42</v>
      </c>
      <c r="T979" s="13">
        <v>31</v>
      </c>
      <c r="U979" s="13">
        <v>35</v>
      </c>
      <c r="V979" t="s">
        <v>99</v>
      </c>
      <c r="X979" s="13">
        <v>187</v>
      </c>
    </row>
    <row r="980" spans="1:24" x14ac:dyDescent="0.25">
      <c r="A980" t="s">
        <v>1098</v>
      </c>
      <c r="B980" t="s">
        <v>62</v>
      </c>
      <c r="C980" t="s">
        <v>1004</v>
      </c>
      <c r="D980" t="s">
        <v>1005</v>
      </c>
      <c r="E980" t="s">
        <v>62</v>
      </c>
      <c r="F980" t="s">
        <v>94</v>
      </c>
      <c r="G980" t="s">
        <v>277</v>
      </c>
      <c r="H980" s="12">
        <v>6.1670337999999996</v>
      </c>
      <c r="I980" s="12">
        <v>-75.581835699999999</v>
      </c>
      <c r="K980" t="s">
        <v>97</v>
      </c>
      <c r="M980">
        <v>11</v>
      </c>
      <c r="P980" s="13">
        <v>187</v>
      </c>
      <c r="Q980" s="13">
        <v>37</v>
      </c>
      <c r="R980">
        <v>24</v>
      </c>
      <c r="S980">
        <v>48</v>
      </c>
      <c r="T980" s="13">
        <v>38</v>
      </c>
      <c r="U980" s="13">
        <v>47</v>
      </c>
      <c r="V980" t="s">
        <v>99</v>
      </c>
      <c r="X980" s="13">
        <v>187</v>
      </c>
    </row>
    <row r="981" spans="1:24" x14ac:dyDescent="0.25">
      <c r="A981" t="s">
        <v>1099</v>
      </c>
      <c r="B981" t="s">
        <v>62</v>
      </c>
      <c r="C981" t="s">
        <v>1004</v>
      </c>
      <c r="D981" t="s">
        <v>1005</v>
      </c>
      <c r="E981" t="s">
        <v>62</v>
      </c>
      <c r="F981" t="s">
        <v>94</v>
      </c>
      <c r="G981" t="s">
        <v>277</v>
      </c>
      <c r="H981" s="12">
        <v>6.1670337999999996</v>
      </c>
      <c r="I981" s="12">
        <v>-75.581835699999999</v>
      </c>
      <c r="K981" t="s">
        <v>97</v>
      </c>
      <c r="M981">
        <v>11</v>
      </c>
      <c r="P981" s="13">
        <v>183</v>
      </c>
      <c r="Q981" s="13">
        <v>46</v>
      </c>
      <c r="R981">
        <v>38</v>
      </c>
      <c r="S981">
        <v>24</v>
      </c>
      <c r="T981" s="13">
        <v>34</v>
      </c>
      <c r="U981" s="13">
        <v>47</v>
      </c>
      <c r="V981" t="s">
        <v>99</v>
      </c>
      <c r="X981" s="13">
        <v>183</v>
      </c>
    </row>
    <row r="982" spans="1:24" x14ac:dyDescent="0.25">
      <c r="A982" t="s">
        <v>1100</v>
      </c>
      <c r="B982" t="s">
        <v>62</v>
      </c>
      <c r="C982" t="s">
        <v>1004</v>
      </c>
      <c r="D982" t="s">
        <v>1005</v>
      </c>
      <c r="E982" t="s">
        <v>62</v>
      </c>
      <c r="F982" t="s">
        <v>94</v>
      </c>
      <c r="G982" t="s">
        <v>277</v>
      </c>
      <c r="H982" s="12">
        <v>6.1670337999999996</v>
      </c>
      <c r="I982" s="12">
        <v>-75.581835699999999</v>
      </c>
      <c r="K982" t="s">
        <v>97</v>
      </c>
      <c r="M982">
        <v>11</v>
      </c>
      <c r="P982" s="13">
        <v>182</v>
      </c>
      <c r="Q982" s="13">
        <v>56</v>
      </c>
      <c r="R982">
        <v>28</v>
      </c>
      <c r="S982">
        <v>36</v>
      </c>
      <c r="T982" s="13">
        <v>28</v>
      </c>
      <c r="U982" s="13">
        <v>31</v>
      </c>
      <c r="V982" t="s">
        <v>99</v>
      </c>
      <c r="X982" s="13">
        <v>182</v>
      </c>
    </row>
    <row r="983" spans="1:24" x14ac:dyDescent="0.25">
      <c r="A983" t="s">
        <v>1101</v>
      </c>
      <c r="B983" t="s">
        <v>62</v>
      </c>
      <c r="C983" t="s">
        <v>1004</v>
      </c>
      <c r="D983" t="s">
        <v>1005</v>
      </c>
      <c r="E983" t="s">
        <v>62</v>
      </c>
      <c r="F983" t="s">
        <v>94</v>
      </c>
      <c r="G983" t="s">
        <v>277</v>
      </c>
      <c r="H983" s="12">
        <v>6.1670337999999996</v>
      </c>
      <c r="I983" s="12">
        <v>-75.581835699999999</v>
      </c>
      <c r="K983" t="s">
        <v>97</v>
      </c>
      <c r="M983">
        <v>11</v>
      </c>
      <c r="P983" s="13">
        <v>182</v>
      </c>
      <c r="Q983" s="13">
        <v>49</v>
      </c>
      <c r="R983">
        <v>34</v>
      </c>
      <c r="S983">
        <v>16</v>
      </c>
      <c r="T983" s="13">
        <v>40</v>
      </c>
      <c r="U983" s="13">
        <v>58</v>
      </c>
      <c r="V983" t="s">
        <v>99</v>
      </c>
      <c r="X983" s="13">
        <v>182</v>
      </c>
    </row>
    <row r="984" spans="1:24" x14ac:dyDescent="0.25">
      <c r="A984" t="s">
        <v>1102</v>
      </c>
      <c r="B984" t="s">
        <v>62</v>
      </c>
      <c r="C984" t="s">
        <v>1004</v>
      </c>
      <c r="D984" t="s">
        <v>1005</v>
      </c>
      <c r="E984" t="s">
        <v>62</v>
      </c>
      <c r="F984" t="s">
        <v>94</v>
      </c>
      <c r="G984" t="s">
        <v>277</v>
      </c>
      <c r="H984" s="12">
        <v>6.1670337999999996</v>
      </c>
      <c r="I984" s="12">
        <v>-75.581835699999999</v>
      </c>
      <c r="K984" t="s">
        <v>97</v>
      </c>
      <c r="M984">
        <v>11</v>
      </c>
      <c r="P984" s="13">
        <v>182</v>
      </c>
      <c r="Q984" s="13">
        <v>41</v>
      </c>
      <c r="R984">
        <v>22</v>
      </c>
      <c r="S984">
        <v>38</v>
      </c>
      <c r="T984" s="13">
        <v>45</v>
      </c>
      <c r="U984" s="13">
        <v>35</v>
      </c>
      <c r="V984" t="s">
        <v>99</v>
      </c>
      <c r="X984" s="13">
        <v>182</v>
      </c>
    </row>
    <row r="985" spans="1:24" x14ac:dyDescent="0.25">
      <c r="A985" t="s">
        <v>1103</v>
      </c>
      <c r="B985" t="s">
        <v>62</v>
      </c>
      <c r="C985" t="s">
        <v>1004</v>
      </c>
      <c r="D985" t="s">
        <v>1005</v>
      </c>
      <c r="E985" t="s">
        <v>62</v>
      </c>
      <c r="F985" t="s">
        <v>94</v>
      </c>
      <c r="G985" t="s">
        <v>277</v>
      </c>
      <c r="H985" s="12">
        <v>6.1670337999999996</v>
      </c>
      <c r="I985" s="12">
        <v>-75.581835699999999</v>
      </c>
      <c r="K985" t="s">
        <v>97</v>
      </c>
      <c r="M985">
        <v>11</v>
      </c>
      <c r="P985" s="13">
        <v>182</v>
      </c>
      <c r="Q985" s="13">
        <v>46</v>
      </c>
      <c r="R985">
        <v>24</v>
      </c>
      <c r="S985">
        <v>38</v>
      </c>
      <c r="T985" s="13">
        <v>40</v>
      </c>
      <c r="U985" s="13">
        <v>29</v>
      </c>
      <c r="V985" t="s">
        <v>99</v>
      </c>
      <c r="X985" s="13">
        <v>182</v>
      </c>
    </row>
    <row r="986" spans="1:24" x14ac:dyDescent="0.25">
      <c r="A986" t="s">
        <v>1104</v>
      </c>
      <c r="B986" t="s">
        <v>62</v>
      </c>
      <c r="C986" t="s">
        <v>1004</v>
      </c>
      <c r="D986" t="s">
        <v>1005</v>
      </c>
      <c r="E986" t="s">
        <v>62</v>
      </c>
      <c r="F986" t="s">
        <v>94</v>
      </c>
      <c r="G986" t="s">
        <v>277</v>
      </c>
      <c r="H986" s="12">
        <v>6.1670337999999996</v>
      </c>
      <c r="I986" s="12">
        <v>-75.581835699999999</v>
      </c>
      <c r="K986" t="s">
        <v>97</v>
      </c>
      <c r="M986">
        <v>11</v>
      </c>
      <c r="P986" s="13">
        <v>182</v>
      </c>
      <c r="Q986" s="13">
        <v>54</v>
      </c>
      <c r="R986">
        <v>26</v>
      </c>
      <c r="S986">
        <v>24</v>
      </c>
      <c r="T986" s="13">
        <v>38</v>
      </c>
      <c r="U986" s="13">
        <v>47</v>
      </c>
      <c r="V986" t="s">
        <v>99</v>
      </c>
      <c r="X986" s="13">
        <v>182</v>
      </c>
    </row>
    <row r="987" spans="1:24" x14ac:dyDescent="0.25">
      <c r="A987" t="s">
        <v>1105</v>
      </c>
      <c r="B987" t="s">
        <v>62</v>
      </c>
      <c r="C987" t="s">
        <v>1004</v>
      </c>
      <c r="D987" t="s">
        <v>1005</v>
      </c>
      <c r="E987" t="s">
        <v>62</v>
      </c>
      <c r="F987" t="s">
        <v>94</v>
      </c>
      <c r="G987" t="s">
        <v>277</v>
      </c>
      <c r="H987" s="12">
        <v>6.1670337999999996</v>
      </c>
      <c r="I987" s="12">
        <v>-75.581835699999999</v>
      </c>
      <c r="K987" t="s">
        <v>97</v>
      </c>
      <c r="M987">
        <v>11</v>
      </c>
      <c r="P987" s="13">
        <v>181</v>
      </c>
      <c r="Q987" s="13">
        <v>51</v>
      </c>
      <c r="R987">
        <v>22</v>
      </c>
      <c r="S987">
        <v>34</v>
      </c>
      <c r="T987" s="13">
        <v>34</v>
      </c>
      <c r="U987" s="13">
        <v>45</v>
      </c>
      <c r="V987" t="s">
        <v>99</v>
      </c>
      <c r="X987" s="13">
        <v>181</v>
      </c>
    </row>
    <row r="988" spans="1:24" x14ac:dyDescent="0.25">
      <c r="A988" t="s">
        <v>1106</v>
      </c>
      <c r="B988" t="s">
        <v>62</v>
      </c>
      <c r="C988" t="s">
        <v>1004</v>
      </c>
      <c r="D988" t="s">
        <v>1005</v>
      </c>
      <c r="E988" t="s">
        <v>62</v>
      </c>
      <c r="F988" t="s">
        <v>94</v>
      </c>
      <c r="G988" t="s">
        <v>277</v>
      </c>
      <c r="H988" s="12">
        <v>6.1670337999999996</v>
      </c>
      <c r="I988" s="12">
        <v>-75.581835699999999</v>
      </c>
      <c r="K988" t="s">
        <v>97</v>
      </c>
      <c r="M988">
        <v>11</v>
      </c>
      <c r="P988" s="13">
        <v>180</v>
      </c>
      <c r="Q988" s="13">
        <v>39</v>
      </c>
      <c r="R988">
        <v>30</v>
      </c>
      <c r="S988">
        <v>40</v>
      </c>
      <c r="T988" s="13">
        <v>40</v>
      </c>
      <c r="U988" s="13">
        <v>22</v>
      </c>
      <c r="V988" t="s">
        <v>99</v>
      </c>
      <c r="X988" s="13">
        <v>180</v>
      </c>
    </row>
    <row r="989" spans="1:24" x14ac:dyDescent="0.25">
      <c r="A989" t="s">
        <v>1107</v>
      </c>
      <c r="B989" t="s">
        <v>62</v>
      </c>
      <c r="C989" t="s">
        <v>1004</v>
      </c>
      <c r="D989" t="s">
        <v>1005</v>
      </c>
      <c r="E989" t="s">
        <v>62</v>
      </c>
      <c r="F989" t="s">
        <v>94</v>
      </c>
      <c r="G989" t="s">
        <v>277</v>
      </c>
      <c r="H989" s="12">
        <v>6.1670337999999996</v>
      </c>
      <c r="I989" s="12">
        <v>-75.581835699999999</v>
      </c>
      <c r="K989" t="s">
        <v>97</v>
      </c>
      <c r="M989">
        <v>11</v>
      </c>
      <c r="P989" s="13">
        <v>178</v>
      </c>
      <c r="Q989" s="13">
        <v>51</v>
      </c>
      <c r="R989">
        <v>26</v>
      </c>
      <c r="S989">
        <v>46</v>
      </c>
      <c r="T989" s="13">
        <v>19</v>
      </c>
      <c r="U989" s="13">
        <v>36</v>
      </c>
      <c r="V989" t="s">
        <v>99</v>
      </c>
      <c r="X989" s="13">
        <v>178</v>
      </c>
    </row>
    <row r="990" spans="1:24" x14ac:dyDescent="0.25">
      <c r="A990" t="s">
        <v>1108</v>
      </c>
      <c r="B990" t="s">
        <v>62</v>
      </c>
      <c r="C990" t="s">
        <v>1004</v>
      </c>
      <c r="D990" t="s">
        <v>1005</v>
      </c>
      <c r="E990" t="s">
        <v>62</v>
      </c>
      <c r="F990" t="s">
        <v>94</v>
      </c>
      <c r="G990" t="s">
        <v>277</v>
      </c>
      <c r="H990" s="12">
        <v>6.1670337999999996</v>
      </c>
      <c r="I990" s="12">
        <v>-75.581835699999999</v>
      </c>
      <c r="K990" t="s">
        <v>97</v>
      </c>
      <c r="M990">
        <v>11</v>
      </c>
      <c r="P990" s="13">
        <v>178</v>
      </c>
      <c r="Q990" s="13">
        <v>39</v>
      </c>
      <c r="R990">
        <v>34</v>
      </c>
      <c r="S990">
        <v>38</v>
      </c>
      <c r="T990" s="13">
        <v>31</v>
      </c>
      <c r="U990" s="13">
        <v>36</v>
      </c>
      <c r="V990" t="s">
        <v>99</v>
      </c>
      <c r="X990" s="13">
        <v>178</v>
      </c>
    </row>
    <row r="991" spans="1:24" x14ac:dyDescent="0.25">
      <c r="A991" t="s">
        <v>1109</v>
      </c>
      <c r="B991" t="s">
        <v>62</v>
      </c>
      <c r="C991" t="s">
        <v>1004</v>
      </c>
      <c r="D991" t="s">
        <v>1005</v>
      </c>
      <c r="E991" t="s">
        <v>62</v>
      </c>
      <c r="F991" t="s">
        <v>94</v>
      </c>
      <c r="G991" t="s">
        <v>277</v>
      </c>
      <c r="H991" s="12">
        <v>6.1670337999999996</v>
      </c>
      <c r="I991" s="12">
        <v>-75.581835699999999</v>
      </c>
      <c r="K991" t="s">
        <v>97</v>
      </c>
      <c r="M991">
        <v>11</v>
      </c>
      <c r="P991" s="13">
        <v>176</v>
      </c>
      <c r="Q991" s="13">
        <v>46</v>
      </c>
      <c r="R991">
        <v>42</v>
      </c>
      <c r="S991">
        <v>34</v>
      </c>
      <c r="T991" s="13">
        <v>17</v>
      </c>
      <c r="U991" s="13">
        <v>38</v>
      </c>
      <c r="V991" t="s">
        <v>99</v>
      </c>
      <c r="X991" s="13">
        <v>176</v>
      </c>
    </row>
    <row r="992" spans="1:24" x14ac:dyDescent="0.25">
      <c r="A992" t="s">
        <v>1110</v>
      </c>
      <c r="B992" t="s">
        <v>62</v>
      </c>
      <c r="C992" t="s">
        <v>1004</v>
      </c>
      <c r="D992" t="s">
        <v>1005</v>
      </c>
      <c r="E992" t="s">
        <v>62</v>
      </c>
      <c r="F992" t="s">
        <v>94</v>
      </c>
      <c r="G992" t="s">
        <v>277</v>
      </c>
      <c r="H992" s="12">
        <v>6.1670337999999996</v>
      </c>
      <c r="I992" s="12">
        <v>-75.581835699999999</v>
      </c>
      <c r="K992" t="s">
        <v>97</v>
      </c>
      <c r="M992">
        <v>11</v>
      </c>
      <c r="P992" s="13">
        <v>175</v>
      </c>
      <c r="Q992" s="13">
        <v>39</v>
      </c>
      <c r="R992">
        <v>24</v>
      </c>
      <c r="S992">
        <v>30</v>
      </c>
      <c r="T992" s="13">
        <v>45</v>
      </c>
      <c r="U992" s="13">
        <v>42</v>
      </c>
      <c r="V992" t="s">
        <v>99</v>
      </c>
      <c r="X992" s="13">
        <v>175</v>
      </c>
    </row>
    <row r="993" spans="1:24" x14ac:dyDescent="0.25">
      <c r="A993" t="s">
        <v>1111</v>
      </c>
      <c r="B993" t="s">
        <v>62</v>
      </c>
      <c r="C993" t="s">
        <v>1004</v>
      </c>
      <c r="D993" t="s">
        <v>1005</v>
      </c>
      <c r="E993" t="s">
        <v>62</v>
      </c>
      <c r="F993" t="s">
        <v>94</v>
      </c>
      <c r="G993" t="s">
        <v>277</v>
      </c>
      <c r="H993" s="12">
        <v>6.1670337999999996</v>
      </c>
      <c r="I993" s="12">
        <v>-75.581835699999999</v>
      </c>
      <c r="K993" t="s">
        <v>97</v>
      </c>
      <c r="M993">
        <v>11</v>
      </c>
      <c r="P993" s="13">
        <v>175</v>
      </c>
      <c r="Q993" s="13">
        <v>39</v>
      </c>
      <c r="R993">
        <v>24</v>
      </c>
      <c r="S993">
        <v>48</v>
      </c>
      <c r="T993" s="13">
        <v>28</v>
      </c>
      <c r="U993" s="13">
        <v>38</v>
      </c>
      <c r="V993" t="s">
        <v>99</v>
      </c>
      <c r="X993" s="13">
        <v>175</v>
      </c>
    </row>
    <row r="994" spans="1:24" x14ac:dyDescent="0.25">
      <c r="A994" t="s">
        <v>1112</v>
      </c>
      <c r="B994" t="s">
        <v>62</v>
      </c>
      <c r="C994" t="s">
        <v>1004</v>
      </c>
      <c r="D994" t="s">
        <v>1005</v>
      </c>
      <c r="E994" t="s">
        <v>62</v>
      </c>
      <c r="F994" t="s">
        <v>94</v>
      </c>
      <c r="G994" t="s">
        <v>277</v>
      </c>
      <c r="H994" s="12">
        <v>6.1670337999999996</v>
      </c>
      <c r="I994" s="12">
        <v>-75.581835699999999</v>
      </c>
      <c r="K994" t="s">
        <v>97</v>
      </c>
      <c r="M994">
        <v>11</v>
      </c>
      <c r="P994" s="13">
        <v>173</v>
      </c>
      <c r="Q994" s="13">
        <v>41</v>
      </c>
      <c r="R994">
        <v>36</v>
      </c>
      <c r="S994">
        <v>22</v>
      </c>
      <c r="T994" s="13">
        <v>34</v>
      </c>
      <c r="U994" s="13">
        <v>47</v>
      </c>
      <c r="V994" t="s">
        <v>99</v>
      </c>
      <c r="X994" s="13">
        <v>173</v>
      </c>
    </row>
    <row r="995" spans="1:24" x14ac:dyDescent="0.25">
      <c r="A995" t="s">
        <v>1113</v>
      </c>
      <c r="B995" t="s">
        <v>62</v>
      </c>
      <c r="C995" t="s">
        <v>1004</v>
      </c>
      <c r="D995" t="s">
        <v>1005</v>
      </c>
      <c r="E995" t="s">
        <v>62</v>
      </c>
      <c r="F995" t="s">
        <v>94</v>
      </c>
      <c r="G995" t="s">
        <v>277</v>
      </c>
      <c r="H995" s="12">
        <v>6.1670337999999996</v>
      </c>
      <c r="I995" s="12">
        <v>-75.581835699999999</v>
      </c>
      <c r="K995" t="s">
        <v>97</v>
      </c>
      <c r="M995">
        <v>11</v>
      </c>
      <c r="P995" s="13">
        <v>171</v>
      </c>
      <c r="Q995" s="13">
        <v>39</v>
      </c>
      <c r="R995">
        <v>32</v>
      </c>
      <c r="S995">
        <v>38</v>
      </c>
      <c r="T995" s="13">
        <v>31</v>
      </c>
      <c r="U995" s="13">
        <v>25</v>
      </c>
      <c r="V995" t="s">
        <v>99</v>
      </c>
      <c r="X995" s="13">
        <v>171</v>
      </c>
    </row>
    <row r="996" spans="1:24" x14ac:dyDescent="0.25">
      <c r="A996" t="s">
        <v>1114</v>
      </c>
      <c r="B996" t="s">
        <v>62</v>
      </c>
      <c r="C996" t="s">
        <v>1004</v>
      </c>
      <c r="D996" t="s">
        <v>1005</v>
      </c>
      <c r="E996" t="s">
        <v>62</v>
      </c>
      <c r="F996" t="s">
        <v>94</v>
      </c>
      <c r="G996" t="s">
        <v>277</v>
      </c>
      <c r="H996" s="12">
        <v>6.1670337999999996</v>
      </c>
      <c r="I996" s="12">
        <v>-75.581835699999999</v>
      </c>
      <c r="K996" t="s">
        <v>97</v>
      </c>
      <c r="M996">
        <v>11</v>
      </c>
      <c r="P996" s="13">
        <v>171</v>
      </c>
      <c r="Q996" s="13">
        <v>37</v>
      </c>
      <c r="R996">
        <v>30</v>
      </c>
      <c r="S996">
        <v>36</v>
      </c>
      <c r="T996" s="13">
        <v>31</v>
      </c>
      <c r="U996" s="13">
        <v>44</v>
      </c>
      <c r="V996" t="s">
        <v>99</v>
      </c>
      <c r="X996" s="13">
        <v>171</v>
      </c>
    </row>
    <row r="997" spans="1:24" x14ac:dyDescent="0.25">
      <c r="A997" t="s">
        <v>1115</v>
      </c>
      <c r="B997" t="s">
        <v>62</v>
      </c>
      <c r="C997" t="s">
        <v>1004</v>
      </c>
      <c r="D997" t="s">
        <v>1005</v>
      </c>
      <c r="E997" t="s">
        <v>62</v>
      </c>
      <c r="F997" t="s">
        <v>94</v>
      </c>
      <c r="G997" t="s">
        <v>277</v>
      </c>
      <c r="H997" s="12">
        <v>6.1670337999999996</v>
      </c>
      <c r="I997" s="12">
        <v>-75.581835699999999</v>
      </c>
      <c r="K997" t="s">
        <v>97</v>
      </c>
      <c r="M997">
        <v>11</v>
      </c>
      <c r="P997" s="13">
        <v>171</v>
      </c>
      <c r="Q997" s="13">
        <v>49</v>
      </c>
      <c r="R997">
        <v>28</v>
      </c>
      <c r="S997">
        <v>32</v>
      </c>
      <c r="T997" s="13">
        <v>26</v>
      </c>
      <c r="U997" s="13">
        <v>40</v>
      </c>
      <c r="V997" t="s">
        <v>99</v>
      </c>
      <c r="X997" s="13">
        <v>171</v>
      </c>
    </row>
    <row r="998" spans="1:24" x14ac:dyDescent="0.25">
      <c r="A998" t="s">
        <v>1116</v>
      </c>
      <c r="B998" t="s">
        <v>62</v>
      </c>
      <c r="C998" t="s">
        <v>1004</v>
      </c>
      <c r="D998" t="s">
        <v>1005</v>
      </c>
      <c r="E998" t="s">
        <v>62</v>
      </c>
      <c r="F998" t="s">
        <v>94</v>
      </c>
      <c r="G998" t="s">
        <v>277</v>
      </c>
      <c r="H998" s="12">
        <v>6.1670337999999996</v>
      </c>
      <c r="I998" s="12">
        <v>-75.581835699999999</v>
      </c>
      <c r="K998" t="s">
        <v>97</v>
      </c>
      <c r="M998">
        <v>11</v>
      </c>
      <c r="P998" s="13">
        <v>170</v>
      </c>
      <c r="Q998" s="13">
        <v>39</v>
      </c>
      <c r="R998">
        <v>34</v>
      </c>
      <c r="S998">
        <v>30</v>
      </c>
      <c r="T998" s="13">
        <v>31</v>
      </c>
      <c r="U998" s="13">
        <v>40</v>
      </c>
      <c r="V998" t="s">
        <v>99</v>
      </c>
      <c r="X998" s="13">
        <v>170</v>
      </c>
    </row>
    <row r="999" spans="1:24" x14ac:dyDescent="0.25">
      <c r="A999" t="s">
        <v>1117</v>
      </c>
      <c r="B999" t="s">
        <v>62</v>
      </c>
      <c r="C999" t="s">
        <v>1004</v>
      </c>
      <c r="D999" t="s">
        <v>1005</v>
      </c>
      <c r="E999" t="s">
        <v>62</v>
      </c>
      <c r="F999" t="s">
        <v>94</v>
      </c>
      <c r="G999" t="s">
        <v>277</v>
      </c>
      <c r="H999" s="12">
        <v>6.1670337999999996</v>
      </c>
      <c r="I999" s="12">
        <v>-75.581835699999999</v>
      </c>
      <c r="K999" t="s">
        <v>97</v>
      </c>
      <c r="M999">
        <v>11</v>
      </c>
      <c r="P999" s="13">
        <v>169</v>
      </c>
      <c r="Q999" s="13">
        <v>49</v>
      </c>
      <c r="R999">
        <v>22</v>
      </c>
      <c r="S999">
        <v>32</v>
      </c>
      <c r="T999" s="13">
        <v>29</v>
      </c>
      <c r="U999" s="13">
        <v>44</v>
      </c>
      <c r="V999" t="s">
        <v>99</v>
      </c>
      <c r="X999" s="13">
        <v>169</v>
      </c>
    </row>
    <row r="1000" spans="1:24" x14ac:dyDescent="0.25">
      <c r="A1000" t="s">
        <v>1118</v>
      </c>
      <c r="B1000" t="s">
        <v>62</v>
      </c>
      <c r="C1000" t="s">
        <v>1004</v>
      </c>
      <c r="D1000" t="s">
        <v>1005</v>
      </c>
      <c r="E1000" t="s">
        <v>62</v>
      </c>
      <c r="F1000" t="s">
        <v>94</v>
      </c>
      <c r="G1000" t="s">
        <v>277</v>
      </c>
      <c r="H1000" s="12">
        <v>6.1670337999999996</v>
      </c>
      <c r="I1000" s="12">
        <v>-75.581835699999999</v>
      </c>
      <c r="K1000" t="s">
        <v>97</v>
      </c>
      <c r="M1000">
        <v>11</v>
      </c>
      <c r="P1000" s="13">
        <v>169</v>
      </c>
      <c r="Q1000" s="13">
        <v>39</v>
      </c>
      <c r="R1000">
        <v>42</v>
      </c>
      <c r="S1000">
        <v>20</v>
      </c>
      <c r="T1000" s="13">
        <v>36</v>
      </c>
      <c r="U1000" s="13">
        <v>27</v>
      </c>
      <c r="V1000" t="s">
        <v>99</v>
      </c>
      <c r="X1000" s="13">
        <v>169</v>
      </c>
    </row>
    <row r="1001" spans="1:24" x14ac:dyDescent="0.25">
      <c r="A1001" t="s">
        <v>1119</v>
      </c>
      <c r="B1001" t="s">
        <v>62</v>
      </c>
      <c r="C1001" t="s">
        <v>1004</v>
      </c>
      <c r="D1001" t="s">
        <v>1005</v>
      </c>
      <c r="E1001" t="s">
        <v>62</v>
      </c>
      <c r="F1001" t="s">
        <v>94</v>
      </c>
      <c r="G1001" t="s">
        <v>277</v>
      </c>
      <c r="H1001" s="12">
        <v>6.1670337999999996</v>
      </c>
      <c r="I1001" s="12">
        <v>-75.581835699999999</v>
      </c>
      <c r="K1001" t="s">
        <v>97</v>
      </c>
      <c r="M1001">
        <v>11</v>
      </c>
      <c r="P1001" s="13">
        <v>169</v>
      </c>
      <c r="Q1001" s="13">
        <v>46</v>
      </c>
      <c r="R1001">
        <v>28</v>
      </c>
      <c r="S1001">
        <v>28</v>
      </c>
      <c r="T1001" s="13">
        <v>31</v>
      </c>
      <c r="U1001" s="13">
        <v>38</v>
      </c>
      <c r="V1001" t="s">
        <v>99</v>
      </c>
      <c r="X1001" s="13">
        <v>169</v>
      </c>
    </row>
    <row r="1002" spans="1:24" x14ac:dyDescent="0.25">
      <c r="A1002" t="s">
        <v>1120</v>
      </c>
      <c r="B1002" t="s">
        <v>62</v>
      </c>
      <c r="C1002" t="s">
        <v>1004</v>
      </c>
      <c r="D1002" t="s">
        <v>1005</v>
      </c>
      <c r="E1002" t="s">
        <v>62</v>
      </c>
      <c r="F1002" t="s">
        <v>94</v>
      </c>
      <c r="G1002" t="s">
        <v>277</v>
      </c>
      <c r="H1002" s="12">
        <v>6.1670337999999996</v>
      </c>
      <c r="I1002" s="12">
        <v>-75.581835699999999</v>
      </c>
      <c r="K1002" t="s">
        <v>97</v>
      </c>
      <c r="M1002">
        <v>11</v>
      </c>
      <c r="P1002" s="13">
        <v>166</v>
      </c>
      <c r="Q1002" s="13">
        <v>46</v>
      </c>
      <c r="R1002">
        <v>24</v>
      </c>
      <c r="S1002">
        <v>28</v>
      </c>
      <c r="T1002" s="13">
        <v>29</v>
      </c>
      <c r="U1002" s="13">
        <v>49</v>
      </c>
      <c r="V1002" t="s">
        <v>99</v>
      </c>
      <c r="X1002" s="13">
        <v>166</v>
      </c>
    </row>
    <row r="1003" spans="1:24" x14ac:dyDescent="0.25">
      <c r="A1003" t="s">
        <v>1121</v>
      </c>
      <c r="B1003" t="s">
        <v>62</v>
      </c>
      <c r="C1003" t="s">
        <v>1004</v>
      </c>
      <c r="D1003" t="s">
        <v>1005</v>
      </c>
      <c r="E1003" t="s">
        <v>62</v>
      </c>
      <c r="F1003" t="s">
        <v>94</v>
      </c>
      <c r="G1003" t="s">
        <v>277</v>
      </c>
      <c r="H1003" s="12">
        <v>6.1670337999999996</v>
      </c>
      <c r="I1003" s="12">
        <v>-75.581835699999999</v>
      </c>
      <c r="K1003" t="s">
        <v>97</v>
      </c>
      <c r="M1003">
        <v>11</v>
      </c>
      <c r="P1003" s="13">
        <v>165</v>
      </c>
      <c r="Q1003" s="13">
        <v>39</v>
      </c>
      <c r="R1003">
        <v>30</v>
      </c>
      <c r="S1003">
        <v>28</v>
      </c>
      <c r="T1003" s="13">
        <v>34</v>
      </c>
      <c r="U1003" s="13">
        <v>35</v>
      </c>
      <c r="V1003" t="s">
        <v>99</v>
      </c>
      <c r="X1003" s="13">
        <v>165</v>
      </c>
    </row>
    <row r="1004" spans="1:24" x14ac:dyDescent="0.25">
      <c r="A1004" t="s">
        <v>1122</v>
      </c>
      <c r="B1004" t="s">
        <v>62</v>
      </c>
      <c r="C1004" t="s">
        <v>1004</v>
      </c>
      <c r="D1004" t="s">
        <v>1005</v>
      </c>
      <c r="E1004" t="s">
        <v>62</v>
      </c>
      <c r="F1004" t="s">
        <v>94</v>
      </c>
      <c r="G1004" t="s">
        <v>277</v>
      </c>
      <c r="H1004" s="12">
        <v>6.1670337999999996</v>
      </c>
      <c r="I1004" s="12">
        <v>-75.581835699999999</v>
      </c>
      <c r="K1004" t="s">
        <v>97</v>
      </c>
      <c r="M1004">
        <v>11</v>
      </c>
      <c r="P1004" s="13">
        <v>165</v>
      </c>
      <c r="Q1004" s="13">
        <v>37</v>
      </c>
      <c r="R1004">
        <v>36</v>
      </c>
      <c r="S1004">
        <v>20</v>
      </c>
      <c r="T1004" s="13">
        <v>31</v>
      </c>
      <c r="U1004" s="13">
        <v>58</v>
      </c>
      <c r="V1004" t="s">
        <v>99</v>
      </c>
      <c r="X1004" s="13">
        <v>165</v>
      </c>
    </row>
    <row r="1005" spans="1:24" x14ac:dyDescent="0.25">
      <c r="A1005" t="s">
        <v>1123</v>
      </c>
      <c r="B1005" t="s">
        <v>62</v>
      </c>
      <c r="C1005" t="s">
        <v>1004</v>
      </c>
      <c r="D1005" t="s">
        <v>1005</v>
      </c>
      <c r="E1005" t="s">
        <v>62</v>
      </c>
      <c r="F1005" t="s">
        <v>94</v>
      </c>
      <c r="G1005" t="s">
        <v>277</v>
      </c>
      <c r="H1005" s="12">
        <v>6.1670337999999996</v>
      </c>
      <c r="I1005" s="12">
        <v>-75.581835699999999</v>
      </c>
      <c r="K1005" t="s">
        <v>97</v>
      </c>
      <c r="M1005">
        <v>11</v>
      </c>
      <c r="P1005" s="13">
        <v>165</v>
      </c>
      <c r="Q1005" s="13">
        <v>41</v>
      </c>
      <c r="R1005">
        <v>16</v>
      </c>
      <c r="S1005">
        <v>26</v>
      </c>
      <c r="T1005" s="13">
        <v>45</v>
      </c>
      <c r="U1005" s="13">
        <v>44</v>
      </c>
      <c r="V1005" t="s">
        <v>99</v>
      </c>
      <c r="X1005" s="13">
        <v>165</v>
      </c>
    </row>
    <row r="1006" spans="1:24" x14ac:dyDescent="0.25">
      <c r="A1006" t="s">
        <v>1124</v>
      </c>
      <c r="B1006" t="s">
        <v>62</v>
      </c>
      <c r="C1006" t="s">
        <v>1004</v>
      </c>
      <c r="D1006" t="s">
        <v>1005</v>
      </c>
      <c r="E1006" t="s">
        <v>62</v>
      </c>
      <c r="F1006" t="s">
        <v>94</v>
      </c>
      <c r="G1006" t="s">
        <v>277</v>
      </c>
      <c r="H1006" s="12">
        <v>6.1670337999999996</v>
      </c>
      <c r="I1006" s="12">
        <v>-75.581835699999999</v>
      </c>
      <c r="K1006" t="s">
        <v>97</v>
      </c>
      <c r="M1006">
        <v>11</v>
      </c>
      <c r="P1006" s="13">
        <v>164</v>
      </c>
      <c r="Q1006" s="13">
        <v>49</v>
      </c>
      <c r="R1006">
        <v>26</v>
      </c>
      <c r="S1006">
        <v>22</v>
      </c>
      <c r="T1006" s="13">
        <v>33</v>
      </c>
      <c r="U1006" s="13">
        <v>38</v>
      </c>
      <c r="V1006" t="s">
        <v>99</v>
      </c>
      <c r="X1006" s="13">
        <v>164</v>
      </c>
    </row>
    <row r="1007" spans="1:24" x14ac:dyDescent="0.25">
      <c r="A1007" t="s">
        <v>1125</v>
      </c>
      <c r="B1007" t="s">
        <v>62</v>
      </c>
      <c r="C1007" t="s">
        <v>1004</v>
      </c>
      <c r="D1007" t="s">
        <v>1005</v>
      </c>
      <c r="E1007" t="s">
        <v>62</v>
      </c>
      <c r="F1007" t="s">
        <v>94</v>
      </c>
      <c r="G1007" t="s">
        <v>277</v>
      </c>
      <c r="H1007" s="12">
        <v>6.1670337999999996</v>
      </c>
      <c r="I1007" s="12">
        <v>-75.581835699999999</v>
      </c>
      <c r="K1007" t="s">
        <v>97</v>
      </c>
      <c r="M1007">
        <v>11</v>
      </c>
      <c r="P1007" s="13">
        <v>160</v>
      </c>
      <c r="Q1007" s="13">
        <v>71</v>
      </c>
      <c r="R1007">
        <v>26</v>
      </c>
      <c r="S1007">
        <v>30</v>
      </c>
      <c r="T1007" s="13">
        <v>12</v>
      </c>
      <c r="U1007" s="13">
        <v>0</v>
      </c>
      <c r="V1007" t="s">
        <v>99</v>
      </c>
      <c r="X1007" s="13">
        <v>160</v>
      </c>
    </row>
    <row r="1008" spans="1:24" x14ac:dyDescent="0.25">
      <c r="A1008" t="s">
        <v>1126</v>
      </c>
      <c r="B1008" t="s">
        <v>62</v>
      </c>
      <c r="C1008" t="s">
        <v>1004</v>
      </c>
      <c r="D1008" t="s">
        <v>1005</v>
      </c>
      <c r="E1008" t="s">
        <v>62</v>
      </c>
      <c r="F1008" t="s">
        <v>94</v>
      </c>
      <c r="G1008" t="s">
        <v>277</v>
      </c>
      <c r="H1008" s="12">
        <v>6.1670337999999996</v>
      </c>
      <c r="I1008" s="12">
        <v>-75.581835699999999</v>
      </c>
      <c r="K1008" t="s">
        <v>97</v>
      </c>
      <c r="M1008">
        <v>11</v>
      </c>
      <c r="P1008" s="13">
        <v>158</v>
      </c>
      <c r="Q1008" s="13">
        <v>46</v>
      </c>
      <c r="R1008">
        <v>32</v>
      </c>
      <c r="S1008">
        <v>26</v>
      </c>
      <c r="T1008" s="13">
        <v>22</v>
      </c>
      <c r="U1008" s="13">
        <v>31</v>
      </c>
      <c r="V1008" t="s">
        <v>99</v>
      </c>
      <c r="X1008" s="13">
        <v>158</v>
      </c>
    </row>
    <row r="1009" spans="1:24" x14ac:dyDescent="0.25">
      <c r="A1009" t="s">
        <v>1127</v>
      </c>
      <c r="B1009" t="s">
        <v>62</v>
      </c>
      <c r="C1009" t="s">
        <v>1004</v>
      </c>
      <c r="D1009" t="s">
        <v>1005</v>
      </c>
      <c r="E1009" t="s">
        <v>62</v>
      </c>
      <c r="F1009" t="s">
        <v>94</v>
      </c>
      <c r="G1009" t="s">
        <v>277</v>
      </c>
      <c r="H1009" s="12">
        <v>6.1670337999999996</v>
      </c>
      <c r="I1009" s="12">
        <v>-75.581835699999999</v>
      </c>
      <c r="K1009" t="s">
        <v>97</v>
      </c>
      <c r="M1009">
        <v>11</v>
      </c>
      <c r="P1009" s="13">
        <v>157</v>
      </c>
      <c r="Q1009" s="13">
        <v>29</v>
      </c>
      <c r="R1009">
        <v>24</v>
      </c>
      <c r="S1009">
        <v>26</v>
      </c>
      <c r="T1009" s="13">
        <v>41</v>
      </c>
      <c r="U1009" s="13">
        <v>45</v>
      </c>
      <c r="V1009" t="s">
        <v>99</v>
      </c>
      <c r="X1009" s="13">
        <v>157</v>
      </c>
    </row>
    <row r="1010" spans="1:24" x14ac:dyDescent="0.25">
      <c r="A1010" t="s">
        <v>1128</v>
      </c>
      <c r="B1010" t="s">
        <v>62</v>
      </c>
      <c r="C1010" t="s">
        <v>1004</v>
      </c>
      <c r="D1010" t="s">
        <v>1005</v>
      </c>
      <c r="E1010" t="s">
        <v>62</v>
      </c>
      <c r="F1010" t="s">
        <v>94</v>
      </c>
      <c r="G1010" t="s">
        <v>277</v>
      </c>
      <c r="H1010" s="12">
        <v>6.1670337999999996</v>
      </c>
      <c r="I1010" s="12">
        <v>-75.581835699999999</v>
      </c>
      <c r="K1010" t="s">
        <v>97</v>
      </c>
      <c r="M1010">
        <v>11</v>
      </c>
      <c r="P1010" s="13">
        <v>156</v>
      </c>
      <c r="Q1010" s="13">
        <v>39</v>
      </c>
      <c r="R1010">
        <v>26</v>
      </c>
      <c r="S1010">
        <v>30</v>
      </c>
      <c r="T1010" s="13">
        <v>31</v>
      </c>
      <c r="U1010" s="13">
        <v>27</v>
      </c>
      <c r="V1010" t="s">
        <v>99</v>
      </c>
      <c r="X1010" s="13">
        <v>156</v>
      </c>
    </row>
    <row r="1011" spans="1:24" x14ac:dyDescent="0.25">
      <c r="A1011" t="s">
        <v>1129</v>
      </c>
      <c r="B1011" t="s">
        <v>62</v>
      </c>
      <c r="C1011" t="s">
        <v>1004</v>
      </c>
      <c r="D1011" t="s">
        <v>1005</v>
      </c>
      <c r="E1011" t="s">
        <v>62</v>
      </c>
      <c r="F1011" t="s">
        <v>94</v>
      </c>
      <c r="G1011" t="s">
        <v>277</v>
      </c>
      <c r="H1011" s="12">
        <v>6.1670337999999996</v>
      </c>
      <c r="I1011" s="12">
        <v>-75.581835699999999</v>
      </c>
      <c r="K1011" t="s">
        <v>97</v>
      </c>
      <c r="M1011">
        <v>11</v>
      </c>
      <c r="P1011" s="13">
        <v>152</v>
      </c>
      <c r="Q1011" s="13">
        <v>29</v>
      </c>
      <c r="R1011">
        <v>40</v>
      </c>
      <c r="S1011">
        <v>26</v>
      </c>
      <c r="T1011" s="13">
        <v>28</v>
      </c>
      <c r="U1011" s="13">
        <v>27</v>
      </c>
      <c r="V1011" t="s">
        <v>99</v>
      </c>
      <c r="X1011" s="13">
        <v>152</v>
      </c>
    </row>
    <row r="1012" spans="1:24" x14ac:dyDescent="0.25">
      <c r="A1012" t="s">
        <v>1130</v>
      </c>
      <c r="B1012" t="s">
        <v>62</v>
      </c>
      <c r="C1012" t="s">
        <v>1004</v>
      </c>
      <c r="D1012" t="s">
        <v>1005</v>
      </c>
      <c r="E1012" t="s">
        <v>62</v>
      </c>
      <c r="F1012" t="s">
        <v>94</v>
      </c>
      <c r="G1012" t="s">
        <v>277</v>
      </c>
      <c r="H1012" s="12">
        <v>6.1670337999999996</v>
      </c>
      <c r="I1012" s="12">
        <v>-75.581835699999999</v>
      </c>
      <c r="K1012" t="s">
        <v>97</v>
      </c>
      <c r="M1012">
        <v>11</v>
      </c>
      <c r="P1012" s="13">
        <v>152</v>
      </c>
      <c r="Q1012" s="13">
        <v>32</v>
      </c>
      <c r="R1012">
        <v>32</v>
      </c>
      <c r="S1012">
        <v>32</v>
      </c>
      <c r="T1012" s="13">
        <v>24</v>
      </c>
      <c r="U1012" s="13">
        <v>35</v>
      </c>
      <c r="V1012" t="s">
        <v>99</v>
      </c>
      <c r="X1012" s="13">
        <v>152</v>
      </c>
    </row>
    <row r="1013" spans="1:24" x14ac:dyDescent="0.25">
      <c r="A1013" t="s">
        <v>1131</v>
      </c>
      <c r="B1013" t="s">
        <v>62</v>
      </c>
      <c r="C1013" t="s">
        <v>1004</v>
      </c>
      <c r="D1013" t="s">
        <v>1005</v>
      </c>
      <c r="E1013" t="s">
        <v>62</v>
      </c>
      <c r="F1013" t="s">
        <v>94</v>
      </c>
      <c r="G1013" t="s">
        <v>277</v>
      </c>
      <c r="H1013" s="12">
        <v>6.1670337999999996</v>
      </c>
      <c r="I1013" s="12">
        <v>-75.581835699999999</v>
      </c>
      <c r="K1013" t="s">
        <v>97</v>
      </c>
      <c r="M1013">
        <v>11</v>
      </c>
      <c r="P1013" s="13">
        <v>151</v>
      </c>
      <c r="Q1013" s="13">
        <v>27</v>
      </c>
      <c r="R1013">
        <v>24</v>
      </c>
      <c r="S1013">
        <v>30</v>
      </c>
      <c r="T1013" s="13">
        <v>34</v>
      </c>
      <c r="U1013" s="13">
        <v>47</v>
      </c>
      <c r="V1013" t="s">
        <v>99</v>
      </c>
      <c r="X1013" s="13">
        <v>151</v>
      </c>
    </row>
    <row r="1014" spans="1:24" x14ac:dyDescent="0.25">
      <c r="A1014" t="s">
        <v>1132</v>
      </c>
      <c r="B1014" t="s">
        <v>62</v>
      </c>
      <c r="C1014" t="s">
        <v>1004</v>
      </c>
      <c r="D1014" t="s">
        <v>1005</v>
      </c>
      <c r="E1014" t="s">
        <v>62</v>
      </c>
      <c r="F1014" t="s">
        <v>94</v>
      </c>
      <c r="G1014" t="s">
        <v>277</v>
      </c>
      <c r="H1014" s="12">
        <v>6.1670337999999996</v>
      </c>
      <c r="I1014" s="12">
        <v>-75.581835699999999</v>
      </c>
      <c r="K1014" t="s">
        <v>97</v>
      </c>
      <c r="M1014">
        <v>11</v>
      </c>
      <c r="P1014" s="13">
        <v>151</v>
      </c>
      <c r="Q1014" s="13">
        <v>37</v>
      </c>
      <c r="R1014">
        <v>24</v>
      </c>
      <c r="S1014">
        <v>32</v>
      </c>
      <c r="T1014" s="13">
        <v>26</v>
      </c>
      <c r="U1014" s="13">
        <v>36</v>
      </c>
      <c r="V1014" t="s">
        <v>99</v>
      </c>
      <c r="X1014" s="13">
        <v>151</v>
      </c>
    </row>
    <row r="1015" spans="1:24" x14ac:dyDescent="0.25">
      <c r="A1015" t="s">
        <v>1133</v>
      </c>
      <c r="B1015" t="s">
        <v>62</v>
      </c>
      <c r="C1015" t="s">
        <v>1004</v>
      </c>
      <c r="D1015" t="s">
        <v>1005</v>
      </c>
      <c r="E1015" t="s">
        <v>62</v>
      </c>
      <c r="F1015" t="s">
        <v>94</v>
      </c>
      <c r="G1015" t="s">
        <v>277</v>
      </c>
      <c r="H1015" s="12">
        <v>6.1670337999999996</v>
      </c>
      <c r="I1015" s="12">
        <v>-75.581835699999999</v>
      </c>
      <c r="K1015" t="s">
        <v>97</v>
      </c>
      <c r="M1015">
        <v>11</v>
      </c>
      <c r="P1015" s="13">
        <v>150</v>
      </c>
      <c r="Q1015" s="13">
        <v>39</v>
      </c>
      <c r="R1015">
        <v>18</v>
      </c>
      <c r="S1015">
        <v>30</v>
      </c>
      <c r="T1015" s="13">
        <v>29</v>
      </c>
      <c r="U1015" s="13">
        <v>42</v>
      </c>
      <c r="V1015" t="s">
        <v>99</v>
      </c>
      <c r="X1015" s="13">
        <v>150</v>
      </c>
    </row>
    <row r="1016" spans="1:24" x14ac:dyDescent="0.25">
      <c r="A1016" t="s">
        <v>1134</v>
      </c>
      <c r="B1016" t="s">
        <v>62</v>
      </c>
      <c r="C1016" t="s">
        <v>1004</v>
      </c>
      <c r="D1016" t="s">
        <v>1005</v>
      </c>
      <c r="E1016" t="s">
        <v>62</v>
      </c>
      <c r="F1016" t="s">
        <v>94</v>
      </c>
      <c r="G1016" t="s">
        <v>277</v>
      </c>
      <c r="H1016" s="12">
        <v>6.1670337999999996</v>
      </c>
      <c r="I1016" s="12">
        <v>-75.581835699999999</v>
      </c>
      <c r="K1016" t="s">
        <v>97</v>
      </c>
      <c r="M1016">
        <v>11</v>
      </c>
      <c r="P1016" s="13">
        <v>148</v>
      </c>
      <c r="Q1016" s="13">
        <v>34</v>
      </c>
      <c r="R1016">
        <v>28</v>
      </c>
      <c r="S1016">
        <v>30</v>
      </c>
      <c r="T1016" s="13">
        <v>26</v>
      </c>
      <c r="U1016" s="13">
        <v>31</v>
      </c>
      <c r="V1016" t="s">
        <v>99</v>
      </c>
      <c r="X1016" s="13">
        <v>148</v>
      </c>
    </row>
    <row r="1017" spans="1:24" x14ac:dyDescent="0.25">
      <c r="A1017" t="s">
        <v>1135</v>
      </c>
      <c r="B1017" t="s">
        <v>62</v>
      </c>
      <c r="C1017" t="s">
        <v>1004</v>
      </c>
      <c r="D1017" t="s">
        <v>1005</v>
      </c>
      <c r="E1017" t="s">
        <v>62</v>
      </c>
      <c r="F1017" t="s">
        <v>94</v>
      </c>
      <c r="G1017" t="s">
        <v>277</v>
      </c>
      <c r="H1017" s="12">
        <v>6.1670337999999996</v>
      </c>
      <c r="I1017" s="12">
        <v>-75.581835699999999</v>
      </c>
      <c r="K1017" t="s">
        <v>97</v>
      </c>
      <c r="M1017">
        <v>11</v>
      </c>
      <c r="P1017" s="13">
        <v>144</v>
      </c>
      <c r="Q1017" s="13">
        <v>17</v>
      </c>
      <c r="R1017">
        <v>44</v>
      </c>
      <c r="S1017">
        <v>26</v>
      </c>
      <c r="T1017" s="13">
        <v>19</v>
      </c>
      <c r="U1017" s="13">
        <v>56</v>
      </c>
      <c r="V1017" t="s">
        <v>99</v>
      </c>
      <c r="X1017" s="13">
        <v>144</v>
      </c>
    </row>
    <row r="1018" spans="1:24" x14ac:dyDescent="0.25">
      <c r="A1018" t="s">
        <v>1136</v>
      </c>
      <c r="B1018" t="s">
        <v>62</v>
      </c>
      <c r="C1018" t="s">
        <v>1004</v>
      </c>
      <c r="D1018" t="s">
        <v>1005</v>
      </c>
      <c r="E1018" t="s">
        <v>62</v>
      </c>
      <c r="F1018" t="s">
        <v>94</v>
      </c>
      <c r="G1018" t="s">
        <v>277</v>
      </c>
      <c r="H1018" s="12">
        <v>6.1670337999999996</v>
      </c>
      <c r="I1018" s="12">
        <v>-75.581835699999999</v>
      </c>
      <c r="K1018" t="s">
        <v>97</v>
      </c>
      <c r="M1018">
        <v>11</v>
      </c>
      <c r="P1018" s="13">
        <v>144</v>
      </c>
      <c r="Q1018" s="13">
        <v>37</v>
      </c>
      <c r="R1018">
        <v>32</v>
      </c>
      <c r="S1018">
        <v>26</v>
      </c>
      <c r="T1018" s="13">
        <v>19</v>
      </c>
      <c r="U1018" s="13">
        <v>33</v>
      </c>
      <c r="V1018" t="s">
        <v>99</v>
      </c>
      <c r="X1018" s="13">
        <v>144</v>
      </c>
    </row>
    <row r="1019" spans="1:24" x14ac:dyDescent="0.25">
      <c r="A1019" t="s">
        <v>1137</v>
      </c>
      <c r="B1019" t="s">
        <v>62</v>
      </c>
      <c r="C1019" t="s">
        <v>1004</v>
      </c>
      <c r="D1019" t="s">
        <v>1005</v>
      </c>
      <c r="E1019" t="s">
        <v>62</v>
      </c>
      <c r="F1019" t="s">
        <v>94</v>
      </c>
      <c r="G1019" t="s">
        <v>277</v>
      </c>
      <c r="H1019" s="12">
        <v>6.1670337999999996</v>
      </c>
      <c r="I1019" s="12">
        <v>-75.581835699999999</v>
      </c>
      <c r="K1019" t="s">
        <v>97</v>
      </c>
      <c r="M1019">
        <v>11</v>
      </c>
      <c r="P1019" s="13">
        <v>143</v>
      </c>
      <c r="Q1019" s="13">
        <v>34</v>
      </c>
      <c r="R1019">
        <v>26</v>
      </c>
      <c r="S1019">
        <v>24</v>
      </c>
      <c r="T1019" s="13">
        <v>31</v>
      </c>
      <c r="U1019" s="13">
        <v>27</v>
      </c>
      <c r="V1019" t="s">
        <v>99</v>
      </c>
      <c r="X1019" s="13">
        <v>143</v>
      </c>
    </row>
    <row r="1020" spans="1:24" x14ac:dyDescent="0.25">
      <c r="A1020" t="s">
        <v>1138</v>
      </c>
      <c r="B1020" t="s">
        <v>62</v>
      </c>
      <c r="C1020" t="s">
        <v>1004</v>
      </c>
      <c r="D1020" t="s">
        <v>1005</v>
      </c>
      <c r="E1020" t="s">
        <v>62</v>
      </c>
      <c r="F1020" t="s">
        <v>94</v>
      </c>
      <c r="G1020" t="s">
        <v>277</v>
      </c>
      <c r="H1020" s="12">
        <v>6.1670337999999996</v>
      </c>
      <c r="I1020" s="12">
        <v>-75.581835699999999</v>
      </c>
      <c r="K1020" t="s">
        <v>97</v>
      </c>
      <c r="M1020">
        <v>11</v>
      </c>
      <c r="P1020" s="13">
        <v>141</v>
      </c>
      <c r="Q1020" s="13">
        <v>56</v>
      </c>
      <c r="R1020">
        <v>18</v>
      </c>
      <c r="S1020">
        <v>22</v>
      </c>
      <c r="T1020" s="13">
        <v>26</v>
      </c>
      <c r="U1020" s="13">
        <v>0</v>
      </c>
      <c r="V1020" t="s">
        <v>99</v>
      </c>
      <c r="X1020" s="13">
        <v>141</v>
      </c>
    </row>
    <row r="1021" spans="1:24" x14ac:dyDescent="0.25">
      <c r="A1021" t="s">
        <v>1139</v>
      </c>
      <c r="B1021" t="s">
        <v>62</v>
      </c>
      <c r="C1021" t="s">
        <v>1004</v>
      </c>
      <c r="D1021" t="s">
        <v>1005</v>
      </c>
      <c r="E1021" t="s">
        <v>62</v>
      </c>
      <c r="F1021" t="s">
        <v>94</v>
      </c>
      <c r="G1021" t="s">
        <v>277</v>
      </c>
      <c r="H1021" s="12">
        <v>6.1670337999999996</v>
      </c>
      <c r="I1021" s="12">
        <v>-75.581835699999999</v>
      </c>
      <c r="K1021" t="s">
        <v>97</v>
      </c>
      <c r="M1021">
        <v>11</v>
      </c>
      <c r="P1021" s="13">
        <v>138</v>
      </c>
      <c r="Q1021" s="13">
        <v>51</v>
      </c>
      <c r="R1021">
        <v>16</v>
      </c>
      <c r="S1021">
        <v>18</v>
      </c>
      <c r="T1021" s="13">
        <v>34</v>
      </c>
      <c r="U1021" s="13">
        <v>0</v>
      </c>
      <c r="V1021" t="s">
        <v>99</v>
      </c>
      <c r="X1021" s="13">
        <v>138</v>
      </c>
    </row>
    <row r="1022" spans="1:24" x14ac:dyDescent="0.25">
      <c r="A1022" t="s">
        <v>1140</v>
      </c>
      <c r="B1022" t="s">
        <v>62</v>
      </c>
      <c r="C1022" t="s">
        <v>1004</v>
      </c>
      <c r="D1022" t="s">
        <v>1005</v>
      </c>
      <c r="E1022" t="s">
        <v>62</v>
      </c>
      <c r="F1022" t="s">
        <v>94</v>
      </c>
      <c r="G1022" t="s">
        <v>277</v>
      </c>
      <c r="H1022" s="12">
        <v>6.1670337999999996</v>
      </c>
      <c r="I1022" s="12">
        <v>-75.581835699999999</v>
      </c>
      <c r="K1022" t="s">
        <v>97</v>
      </c>
      <c r="M1022">
        <v>11</v>
      </c>
      <c r="P1022" s="13">
        <v>134</v>
      </c>
      <c r="Q1022" s="13">
        <v>32</v>
      </c>
      <c r="R1022">
        <v>32</v>
      </c>
      <c r="S1022">
        <v>14</v>
      </c>
      <c r="T1022" s="13">
        <v>22</v>
      </c>
      <c r="U1022" s="13">
        <v>47</v>
      </c>
      <c r="V1022" t="s">
        <v>99</v>
      </c>
      <c r="X1022" s="13">
        <v>134</v>
      </c>
    </row>
    <row r="1023" spans="1:24" x14ac:dyDescent="0.25">
      <c r="A1023" t="s">
        <v>1141</v>
      </c>
      <c r="B1023" t="s">
        <v>62</v>
      </c>
      <c r="C1023" t="s">
        <v>1004</v>
      </c>
      <c r="D1023" t="s">
        <v>1005</v>
      </c>
      <c r="E1023" t="s">
        <v>62</v>
      </c>
      <c r="F1023" t="s">
        <v>94</v>
      </c>
      <c r="G1023" t="s">
        <v>277</v>
      </c>
      <c r="H1023" s="12">
        <v>6.1670337999999996</v>
      </c>
      <c r="I1023" s="12">
        <v>-75.581835699999999</v>
      </c>
      <c r="K1023" t="s">
        <v>97</v>
      </c>
      <c r="M1023">
        <v>11</v>
      </c>
      <c r="P1023" s="13">
        <v>130</v>
      </c>
      <c r="Q1023" s="13">
        <v>27</v>
      </c>
      <c r="R1023">
        <v>20</v>
      </c>
      <c r="S1023">
        <v>24</v>
      </c>
      <c r="T1023" s="13">
        <v>29</v>
      </c>
      <c r="U1023" s="13">
        <v>36</v>
      </c>
      <c r="V1023" t="s">
        <v>99</v>
      </c>
      <c r="X1023" s="13">
        <v>130</v>
      </c>
    </row>
    <row r="1024" spans="1:24" x14ac:dyDescent="0.25">
      <c r="A1024" t="s">
        <v>1142</v>
      </c>
      <c r="B1024" t="s">
        <v>62</v>
      </c>
      <c r="C1024" t="s">
        <v>1004</v>
      </c>
      <c r="D1024" t="s">
        <v>1005</v>
      </c>
      <c r="E1024" t="s">
        <v>62</v>
      </c>
      <c r="F1024" t="s">
        <v>94</v>
      </c>
      <c r="G1024" t="s">
        <v>277</v>
      </c>
      <c r="H1024" s="12">
        <v>6.1670337999999996</v>
      </c>
      <c r="I1024" s="12">
        <v>-75.581835699999999</v>
      </c>
      <c r="K1024" t="s">
        <v>97</v>
      </c>
      <c r="M1024">
        <v>11</v>
      </c>
      <c r="P1024" s="13">
        <v>122</v>
      </c>
      <c r="Q1024" s="13">
        <v>29</v>
      </c>
      <c r="R1024">
        <v>14</v>
      </c>
      <c r="S1024">
        <v>28</v>
      </c>
      <c r="T1024" s="13">
        <v>22</v>
      </c>
      <c r="U1024" s="13">
        <v>36</v>
      </c>
      <c r="V1024" t="s">
        <v>99</v>
      </c>
      <c r="X1024" s="13">
        <v>122</v>
      </c>
    </row>
    <row r="1025" spans="1:24" x14ac:dyDescent="0.25">
      <c r="A1025" t="s">
        <v>1143</v>
      </c>
      <c r="B1025" t="s">
        <v>62</v>
      </c>
      <c r="C1025" t="s">
        <v>1004</v>
      </c>
      <c r="D1025" t="s">
        <v>1005</v>
      </c>
      <c r="E1025" t="s">
        <v>62</v>
      </c>
      <c r="F1025" t="s">
        <v>94</v>
      </c>
      <c r="G1025" t="s">
        <v>277</v>
      </c>
      <c r="H1025" s="12">
        <v>6.1670337999999996</v>
      </c>
      <c r="I1025" s="12">
        <v>-75.581835699999999</v>
      </c>
      <c r="K1025" t="s">
        <v>97</v>
      </c>
      <c r="M1025">
        <v>11</v>
      </c>
      <c r="P1025" s="13">
        <v>122</v>
      </c>
      <c r="Q1025" s="13">
        <v>44</v>
      </c>
      <c r="R1025">
        <v>14</v>
      </c>
      <c r="S1025">
        <v>20</v>
      </c>
      <c r="T1025" s="13">
        <v>28</v>
      </c>
      <c r="U1025" s="13">
        <v>0</v>
      </c>
      <c r="V1025" t="s">
        <v>99</v>
      </c>
      <c r="X1025" s="13">
        <v>122</v>
      </c>
    </row>
    <row r="1026" spans="1:24" x14ac:dyDescent="0.25">
      <c r="A1026" t="s">
        <v>1144</v>
      </c>
      <c r="B1026" t="s">
        <v>62</v>
      </c>
      <c r="C1026" t="s">
        <v>1004</v>
      </c>
      <c r="D1026" t="s">
        <v>1005</v>
      </c>
      <c r="E1026" t="s">
        <v>62</v>
      </c>
      <c r="F1026" t="s">
        <v>94</v>
      </c>
      <c r="G1026" t="s">
        <v>277</v>
      </c>
      <c r="H1026" s="12">
        <v>6.1670337999999996</v>
      </c>
      <c r="I1026" s="12">
        <v>-75.581835699999999</v>
      </c>
      <c r="K1026" t="s">
        <v>97</v>
      </c>
      <c r="M1026">
        <v>11</v>
      </c>
      <c r="P1026" s="13">
        <v>104</v>
      </c>
      <c r="Q1026" s="13">
        <v>54</v>
      </c>
      <c r="R1026">
        <v>14</v>
      </c>
      <c r="S1026">
        <v>14</v>
      </c>
      <c r="T1026" s="13">
        <v>9</v>
      </c>
      <c r="U1026" s="13">
        <v>0</v>
      </c>
      <c r="V1026" t="s">
        <v>99</v>
      </c>
      <c r="X1026" s="13">
        <v>104</v>
      </c>
    </row>
    <row r="1027" spans="1:24" x14ac:dyDescent="0.25">
      <c r="A1027" t="s">
        <v>1145</v>
      </c>
      <c r="B1027" t="s">
        <v>62</v>
      </c>
      <c r="C1027" t="s">
        <v>1004</v>
      </c>
      <c r="D1027" t="s">
        <v>1005</v>
      </c>
      <c r="E1027" t="s">
        <v>62</v>
      </c>
      <c r="F1027" t="s">
        <v>94</v>
      </c>
      <c r="G1027" t="s">
        <v>277</v>
      </c>
      <c r="H1027" s="12">
        <v>6.1670337999999996</v>
      </c>
      <c r="I1027" s="12">
        <v>-75.581835699999999</v>
      </c>
      <c r="K1027" t="s">
        <v>97</v>
      </c>
      <c r="M1027">
        <v>11</v>
      </c>
      <c r="P1027" s="13">
        <v>89</v>
      </c>
      <c r="Q1027" s="13">
        <v>0</v>
      </c>
      <c r="R1027">
        <v>12</v>
      </c>
      <c r="S1027">
        <v>22</v>
      </c>
      <c r="T1027" s="13">
        <v>26</v>
      </c>
      <c r="U1027" s="13">
        <v>51</v>
      </c>
      <c r="V1027" t="s">
        <v>99</v>
      </c>
      <c r="X1027" s="13">
        <v>89</v>
      </c>
    </row>
    <row r="1028" spans="1:24" x14ac:dyDescent="0.25">
      <c r="A1028" t="s">
        <v>1146</v>
      </c>
      <c r="B1028" t="s">
        <v>62</v>
      </c>
      <c r="C1028" t="s">
        <v>1004</v>
      </c>
      <c r="D1028" t="s">
        <v>1005</v>
      </c>
      <c r="E1028" t="s">
        <v>62</v>
      </c>
      <c r="F1028" t="s">
        <v>94</v>
      </c>
      <c r="G1028" t="s">
        <v>277</v>
      </c>
      <c r="H1028" s="12">
        <v>6.1670337999999996</v>
      </c>
      <c r="I1028" s="12">
        <v>-75.581835699999999</v>
      </c>
      <c r="K1028" t="s">
        <v>97</v>
      </c>
      <c r="M1028">
        <v>11</v>
      </c>
      <c r="P1028" s="13">
        <v>87</v>
      </c>
      <c r="Q1028" s="13">
        <v>0</v>
      </c>
      <c r="R1028">
        <v>10</v>
      </c>
      <c r="S1028">
        <v>20</v>
      </c>
      <c r="T1028" s="13">
        <v>22</v>
      </c>
      <c r="U1028" s="13">
        <v>69</v>
      </c>
      <c r="V1028" t="s">
        <v>99</v>
      </c>
      <c r="X1028" s="13">
        <v>87</v>
      </c>
    </row>
    <row r="1029" spans="1:24" x14ac:dyDescent="0.25">
      <c r="A1029" t="s">
        <v>1147</v>
      </c>
      <c r="B1029" t="s">
        <v>62</v>
      </c>
      <c r="C1029" t="s">
        <v>1004</v>
      </c>
      <c r="D1029" t="s">
        <v>1005</v>
      </c>
      <c r="E1029" t="s">
        <v>62</v>
      </c>
      <c r="F1029" t="s">
        <v>94</v>
      </c>
      <c r="G1029" t="s">
        <v>277</v>
      </c>
      <c r="H1029" s="12">
        <v>6.1670337999999996</v>
      </c>
      <c r="I1029" s="12">
        <v>-75.581835699999999</v>
      </c>
      <c r="K1029" t="s">
        <v>97</v>
      </c>
      <c r="M1029">
        <v>11</v>
      </c>
      <c r="P1029" s="13">
        <v>84</v>
      </c>
      <c r="Q1029" s="13">
        <v>0</v>
      </c>
      <c r="R1029">
        <v>10</v>
      </c>
      <c r="S1029">
        <v>30</v>
      </c>
      <c r="T1029" s="13">
        <v>17</v>
      </c>
      <c r="U1029" s="13">
        <v>45</v>
      </c>
      <c r="V1029" t="s">
        <v>99</v>
      </c>
      <c r="X1029" s="13">
        <v>84</v>
      </c>
    </row>
    <row r="1030" spans="1:24" x14ac:dyDescent="0.25">
      <c r="A1030" t="s">
        <v>1148</v>
      </c>
      <c r="B1030" t="s">
        <v>62</v>
      </c>
      <c r="C1030" t="s">
        <v>1004</v>
      </c>
      <c r="D1030" t="s">
        <v>1005</v>
      </c>
      <c r="E1030" t="s">
        <v>62</v>
      </c>
      <c r="F1030" t="s">
        <v>94</v>
      </c>
      <c r="G1030" t="s">
        <v>277</v>
      </c>
      <c r="H1030" s="12">
        <v>6.1670337999999996</v>
      </c>
      <c r="I1030" s="12">
        <v>-75.581835699999999</v>
      </c>
      <c r="K1030" t="s">
        <v>97</v>
      </c>
      <c r="M1030">
        <v>11</v>
      </c>
      <c r="P1030" s="13">
        <v>82</v>
      </c>
      <c r="Q1030" s="13">
        <v>20</v>
      </c>
      <c r="R1030">
        <v>20</v>
      </c>
      <c r="S1030">
        <v>18</v>
      </c>
      <c r="T1030" s="13">
        <v>14</v>
      </c>
      <c r="U1030" s="13">
        <v>0</v>
      </c>
      <c r="V1030" t="s">
        <v>99</v>
      </c>
      <c r="X1030" s="13">
        <v>82</v>
      </c>
    </row>
    <row r="1031" spans="1:24" x14ac:dyDescent="0.25">
      <c r="A1031" t="s">
        <v>1149</v>
      </c>
      <c r="B1031" t="s">
        <v>62</v>
      </c>
      <c r="C1031" t="s">
        <v>1004</v>
      </c>
      <c r="D1031" t="s">
        <v>1005</v>
      </c>
      <c r="E1031" t="s">
        <v>62</v>
      </c>
      <c r="F1031" t="s">
        <v>94</v>
      </c>
      <c r="G1031" t="s">
        <v>277</v>
      </c>
      <c r="H1031" s="12">
        <v>6.1670337999999996</v>
      </c>
      <c r="I1031" s="12">
        <v>-75.581835699999999</v>
      </c>
      <c r="K1031" t="s">
        <v>97</v>
      </c>
      <c r="M1031">
        <v>11</v>
      </c>
      <c r="P1031" s="13">
        <v>73</v>
      </c>
      <c r="Q1031" s="13">
        <v>32</v>
      </c>
      <c r="R1031">
        <v>10</v>
      </c>
      <c r="S1031">
        <v>8</v>
      </c>
      <c r="T1031" s="13">
        <v>14</v>
      </c>
      <c r="U1031" s="13">
        <v>0</v>
      </c>
      <c r="V1031" t="s">
        <v>99</v>
      </c>
      <c r="X1031" s="13">
        <v>73</v>
      </c>
    </row>
    <row r="1032" spans="1:24" x14ac:dyDescent="0.25">
      <c r="A1032" t="s">
        <v>1150</v>
      </c>
      <c r="B1032" t="s">
        <v>62</v>
      </c>
      <c r="C1032" t="s">
        <v>1004</v>
      </c>
      <c r="D1032" t="s">
        <v>1005</v>
      </c>
      <c r="E1032" t="s">
        <v>62</v>
      </c>
      <c r="F1032" t="s">
        <v>94</v>
      </c>
      <c r="G1032" t="s">
        <v>277</v>
      </c>
      <c r="H1032" s="12">
        <v>6.1670337999999996</v>
      </c>
      <c r="I1032" s="12">
        <v>-75.581835699999999</v>
      </c>
      <c r="K1032" t="s">
        <v>97</v>
      </c>
      <c r="M1032">
        <v>11</v>
      </c>
      <c r="P1032" s="13">
        <v>63</v>
      </c>
      <c r="Q1032" s="13">
        <v>32</v>
      </c>
      <c r="R1032">
        <v>10</v>
      </c>
      <c r="S1032">
        <v>6</v>
      </c>
      <c r="T1032" s="13">
        <v>7</v>
      </c>
      <c r="U1032" s="13">
        <v>0</v>
      </c>
      <c r="V1032" t="s">
        <v>99</v>
      </c>
      <c r="X1032" s="13">
        <v>63</v>
      </c>
    </row>
    <row r="1033" spans="1:24" x14ac:dyDescent="0.25">
      <c r="A1033" t="s">
        <v>1151</v>
      </c>
      <c r="B1033" t="s">
        <v>62</v>
      </c>
      <c r="C1033" t="s">
        <v>1004</v>
      </c>
      <c r="D1033" t="s">
        <v>1005</v>
      </c>
      <c r="E1033" t="s">
        <v>62</v>
      </c>
      <c r="F1033" t="s">
        <v>94</v>
      </c>
      <c r="G1033" t="s">
        <v>277</v>
      </c>
      <c r="H1033" s="12">
        <v>6.1670337999999996</v>
      </c>
      <c r="I1033" s="12">
        <v>-75.581835699999999</v>
      </c>
      <c r="K1033" t="s">
        <v>97</v>
      </c>
      <c r="M1033">
        <v>11</v>
      </c>
      <c r="P1033" s="13">
        <v>60</v>
      </c>
      <c r="Q1033" s="13">
        <v>12</v>
      </c>
      <c r="R1033">
        <v>10</v>
      </c>
      <c r="S1033">
        <v>16</v>
      </c>
      <c r="T1033" s="13">
        <v>14</v>
      </c>
      <c r="U1033" s="13">
        <v>0</v>
      </c>
      <c r="V1033" t="s">
        <v>99</v>
      </c>
      <c r="X1033" s="13">
        <v>60</v>
      </c>
    </row>
    <row r="1034" spans="1:24" x14ac:dyDescent="0.25">
      <c r="A1034" t="s">
        <v>1152</v>
      </c>
      <c r="B1034" t="s">
        <v>62</v>
      </c>
      <c r="C1034" t="s">
        <v>1153</v>
      </c>
      <c r="D1034" t="s">
        <v>1154</v>
      </c>
      <c r="E1034" t="s">
        <v>62</v>
      </c>
      <c r="F1034" t="s">
        <v>94</v>
      </c>
      <c r="G1034" t="s">
        <v>277</v>
      </c>
      <c r="H1034" s="12">
        <v>6.1534946000000001</v>
      </c>
      <c r="I1034" s="12">
        <v>-75.578234300000005</v>
      </c>
      <c r="K1034" t="s">
        <v>97</v>
      </c>
      <c r="M1034">
        <v>11</v>
      </c>
      <c r="P1034" s="13">
        <v>276</v>
      </c>
      <c r="Q1034" s="13">
        <v>76</v>
      </c>
      <c r="R1034">
        <v>38</v>
      </c>
      <c r="S1034">
        <v>64</v>
      </c>
      <c r="T1034" s="13">
        <v>41</v>
      </c>
      <c r="U1034" s="13">
        <v>62</v>
      </c>
      <c r="V1034" t="s">
        <v>99</v>
      </c>
      <c r="X1034" s="13">
        <v>276</v>
      </c>
    </row>
    <row r="1035" spans="1:24" x14ac:dyDescent="0.25">
      <c r="A1035" t="s">
        <v>1155</v>
      </c>
      <c r="B1035" t="s">
        <v>62</v>
      </c>
      <c r="C1035" t="s">
        <v>1153</v>
      </c>
      <c r="D1035" t="s">
        <v>1154</v>
      </c>
      <c r="E1035" t="s">
        <v>62</v>
      </c>
      <c r="F1035" t="s">
        <v>94</v>
      </c>
      <c r="G1035" t="s">
        <v>277</v>
      </c>
      <c r="H1035" s="12">
        <v>6.1534946000000001</v>
      </c>
      <c r="I1035" s="12">
        <v>-75.578234300000005</v>
      </c>
      <c r="K1035" t="s">
        <v>97</v>
      </c>
      <c r="M1035">
        <v>11</v>
      </c>
      <c r="P1035" s="13">
        <v>262</v>
      </c>
      <c r="Q1035" s="13">
        <v>71</v>
      </c>
      <c r="R1035">
        <v>44</v>
      </c>
      <c r="S1035">
        <v>46</v>
      </c>
      <c r="T1035" s="13">
        <v>43</v>
      </c>
      <c r="U1035" s="13">
        <v>69</v>
      </c>
      <c r="V1035" t="s">
        <v>99</v>
      </c>
      <c r="X1035" s="13">
        <v>262</v>
      </c>
    </row>
    <row r="1036" spans="1:24" x14ac:dyDescent="0.25">
      <c r="A1036" t="s">
        <v>1156</v>
      </c>
      <c r="B1036" t="s">
        <v>62</v>
      </c>
      <c r="C1036" t="s">
        <v>1153</v>
      </c>
      <c r="D1036" t="s">
        <v>1154</v>
      </c>
      <c r="E1036" t="s">
        <v>62</v>
      </c>
      <c r="F1036" t="s">
        <v>94</v>
      </c>
      <c r="G1036" t="s">
        <v>277</v>
      </c>
      <c r="H1036" s="12">
        <v>6.1534946000000001</v>
      </c>
      <c r="I1036" s="12">
        <v>-75.578234300000005</v>
      </c>
      <c r="K1036" t="s">
        <v>97</v>
      </c>
      <c r="M1036">
        <v>11</v>
      </c>
      <c r="P1036" s="13">
        <v>261</v>
      </c>
      <c r="Q1036" s="13">
        <v>66</v>
      </c>
      <c r="R1036">
        <v>28</v>
      </c>
      <c r="S1036">
        <v>66</v>
      </c>
      <c r="T1036" s="13">
        <v>48</v>
      </c>
      <c r="U1036" s="13">
        <v>55</v>
      </c>
      <c r="V1036" t="s">
        <v>99</v>
      </c>
      <c r="X1036" s="13">
        <v>261</v>
      </c>
    </row>
    <row r="1037" spans="1:24" x14ac:dyDescent="0.25">
      <c r="A1037" t="s">
        <v>1157</v>
      </c>
      <c r="B1037" t="s">
        <v>62</v>
      </c>
      <c r="C1037" t="s">
        <v>1153</v>
      </c>
      <c r="D1037" t="s">
        <v>1154</v>
      </c>
      <c r="E1037" t="s">
        <v>62</v>
      </c>
      <c r="F1037" t="s">
        <v>94</v>
      </c>
      <c r="G1037" t="s">
        <v>277</v>
      </c>
      <c r="H1037" s="12">
        <v>6.1534946000000001</v>
      </c>
      <c r="I1037" s="12">
        <v>-75.578234300000005</v>
      </c>
      <c r="K1037" t="s">
        <v>97</v>
      </c>
      <c r="M1037">
        <v>11</v>
      </c>
      <c r="P1037" s="13">
        <v>259</v>
      </c>
      <c r="Q1037" s="13">
        <v>71</v>
      </c>
      <c r="R1037">
        <v>32</v>
      </c>
      <c r="S1037">
        <v>62</v>
      </c>
      <c r="T1037" s="13">
        <v>41</v>
      </c>
      <c r="U1037" s="13">
        <v>55</v>
      </c>
      <c r="V1037" t="s">
        <v>99</v>
      </c>
      <c r="X1037" s="13">
        <v>259</v>
      </c>
    </row>
    <row r="1038" spans="1:24" x14ac:dyDescent="0.25">
      <c r="A1038" t="s">
        <v>1158</v>
      </c>
      <c r="B1038" t="s">
        <v>62</v>
      </c>
      <c r="C1038" t="s">
        <v>1153</v>
      </c>
      <c r="D1038" t="s">
        <v>1154</v>
      </c>
      <c r="E1038" t="s">
        <v>62</v>
      </c>
      <c r="F1038" t="s">
        <v>94</v>
      </c>
      <c r="G1038" t="s">
        <v>277</v>
      </c>
      <c r="H1038" s="12">
        <v>6.1534946000000001</v>
      </c>
      <c r="I1038" s="12">
        <v>-75.578234300000005</v>
      </c>
      <c r="K1038" t="s">
        <v>97</v>
      </c>
      <c r="M1038">
        <v>11</v>
      </c>
      <c r="P1038" s="13">
        <v>243</v>
      </c>
      <c r="Q1038" s="13">
        <v>66</v>
      </c>
      <c r="R1038">
        <v>18</v>
      </c>
      <c r="S1038">
        <v>70</v>
      </c>
      <c r="T1038" s="13">
        <v>40</v>
      </c>
      <c r="U1038" s="13">
        <v>51</v>
      </c>
      <c r="V1038" t="s">
        <v>99</v>
      </c>
      <c r="X1038" s="13">
        <v>243</v>
      </c>
    </row>
    <row r="1039" spans="1:24" x14ac:dyDescent="0.25">
      <c r="A1039" t="s">
        <v>1159</v>
      </c>
      <c r="B1039" t="s">
        <v>62</v>
      </c>
      <c r="C1039" t="s">
        <v>1153</v>
      </c>
      <c r="D1039" t="s">
        <v>1154</v>
      </c>
      <c r="E1039" t="s">
        <v>62</v>
      </c>
      <c r="F1039" t="s">
        <v>94</v>
      </c>
      <c r="G1039" t="s">
        <v>277</v>
      </c>
      <c r="H1039" s="12">
        <v>6.1534946000000001</v>
      </c>
      <c r="I1039" s="12">
        <v>-75.578234300000005</v>
      </c>
      <c r="K1039" t="s">
        <v>97</v>
      </c>
      <c r="M1039">
        <v>11</v>
      </c>
      <c r="P1039" s="13">
        <v>242</v>
      </c>
      <c r="Q1039" s="13">
        <v>51</v>
      </c>
      <c r="R1039">
        <v>50</v>
      </c>
      <c r="S1039">
        <v>46</v>
      </c>
      <c r="T1039" s="13">
        <v>45</v>
      </c>
      <c r="U1039" s="13">
        <v>53</v>
      </c>
      <c r="V1039" t="s">
        <v>99</v>
      </c>
      <c r="X1039" s="13">
        <v>242</v>
      </c>
    </row>
    <row r="1040" spans="1:24" x14ac:dyDescent="0.25">
      <c r="A1040" t="s">
        <v>1160</v>
      </c>
      <c r="B1040" t="s">
        <v>62</v>
      </c>
      <c r="C1040" t="s">
        <v>1153</v>
      </c>
      <c r="D1040" t="s">
        <v>1154</v>
      </c>
      <c r="E1040" t="s">
        <v>62</v>
      </c>
      <c r="F1040" t="s">
        <v>94</v>
      </c>
      <c r="G1040" t="s">
        <v>277</v>
      </c>
      <c r="H1040" s="12">
        <v>6.1534946000000001</v>
      </c>
      <c r="I1040" s="12">
        <v>-75.578234300000005</v>
      </c>
      <c r="K1040" t="s">
        <v>97</v>
      </c>
      <c r="M1040">
        <v>11</v>
      </c>
      <c r="P1040" s="13">
        <v>240</v>
      </c>
      <c r="Q1040" s="13">
        <v>61</v>
      </c>
      <c r="R1040">
        <v>34</v>
      </c>
      <c r="S1040">
        <v>30</v>
      </c>
      <c r="T1040" s="13">
        <v>55</v>
      </c>
      <c r="U1040" s="13">
        <v>84</v>
      </c>
      <c r="V1040" t="s">
        <v>99</v>
      </c>
      <c r="X1040" s="13">
        <v>240</v>
      </c>
    </row>
    <row r="1041" spans="1:24" x14ac:dyDescent="0.25">
      <c r="A1041" t="s">
        <v>1161</v>
      </c>
      <c r="B1041" t="s">
        <v>62</v>
      </c>
      <c r="C1041" t="s">
        <v>1153</v>
      </c>
      <c r="D1041" t="s">
        <v>1154</v>
      </c>
      <c r="E1041" t="s">
        <v>62</v>
      </c>
      <c r="F1041" t="s">
        <v>94</v>
      </c>
      <c r="G1041" t="s">
        <v>277</v>
      </c>
      <c r="H1041" s="12">
        <v>6.1534946000000001</v>
      </c>
      <c r="I1041" s="12">
        <v>-75.578234300000005</v>
      </c>
      <c r="K1041" t="s">
        <v>97</v>
      </c>
      <c r="M1041">
        <v>11</v>
      </c>
      <c r="P1041" s="13">
        <v>232</v>
      </c>
      <c r="Q1041" s="13">
        <v>63</v>
      </c>
      <c r="R1041">
        <v>38</v>
      </c>
      <c r="S1041">
        <v>52</v>
      </c>
      <c r="T1041" s="13">
        <v>31</v>
      </c>
      <c r="U1041" s="13">
        <v>49</v>
      </c>
      <c r="V1041" t="s">
        <v>99</v>
      </c>
      <c r="X1041" s="13">
        <v>232</v>
      </c>
    </row>
    <row r="1042" spans="1:24" x14ac:dyDescent="0.25">
      <c r="A1042" t="s">
        <v>1162</v>
      </c>
      <c r="B1042" t="s">
        <v>62</v>
      </c>
      <c r="C1042" t="s">
        <v>1153</v>
      </c>
      <c r="D1042" t="s">
        <v>1154</v>
      </c>
      <c r="E1042" t="s">
        <v>62</v>
      </c>
      <c r="F1042" t="s">
        <v>94</v>
      </c>
      <c r="G1042" t="s">
        <v>277</v>
      </c>
      <c r="H1042" s="12">
        <v>6.1534946000000001</v>
      </c>
      <c r="I1042" s="12">
        <v>-75.578234300000005</v>
      </c>
      <c r="K1042" t="s">
        <v>97</v>
      </c>
      <c r="M1042">
        <v>11</v>
      </c>
      <c r="P1042" s="13">
        <v>226</v>
      </c>
      <c r="Q1042" s="13">
        <v>63</v>
      </c>
      <c r="R1042">
        <v>34</v>
      </c>
      <c r="S1042">
        <v>38</v>
      </c>
      <c r="T1042" s="13">
        <v>40</v>
      </c>
      <c r="U1042" s="13">
        <v>62</v>
      </c>
      <c r="V1042" t="s">
        <v>99</v>
      </c>
      <c r="X1042" s="13">
        <v>226</v>
      </c>
    </row>
    <row r="1043" spans="1:24" x14ac:dyDescent="0.25">
      <c r="A1043" t="s">
        <v>1163</v>
      </c>
      <c r="B1043" t="s">
        <v>62</v>
      </c>
      <c r="C1043" t="s">
        <v>1153</v>
      </c>
      <c r="D1043" t="s">
        <v>1154</v>
      </c>
      <c r="E1043" t="s">
        <v>62</v>
      </c>
      <c r="F1043" t="s">
        <v>94</v>
      </c>
      <c r="G1043" t="s">
        <v>277</v>
      </c>
      <c r="H1043" s="12">
        <v>6.1534946000000001</v>
      </c>
      <c r="I1043" s="12">
        <v>-75.578234300000005</v>
      </c>
      <c r="K1043" t="s">
        <v>97</v>
      </c>
      <c r="M1043">
        <v>11</v>
      </c>
      <c r="P1043" s="13">
        <v>225</v>
      </c>
      <c r="Q1043" s="13">
        <v>71</v>
      </c>
      <c r="R1043">
        <v>30</v>
      </c>
      <c r="S1043">
        <v>38</v>
      </c>
      <c r="T1043" s="13">
        <v>36</v>
      </c>
      <c r="U1043" s="13">
        <v>60</v>
      </c>
      <c r="V1043" t="s">
        <v>99</v>
      </c>
      <c r="X1043" s="13">
        <v>225</v>
      </c>
    </row>
    <row r="1044" spans="1:24" x14ac:dyDescent="0.25">
      <c r="A1044" t="s">
        <v>1164</v>
      </c>
      <c r="B1044" t="s">
        <v>62</v>
      </c>
      <c r="C1044" t="s">
        <v>1153</v>
      </c>
      <c r="D1044" t="s">
        <v>1154</v>
      </c>
      <c r="E1044" t="s">
        <v>62</v>
      </c>
      <c r="F1044" t="s">
        <v>94</v>
      </c>
      <c r="G1044" t="s">
        <v>277</v>
      </c>
      <c r="H1044" s="12">
        <v>6.1534946000000001</v>
      </c>
      <c r="I1044" s="12">
        <v>-75.578234300000005</v>
      </c>
      <c r="K1044" t="s">
        <v>97</v>
      </c>
      <c r="M1044">
        <v>11</v>
      </c>
      <c r="P1044" s="13">
        <v>223</v>
      </c>
      <c r="Q1044" s="13">
        <v>59</v>
      </c>
      <c r="R1044">
        <v>28</v>
      </c>
      <c r="S1044">
        <v>52</v>
      </c>
      <c r="T1044" s="13">
        <v>33</v>
      </c>
      <c r="U1044" s="13">
        <v>65</v>
      </c>
      <c r="V1044" t="s">
        <v>99</v>
      </c>
      <c r="X1044" s="13">
        <v>223</v>
      </c>
    </row>
    <row r="1045" spans="1:24" x14ac:dyDescent="0.25">
      <c r="A1045" t="s">
        <v>1165</v>
      </c>
      <c r="B1045" t="s">
        <v>62</v>
      </c>
      <c r="C1045" t="s">
        <v>1153</v>
      </c>
      <c r="D1045" t="s">
        <v>1154</v>
      </c>
      <c r="E1045" t="s">
        <v>62</v>
      </c>
      <c r="F1045" t="s">
        <v>94</v>
      </c>
      <c r="G1045" t="s">
        <v>277</v>
      </c>
      <c r="H1045" s="12">
        <v>6.1534946000000001</v>
      </c>
      <c r="I1045" s="12">
        <v>-75.578234300000005</v>
      </c>
      <c r="K1045" t="s">
        <v>97</v>
      </c>
      <c r="M1045">
        <v>11</v>
      </c>
      <c r="P1045" s="13">
        <v>220</v>
      </c>
      <c r="Q1045" s="13">
        <v>49</v>
      </c>
      <c r="R1045">
        <v>32</v>
      </c>
      <c r="S1045">
        <v>68</v>
      </c>
      <c r="T1045" s="13">
        <v>29</v>
      </c>
      <c r="U1045" s="13">
        <v>38</v>
      </c>
      <c r="V1045" t="s">
        <v>99</v>
      </c>
      <c r="X1045" s="13">
        <v>220</v>
      </c>
    </row>
    <row r="1046" spans="1:24" x14ac:dyDescent="0.25">
      <c r="A1046" t="s">
        <v>1166</v>
      </c>
      <c r="B1046" t="s">
        <v>62</v>
      </c>
      <c r="C1046" t="s">
        <v>1153</v>
      </c>
      <c r="D1046" t="s">
        <v>1154</v>
      </c>
      <c r="E1046" t="s">
        <v>62</v>
      </c>
      <c r="F1046" t="s">
        <v>94</v>
      </c>
      <c r="G1046" t="s">
        <v>277</v>
      </c>
      <c r="H1046" s="12">
        <v>6.1534946000000001</v>
      </c>
      <c r="I1046" s="12">
        <v>-75.578234300000005</v>
      </c>
      <c r="K1046" t="s">
        <v>97</v>
      </c>
      <c r="M1046">
        <v>11</v>
      </c>
      <c r="P1046" s="13">
        <v>218</v>
      </c>
      <c r="Q1046" s="13">
        <v>49</v>
      </c>
      <c r="R1046">
        <v>40</v>
      </c>
      <c r="S1046">
        <v>60</v>
      </c>
      <c r="T1046" s="13">
        <v>28</v>
      </c>
      <c r="U1046" s="13">
        <v>38</v>
      </c>
      <c r="V1046" t="s">
        <v>99</v>
      </c>
      <c r="X1046" s="13">
        <v>218</v>
      </c>
    </row>
    <row r="1047" spans="1:24" x14ac:dyDescent="0.25">
      <c r="A1047" t="s">
        <v>1167</v>
      </c>
      <c r="B1047" t="s">
        <v>62</v>
      </c>
      <c r="C1047" t="s">
        <v>1153</v>
      </c>
      <c r="D1047" t="s">
        <v>1154</v>
      </c>
      <c r="E1047" t="s">
        <v>62</v>
      </c>
      <c r="F1047" t="s">
        <v>94</v>
      </c>
      <c r="G1047" t="s">
        <v>277</v>
      </c>
      <c r="H1047" s="12">
        <v>6.1534946000000001</v>
      </c>
      <c r="I1047" s="12">
        <v>-75.578234300000005</v>
      </c>
      <c r="K1047" t="s">
        <v>97</v>
      </c>
      <c r="M1047">
        <v>11</v>
      </c>
      <c r="P1047" s="13">
        <v>218</v>
      </c>
      <c r="Q1047" s="13">
        <v>68</v>
      </c>
      <c r="R1047">
        <v>30</v>
      </c>
      <c r="S1047">
        <v>56</v>
      </c>
      <c r="T1047" s="13">
        <v>22</v>
      </c>
      <c r="U1047" s="13">
        <v>36</v>
      </c>
      <c r="V1047" t="s">
        <v>99</v>
      </c>
      <c r="X1047" s="13">
        <v>218</v>
      </c>
    </row>
    <row r="1048" spans="1:24" x14ac:dyDescent="0.25">
      <c r="A1048" t="s">
        <v>1168</v>
      </c>
      <c r="B1048" t="s">
        <v>62</v>
      </c>
      <c r="C1048" t="s">
        <v>1153</v>
      </c>
      <c r="D1048" t="s">
        <v>1154</v>
      </c>
      <c r="E1048" t="s">
        <v>62</v>
      </c>
      <c r="F1048" t="s">
        <v>94</v>
      </c>
      <c r="G1048" t="s">
        <v>277</v>
      </c>
      <c r="H1048" s="12">
        <v>6.1534946000000001</v>
      </c>
      <c r="I1048" s="12">
        <v>-75.578234300000005</v>
      </c>
      <c r="K1048" t="s">
        <v>97</v>
      </c>
      <c r="M1048">
        <v>11</v>
      </c>
      <c r="P1048" s="13">
        <v>217</v>
      </c>
      <c r="Q1048" s="13">
        <v>80</v>
      </c>
      <c r="R1048">
        <v>20</v>
      </c>
      <c r="S1048">
        <v>54</v>
      </c>
      <c r="T1048" s="13">
        <v>24</v>
      </c>
      <c r="U1048" s="13">
        <v>27</v>
      </c>
      <c r="V1048" t="s">
        <v>99</v>
      </c>
      <c r="X1048" s="13">
        <v>217</v>
      </c>
    </row>
    <row r="1049" spans="1:24" x14ac:dyDescent="0.25">
      <c r="A1049" t="s">
        <v>1169</v>
      </c>
      <c r="B1049" t="s">
        <v>62</v>
      </c>
      <c r="C1049" t="s">
        <v>1153</v>
      </c>
      <c r="D1049" t="s">
        <v>1154</v>
      </c>
      <c r="E1049" t="s">
        <v>62</v>
      </c>
      <c r="F1049" t="s">
        <v>94</v>
      </c>
      <c r="G1049" t="s">
        <v>277</v>
      </c>
      <c r="H1049" s="12">
        <v>6.1534946000000001</v>
      </c>
      <c r="I1049" s="12">
        <v>-75.578234300000005</v>
      </c>
      <c r="K1049" t="s">
        <v>97</v>
      </c>
      <c r="M1049">
        <v>11</v>
      </c>
      <c r="P1049" s="13">
        <v>206</v>
      </c>
      <c r="Q1049" s="13">
        <v>68</v>
      </c>
      <c r="R1049">
        <v>28</v>
      </c>
      <c r="S1049">
        <v>48</v>
      </c>
      <c r="T1049" s="13">
        <v>22</v>
      </c>
      <c r="U1049" s="13">
        <v>35</v>
      </c>
      <c r="V1049" t="s">
        <v>99</v>
      </c>
      <c r="X1049" s="13">
        <v>206</v>
      </c>
    </row>
    <row r="1050" spans="1:24" x14ac:dyDescent="0.25">
      <c r="A1050" t="s">
        <v>1170</v>
      </c>
      <c r="B1050" t="s">
        <v>62</v>
      </c>
      <c r="C1050" t="s">
        <v>1153</v>
      </c>
      <c r="D1050" t="s">
        <v>1154</v>
      </c>
      <c r="E1050" t="s">
        <v>62</v>
      </c>
      <c r="F1050" t="s">
        <v>94</v>
      </c>
      <c r="G1050" t="s">
        <v>277</v>
      </c>
      <c r="H1050" s="12">
        <v>6.1534946000000001</v>
      </c>
      <c r="I1050" s="12">
        <v>-75.578234300000005</v>
      </c>
      <c r="K1050" t="s">
        <v>97</v>
      </c>
      <c r="M1050">
        <v>11</v>
      </c>
      <c r="P1050" s="13">
        <v>202</v>
      </c>
      <c r="Q1050" s="13">
        <v>51</v>
      </c>
      <c r="R1050">
        <v>40</v>
      </c>
      <c r="S1050">
        <v>38</v>
      </c>
      <c r="T1050" s="13">
        <v>33</v>
      </c>
      <c r="U1050" s="13">
        <v>40</v>
      </c>
      <c r="V1050" t="s">
        <v>99</v>
      </c>
      <c r="X1050" s="13">
        <v>202</v>
      </c>
    </row>
    <row r="1051" spans="1:24" x14ac:dyDescent="0.25">
      <c r="A1051" t="s">
        <v>1171</v>
      </c>
      <c r="B1051" t="s">
        <v>62</v>
      </c>
      <c r="C1051" t="s">
        <v>1153</v>
      </c>
      <c r="D1051" t="s">
        <v>1154</v>
      </c>
      <c r="E1051" t="s">
        <v>62</v>
      </c>
      <c r="F1051" t="s">
        <v>94</v>
      </c>
      <c r="G1051" t="s">
        <v>277</v>
      </c>
      <c r="H1051" s="12">
        <v>6.1534946000000001</v>
      </c>
      <c r="I1051" s="12">
        <v>-75.578234300000005</v>
      </c>
      <c r="K1051" t="s">
        <v>97</v>
      </c>
      <c r="M1051">
        <v>11</v>
      </c>
      <c r="P1051" s="13">
        <v>202</v>
      </c>
      <c r="Q1051" s="13">
        <v>51</v>
      </c>
      <c r="R1051">
        <v>34</v>
      </c>
      <c r="S1051">
        <v>46</v>
      </c>
      <c r="T1051" s="13">
        <v>26</v>
      </c>
      <c r="U1051" s="13">
        <v>55</v>
      </c>
      <c r="V1051" t="s">
        <v>99</v>
      </c>
      <c r="X1051" s="13">
        <v>202</v>
      </c>
    </row>
    <row r="1052" spans="1:24" x14ac:dyDescent="0.25">
      <c r="A1052" t="s">
        <v>1172</v>
      </c>
      <c r="B1052" t="s">
        <v>62</v>
      </c>
      <c r="C1052" t="s">
        <v>1153</v>
      </c>
      <c r="D1052" t="s">
        <v>1154</v>
      </c>
      <c r="E1052" t="s">
        <v>62</v>
      </c>
      <c r="F1052" t="s">
        <v>94</v>
      </c>
      <c r="G1052" t="s">
        <v>277</v>
      </c>
      <c r="H1052" s="12">
        <v>6.1534946000000001</v>
      </c>
      <c r="I1052" s="12">
        <v>-75.578234300000005</v>
      </c>
      <c r="K1052" t="s">
        <v>97</v>
      </c>
      <c r="M1052">
        <v>11</v>
      </c>
      <c r="P1052" s="13">
        <v>199</v>
      </c>
      <c r="Q1052" s="13">
        <v>66</v>
      </c>
      <c r="R1052">
        <v>28</v>
      </c>
      <c r="S1052">
        <v>38</v>
      </c>
      <c r="T1052" s="13">
        <v>28</v>
      </c>
      <c r="U1052" s="13">
        <v>38</v>
      </c>
      <c r="V1052" t="s">
        <v>99</v>
      </c>
      <c r="X1052" s="13">
        <v>199</v>
      </c>
    </row>
    <row r="1053" spans="1:24" x14ac:dyDescent="0.25">
      <c r="A1053" t="s">
        <v>1173</v>
      </c>
      <c r="B1053" t="s">
        <v>62</v>
      </c>
      <c r="C1053" t="s">
        <v>1153</v>
      </c>
      <c r="D1053" t="s">
        <v>1154</v>
      </c>
      <c r="E1053" t="s">
        <v>62</v>
      </c>
      <c r="F1053" t="s">
        <v>94</v>
      </c>
      <c r="G1053" t="s">
        <v>277</v>
      </c>
      <c r="H1053" s="12">
        <v>6.1534946000000001</v>
      </c>
      <c r="I1053" s="12">
        <v>-75.578234300000005</v>
      </c>
      <c r="K1053" t="s">
        <v>97</v>
      </c>
      <c r="M1053">
        <v>11</v>
      </c>
      <c r="P1053" s="13">
        <v>198</v>
      </c>
      <c r="Q1053" s="13">
        <v>61</v>
      </c>
      <c r="R1053">
        <v>34</v>
      </c>
      <c r="S1053">
        <v>38</v>
      </c>
      <c r="T1053" s="13">
        <v>24</v>
      </c>
      <c r="U1053" s="13">
        <v>44</v>
      </c>
      <c r="V1053" t="s">
        <v>99</v>
      </c>
      <c r="X1053" s="13">
        <v>198</v>
      </c>
    </row>
    <row r="1054" spans="1:24" x14ac:dyDescent="0.25">
      <c r="A1054" t="s">
        <v>1174</v>
      </c>
      <c r="B1054" t="s">
        <v>62</v>
      </c>
      <c r="C1054" t="s">
        <v>1153</v>
      </c>
      <c r="D1054" t="s">
        <v>1154</v>
      </c>
      <c r="E1054" t="s">
        <v>62</v>
      </c>
      <c r="F1054" t="s">
        <v>94</v>
      </c>
      <c r="G1054" t="s">
        <v>277</v>
      </c>
      <c r="H1054" s="12">
        <v>6.1534946000000001</v>
      </c>
      <c r="I1054" s="12">
        <v>-75.578234300000005</v>
      </c>
      <c r="K1054" t="s">
        <v>97</v>
      </c>
      <c r="M1054">
        <v>11</v>
      </c>
      <c r="P1054" s="13">
        <v>198</v>
      </c>
      <c r="Q1054" s="13">
        <v>39</v>
      </c>
      <c r="R1054">
        <v>26</v>
      </c>
      <c r="S1054">
        <v>42</v>
      </c>
      <c r="T1054" s="13">
        <v>50</v>
      </c>
      <c r="U1054" s="13">
        <v>44</v>
      </c>
      <c r="V1054" t="s">
        <v>99</v>
      </c>
      <c r="X1054" s="13">
        <v>198</v>
      </c>
    </row>
    <row r="1055" spans="1:24" x14ac:dyDescent="0.25">
      <c r="A1055" t="s">
        <v>1175</v>
      </c>
      <c r="B1055" t="s">
        <v>62</v>
      </c>
      <c r="C1055" t="s">
        <v>1153</v>
      </c>
      <c r="D1055" t="s">
        <v>1154</v>
      </c>
      <c r="E1055" t="s">
        <v>62</v>
      </c>
      <c r="F1055" t="s">
        <v>94</v>
      </c>
      <c r="G1055" t="s">
        <v>277</v>
      </c>
      <c r="H1055" s="12">
        <v>6.1534946000000001</v>
      </c>
      <c r="I1055" s="12">
        <v>-75.578234300000005</v>
      </c>
      <c r="K1055" t="s">
        <v>97</v>
      </c>
      <c r="M1055">
        <v>11</v>
      </c>
      <c r="P1055" s="13">
        <v>191</v>
      </c>
      <c r="Q1055" s="13">
        <v>41</v>
      </c>
      <c r="R1055">
        <v>30</v>
      </c>
      <c r="S1055">
        <v>44</v>
      </c>
      <c r="T1055" s="13">
        <v>34</v>
      </c>
      <c r="U1055" s="13">
        <v>47</v>
      </c>
      <c r="V1055" t="s">
        <v>99</v>
      </c>
      <c r="X1055" s="13">
        <v>191</v>
      </c>
    </row>
    <row r="1056" spans="1:24" x14ac:dyDescent="0.25">
      <c r="A1056" t="s">
        <v>1176</v>
      </c>
      <c r="B1056" t="s">
        <v>62</v>
      </c>
      <c r="C1056" t="s">
        <v>1153</v>
      </c>
      <c r="D1056" t="s">
        <v>1154</v>
      </c>
      <c r="E1056" t="s">
        <v>62</v>
      </c>
      <c r="F1056" t="s">
        <v>94</v>
      </c>
      <c r="G1056" t="s">
        <v>277</v>
      </c>
      <c r="H1056" s="12">
        <v>6.1534946000000001</v>
      </c>
      <c r="I1056" s="12">
        <v>-75.578234300000005</v>
      </c>
      <c r="K1056" t="s">
        <v>97</v>
      </c>
      <c r="M1056">
        <v>11</v>
      </c>
      <c r="P1056" s="13">
        <v>188</v>
      </c>
      <c r="Q1056" s="13">
        <v>44</v>
      </c>
      <c r="R1056">
        <v>38</v>
      </c>
      <c r="S1056">
        <v>36</v>
      </c>
      <c r="T1056" s="13">
        <v>38</v>
      </c>
      <c r="U1056" s="13">
        <v>22</v>
      </c>
      <c r="V1056" t="s">
        <v>99</v>
      </c>
      <c r="X1056" s="13">
        <v>188</v>
      </c>
    </row>
    <row r="1057" spans="1:24" x14ac:dyDescent="0.25">
      <c r="A1057" t="s">
        <v>1177</v>
      </c>
      <c r="B1057" t="s">
        <v>62</v>
      </c>
      <c r="C1057" t="s">
        <v>1153</v>
      </c>
      <c r="D1057" t="s">
        <v>1154</v>
      </c>
      <c r="E1057" t="s">
        <v>62</v>
      </c>
      <c r="F1057" t="s">
        <v>94</v>
      </c>
      <c r="G1057" t="s">
        <v>277</v>
      </c>
      <c r="H1057" s="12">
        <v>6.1534946000000001</v>
      </c>
      <c r="I1057" s="12">
        <v>-75.578234300000005</v>
      </c>
      <c r="K1057" t="s">
        <v>97</v>
      </c>
      <c r="M1057">
        <v>11</v>
      </c>
      <c r="P1057" s="13">
        <v>187</v>
      </c>
      <c r="Q1057" s="13">
        <v>34</v>
      </c>
      <c r="R1057">
        <v>30</v>
      </c>
      <c r="S1057">
        <v>46</v>
      </c>
      <c r="T1057" s="13">
        <v>40</v>
      </c>
      <c r="U1057" s="13">
        <v>36</v>
      </c>
      <c r="V1057" t="s">
        <v>99</v>
      </c>
      <c r="X1057" s="13">
        <v>187</v>
      </c>
    </row>
    <row r="1058" spans="1:24" x14ac:dyDescent="0.25">
      <c r="A1058" t="s">
        <v>1178</v>
      </c>
      <c r="B1058" t="s">
        <v>62</v>
      </c>
      <c r="C1058" t="s">
        <v>1153</v>
      </c>
      <c r="D1058" t="s">
        <v>1154</v>
      </c>
      <c r="E1058" t="s">
        <v>62</v>
      </c>
      <c r="F1058" t="s">
        <v>94</v>
      </c>
      <c r="G1058" t="s">
        <v>277</v>
      </c>
      <c r="H1058" s="12">
        <v>6.1534946000000001</v>
      </c>
      <c r="I1058" s="12">
        <v>-75.578234300000005</v>
      </c>
      <c r="K1058" t="s">
        <v>97</v>
      </c>
      <c r="M1058">
        <v>11</v>
      </c>
      <c r="P1058" s="13">
        <v>186</v>
      </c>
      <c r="Q1058" s="13">
        <v>66</v>
      </c>
      <c r="R1058">
        <v>20</v>
      </c>
      <c r="S1058">
        <v>24</v>
      </c>
      <c r="T1058" s="13">
        <v>41</v>
      </c>
      <c r="U1058" s="13">
        <v>29</v>
      </c>
      <c r="V1058" t="s">
        <v>99</v>
      </c>
      <c r="X1058" s="13">
        <v>186</v>
      </c>
    </row>
    <row r="1059" spans="1:24" x14ac:dyDescent="0.25">
      <c r="A1059" t="s">
        <v>1179</v>
      </c>
      <c r="B1059" t="s">
        <v>62</v>
      </c>
      <c r="C1059" t="s">
        <v>1153</v>
      </c>
      <c r="D1059" t="s">
        <v>1154</v>
      </c>
      <c r="E1059" t="s">
        <v>62</v>
      </c>
      <c r="F1059" t="s">
        <v>94</v>
      </c>
      <c r="G1059" t="s">
        <v>277</v>
      </c>
      <c r="H1059" s="12">
        <v>6.1534946000000001</v>
      </c>
      <c r="I1059" s="12">
        <v>-75.578234300000005</v>
      </c>
      <c r="K1059" t="s">
        <v>97</v>
      </c>
      <c r="M1059">
        <v>11</v>
      </c>
      <c r="P1059" s="13">
        <v>184</v>
      </c>
      <c r="Q1059" s="13">
        <v>54</v>
      </c>
      <c r="R1059">
        <v>30</v>
      </c>
      <c r="S1059">
        <v>38</v>
      </c>
      <c r="T1059" s="13">
        <v>21</v>
      </c>
      <c r="U1059" s="13">
        <v>51</v>
      </c>
      <c r="V1059" t="s">
        <v>99</v>
      </c>
      <c r="X1059" s="13">
        <v>184</v>
      </c>
    </row>
    <row r="1060" spans="1:24" x14ac:dyDescent="0.25">
      <c r="A1060" t="s">
        <v>1180</v>
      </c>
      <c r="B1060" t="s">
        <v>62</v>
      </c>
      <c r="C1060" t="s">
        <v>1153</v>
      </c>
      <c r="D1060" t="s">
        <v>1154</v>
      </c>
      <c r="E1060" t="s">
        <v>62</v>
      </c>
      <c r="F1060" t="s">
        <v>94</v>
      </c>
      <c r="G1060" t="s">
        <v>277</v>
      </c>
      <c r="H1060" s="12">
        <v>6.1534946000000001</v>
      </c>
      <c r="I1060" s="12">
        <v>-75.578234300000005</v>
      </c>
      <c r="K1060" t="s">
        <v>97</v>
      </c>
      <c r="M1060">
        <v>11</v>
      </c>
      <c r="P1060" s="13">
        <v>181</v>
      </c>
      <c r="Q1060" s="13">
        <v>34</v>
      </c>
      <c r="R1060">
        <v>26</v>
      </c>
      <c r="S1060">
        <v>50</v>
      </c>
      <c r="T1060" s="13">
        <v>34</v>
      </c>
      <c r="U1060" s="13">
        <v>36</v>
      </c>
      <c r="V1060" t="s">
        <v>99</v>
      </c>
      <c r="X1060" s="13">
        <v>181</v>
      </c>
    </row>
    <row r="1061" spans="1:24" x14ac:dyDescent="0.25">
      <c r="A1061" t="s">
        <v>1181</v>
      </c>
      <c r="B1061" t="s">
        <v>62</v>
      </c>
      <c r="C1061" t="s">
        <v>1153</v>
      </c>
      <c r="D1061" t="s">
        <v>1154</v>
      </c>
      <c r="E1061" t="s">
        <v>62</v>
      </c>
      <c r="F1061" t="s">
        <v>94</v>
      </c>
      <c r="G1061" t="s">
        <v>277</v>
      </c>
      <c r="H1061" s="12">
        <v>6.1534946000000001</v>
      </c>
      <c r="I1061" s="12">
        <v>-75.578234300000005</v>
      </c>
      <c r="K1061" t="s">
        <v>97</v>
      </c>
      <c r="M1061">
        <v>11</v>
      </c>
      <c r="P1061" s="13">
        <v>180</v>
      </c>
      <c r="Q1061" s="13">
        <v>46</v>
      </c>
      <c r="R1061">
        <v>26</v>
      </c>
      <c r="S1061">
        <v>32</v>
      </c>
      <c r="T1061" s="13">
        <v>36</v>
      </c>
      <c r="U1061" s="13">
        <v>47</v>
      </c>
      <c r="V1061" t="s">
        <v>99</v>
      </c>
      <c r="X1061" s="13">
        <v>180</v>
      </c>
    </row>
    <row r="1062" spans="1:24" x14ac:dyDescent="0.25">
      <c r="A1062" t="s">
        <v>1182</v>
      </c>
      <c r="B1062" t="s">
        <v>62</v>
      </c>
      <c r="C1062" t="s">
        <v>1153</v>
      </c>
      <c r="D1062" t="s">
        <v>1154</v>
      </c>
      <c r="E1062" t="s">
        <v>62</v>
      </c>
      <c r="F1062" t="s">
        <v>94</v>
      </c>
      <c r="G1062" t="s">
        <v>277</v>
      </c>
      <c r="H1062" s="12">
        <v>6.1534946000000001</v>
      </c>
      <c r="I1062" s="12">
        <v>-75.578234300000005</v>
      </c>
      <c r="K1062" t="s">
        <v>97</v>
      </c>
      <c r="M1062">
        <v>11</v>
      </c>
      <c r="P1062" s="13">
        <v>172</v>
      </c>
      <c r="Q1062" s="13">
        <v>59</v>
      </c>
      <c r="R1062">
        <v>24</v>
      </c>
      <c r="S1062">
        <v>16</v>
      </c>
      <c r="T1062" s="13">
        <v>40</v>
      </c>
      <c r="U1062" s="13">
        <v>33</v>
      </c>
      <c r="V1062" t="s">
        <v>99</v>
      </c>
      <c r="X1062" s="13">
        <v>172</v>
      </c>
    </row>
    <row r="1063" spans="1:24" x14ac:dyDescent="0.25">
      <c r="A1063" t="s">
        <v>1183</v>
      </c>
      <c r="B1063" t="s">
        <v>62</v>
      </c>
      <c r="C1063" t="s">
        <v>1153</v>
      </c>
      <c r="D1063" t="s">
        <v>1154</v>
      </c>
      <c r="E1063" t="s">
        <v>62</v>
      </c>
      <c r="F1063" t="s">
        <v>94</v>
      </c>
      <c r="G1063" t="s">
        <v>277</v>
      </c>
      <c r="H1063" s="12">
        <v>6.1534946000000001</v>
      </c>
      <c r="I1063" s="12">
        <v>-75.578234300000005</v>
      </c>
      <c r="K1063" t="s">
        <v>97</v>
      </c>
      <c r="M1063">
        <v>11</v>
      </c>
      <c r="P1063" s="13">
        <v>171</v>
      </c>
      <c r="Q1063" s="13">
        <v>51</v>
      </c>
      <c r="R1063">
        <v>28</v>
      </c>
      <c r="S1063">
        <v>26</v>
      </c>
      <c r="T1063" s="13">
        <v>29</v>
      </c>
      <c r="U1063" s="13">
        <v>42</v>
      </c>
      <c r="V1063" t="s">
        <v>99</v>
      </c>
      <c r="X1063" s="13">
        <v>171</v>
      </c>
    </row>
    <row r="1064" spans="1:24" x14ac:dyDescent="0.25">
      <c r="A1064" t="s">
        <v>1184</v>
      </c>
      <c r="B1064" t="s">
        <v>62</v>
      </c>
      <c r="C1064" t="s">
        <v>1153</v>
      </c>
      <c r="D1064" t="s">
        <v>1154</v>
      </c>
      <c r="E1064" t="s">
        <v>62</v>
      </c>
      <c r="F1064" t="s">
        <v>94</v>
      </c>
      <c r="G1064" t="s">
        <v>277</v>
      </c>
      <c r="H1064" s="12">
        <v>6.1534946000000001</v>
      </c>
      <c r="I1064" s="12">
        <v>-75.578234300000005</v>
      </c>
      <c r="K1064" t="s">
        <v>97</v>
      </c>
      <c r="M1064">
        <v>11</v>
      </c>
      <c r="P1064" s="13">
        <v>170</v>
      </c>
      <c r="Q1064" s="13">
        <v>44</v>
      </c>
      <c r="R1064">
        <v>38</v>
      </c>
      <c r="S1064">
        <v>24</v>
      </c>
      <c r="T1064" s="13">
        <v>26</v>
      </c>
      <c r="U1064" s="13">
        <v>45</v>
      </c>
      <c r="V1064" t="s">
        <v>99</v>
      </c>
      <c r="X1064" s="13">
        <v>170</v>
      </c>
    </row>
    <row r="1065" spans="1:24" x14ac:dyDescent="0.25">
      <c r="A1065" t="s">
        <v>1185</v>
      </c>
      <c r="B1065" t="s">
        <v>62</v>
      </c>
      <c r="C1065" t="s">
        <v>1153</v>
      </c>
      <c r="D1065" t="s">
        <v>1154</v>
      </c>
      <c r="E1065" t="s">
        <v>62</v>
      </c>
      <c r="F1065" t="s">
        <v>94</v>
      </c>
      <c r="G1065" t="s">
        <v>277</v>
      </c>
      <c r="H1065" s="12">
        <v>6.1534946000000001</v>
      </c>
      <c r="I1065" s="12">
        <v>-75.578234300000005</v>
      </c>
      <c r="K1065" t="s">
        <v>97</v>
      </c>
      <c r="M1065">
        <v>11</v>
      </c>
      <c r="P1065" s="13">
        <v>167</v>
      </c>
      <c r="Q1065" s="13">
        <v>41</v>
      </c>
      <c r="R1065">
        <v>26</v>
      </c>
      <c r="S1065">
        <v>34</v>
      </c>
      <c r="T1065" s="13">
        <v>29</v>
      </c>
      <c r="U1065" s="13">
        <v>42</v>
      </c>
      <c r="V1065" t="s">
        <v>99</v>
      </c>
      <c r="X1065" s="13">
        <v>167</v>
      </c>
    </row>
    <row r="1066" spans="1:24" x14ac:dyDescent="0.25">
      <c r="A1066" t="s">
        <v>1186</v>
      </c>
      <c r="B1066" t="s">
        <v>62</v>
      </c>
      <c r="C1066" t="s">
        <v>1153</v>
      </c>
      <c r="D1066" t="s">
        <v>1154</v>
      </c>
      <c r="E1066" t="s">
        <v>62</v>
      </c>
      <c r="F1066" t="s">
        <v>94</v>
      </c>
      <c r="G1066" t="s">
        <v>277</v>
      </c>
      <c r="H1066" s="12">
        <v>6.1534946000000001</v>
      </c>
      <c r="I1066" s="12">
        <v>-75.578234300000005</v>
      </c>
      <c r="K1066" t="s">
        <v>97</v>
      </c>
      <c r="M1066">
        <v>11</v>
      </c>
      <c r="P1066" s="13">
        <v>165</v>
      </c>
      <c r="Q1066" s="13">
        <v>49</v>
      </c>
      <c r="R1066">
        <v>26</v>
      </c>
      <c r="S1066">
        <v>36</v>
      </c>
      <c r="T1066" s="13">
        <v>24</v>
      </c>
      <c r="U1066" s="13">
        <v>24</v>
      </c>
      <c r="V1066" t="s">
        <v>99</v>
      </c>
      <c r="X1066" s="13">
        <v>165</v>
      </c>
    </row>
    <row r="1067" spans="1:24" x14ac:dyDescent="0.25">
      <c r="A1067" t="s">
        <v>1187</v>
      </c>
      <c r="B1067" t="s">
        <v>62</v>
      </c>
      <c r="C1067" t="s">
        <v>1153</v>
      </c>
      <c r="D1067" t="s">
        <v>1154</v>
      </c>
      <c r="E1067" t="s">
        <v>62</v>
      </c>
      <c r="F1067" t="s">
        <v>94</v>
      </c>
      <c r="G1067" t="s">
        <v>277</v>
      </c>
      <c r="H1067" s="12">
        <v>6.1534946000000001</v>
      </c>
      <c r="I1067" s="12">
        <v>-75.578234300000005</v>
      </c>
      <c r="K1067" t="s">
        <v>97</v>
      </c>
      <c r="M1067">
        <v>11</v>
      </c>
      <c r="P1067" s="13">
        <v>162</v>
      </c>
      <c r="Q1067" s="13">
        <v>41</v>
      </c>
      <c r="R1067">
        <v>34</v>
      </c>
      <c r="S1067">
        <v>34</v>
      </c>
      <c r="T1067" s="13">
        <v>22</v>
      </c>
      <c r="U1067" s="13">
        <v>25</v>
      </c>
      <c r="V1067" t="s">
        <v>99</v>
      </c>
      <c r="X1067" s="13">
        <v>162</v>
      </c>
    </row>
    <row r="1068" spans="1:24" x14ac:dyDescent="0.25">
      <c r="A1068" t="s">
        <v>1188</v>
      </c>
      <c r="B1068" t="s">
        <v>62</v>
      </c>
      <c r="C1068" t="s">
        <v>1153</v>
      </c>
      <c r="D1068" t="s">
        <v>1154</v>
      </c>
      <c r="E1068" t="s">
        <v>62</v>
      </c>
      <c r="F1068" t="s">
        <v>94</v>
      </c>
      <c r="G1068" t="s">
        <v>277</v>
      </c>
      <c r="H1068" s="12">
        <v>6.1534946000000001</v>
      </c>
      <c r="I1068" s="12">
        <v>-75.578234300000005</v>
      </c>
      <c r="K1068" t="s">
        <v>97</v>
      </c>
      <c r="M1068">
        <v>11</v>
      </c>
      <c r="P1068" s="13">
        <v>158</v>
      </c>
      <c r="Q1068" s="13">
        <v>39</v>
      </c>
      <c r="R1068">
        <v>36</v>
      </c>
      <c r="S1068">
        <v>20</v>
      </c>
      <c r="T1068" s="13">
        <v>29</v>
      </c>
      <c r="U1068" s="13">
        <v>38</v>
      </c>
      <c r="V1068" t="s">
        <v>99</v>
      </c>
      <c r="X1068" s="13">
        <v>158</v>
      </c>
    </row>
    <row r="1069" spans="1:24" x14ac:dyDescent="0.25">
      <c r="A1069" t="s">
        <v>1189</v>
      </c>
      <c r="B1069" t="s">
        <v>62</v>
      </c>
      <c r="C1069" t="s">
        <v>1153</v>
      </c>
      <c r="D1069" t="s">
        <v>1154</v>
      </c>
      <c r="E1069" t="s">
        <v>62</v>
      </c>
      <c r="F1069" t="s">
        <v>94</v>
      </c>
      <c r="G1069" t="s">
        <v>277</v>
      </c>
      <c r="H1069" s="12">
        <v>6.1534946000000001</v>
      </c>
      <c r="I1069" s="12">
        <v>-75.578234300000005</v>
      </c>
      <c r="K1069" t="s">
        <v>97</v>
      </c>
      <c r="M1069">
        <v>11</v>
      </c>
      <c r="P1069" s="13">
        <v>154</v>
      </c>
      <c r="Q1069" s="13">
        <v>41</v>
      </c>
      <c r="R1069">
        <v>28</v>
      </c>
      <c r="S1069">
        <v>18</v>
      </c>
      <c r="T1069" s="13">
        <v>34</v>
      </c>
      <c r="U1069" s="13">
        <v>35</v>
      </c>
      <c r="V1069" t="s">
        <v>99</v>
      </c>
      <c r="X1069" s="13">
        <v>154</v>
      </c>
    </row>
    <row r="1070" spans="1:24" x14ac:dyDescent="0.25">
      <c r="A1070" t="s">
        <v>1190</v>
      </c>
      <c r="B1070" t="s">
        <v>62</v>
      </c>
      <c r="C1070" t="s">
        <v>1153</v>
      </c>
      <c r="D1070" t="s">
        <v>1154</v>
      </c>
      <c r="E1070" t="s">
        <v>62</v>
      </c>
      <c r="F1070" t="s">
        <v>94</v>
      </c>
      <c r="G1070" t="s">
        <v>277</v>
      </c>
      <c r="H1070" s="12">
        <v>6.1534946000000001</v>
      </c>
      <c r="I1070" s="12">
        <v>-75.578234300000005</v>
      </c>
      <c r="K1070" t="s">
        <v>97</v>
      </c>
      <c r="M1070">
        <v>11</v>
      </c>
      <c r="P1070" s="13">
        <v>153</v>
      </c>
      <c r="Q1070" s="13">
        <v>41</v>
      </c>
      <c r="R1070">
        <v>22</v>
      </c>
      <c r="S1070">
        <v>28</v>
      </c>
      <c r="T1070" s="13">
        <v>29</v>
      </c>
      <c r="U1070" s="13">
        <v>36</v>
      </c>
      <c r="V1070" t="s">
        <v>99</v>
      </c>
      <c r="X1070" s="13">
        <v>153</v>
      </c>
    </row>
    <row r="1071" spans="1:24" x14ac:dyDescent="0.25">
      <c r="A1071" t="s">
        <v>1191</v>
      </c>
      <c r="B1071" t="s">
        <v>62</v>
      </c>
      <c r="C1071" t="s">
        <v>1153</v>
      </c>
      <c r="D1071" t="s">
        <v>1154</v>
      </c>
      <c r="E1071" t="s">
        <v>62</v>
      </c>
      <c r="F1071" t="s">
        <v>94</v>
      </c>
      <c r="G1071" t="s">
        <v>277</v>
      </c>
      <c r="H1071" s="12">
        <v>6.1534946000000001</v>
      </c>
      <c r="I1071" s="12">
        <v>-75.578234300000005</v>
      </c>
      <c r="K1071" t="s">
        <v>97</v>
      </c>
      <c r="M1071">
        <v>11</v>
      </c>
      <c r="P1071" s="13">
        <v>152</v>
      </c>
      <c r="Q1071" s="13">
        <v>41</v>
      </c>
      <c r="R1071">
        <v>32</v>
      </c>
      <c r="S1071">
        <v>22</v>
      </c>
      <c r="T1071" s="13">
        <v>28</v>
      </c>
      <c r="U1071" s="13">
        <v>27</v>
      </c>
      <c r="V1071" t="s">
        <v>99</v>
      </c>
      <c r="X1071" s="13">
        <v>152</v>
      </c>
    </row>
    <row r="1072" spans="1:24" x14ac:dyDescent="0.25">
      <c r="A1072" t="s">
        <v>1192</v>
      </c>
      <c r="B1072" t="s">
        <v>62</v>
      </c>
      <c r="C1072" t="s">
        <v>1153</v>
      </c>
      <c r="D1072" t="s">
        <v>1154</v>
      </c>
      <c r="E1072" t="s">
        <v>62</v>
      </c>
      <c r="F1072" t="s">
        <v>94</v>
      </c>
      <c r="G1072" t="s">
        <v>277</v>
      </c>
      <c r="H1072" s="12">
        <v>6.1534946000000001</v>
      </c>
      <c r="I1072" s="12">
        <v>-75.578234300000005</v>
      </c>
      <c r="K1072" t="s">
        <v>97</v>
      </c>
      <c r="M1072">
        <v>11</v>
      </c>
      <c r="P1072" s="13">
        <v>152</v>
      </c>
      <c r="Q1072" s="13">
        <v>39</v>
      </c>
      <c r="R1072">
        <v>30</v>
      </c>
      <c r="S1072">
        <v>30</v>
      </c>
      <c r="T1072" s="13">
        <v>24</v>
      </c>
      <c r="U1072" s="13">
        <v>25</v>
      </c>
      <c r="V1072" t="s">
        <v>99</v>
      </c>
      <c r="X1072" s="13">
        <v>152</v>
      </c>
    </row>
    <row r="1073" spans="1:24" x14ac:dyDescent="0.25">
      <c r="A1073" t="s">
        <v>1193</v>
      </c>
      <c r="B1073" t="s">
        <v>62</v>
      </c>
      <c r="C1073" t="s">
        <v>1153</v>
      </c>
      <c r="D1073" t="s">
        <v>1154</v>
      </c>
      <c r="E1073" t="s">
        <v>62</v>
      </c>
      <c r="F1073" t="s">
        <v>94</v>
      </c>
      <c r="G1073" t="s">
        <v>277</v>
      </c>
      <c r="H1073" s="12">
        <v>6.1534946000000001</v>
      </c>
      <c r="I1073" s="12">
        <v>-75.578234300000005</v>
      </c>
      <c r="K1073" t="s">
        <v>97</v>
      </c>
      <c r="M1073">
        <v>11</v>
      </c>
      <c r="P1073" s="13">
        <v>150</v>
      </c>
      <c r="Q1073" s="13">
        <v>39</v>
      </c>
      <c r="R1073">
        <v>20</v>
      </c>
      <c r="S1073">
        <v>20</v>
      </c>
      <c r="T1073" s="13">
        <v>40</v>
      </c>
      <c r="U1073" s="13">
        <v>35</v>
      </c>
      <c r="V1073" t="s">
        <v>99</v>
      </c>
      <c r="X1073" s="13">
        <v>150</v>
      </c>
    </row>
    <row r="1074" spans="1:24" x14ac:dyDescent="0.25">
      <c r="A1074" t="s">
        <v>1194</v>
      </c>
      <c r="B1074" t="s">
        <v>62</v>
      </c>
      <c r="C1074" t="s">
        <v>1153</v>
      </c>
      <c r="D1074" t="s">
        <v>1154</v>
      </c>
      <c r="E1074" t="s">
        <v>62</v>
      </c>
      <c r="F1074" t="s">
        <v>94</v>
      </c>
      <c r="G1074" t="s">
        <v>277</v>
      </c>
      <c r="H1074" s="12">
        <v>6.1534946000000001</v>
      </c>
      <c r="I1074" s="12">
        <v>-75.578234300000005</v>
      </c>
      <c r="K1074" t="s">
        <v>97</v>
      </c>
      <c r="M1074">
        <v>11</v>
      </c>
      <c r="P1074" s="13">
        <v>148</v>
      </c>
      <c r="Q1074" s="13">
        <v>29</v>
      </c>
      <c r="R1074">
        <v>24</v>
      </c>
      <c r="S1074">
        <v>28</v>
      </c>
      <c r="T1074" s="13">
        <v>36</v>
      </c>
      <c r="U1074" s="13">
        <v>33</v>
      </c>
      <c r="V1074" t="s">
        <v>99</v>
      </c>
      <c r="X1074" s="13">
        <v>148</v>
      </c>
    </row>
    <row r="1075" spans="1:24" x14ac:dyDescent="0.25">
      <c r="A1075" t="s">
        <v>1195</v>
      </c>
      <c r="B1075" t="s">
        <v>62</v>
      </c>
      <c r="C1075" t="s">
        <v>1153</v>
      </c>
      <c r="D1075" t="s">
        <v>1154</v>
      </c>
      <c r="E1075" t="s">
        <v>62</v>
      </c>
      <c r="F1075" t="s">
        <v>94</v>
      </c>
      <c r="G1075" t="s">
        <v>277</v>
      </c>
      <c r="H1075" s="12">
        <v>6.1534946000000001</v>
      </c>
      <c r="I1075" s="12">
        <v>-75.578234300000005</v>
      </c>
      <c r="K1075" t="s">
        <v>97</v>
      </c>
      <c r="M1075">
        <v>11</v>
      </c>
      <c r="P1075" s="13">
        <v>147</v>
      </c>
      <c r="Q1075" s="13">
        <v>34</v>
      </c>
      <c r="R1075">
        <v>18</v>
      </c>
      <c r="S1075">
        <v>32</v>
      </c>
      <c r="T1075" s="13">
        <v>33</v>
      </c>
      <c r="U1075" s="13">
        <v>31</v>
      </c>
      <c r="V1075" t="s">
        <v>99</v>
      </c>
      <c r="X1075" s="13">
        <v>147</v>
      </c>
    </row>
    <row r="1076" spans="1:24" x14ac:dyDescent="0.25">
      <c r="A1076" t="s">
        <v>1196</v>
      </c>
      <c r="B1076" t="s">
        <v>62</v>
      </c>
      <c r="C1076" t="s">
        <v>1153</v>
      </c>
      <c r="D1076" t="s">
        <v>1154</v>
      </c>
      <c r="E1076" t="s">
        <v>62</v>
      </c>
      <c r="F1076" t="s">
        <v>94</v>
      </c>
      <c r="G1076" t="s">
        <v>277</v>
      </c>
      <c r="H1076" s="12">
        <v>6.1534946000000001</v>
      </c>
      <c r="I1076" s="12">
        <v>-75.578234300000005</v>
      </c>
      <c r="K1076" t="s">
        <v>97</v>
      </c>
      <c r="M1076">
        <v>11</v>
      </c>
      <c r="P1076" s="13">
        <v>146</v>
      </c>
      <c r="Q1076" s="13">
        <v>29</v>
      </c>
      <c r="R1076">
        <v>20</v>
      </c>
      <c r="S1076">
        <v>32</v>
      </c>
      <c r="T1076" s="13">
        <v>31</v>
      </c>
      <c r="U1076" s="13">
        <v>42</v>
      </c>
      <c r="V1076" t="s">
        <v>99</v>
      </c>
      <c r="X1076" s="13">
        <v>146</v>
      </c>
    </row>
    <row r="1077" spans="1:24" x14ac:dyDescent="0.25">
      <c r="A1077" t="s">
        <v>1197</v>
      </c>
      <c r="B1077" t="s">
        <v>62</v>
      </c>
      <c r="C1077" t="s">
        <v>1153</v>
      </c>
      <c r="D1077" t="s">
        <v>1154</v>
      </c>
      <c r="E1077" t="s">
        <v>62</v>
      </c>
      <c r="F1077" t="s">
        <v>94</v>
      </c>
      <c r="G1077" t="s">
        <v>277</v>
      </c>
      <c r="H1077" s="12">
        <v>6.1534946000000001</v>
      </c>
      <c r="I1077" s="12">
        <v>-75.578234300000005</v>
      </c>
      <c r="K1077" t="s">
        <v>97</v>
      </c>
      <c r="M1077">
        <v>11</v>
      </c>
      <c r="P1077" s="13">
        <v>146</v>
      </c>
      <c r="Q1077" s="13">
        <v>27</v>
      </c>
      <c r="R1077">
        <v>42</v>
      </c>
      <c r="S1077">
        <v>18</v>
      </c>
      <c r="T1077" s="13">
        <v>24</v>
      </c>
      <c r="U1077" s="13">
        <v>45</v>
      </c>
      <c r="V1077" t="s">
        <v>99</v>
      </c>
      <c r="X1077" s="13">
        <v>146</v>
      </c>
    </row>
    <row r="1078" spans="1:24" x14ac:dyDescent="0.25">
      <c r="A1078" t="s">
        <v>1198</v>
      </c>
      <c r="B1078" t="s">
        <v>62</v>
      </c>
      <c r="C1078" t="s">
        <v>1153</v>
      </c>
      <c r="D1078" t="s">
        <v>1154</v>
      </c>
      <c r="E1078" t="s">
        <v>62</v>
      </c>
      <c r="F1078" t="s">
        <v>94</v>
      </c>
      <c r="G1078" t="s">
        <v>277</v>
      </c>
      <c r="H1078" s="12">
        <v>6.1534946000000001</v>
      </c>
      <c r="I1078" s="12">
        <v>-75.578234300000005</v>
      </c>
      <c r="K1078" t="s">
        <v>97</v>
      </c>
      <c r="M1078">
        <v>11</v>
      </c>
      <c r="P1078" s="13">
        <v>144</v>
      </c>
      <c r="Q1078" s="13">
        <v>49</v>
      </c>
      <c r="R1078">
        <v>18</v>
      </c>
      <c r="S1078">
        <v>18</v>
      </c>
      <c r="T1078" s="13">
        <v>17</v>
      </c>
      <c r="U1078" s="13">
        <v>67</v>
      </c>
      <c r="V1078" t="s">
        <v>99</v>
      </c>
      <c r="X1078" s="13">
        <v>144</v>
      </c>
    </row>
    <row r="1079" spans="1:24" x14ac:dyDescent="0.25">
      <c r="A1079" t="s">
        <v>1199</v>
      </c>
      <c r="B1079" t="s">
        <v>62</v>
      </c>
      <c r="C1079" t="s">
        <v>1153</v>
      </c>
      <c r="D1079" t="s">
        <v>1154</v>
      </c>
      <c r="E1079" t="s">
        <v>62</v>
      </c>
      <c r="F1079" t="s">
        <v>94</v>
      </c>
      <c r="G1079" t="s">
        <v>277</v>
      </c>
      <c r="H1079" s="12">
        <v>6.1534946000000001</v>
      </c>
      <c r="I1079" s="12">
        <v>-75.578234300000005</v>
      </c>
      <c r="K1079" t="s">
        <v>97</v>
      </c>
      <c r="M1079">
        <v>11</v>
      </c>
      <c r="P1079" s="13">
        <v>143</v>
      </c>
      <c r="Q1079" s="13">
        <v>34</v>
      </c>
      <c r="R1079">
        <v>26</v>
      </c>
      <c r="S1079">
        <v>28</v>
      </c>
      <c r="T1079" s="13">
        <v>26</v>
      </c>
      <c r="U1079" s="13">
        <v>31</v>
      </c>
      <c r="V1079" t="s">
        <v>99</v>
      </c>
      <c r="X1079" s="13">
        <v>143</v>
      </c>
    </row>
    <row r="1080" spans="1:24" x14ac:dyDescent="0.25">
      <c r="A1080" t="s">
        <v>1200</v>
      </c>
      <c r="B1080" t="s">
        <v>62</v>
      </c>
      <c r="C1080" t="s">
        <v>1153</v>
      </c>
      <c r="D1080" t="s">
        <v>1154</v>
      </c>
      <c r="E1080" t="s">
        <v>62</v>
      </c>
      <c r="F1080" t="s">
        <v>94</v>
      </c>
      <c r="G1080" t="s">
        <v>277</v>
      </c>
      <c r="H1080" s="12">
        <v>6.1534946000000001</v>
      </c>
      <c r="I1080" s="12">
        <v>-75.578234300000005</v>
      </c>
      <c r="K1080" t="s">
        <v>97</v>
      </c>
      <c r="M1080">
        <v>11</v>
      </c>
      <c r="P1080" s="13">
        <v>142</v>
      </c>
      <c r="Q1080" s="13">
        <v>32</v>
      </c>
      <c r="R1080">
        <v>26</v>
      </c>
      <c r="S1080">
        <v>36</v>
      </c>
      <c r="T1080" s="13">
        <v>17</v>
      </c>
      <c r="U1080" s="13">
        <v>36</v>
      </c>
      <c r="V1080" t="s">
        <v>99</v>
      </c>
      <c r="X1080" s="13">
        <v>142</v>
      </c>
    </row>
    <row r="1081" spans="1:24" x14ac:dyDescent="0.25">
      <c r="A1081" t="s">
        <v>1201</v>
      </c>
      <c r="B1081" t="s">
        <v>62</v>
      </c>
      <c r="C1081" t="s">
        <v>1153</v>
      </c>
      <c r="D1081" t="s">
        <v>1154</v>
      </c>
      <c r="E1081" t="s">
        <v>62</v>
      </c>
      <c r="F1081" t="s">
        <v>94</v>
      </c>
      <c r="G1081" t="s">
        <v>277</v>
      </c>
      <c r="H1081" s="12">
        <v>6.1534946000000001</v>
      </c>
      <c r="I1081" s="12">
        <v>-75.578234300000005</v>
      </c>
      <c r="K1081" t="s">
        <v>97</v>
      </c>
      <c r="M1081">
        <v>11</v>
      </c>
      <c r="P1081" s="13">
        <v>142</v>
      </c>
      <c r="Q1081" s="13">
        <v>39</v>
      </c>
      <c r="R1081">
        <v>26</v>
      </c>
      <c r="S1081">
        <v>38</v>
      </c>
      <c r="T1081" s="13">
        <v>10</v>
      </c>
      <c r="U1081" s="13">
        <v>29</v>
      </c>
      <c r="V1081" t="s">
        <v>99</v>
      </c>
      <c r="X1081" s="13">
        <v>142</v>
      </c>
    </row>
    <row r="1082" spans="1:24" x14ac:dyDescent="0.25">
      <c r="A1082" t="s">
        <v>1202</v>
      </c>
      <c r="B1082" t="s">
        <v>62</v>
      </c>
      <c r="C1082" t="s">
        <v>1153</v>
      </c>
      <c r="D1082" t="s">
        <v>1154</v>
      </c>
      <c r="E1082" t="s">
        <v>62</v>
      </c>
      <c r="F1082" t="s">
        <v>94</v>
      </c>
      <c r="G1082" t="s">
        <v>277</v>
      </c>
      <c r="H1082" s="12">
        <v>6.1534946000000001</v>
      </c>
      <c r="I1082" s="12">
        <v>-75.578234300000005</v>
      </c>
      <c r="K1082" t="s">
        <v>97</v>
      </c>
      <c r="M1082">
        <v>11</v>
      </c>
      <c r="P1082" s="13">
        <v>140</v>
      </c>
      <c r="Q1082" s="13">
        <v>29</v>
      </c>
      <c r="R1082">
        <v>34</v>
      </c>
      <c r="S1082">
        <v>22</v>
      </c>
      <c r="T1082" s="13">
        <v>26</v>
      </c>
      <c r="U1082" s="13">
        <v>31</v>
      </c>
      <c r="V1082" t="s">
        <v>99</v>
      </c>
      <c r="X1082" s="13">
        <v>140</v>
      </c>
    </row>
    <row r="1083" spans="1:24" x14ac:dyDescent="0.25">
      <c r="A1083" t="s">
        <v>1203</v>
      </c>
      <c r="B1083" t="s">
        <v>62</v>
      </c>
      <c r="C1083" t="s">
        <v>1153</v>
      </c>
      <c r="D1083" t="s">
        <v>1154</v>
      </c>
      <c r="E1083" t="s">
        <v>62</v>
      </c>
      <c r="F1083" t="s">
        <v>94</v>
      </c>
      <c r="G1083" t="s">
        <v>277</v>
      </c>
      <c r="H1083" s="12">
        <v>6.1534946000000001</v>
      </c>
      <c r="I1083" s="12">
        <v>-75.578234300000005</v>
      </c>
      <c r="K1083" t="s">
        <v>97</v>
      </c>
      <c r="M1083">
        <v>11</v>
      </c>
      <c r="P1083" s="13">
        <v>133</v>
      </c>
      <c r="Q1083" s="13">
        <v>27</v>
      </c>
      <c r="R1083">
        <v>24</v>
      </c>
      <c r="S1083">
        <v>30</v>
      </c>
      <c r="T1083" s="13">
        <v>19</v>
      </c>
      <c r="U1083" s="13">
        <v>47</v>
      </c>
      <c r="V1083" t="s">
        <v>99</v>
      </c>
      <c r="X1083" s="13">
        <v>133</v>
      </c>
    </row>
    <row r="1084" spans="1:24" x14ac:dyDescent="0.25">
      <c r="A1084" t="s">
        <v>1204</v>
      </c>
      <c r="B1084" t="s">
        <v>62</v>
      </c>
      <c r="C1084" t="s">
        <v>1153</v>
      </c>
      <c r="D1084" t="s">
        <v>1154</v>
      </c>
      <c r="E1084" t="s">
        <v>62</v>
      </c>
      <c r="F1084" t="s">
        <v>94</v>
      </c>
      <c r="G1084" t="s">
        <v>277</v>
      </c>
      <c r="H1084" s="12">
        <v>6.1534946000000001</v>
      </c>
      <c r="I1084" s="12">
        <v>-75.578234300000005</v>
      </c>
      <c r="K1084" t="s">
        <v>97</v>
      </c>
      <c r="M1084">
        <v>11</v>
      </c>
      <c r="P1084" s="13">
        <v>131</v>
      </c>
      <c r="Q1084" s="13">
        <v>32</v>
      </c>
      <c r="R1084">
        <v>32</v>
      </c>
      <c r="S1084">
        <v>14</v>
      </c>
      <c r="T1084" s="13">
        <v>24</v>
      </c>
      <c r="U1084" s="13">
        <v>35</v>
      </c>
      <c r="V1084" t="s">
        <v>99</v>
      </c>
      <c r="X1084" s="13">
        <v>131</v>
      </c>
    </row>
    <row r="1085" spans="1:24" x14ac:dyDescent="0.25">
      <c r="A1085" t="s">
        <v>1205</v>
      </c>
      <c r="B1085" t="s">
        <v>62</v>
      </c>
      <c r="C1085" t="s">
        <v>1153</v>
      </c>
      <c r="D1085" t="s">
        <v>1154</v>
      </c>
      <c r="E1085" t="s">
        <v>62</v>
      </c>
      <c r="F1085" t="s">
        <v>94</v>
      </c>
      <c r="G1085" t="s">
        <v>277</v>
      </c>
      <c r="H1085" s="12">
        <v>6.1534946000000001</v>
      </c>
      <c r="I1085" s="12">
        <v>-75.578234300000005</v>
      </c>
      <c r="K1085" t="s">
        <v>97</v>
      </c>
      <c r="M1085">
        <v>11</v>
      </c>
      <c r="P1085" s="13">
        <v>126</v>
      </c>
      <c r="Q1085" s="13">
        <v>32</v>
      </c>
      <c r="R1085">
        <v>20</v>
      </c>
      <c r="S1085">
        <v>28</v>
      </c>
      <c r="T1085" s="13">
        <v>24</v>
      </c>
      <c r="U1085" s="13">
        <v>16</v>
      </c>
      <c r="V1085" t="s">
        <v>99</v>
      </c>
      <c r="X1085" s="13">
        <v>126</v>
      </c>
    </row>
    <row r="1086" spans="1:24" x14ac:dyDescent="0.25">
      <c r="A1086" t="s">
        <v>1206</v>
      </c>
      <c r="B1086" t="s">
        <v>62</v>
      </c>
      <c r="C1086" t="s">
        <v>1153</v>
      </c>
      <c r="D1086" t="s">
        <v>1154</v>
      </c>
      <c r="E1086" t="s">
        <v>62</v>
      </c>
      <c r="F1086" t="s">
        <v>94</v>
      </c>
      <c r="G1086" t="s">
        <v>277</v>
      </c>
      <c r="H1086" s="12">
        <v>6.1534946000000001</v>
      </c>
      <c r="I1086" s="12">
        <v>-75.578234300000005</v>
      </c>
      <c r="K1086" t="s">
        <v>97</v>
      </c>
      <c r="M1086">
        <v>11</v>
      </c>
      <c r="P1086" s="13">
        <v>114</v>
      </c>
      <c r="Q1086" s="13">
        <v>27</v>
      </c>
      <c r="R1086">
        <v>16</v>
      </c>
      <c r="S1086">
        <v>14</v>
      </c>
      <c r="T1086" s="13">
        <v>28</v>
      </c>
      <c r="U1086" s="13">
        <v>44</v>
      </c>
      <c r="V1086" t="s">
        <v>99</v>
      </c>
      <c r="X1086" s="13">
        <v>114</v>
      </c>
    </row>
    <row r="1087" spans="1:24" x14ac:dyDescent="0.25">
      <c r="A1087" t="s">
        <v>1207</v>
      </c>
      <c r="B1087" t="s">
        <v>62</v>
      </c>
      <c r="C1087" t="s">
        <v>1208</v>
      </c>
      <c r="D1087" t="s">
        <v>1209</v>
      </c>
      <c r="E1087" t="s">
        <v>62</v>
      </c>
      <c r="F1087" t="s">
        <v>94</v>
      </c>
      <c r="G1087" t="s">
        <v>277</v>
      </c>
      <c r="H1087" s="12">
        <v>6.1667839000000004</v>
      </c>
      <c r="I1087" s="12">
        <v>-75.578844900000007</v>
      </c>
      <c r="K1087" t="s">
        <v>97</v>
      </c>
      <c r="M1087">
        <v>11</v>
      </c>
      <c r="P1087" s="13">
        <v>338</v>
      </c>
      <c r="Q1087" s="13">
        <v>76</v>
      </c>
      <c r="R1087">
        <v>40</v>
      </c>
      <c r="S1087">
        <v>80</v>
      </c>
      <c r="T1087" s="13">
        <v>66</v>
      </c>
      <c r="U1087" s="13">
        <v>95</v>
      </c>
      <c r="V1087" t="s">
        <v>99</v>
      </c>
      <c r="X1087" s="13">
        <v>338</v>
      </c>
    </row>
    <row r="1088" spans="1:24" x14ac:dyDescent="0.25">
      <c r="A1088" t="s">
        <v>1210</v>
      </c>
      <c r="B1088" t="s">
        <v>62</v>
      </c>
      <c r="C1088" t="s">
        <v>1208</v>
      </c>
      <c r="D1088" t="s">
        <v>1209</v>
      </c>
      <c r="E1088" t="s">
        <v>62</v>
      </c>
      <c r="F1088" t="s">
        <v>94</v>
      </c>
      <c r="G1088" t="s">
        <v>277</v>
      </c>
      <c r="H1088" s="12">
        <v>6.1667839000000004</v>
      </c>
      <c r="I1088" s="12">
        <v>-75.578844900000007</v>
      </c>
      <c r="K1088" t="s">
        <v>97</v>
      </c>
      <c r="M1088">
        <v>11</v>
      </c>
      <c r="P1088" s="13">
        <v>321</v>
      </c>
      <c r="Q1088" s="13">
        <v>80</v>
      </c>
      <c r="R1088">
        <v>34</v>
      </c>
      <c r="S1088">
        <v>72</v>
      </c>
      <c r="T1088" s="13">
        <v>59</v>
      </c>
      <c r="U1088" s="13">
        <v>98</v>
      </c>
      <c r="V1088" t="s">
        <v>99</v>
      </c>
      <c r="X1088" s="13">
        <v>321</v>
      </c>
    </row>
    <row r="1089" spans="1:24" x14ac:dyDescent="0.25">
      <c r="A1089" t="s">
        <v>1211</v>
      </c>
      <c r="B1089" t="s">
        <v>62</v>
      </c>
      <c r="C1089" t="s">
        <v>1208</v>
      </c>
      <c r="D1089" t="s">
        <v>1209</v>
      </c>
      <c r="E1089" t="s">
        <v>62</v>
      </c>
      <c r="F1089" t="s">
        <v>94</v>
      </c>
      <c r="G1089" t="s">
        <v>277</v>
      </c>
      <c r="H1089" s="12">
        <v>6.1667839000000004</v>
      </c>
      <c r="I1089" s="12">
        <v>-75.578844900000007</v>
      </c>
      <c r="K1089" t="s">
        <v>97</v>
      </c>
      <c r="M1089">
        <v>11</v>
      </c>
      <c r="P1089" s="13">
        <v>318</v>
      </c>
      <c r="Q1089" s="13">
        <v>68</v>
      </c>
      <c r="R1089">
        <v>34</v>
      </c>
      <c r="S1089">
        <v>90</v>
      </c>
      <c r="T1089" s="13">
        <v>59</v>
      </c>
      <c r="U1089" s="13">
        <v>75</v>
      </c>
      <c r="V1089" t="s">
        <v>99</v>
      </c>
      <c r="X1089" s="13">
        <v>318</v>
      </c>
    </row>
    <row r="1090" spans="1:24" x14ac:dyDescent="0.25">
      <c r="A1090" t="s">
        <v>1212</v>
      </c>
      <c r="B1090" t="s">
        <v>62</v>
      </c>
      <c r="C1090" t="s">
        <v>1208</v>
      </c>
      <c r="D1090" t="s">
        <v>1209</v>
      </c>
      <c r="E1090" t="s">
        <v>62</v>
      </c>
      <c r="F1090" t="s">
        <v>94</v>
      </c>
      <c r="G1090" t="s">
        <v>277</v>
      </c>
      <c r="H1090" s="12">
        <v>6.1667839000000004</v>
      </c>
      <c r="I1090" s="12">
        <v>-75.578844900000007</v>
      </c>
      <c r="K1090" t="s">
        <v>97</v>
      </c>
      <c r="M1090">
        <v>11</v>
      </c>
      <c r="P1090" s="13">
        <v>308</v>
      </c>
      <c r="Q1090" s="13">
        <v>68</v>
      </c>
      <c r="R1090">
        <v>42</v>
      </c>
      <c r="S1090">
        <v>70</v>
      </c>
      <c r="T1090" s="13">
        <v>62</v>
      </c>
      <c r="U1090" s="13">
        <v>75</v>
      </c>
      <c r="V1090" t="s">
        <v>99</v>
      </c>
      <c r="X1090" s="13">
        <v>308</v>
      </c>
    </row>
    <row r="1091" spans="1:24" x14ac:dyDescent="0.25">
      <c r="A1091" t="s">
        <v>1213</v>
      </c>
      <c r="B1091" t="s">
        <v>62</v>
      </c>
      <c r="C1091" t="s">
        <v>1208</v>
      </c>
      <c r="D1091" t="s">
        <v>1209</v>
      </c>
      <c r="E1091" t="s">
        <v>62</v>
      </c>
      <c r="F1091" t="s">
        <v>94</v>
      </c>
      <c r="G1091" t="s">
        <v>277</v>
      </c>
      <c r="H1091" s="12">
        <v>6.1667839000000004</v>
      </c>
      <c r="I1091" s="12">
        <v>-75.578844900000007</v>
      </c>
      <c r="K1091" t="s">
        <v>97</v>
      </c>
      <c r="M1091">
        <v>11</v>
      </c>
      <c r="P1091" s="13">
        <v>305</v>
      </c>
      <c r="Q1091" s="13">
        <v>73</v>
      </c>
      <c r="R1091">
        <v>38</v>
      </c>
      <c r="S1091">
        <v>80</v>
      </c>
      <c r="T1091" s="13">
        <v>45</v>
      </c>
      <c r="U1091" s="13">
        <v>85</v>
      </c>
      <c r="V1091" t="s">
        <v>99</v>
      </c>
      <c r="X1091" s="13">
        <v>305</v>
      </c>
    </row>
    <row r="1092" spans="1:24" x14ac:dyDescent="0.25">
      <c r="A1092" t="s">
        <v>1214</v>
      </c>
      <c r="B1092" t="s">
        <v>62</v>
      </c>
      <c r="C1092" t="s">
        <v>1208</v>
      </c>
      <c r="D1092" t="s">
        <v>1209</v>
      </c>
      <c r="E1092" t="s">
        <v>62</v>
      </c>
      <c r="F1092" t="s">
        <v>94</v>
      </c>
      <c r="G1092" t="s">
        <v>277</v>
      </c>
      <c r="H1092" s="12">
        <v>6.1667839000000004</v>
      </c>
      <c r="I1092" s="12">
        <v>-75.578844900000007</v>
      </c>
      <c r="K1092" t="s">
        <v>97</v>
      </c>
      <c r="M1092">
        <v>11</v>
      </c>
      <c r="P1092" s="13">
        <v>294</v>
      </c>
      <c r="Q1092" s="13">
        <v>71</v>
      </c>
      <c r="R1092">
        <v>42</v>
      </c>
      <c r="S1092">
        <v>66</v>
      </c>
      <c r="T1092" s="13">
        <v>53</v>
      </c>
      <c r="U1092" s="13">
        <v>69</v>
      </c>
      <c r="V1092" t="s">
        <v>99</v>
      </c>
      <c r="X1092" s="13">
        <v>294</v>
      </c>
    </row>
    <row r="1093" spans="1:24" x14ac:dyDescent="0.25">
      <c r="A1093" t="s">
        <v>1215</v>
      </c>
      <c r="B1093" t="s">
        <v>62</v>
      </c>
      <c r="C1093" t="s">
        <v>1208</v>
      </c>
      <c r="D1093" t="s">
        <v>1209</v>
      </c>
      <c r="E1093" t="s">
        <v>62</v>
      </c>
      <c r="F1093" t="s">
        <v>94</v>
      </c>
      <c r="G1093" t="s">
        <v>277</v>
      </c>
      <c r="H1093" s="12">
        <v>6.1667839000000004</v>
      </c>
      <c r="I1093" s="12">
        <v>-75.578844900000007</v>
      </c>
      <c r="K1093" t="s">
        <v>97</v>
      </c>
      <c r="M1093">
        <v>11</v>
      </c>
      <c r="P1093" s="13">
        <v>280</v>
      </c>
      <c r="Q1093" s="13">
        <v>71</v>
      </c>
      <c r="R1093">
        <v>30</v>
      </c>
      <c r="S1093">
        <v>66</v>
      </c>
      <c r="T1093" s="13">
        <v>55</v>
      </c>
      <c r="U1093" s="13">
        <v>62</v>
      </c>
      <c r="V1093" t="s">
        <v>99</v>
      </c>
      <c r="X1093" s="13">
        <v>280</v>
      </c>
    </row>
    <row r="1094" spans="1:24" x14ac:dyDescent="0.25">
      <c r="A1094" t="s">
        <v>1216</v>
      </c>
      <c r="B1094" t="s">
        <v>62</v>
      </c>
      <c r="C1094" t="s">
        <v>1208</v>
      </c>
      <c r="D1094" t="s">
        <v>1209</v>
      </c>
      <c r="E1094" t="s">
        <v>62</v>
      </c>
      <c r="F1094" t="s">
        <v>94</v>
      </c>
      <c r="G1094" t="s">
        <v>277</v>
      </c>
      <c r="H1094" s="12">
        <v>6.1667839000000004</v>
      </c>
      <c r="I1094" s="12">
        <v>-75.578844900000007</v>
      </c>
      <c r="K1094" t="s">
        <v>97</v>
      </c>
      <c r="M1094">
        <v>11</v>
      </c>
      <c r="P1094" s="13">
        <v>273</v>
      </c>
      <c r="Q1094" s="13">
        <v>59</v>
      </c>
      <c r="R1094">
        <v>38</v>
      </c>
      <c r="S1094">
        <v>56</v>
      </c>
      <c r="T1094" s="13">
        <v>55</v>
      </c>
      <c r="U1094" s="13">
        <v>87</v>
      </c>
      <c r="V1094" t="s">
        <v>99</v>
      </c>
      <c r="X1094" s="13">
        <v>273</v>
      </c>
    </row>
    <row r="1095" spans="1:24" x14ac:dyDescent="0.25">
      <c r="A1095" t="s">
        <v>1217</v>
      </c>
      <c r="B1095" t="s">
        <v>62</v>
      </c>
      <c r="C1095" t="s">
        <v>1208</v>
      </c>
      <c r="D1095" t="s">
        <v>1209</v>
      </c>
      <c r="E1095" t="s">
        <v>62</v>
      </c>
      <c r="F1095" t="s">
        <v>94</v>
      </c>
      <c r="G1095" t="s">
        <v>277</v>
      </c>
      <c r="H1095" s="12">
        <v>6.1667839000000004</v>
      </c>
      <c r="I1095" s="12">
        <v>-75.578844900000007</v>
      </c>
      <c r="K1095" t="s">
        <v>97</v>
      </c>
      <c r="M1095">
        <v>11</v>
      </c>
      <c r="P1095" s="13">
        <v>268</v>
      </c>
      <c r="Q1095" s="13">
        <v>71</v>
      </c>
      <c r="R1095">
        <v>32</v>
      </c>
      <c r="S1095">
        <v>70</v>
      </c>
      <c r="T1095" s="13">
        <v>36</v>
      </c>
      <c r="U1095" s="13">
        <v>71</v>
      </c>
      <c r="V1095" t="s">
        <v>99</v>
      </c>
      <c r="X1095" s="13">
        <v>268</v>
      </c>
    </row>
    <row r="1096" spans="1:24" x14ac:dyDescent="0.25">
      <c r="A1096" t="s">
        <v>1218</v>
      </c>
      <c r="B1096" t="s">
        <v>62</v>
      </c>
      <c r="C1096" t="s">
        <v>1208</v>
      </c>
      <c r="D1096" t="s">
        <v>1209</v>
      </c>
      <c r="E1096" t="s">
        <v>62</v>
      </c>
      <c r="F1096" t="s">
        <v>94</v>
      </c>
      <c r="G1096" t="s">
        <v>277</v>
      </c>
      <c r="H1096" s="12">
        <v>6.1667839000000004</v>
      </c>
      <c r="I1096" s="12">
        <v>-75.578844900000007</v>
      </c>
      <c r="K1096" t="s">
        <v>97</v>
      </c>
      <c r="M1096">
        <v>11</v>
      </c>
      <c r="P1096" s="13">
        <v>259</v>
      </c>
      <c r="Q1096" s="13">
        <v>49</v>
      </c>
      <c r="R1096">
        <v>38</v>
      </c>
      <c r="S1096">
        <v>62</v>
      </c>
      <c r="T1096" s="13">
        <v>52</v>
      </c>
      <c r="U1096" s="13">
        <v>73</v>
      </c>
      <c r="V1096" t="s">
        <v>99</v>
      </c>
      <c r="X1096" s="13">
        <v>259</v>
      </c>
    </row>
    <row r="1097" spans="1:24" x14ac:dyDescent="0.25">
      <c r="A1097" t="s">
        <v>1219</v>
      </c>
      <c r="B1097" t="s">
        <v>62</v>
      </c>
      <c r="C1097" t="s">
        <v>1208</v>
      </c>
      <c r="D1097" t="s">
        <v>1209</v>
      </c>
      <c r="E1097" t="s">
        <v>62</v>
      </c>
      <c r="F1097" t="s">
        <v>94</v>
      </c>
      <c r="G1097" t="s">
        <v>277</v>
      </c>
      <c r="H1097" s="12">
        <v>6.1667839000000004</v>
      </c>
      <c r="I1097" s="12">
        <v>-75.578844900000007</v>
      </c>
      <c r="K1097" t="s">
        <v>97</v>
      </c>
      <c r="M1097">
        <v>11</v>
      </c>
      <c r="P1097" s="13">
        <v>252</v>
      </c>
      <c r="Q1097" s="13">
        <v>61</v>
      </c>
      <c r="R1097">
        <v>26</v>
      </c>
      <c r="S1097">
        <v>66</v>
      </c>
      <c r="T1097" s="13">
        <v>41</v>
      </c>
      <c r="U1097" s="13">
        <v>73</v>
      </c>
      <c r="V1097" t="s">
        <v>99</v>
      </c>
      <c r="X1097" s="13">
        <v>252</v>
      </c>
    </row>
    <row r="1098" spans="1:24" x14ac:dyDescent="0.25">
      <c r="A1098" t="s">
        <v>1220</v>
      </c>
      <c r="B1098" t="s">
        <v>62</v>
      </c>
      <c r="C1098" t="s">
        <v>1208</v>
      </c>
      <c r="D1098" t="s">
        <v>1209</v>
      </c>
      <c r="E1098" t="s">
        <v>62</v>
      </c>
      <c r="F1098" t="s">
        <v>94</v>
      </c>
      <c r="G1098" t="s">
        <v>277</v>
      </c>
      <c r="H1098" s="12">
        <v>6.1667839000000004</v>
      </c>
      <c r="I1098" s="12">
        <v>-75.578844900000007</v>
      </c>
      <c r="K1098" t="s">
        <v>97</v>
      </c>
      <c r="M1098">
        <v>11</v>
      </c>
      <c r="P1098" s="13">
        <v>235</v>
      </c>
      <c r="Q1098" s="13">
        <v>63</v>
      </c>
      <c r="R1098">
        <v>34</v>
      </c>
      <c r="S1098">
        <v>66</v>
      </c>
      <c r="T1098" s="13">
        <v>28</v>
      </c>
      <c r="U1098" s="13">
        <v>38</v>
      </c>
      <c r="V1098" t="s">
        <v>99</v>
      </c>
      <c r="X1098" s="13">
        <v>235</v>
      </c>
    </row>
    <row r="1099" spans="1:24" x14ac:dyDescent="0.25">
      <c r="A1099" t="s">
        <v>1221</v>
      </c>
      <c r="B1099" t="s">
        <v>62</v>
      </c>
      <c r="C1099" t="s">
        <v>1208</v>
      </c>
      <c r="D1099" t="s">
        <v>1209</v>
      </c>
      <c r="E1099" t="s">
        <v>62</v>
      </c>
      <c r="F1099" t="s">
        <v>94</v>
      </c>
      <c r="G1099" t="s">
        <v>277</v>
      </c>
      <c r="H1099" s="12">
        <v>6.1667839000000004</v>
      </c>
      <c r="I1099" s="12">
        <v>-75.578844900000007</v>
      </c>
      <c r="K1099" t="s">
        <v>97</v>
      </c>
      <c r="M1099">
        <v>11</v>
      </c>
      <c r="P1099" s="13">
        <v>223</v>
      </c>
      <c r="Q1099" s="13">
        <v>61</v>
      </c>
      <c r="R1099">
        <v>38</v>
      </c>
      <c r="S1099">
        <v>40</v>
      </c>
      <c r="T1099" s="13">
        <v>41</v>
      </c>
      <c r="U1099" s="13">
        <v>38</v>
      </c>
      <c r="V1099" t="s">
        <v>99</v>
      </c>
      <c r="X1099" s="13">
        <v>223</v>
      </c>
    </row>
    <row r="1100" spans="1:24" x14ac:dyDescent="0.25">
      <c r="A1100" t="s">
        <v>1222</v>
      </c>
      <c r="B1100" t="s">
        <v>62</v>
      </c>
      <c r="C1100" t="s">
        <v>1208</v>
      </c>
      <c r="D1100" t="s">
        <v>1209</v>
      </c>
      <c r="E1100" t="s">
        <v>62</v>
      </c>
      <c r="F1100" t="s">
        <v>94</v>
      </c>
      <c r="G1100" t="s">
        <v>277</v>
      </c>
      <c r="H1100" s="12">
        <v>6.1667839000000004</v>
      </c>
      <c r="I1100" s="12">
        <v>-75.578844900000007</v>
      </c>
      <c r="K1100" t="s">
        <v>97</v>
      </c>
      <c r="M1100">
        <v>11</v>
      </c>
      <c r="P1100" s="13">
        <v>222</v>
      </c>
      <c r="Q1100" s="13">
        <v>46</v>
      </c>
      <c r="R1100">
        <v>30</v>
      </c>
      <c r="S1100">
        <v>54</v>
      </c>
      <c r="T1100" s="13">
        <v>43</v>
      </c>
      <c r="U1100" s="13">
        <v>56</v>
      </c>
      <c r="V1100" t="s">
        <v>99</v>
      </c>
      <c r="X1100" s="13">
        <v>222</v>
      </c>
    </row>
    <row r="1101" spans="1:24" x14ac:dyDescent="0.25">
      <c r="A1101" t="s">
        <v>1223</v>
      </c>
      <c r="B1101" t="s">
        <v>62</v>
      </c>
      <c r="C1101" t="s">
        <v>1208</v>
      </c>
      <c r="D1101" t="s">
        <v>1209</v>
      </c>
      <c r="E1101" t="s">
        <v>62</v>
      </c>
      <c r="F1101" t="s">
        <v>94</v>
      </c>
      <c r="G1101" t="s">
        <v>277</v>
      </c>
      <c r="H1101" s="12">
        <v>6.1667839000000004</v>
      </c>
      <c r="I1101" s="12">
        <v>-75.578844900000007</v>
      </c>
      <c r="K1101" t="s">
        <v>97</v>
      </c>
      <c r="M1101">
        <v>11</v>
      </c>
      <c r="P1101" s="13">
        <v>206</v>
      </c>
      <c r="Q1101" s="13">
        <v>51</v>
      </c>
      <c r="R1101">
        <v>28</v>
      </c>
      <c r="S1101">
        <v>40</v>
      </c>
      <c r="T1101" s="13">
        <v>40</v>
      </c>
      <c r="U1101" s="13">
        <v>60</v>
      </c>
      <c r="V1101" t="s">
        <v>99</v>
      </c>
      <c r="X1101" s="13">
        <v>206</v>
      </c>
    </row>
    <row r="1102" spans="1:24" x14ac:dyDescent="0.25">
      <c r="A1102" t="s">
        <v>1224</v>
      </c>
      <c r="B1102" t="s">
        <v>62</v>
      </c>
      <c r="C1102" t="s">
        <v>1208</v>
      </c>
      <c r="D1102" t="s">
        <v>1209</v>
      </c>
      <c r="E1102" t="s">
        <v>62</v>
      </c>
      <c r="F1102" t="s">
        <v>94</v>
      </c>
      <c r="G1102" t="s">
        <v>277</v>
      </c>
      <c r="H1102" s="12">
        <v>6.1667839000000004</v>
      </c>
      <c r="I1102" s="12">
        <v>-75.578844900000007</v>
      </c>
      <c r="K1102" t="s">
        <v>97</v>
      </c>
      <c r="M1102">
        <v>11</v>
      </c>
      <c r="P1102" s="13">
        <v>204</v>
      </c>
      <c r="Q1102" s="13">
        <v>59</v>
      </c>
      <c r="R1102">
        <v>28</v>
      </c>
      <c r="S1102">
        <v>34</v>
      </c>
      <c r="T1102" s="13">
        <v>34</v>
      </c>
      <c r="U1102" s="13">
        <v>65</v>
      </c>
      <c r="V1102" t="s">
        <v>99</v>
      </c>
      <c r="X1102" s="13">
        <v>204</v>
      </c>
    </row>
    <row r="1103" spans="1:24" x14ac:dyDescent="0.25">
      <c r="A1103" t="s">
        <v>1225</v>
      </c>
      <c r="B1103" t="s">
        <v>62</v>
      </c>
      <c r="C1103" t="s">
        <v>1208</v>
      </c>
      <c r="D1103" t="s">
        <v>1209</v>
      </c>
      <c r="E1103" t="s">
        <v>62</v>
      </c>
      <c r="F1103" t="s">
        <v>94</v>
      </c>
      <c r="G1103" t="s">
        <v>277</v>
      </c>
      <c r="H1103" s="12">
        <v>6.1667839000000004</v>
      </c>
      <c r="I1103" s="12">
        <v>-75.578844900000007</v>
      </c>
      <c r="K1103" t="s">
        <v>97</v>
      </c>
      <c r="M1103">
        <v>11</v>
      </c>
      <c r="P1103" s="13">
        <v>189</v>
      </c>
      <c r="Q1103" s="13">
        <v>32</v>
      </c>
      <c r="R1103">
        <v>36</v>
      </c>
      <c r="S1103">
        <v>52</v>
      </c>
      <c r="T1103" s="13">
        <v>29</v>
      </c>
      <c r="U1103" s="13">
        <v>44</v>
      </c>
      <c r="V1103" t="s">
        <v>99</v>
      </c>
      <c r="X1103" s="13">
        <v>189</v>
      </c>
    </row>
    <row r="1104" spans="1:24" x14ac:dyDescent="0.25">
      <c r="A1104" t="s">
        <v>1226</v>
      </c>
      <c r="B1104" t="s">
        <v>62</v>
      </c>
      <c r="C1104" t="s">
        <v>1208</v>
      </c>
      <c r="D1104" t="s">
        <v>1209</v>
      </c>
      <c r="E1104" t="s">
        <v>62</v>
      </c>
      <c r="F1104" t="s">
        <v>94</v>
      </c>
      <c r="G1104" t="s">
        <v>277</v>
      </c>
      <c r="H1104" s="12">
        <v>6.1667839000000004</v>
      </c>
      <c r="I1104" s="12">
        <v>-75.578844900000007</v>
      </c>
      <c r="K1104" t="s">
        <v>97</v>
      </c>
      <c r="M1104">
        <v>11</v>
      </c>
      <c r="P1104" s="13">
        <v>187</v>
      </c>
      <c r="Q1104" s="13">
        <v>39</v>
      </c>
      <c r="R1104">
        <v>26</v>
      </c>
      <c r="S1104">
        <v>34</v>
      </c>
      <c r="T1104" s="13">
        <v>50</v>
      </c>
      <c r="U1104" s="13">
        <v>40</v>
      </c>
      <c r="V1104" t="s">
        <v>99</v>
      </c>
      <c r="X1104" s="13">
        <v>187</v>
      </c>
    </row>
    <row r="1105" spans="1:24" x14ac:dyDescent="0.25">
      <c r="A1105" t="s">
        <v>1227</v>
      </c>
      <c r="B1105" t="s">
        <v>62</v>
      </c>
      <c r="C1105" t="s">
        <v>1208</v>
      </c>
      <c r="D1105" t="s">
        <v>1209</v>
      </c>
      <c r="E1105" t="s">
        <v>62</v>
      </c>
      <c r="F1105" t="s">
        <v>94</v>
      </c>
      <c r="G1105" t="s">
        <v>277</v>
      </c>
      <c r="H1105" s="12">
        <v>6.1667839000000004</v>
      </c>
      <c r="I1105" s="12">
        <v>-75.578844900000007</v>
      </c>
      <c r="K1105" t="s">
        <v>97</v>
      </c>
      <c r="M1105">
        <v>11</v>
      </c>
      <c r="P1105" s="13">
        <v>184</v>
      </c>
      <c r="Q1105" s="13">
        <v>39</v>
      </c>
      <c r="R1105">
        <v>44</v>
      </c>
      <c r="S1105">
        <v>28</v>
      </c>
      <c r="T1105" s="13">
        <v>31</v>
      </c>
      <c r="U1105" s="13">
        <v>53</v>
      </c>
      <c r="V1105" t="s">
        <v>99</v>
      </c>
      <c r="X1105" s="13">
        <v>184</v>
      </c>
    </row>
    <row r="1106" spans="1:24" x14ac:dyDescent="0.25">
      <c r="A1106" t="s">
        <v>1228</v>
      </c>
      <c r="B1106" t="s">
        <v>62</v>
      </c>
      <c r="C1106" t="s">
        <v>1208</v>
      </c>
      <c r="D1106" t="s">
        <v>1209</v>
      </c>
      <c r="E1106" t="s">
        <v>62</v>
      </c>
      <c r="F1106" t="s">
        <v>94</v>
      </c>
      <c r="G1106" t="s">
        <v>277</v>
      </c>
      <c r="H1106" s="12">
        <v>6.1667839000000004</v>
      </c>
      <c r="I1106" s="12">
        <v>-75.578844900000007</v>
      </c>
      <c r="K1106" t="s">
        <v>97</v>
      </c>
      <c r="M1106">
        <v>11</v>
      </c>
      <c r="P1106" s="13">
        <v>184</v>
      </c>
      <c r="Q1106" s="13">
        <v>44</v>
      </c>
      <c r="R1106">
        <v>28</v>
      </c>
      <c r="S1106">
        <v>34</v>
      </c>
      <c r="T1106" s="13">
        <v>36</v>
      </c>
      <c r="U1106" s="13">
        <v>51</v>
      </c>
      <c r="V1106" t="s">
        <v>99</v>
      </c>
      <c r="X1106" s="13">
        <v>184</v>
      </c>
    </row>
    <row r="1107" spans="1:24" x14ac:dyDescent="0.25">
      <c r="A1107" t="s">
        <v>1229</v>
      </c>
      <c r="B1107" t="s">
        <v>62</v>
      </c>
      <c r="C1107" t="s">
        <v>1208</v>
      </c>
      <c r="D1107" t="s">
        <v>1209</v>
      </c>
      <c r="E1107" t="s">
        <v>62</v>
      </c>
      <c r="F1107" t="s">
        <v>94</v>
      </c>
      <c r="G1107" t="s">
        <v>277</v>
      </c>
      <c r="H1107" s="12">
        <v>6.1667839000000004</v>
      </c>
      <c r="I1107" s="12">
        <v>-75.578844900000007</v>
      </c>
      <c r="K1107" t="s">
        <v>97</v>
      </c>
      <c r="M1107">
        <v>11</v>
      </c>
      <c r="P1107" s="13">
        <v>178</v>
      </c>
      <c r="Q1107" s="13">
        <v>41</v>
      </c>
      <c r="R1107">
        <v>42</v>
      </c>
      <c r="S1107">
        <v>26</v>
      </c>
      <c r="T1107" s="13">
        <v>29</v>
      </c>
      <c r="U1107" s="13">
        <v>47</v>
      </c>
      <c r="V1107" t="s">
        <v>99</v>
      </c>
      <c r="X1107" s="13">
        <v>178</v>
      </c>
    </row>
    <row r="1108" spans="1:24" x14ac:dyDescent="0.25">
      <c r="A1108" t="s">
        <v>1230</v>
      </c>
      <c r="B1108" t="s">
        <v>62</v>
      </c>
      <c r="C1108" t="s">
        <v>1208</v>
      </c>
      <c r="D1108" t="s">
        <v>1209</v>
      </c>
      <c r="E1108" t="s">
        <v>62</v>
      </c>
      <c r="F1108" t="s">
        <v>94</v>
      </c>
      <c r="G1108" t="s">
        <v>277</v>
      </c>
      <c r="H1108" s="12">
        <v>6.1667839000000004</v>
      </c>
      <c r="I1108" s="12">
        <v>-75.578844900000007</v>
      </c>
      <c r="K1108" t="s">
        <v>97</v>
      </c>
      <c r="M1108">
        <v>11</v>
      </c>
      <c r="P1108" s="13">
        <v>178</v>
      </c>
      <c r="Q1108" s="13">
        <v>46</v>
      </c>
      <c r="R1108">
        <v>30</v>
      </c>
      <c r="S1108">
        <v>30</v>
      </c>
      <c r="T1108" s="13">
        <v>34</v>
      </c>
      <c r="U1108" s="13">
        <v>40</v>
      </c>
      <c r="V1108" t="s">
        <v>99</v>
      </c>
      <c r="X1108" s="13">
        <v>178</v>
      </c>
    </row>
    <row r="1109" spans="1:24" x14ac:dyDescent="0.25">
      <c r="A1109" t="s">
        <v>1231</v>
      </c>
      <c r="B1109" t="s">
        <v>62</v>
      </c>
      <c r="C1109" t="s">
        <v>1208</v>
      </c>
      <c r="D1109" t="s">
        <v>1209</v>
      </c>
      <c r="E1109" t="s">
        <v>62</v>
      </c>
      <c r="F1109" t="s">
        <v>94</v>
      </c>
      <c r="G1109" t="s">
        <v>277</v>
      </c>
      <c r="H1109" s="12">
        <v>6.1667839000000004</v>
      </c>
      <c r="I1109" s="12">
        <v>-75.578844900000007</v>
      </c>
      <c r="K1109" t="s">
        <v>97</v>
      </c>
      <c r="M1109">
        <v>11</v>
      </c>
      <c r="P1109" s="13">
        <v>176</v>
      </c>
      <c r="Q1109" s="13">
        <v>17</v>
      </c>
      <c r="R1109">
        <v>26</v>
      </c>
      <c r="S1109">
        <v>52</v>
      </c>
      <c r="T1109" s="13">
        <v>47</v>
      </c>
      <c r="U1109" s="13">
        <v>33</v>
      </c>
      <c r="V1109" t="s">
        <v>99</v>
      </c>
      <c r="X1109" s="13">
        <v>176</v>
      </c>
    </row>
    <row r="1110" spans="1:24" x14ac:dyDescent="0.25">
      <c r="A1110" t="s">
        <v>1232</v>
      </c>
      <c r="B1110" t="s">
        <v>62</v>
      </c>
      <c r="C1110" t="s">
        <v>1208</v>
      </c>
      <c r="D1110" t="s">
        <v>1209</v>
      </c>
      <c r="E1110" t="s">
        <v>62</v>
      </c>
      <c r="F1110" t="s">
        <v>94</v>
      </c>
      <c r="G1110" t="s">
        <v>277</v>
      </c>
      <c r="H1110" s="12">
        <v>6.1667839000000004</v>
      </c>
      <c r="I1110" s="12">
        <v>-75.578844900000007</v>
      </c>
      <c r="K1110" t="s">
        <v>97</v>
      </c>
      <c r="M1110">
        <v>11</v>
      </c>
      <c r="P1110" s="13">
        <v>164</v>
      </c>
      <c r="Q1110" s="13">
        <v>34</v>
      </c>
      <c r="R1110">
        <v>36</v>
      </c>
      <c r="S1110">
        <v>32</v>
      </c>
      <c r="T1110" s="13">
        <v>28</v>
      </c>
      <c r="U1110" s="13">
        <v>36</v>
      </c>
      <c r="V1110" t="s">
        <v>99</v>
      </c>
      <c r="X1110" s="13">
        <v>164</v>
      </c>
    </row>
    <row r="1111" spans="1:24" x14ac:dyDescent="0.25">
      <c r="A1111" t="s">
        <v>1233</v>
      </c>
      <c r="B1111" t="s">
        <v>62</v>
      </c>
      <c r="C1111" t="s">
        <v>1208</v>
      </c>
      <c r="D1111" t="s">
        <v>1209</v>
      </c>
      <c r="E1111" t="s">
        <v>62</v>
      </c>
      <c r="F1111" t="s">
        <v>94</v>
      </c>
      <c r="G1111" t="s">
        <v>277</v>
      </c>
      <c r="H1111" s="12">
        <v>6.1667839000000004</v>
      </c>
      <c r="I1111" s="12">
        <v>-75.578844900000007</v>
      </c>
      <c r="K1111" t="s">
        <v>97</v>
      </c>
      <c r="M1111">
        <v>11</v>
      </c>
      <c r="P1111" s="13">
        <v>162</v>
      </c>
      <c r="Q1111" s="13">
        <v>44</v>
      </c>
      <c r="R1111">
        <v>32</v>
      </c>
      <c r="S1111">
        <v>30</v>
      </c>
      <c r="T1111" s="13">
        <v>21</v>
      </c>
      <c r="U1111" s="13">
        <v>42</v>
      </c>
      <c r="V1111" t="s">
        <v>99</v>
      </c>
      <c r="X1111" s="13">
        <v>162</v>
      </c>
    </row>
    <row r="1112" spans="1:24" x14ac:dyDescent="0.25">
      <c r="A1112" t="s">
        <v>1234</v>
      </c>
      <c r="B1112" t="s">
        <v>62</v>
      </c>
      <c r="C1112" t="s">
        <v>1208</v>
      </c>
      <c r="D1112" t="s">
        <v>1209</v>
      </c>
      <c r="E1112" t="s">
        <v>62</v>
      </c>
      <c r="F1112" t="s">
        <v>94</v>
      </c>
      <c r="G1112" t="s">
        <v>277</v>
      </c>
      <c r="H1112" s="12">
        <v>6.1667839000000004</v>
      </c>
      <c r="I1112" s="12">
        <v>-75.578844900000007</v>
      </c>
      <c r="K1112" t="s">
        <v>97</v>
      </c>
      <c r="M1112">
        <v>11</v>
      </c>
      <c r="P1112" s="13">
        <v>161</v>
      </c>
      <c r="Q1112" s="13">
        <v>44</v>
      </c>
      <c r="R1112">
        <v>28</v>
      </c>
      <c r="S1112">
        <v>26</v>
      </c>
      <c r="T1112" s="13">
        <v>29</v>
      </c>
      <c r="U1112" s="13">
        <v>36</v>
      </c>
      <c r="V1112" t="s">
        <v>99</v>
      </c>
      <c r="X1112" s="13">
        <v>161</v>
      </c>
    </row>
    <row r="1113" spans="1:24" x14ac:dyDescent="0.25">
      <c r="A1113" t="s">
        <v>1235</v>
      </c>
      <c r="B1113" t="s">
        <v>62</v>
      </c>
      <c r="C1113" t="s">
        <v>1208</v>
      </c>
      <c r="D1113" t="s">
        <v>1209</v>
      </c>
      <c r="E1113" t="s">
        <v>62</v>
      </c>
      <c r="F1113" t="s">
        <v>94</v>
      </c>
      <c r="G1113" t="s">
        <v>277</v>
      </c>
      <c r="H1113" s="12">
        <v>6.1667839000000004</v>
      </c>
      <c r="I1113" s="12">
        <v>-75.578844900000007</v>
      </c>
      <c r="K1113" t="s">
        <v>97</v>
      </c>
      <c r="M1113">
        <v>11</v>
      </c>
      <c r="P1113" s="13">
        <v>160</v>
      </c>
      <c r="Q1113" s="13">
        <v>29</v>
      </c>
      <c r="R1113">
        <v>28</v>
      </c>
      <c r="S1113">
        <v>26</v>
      </c>
      <c r="T1113" s="13">
        <v>36</v>
      </c>
      <c r="U1113" s="13">
        <v>56</v>
      </c>
      <c r="V1113" t="s">
        <v>99</v>
      </c>
      <c r="X1113" s="13">
        <v>160</v>
      </c>
    </row>
    <row r="1114" spans="1:24" x14ac:dyDescent="0.25">
      <c r="A1114" t="s">
        <v>1236</v>
      </c>
      <c r="B1114" t="s">
        <v>62</v>
      </c>
      <c r="C1114" t="s">
        <v>1208</v>
      </c>
      <c r="D1114" t="s">
        <v>1209</v>
      </c>
      <c r="E1114" t="s">
        <v>62</v>
      </c>
      <c r="F1114" t="s">
        <v>94</v>
      </c>
      <c r="G1114" t="s">
        <v>277</v>
      </c>
      <c r="H1114" s="12">
        <v>6.1667839000000004</v>
      </c>
      <c r="I1114" s="12">
        <v>-75.578844900000007</v>
      </c>
      <c r="K1114" t="s">
        <v>97</v>
      </c>
      <c r="M1114">
        <v>11</v>
      </c>
      <c r="P1114" s="13">
        <v>140</v>
      </c>
      <c r="Q1114" s="13">
        <v>34</v>
      </c>
      <c r="R1114">
        <v>20</v>
      </c>
      <c r="S1114">
        <v>32</v>
      </c>
      <c r="T1114" s="13">
        <v>26</v>
      </c>
      <c r="U1114" s="13">
        <v>29</v>
      </c>
      <c r="V1114" t="s">
        <v>99</v>
      </c>
      <c r="X1114" s="13">
        <v>140</v>
      </c>
    </row>
    <row r="1115" spans="1:24" x14ac:dyDescent="0.25">
      <c r="A1115" t="s">
        <v>1237</v>
      </c>
      <c r="B1115" t="s">
        <v>62</v>
      </c>
      <c r="C1115" t="s">
        <v>1208</v>
      </c>
      <c r="D1115" t="s">
        <v>1209</v>
      </c>
      <c r="E1115" t="s">
        <v>62</v>
      </c>
      <c r="F1115" t="s">
        <v>94</v>
      </c>
      <c r="G1115" t="s">
        <v>277</v>
      </c>
      <c r="H1115" s="12">
        <v>6.1667839000000004</v>
      </c>
      <c r="I1115" s="12">
        <v>-75.578844900000007</v>
      </c>
      <c r="K1115" t="s">
        <v>97</v>
      </c>
      <c r="M1115">
        <v>11</v>
      </c>
      <c r="P1115" s="13">
        <v>135</v>
      </c>
      <c r="Q1115" s="13">
        <v>37</v>
      </c>
      <c r="R1115">
        <v>38</v>
      </c>
      <c r="S1115">
        <v>16</v>
      </c>
      <c r="T1115" s="13">
        <v>16</v>
      </c>
      <c r="U1115" s="13">
        <v>33</v>
      </c>
      <c r="V1115" t="s">
        <v>99</v>
      </c>
      <c r="X1115" s="13">
        <v>135</v>
      </c>
    </row>
    <row r="1116" spans="1:24" x14ac:dyDescent="0.25">
      <c r="A1116" t="s">
        <v>1238</v>
      </c>
      <c r="B1116" t="s">
        <v>62</v>
      </c>
      <c r="C1116" t="s">
        <v>1208</v>
      </c>
      <c r="D1116" t="s">
        <v>1209</v>
      </c>
      <c r="E1116" t="s">
        <v>62</v>
      </c>
      <c r="F1116" t="s">
        <v>94</v>
      </c>
      <c r="G1116" t="s">
        <v>277</v>
      </c>
      <c r="H1116" s="12">
        <v>6.1667839000000004</v>
      </c>
      <c r="I1116" s="12">
        <v>-75.578844900000007</v>
      </c>
      <c r="K1116" t="s">
        <v>97</v>
      </c>
      <c r="M1116">
        <v>11</v>
      </c>
      <c r="P1116" s="13">
        <v>128</v>
      </c>
      <c r="Q1116" s="13">
        <v>15</v>
      </c>
      <c r="R1116">
        <v>30</v>
      </c>
      <c r="S1116">
        <v>30</v>
      </c>
      <c r="T1116" s="13">
        <v>28</v>
      </c>
      <c r="U1116" s="13">
        <v>27</v>
      </c>
      <c r="V1116" t="s">
        <v>99</v>
      </c>
      <c r="X1116" s="13">
        <v>128</v>
      </c>
    </row>
    <row r="1117" spans="1:24" x14ac:dyDescent="0.25">
      <c r="A1117" t="s">
        <v>1239</v>
      </c>
      <c r="B1117" t="s">
        <v>62</v>
      </c>
      <c r="C1117" t="s">
        <v>1208</v>
      </c>
      <c r="D1117" t="s">
        <v>1209</v>
      </c>
      <c r="E1117" t="s">
        <v>62</v>
      </c>
      <c r="F1117" t="s">
        <v>94</v>
      </c>
      <c r="G1117" t="s">
        <v>277</v>
      </c>
      <c r="H1117" s="12">
        <v>6.1667839000000004</v>
      </c>
      <c r="I1117" s="12">
        <v>-75.578844900000007</v>
      </c>
      <c r="K1117" t="s">
        <v>97</v>
      </c>
      <c r="M1117">
        <v>11</v>
      </c>
      <c r="P1117" s="13">
        <v>124</v>
      </c>
      <c r="Q1117" s="13">
        <v>24</v>
      </c>
      <c r="R1117">
        <v>28</v>
      </c>
      <c r="S1117">
        <v>18</v>
      </c>
      <c r="T1117" s="13">
        <v>28</v>
      </c>
      <c r="U1117" s="13">
        <v>29</v>
      </c>
      <c r="V1117" t="s">
        <v>99</v>
      </c>
      <c r="X1117" s="13">
        <v>124</v>
      </c>
    </row>
    <row r="1118" spans="1:24" x14ac:dyDescent="0.25">
      <c r="A1118" t="s">
        <v>1240</v>
      </c>
      <c r="B1118" t="s">
        <v>62</v>
      </c>
      <c r="C1118" t="s">
        <v>1208</v>
      </c>
      <c r="D1118" t="s">
        <v>1209</v>
      </c>
      <c r="E1118" t="s">
        <v>62</v>
      </c>
      <c r="F1118" t="s">
        <v>94</v>
      </c>
      <c r="G1118" t="s">
        <v>277</v>
      </c>
      <c r="H1118" s="12">
        <v>6.1667839000000004</v>
      </c>
      <c r="I1118" s="12">
        <v>-75.578844900000007</v>
      </c>
      <c r="K1118" t="s">
        <v>97</v>
      </c>
      <c r="M1118">
        <v>11</v>
      </c>
      <c r="P1118" s="13">
        <v>116</v>
      </c>
      <c r="Q1118" s="13">
        <v>37</v>
      </c>
      <c r="R1118">
        <v>16</v>
      </c>
      <c r="S1118">
        <v>16</v>
      </c>
      <c r="T1118" s="13">
        <v>22</v>
      </c>
      <c r="U1118" s="13">
        <v>29</v>
      </c>
      <c r="V1118" t="s">
        <v>99</v>
      </c>
      <c r="X1118" s="13">
        <v>116</v>
      </c>
    </row>
    <row r="1119" spans="1:24" x14ac:dyDescent="0.25">
      <c r="A1119" t="s">
        <v>1241</v>
      </c>
      <c r="B1119" t="s">
        <v>63</v>
      </c>
      <c r="C1119" t="s">
        <v>1242</v>
      </c>
      <c r="D1119" t="s">
        <v>1243</v>
      </c>
      <c r="E1119" t="s">
        <v>64</v>
      </c>
      <c r="F1119" t="s">
        <v>94</v>
      </c>
      <c r="G1119" t="s">
        <v>277</v>
      </c>
      <c r="H1119" s="12">
        <v>6.1440245999999998</v>
      </c>
      <c r="I1119" s="12">
        <v>-75.448478399999999</v>
      </c>
      <c r="J1119" t="s">
        <v>1244</v>
      </c>
      <c r="K1119" t="s">
        <v>97</v>
      </c>
      <c r="L1119" t="s">
        <v>98</v>
      </c>
      <c r="M1119">
        <v>11</v>
      </c>
      <c r="N1119">
        <v>110</v>
      </c>
      <c r="O1119">
        <v>254</v>
      </c>
      <c r="P1119" s="13">
        <v>226.9</v>
      </c>
      <c r="Q1119" s="13">
        <v>51.2</v>
      </c>
      <c r="R1119">
        <v>40</v>
      </c>
      <c r="S1119">
        <v>56</v>
      </c>
      <c r="T1119" s="13">
        <v>37.9</v>
      </c>
      <c r="U1119" s="13">
        <v>34.5</v>
      </c>
      <c r="V1119" t="s">
        <v>99</v>
      </c>
      <c r="X1119" s="13">
        <v>226.9</v>
      </c>
    </row>
    <row r="1120" spans="1:24" x14ac:dyDescent="0.25">
      <c r="A1120" t="s">
        <v>1245</v>
      </c>
      <c r="B1120" t="s">
        <v>63</v>
      </c>
      <c r="C1120" t="s">
        <v>1242</v>
      </c>
      <c r="D1120" t="s">
        <v>1243</v>
      </c>
      <c r="E1120" t="s">
        <v>64</v>
      </c>
      <c r="F1120" t="s">
        <v>94</v>
      </c>
      <c r="G1120" t="s">
        <v>277</v>
      </c>
      <c r="H1120" s="12">
        <v>6.1440245999999998</v>
      </c>
      <c r="I1120" s="12">
        <v>-75.448478399999999</v>
      </c>
      <c r="J1120" t="s">
        <v>1244</v>
      </c>
      <c r="K1120" t="s">
        <v>97</v>
      </c>
      <c r="L1120" t="s">
        <v>98</v>
      </c>
      <c r="M1120">
        <v>11</v>
      </c>
      <c r="N1120">
        <v>138</v>
      </c>
      <c r="O1120">
        <v>254</v>
      </c>
      <c r="P1120" s="13">
        <v>260.60000000000002</v>
      </c>
      <c r="Q1120" s="13">
        <v>58.5</v>
      </c>
      <c r="R1120">
        <v>44</v>
      </c>
      <c r="S1120">
        <v>60</v>
      </c>
      <c r="T1120" s="13">
        <v>39.700000000000003</v>
      </c>
      <c r="U1120" s="13">
        <v>70.900000000000006</v>
      </c>
      <c r="V1120" t="s">
        <v>99</v>
      </c>
      <c r="X1120" s="13">
        <v>260.60000000000002</v>
      </c>
    </row>
    <row r="1121" spans="1:24" x14ac:dyDescent="0.25">
      <c r="A1121" t="s">
        <v>1246</v>
      </c>
      <c r="B1121" t="s">
        <v>63</v>
      </c>
      <c r="C1121" t="s">
        <v>1242</v>
      </c>
      <c r="D1121" t="s">
        <v>1243</v>
      </c>
      <c r="E1121" t="s">
        <v>64</v>
      </c>
      <c r="F1121" t="s">
        <v>94</v>
      </c>
      <c r="G1121" t="s">
        <v>277</v>
      </c>
      <c r="H1121" s="12">
        <v>6.1440245999999998</v>
      </c>
      <c r="I1121" s="12">
        <v>-75.448478399999999</v>
      </c>
      <c r="J1121" t="s">
        <v>1244</v>
      </c>
      <c r="K1121" t="s">
        <v>97</v>
      </c>
      <c r="L1121" t="s">
        <v>98</v>
      </c>
      <c r="M1121">
        <v>11</v>
      </c>
      <c r="N1121">
        <v>92</v>
      </c>
      <c r="O1121">
        <v>254</v>
      </c>
      <c r="P1121" s="13">
        <v>151.4</v>
      </c>
      <c r="Q1121" s="13">
        <v>31.7</v>
      </c>
      <c r="R1121">
        <v>20</v>
      </c>
      <c r="S1121">
        <v>30</v>
      </c>
      <c r="T1121" s="13">
        <v>25.9</v>
      </c>
      <c r="U1121" s="13">
        <v>70.900000000000006</v>
      </c>
      <c r="V1121" t="s">
        <v>99</v>
      </c>
      <c r="X1121" s="13">
        <v>151.4</v>
      </c>
    </row>
    <row r="1122" spans="1:24" x14ac:dyDescent="0.25">
      <c r="A1122" t="s">
        <v>1247</v>
      </c>
      <c r="B1122" t="s">
        <v>63</v>
      </c>
      <c r="C1122" t="s">
        <v>1242</v>
      </c>
      <c r="D1122" t="s">
        <v>1243</v>
      </c>
      <c r="E1122" t="s">
        <v>64</v>
      </c>
      <c r="F1122" t="s">
        <v>94</v>
      </c>
      <c r="G1122" t="s">
        <v>277</v>
      </c>
      <c r="H1122" s="12">
        <v>6.1440245999999998</v>
      </c>
      <c r="I1122" s="12">
        <v>-75.448478399999999</v>
      </c>
      <c r="J1122" t="s">
        <v>1244</v>
      </c>
      <c r="K1122" t="s">
        <v>97</v>
      </c>
      <c r="L1122" t="s">
        <v>98</v>
      </c>
      <c r="M1122">
        <v>11</v>
      </c>
      <c r="N1122">
        <v>122</v>
      </c>
      <c r="O1122">
        <v>254</v>
      </c>
      <c r="P1122" s="13">
        <v>240.5</v>
      </c>
      <c r="Q1122" s="13">
        <v>39</v>
      </c>
      <c r="R1122">
        <v>44</v>
      </c>
      <c r="S1122">
        <v>62</v>
      </c>
      <c r="T1122" s="13">
        <v>48.3</v>
      </c>
      <c r="U1122" s="13">
        <v>45.5</v>
      </c>
      <c r="V1122" t="s">
        <v>99</v>
      </c>
      <c r="X1122" s="13">
        <v>240.5</v>
      </c>
    </row>
    <row r="1123" spans="1:24" x14ac:dyDescent="0.25">
      <c r="A1123" t="s">
        <v>1248</v>
      </c>
      <c r="B1123" t="s">
        <v>63</v>
      </c>
      <c r="C1123" t="s">
        <v>1242</v>
      </c>
      <c r="D1123" t="s">
        <v>1243</v>
      </c>
      <c r="E1123" t="s">
        <v>64</v>
      </c>
      <c r="F1123" t="s">
        <v>94</v>
      </c>
      <c r="G1123" t="s">
        <v>277</v>
      </c>
      <c r="H1123" s="12">
        <v>6.1440245999999998</v>
      </c>
      <c r="I1123" s="12">
        <v>-75.448478399999999</v>
      </c>
      <c r="J1123" t="s">
        <v>1244</v>
      </c>
      <c r="K1123" t="s">
        <v>97</v>
      </c>
      <c r="L1123" t="s">
        <v>98</v>
      </c>
      <c r="M1123">
        <v>11</v>
      </c>
      <c r="N1123">
        <v>114</v>
      </c>
      <c r="O1123">
        <v>254</v>
      </c>
      <c r="P1123" s="13">
        <v>209</v>
      </c>
      <c r="Q1123" s="13">
        <v>36.6</v>
      </c>
      <c r="R1123">
        <v>32</v>
      </c>
      <c r="S1123">
        <v>62</v>
      </c>
      <c r="T1123" s="13">
        <v>29.3</v>
      </c>
      <c r="U1123" s="13">
        <v>63.6</v>
      </c>
      <c r="V1123" t="s">
        <v>99</v>
      </c>
      <c r="X1123" s="13">
        <v>209</v>
      </c>
    </row>
    <row r="1124" spans="1:24" x14ac:dyDescent="0.25">
      <c r="A1124" t="s">
        <v>1249</v>
      </c>
      <c r="B1124" t="s">
        <v>63</v>
      </c>
      <c r="C1124" t="s">
        <v>1242</v>
      </c>
      <c r="D1124" t="s">
        <v>1243</v>
      </c>
      <c r="E1124" t="s">
        <v>64</v>
      </c>
      <c r="F1124" t="s">
        <v>94</v>
      </c>
      <c r="G1124" t="s">
        <v>277</v>
      </c>
      <c r="H1124" s="12">
        <v>6.1440245999999998</v>
      </c>
      <c r="I1124" s="12">
        <v>-75.448478399999999</v>
      </c>
      <c r="J1124" t="s">
        <v>1244</v>
      </c>
      <c r="K1124" t="s">
        <v>97</v>
      </c>
      <c r="L1124" t="s">
        <v>98</v>
      </c>
      <c r="M1124">
        <v>11</v>
      </c>
      <c r="N1124">
        <v>147</v>
      </c>
      <c r="O1124">
        <v>254</v>
      </c>
      <c r="P1124" s="13">
        <v>269.89999999999998</v>
      </c>
      <c r="Q1124" s="13">
        <v>56.1</v>
      </c>
      <c r="R1124">
        <v>36</v>
      </c>
      <c r="S1124">
        <v>60</v>
      </c>
      <c r="T1124" s="13">
        <v>55.2</v>
      </c>
      <c r="U1124" s="13">
        <v>80</v>
      </c>
      <c r="V1124" t="s">
        <v>99</v>
      </c>
      <c r="X1124" s="13">
        <v>269.89999999999998</v>
      </c>
    </row>
    <row r="1125" spans="1:24" x14ac:dyDescent="0.25">
      <c r="A1125" t="s">
        <v>1250</v>
      </c>
      <c r="B1125" t="s">
        <v>63</v>
      </c>
      <c r="C1125" t="s">
        <v>1242</v>
      </c>
      <c r="D1125" t="s">
        <v>1243</v>
      </c>
      <c r="E1125" t="s">
        <v>64</v>
      </c>
      <c r="F1125" t="s">
        <v>94</v>
      </c>
      <c r="G1125" t="s">
        <v>277</v>
      </c>
      <c r="H1125" s="12">
        <v>6.1440245999999998</v>
      </c>
      <c r="I1125" s="12">
        <v>-75.448478399999999</v>
      </c>
      <c r="J1125" t="s">
        <v>1244</v>
      </c>
      <c r="K1125" t="s">
        <v>97</v>
      </c>
      <c r="L1125" t="s">
        <v>98</v>
      </c>
      <c r="M1125">
        <v>11</v>
      </c>
      <c r="N1125">
        <v>85</v>
      </c>
      <c r="O1125">
        <v>254</v>
      </c>
      <c r="P1125" s="13">
        <v>172.1</v>
      </c>
      <c r="Q1125" s="13">
        <v>46.3</v>
      </c>
      <c r="R1125">
        <v>16</v>
      </c>
      <c r="S1125">
        <v>26</v>
      </c>
      <c r="T1125" s="13">
        <v>51.7</v>
      </c>
      <c r="U1125" s="13">
        <v>27.3</v>
      </c>
      <c r="V1125" t="s">
        <v>99</v>
      </c>
      <c r="X1125" s="13">
        <v>172.1</v>
      </c>
    </row>
    <row r="1126" spans="1:24" x14ac:dyDescent="0.25">
      <c r="A1126" t="s">
        <v>1251</v>
      </c>
      <c r="B1126" t="s">
        <v>63</v>
      </c>
      <c r="C1126" t="s">
        <v>1242</v>
      </c>
      <c r="D1126" t="s">
        <v>1243</v>
      </c>
      <c r="E1126" t="s">
        <v>64</v>
      </c>
      <c r="F1126" t="s">
        <v>94</v>
      </c>
      <c r="G1126" t="s">
        <v>277</v>
      </c>
      <c r="H1126" s="12">
        <v>6.1440245999999998</v>
      </c>
      <c r="I1126" s="12">
        <v>-75.448478399999999</v>
      </c>
      <c r="J1126" t="s">
        <v>1244</v>
      </c>
      <c r="K1126" t="s">
        <v>97</v>
      </c>
      <c r="L1126" t="s">
        <v>98</v>
      </c>
      <c r="M1126">
        <v>11</v>
      </c>
      <c r="N1126">
        <v>121</v>
      </c>
      <c r="O1126">
        <v>254</v>
      </c>
      <c r="P1126" s="13">
        <v>212.2</v>
      </c>
      <c r="Q1126" s="13">
        <v>26.8</v>
      </c>
      <c r="R1126">
        <v>28</v>
      </c>
      <c r="S1126">
        <v>52</v>
      </c>
      <c r="T1126" s="13">
        <v>53.4</v>
      </c>
      <c r="U1126" s="13">
        <v>70.900000000000006</v>
      </c>
      <c r="V1126" t="s">
        <v>99</v>
      </c>
      <c r="X1126" s="13">
        <v>212.2</v>
      </c>
    </row>
    <row r="1127" spans="1:24" x14ac:dyDescent="0.25">
      <c r="A1127" t="s">
        <v>1252</v>
      </c>
      <c r="B1127" t="s">
        <v>63</v>
      </c>
      <c r="C1127" t="s">
        <v>1242</v>
      </c>
      <c r="D1127" t="s">
        <v>1243</v>
      </c>
      <c r="E1127" t="s">
        <v>64</v>
      </c>
      <c r="F1127" t="s">
        <v>94</v>
      </c>
      <c r="G1127" t="s">
        <v>277</v>
      </c>
      <c r="H1127" s="12">
        <v>6.1440245999999998</v>
      </c>
      <c r="I1127" s="12">
        <v>-75.448478399999999</v>
      </c>
      <c r="J1127" t="s">
        <v>1244</v>
      </c>
      <c r="K1127" t="s">
        <v>97</v>
      </c>
      <c r="L1127" t="s">
        <v>98</v>
      </c>
      <c r="M1127">
        <v>11</v>
      </c>
      <c r="N1127">
        <v>127</v>
      </c>
      <c r="O1127">
        <v>254</v>
      </c>
      <c r="P1127" s="13">
        <v>250.9</v>
      </c>
      <c r="Q1127" s="13">
        <v>53.7</v>
      </c>
      <c r="R1127">
        <v>32</v>
      </c>
      <c r="S1127">
        <v>70</v>
      </c>
      <c r="T1127" s="13">
        <v>44.8</v>
      </c>
      <c r="U1127" s="13">
        <v>50.9</v>
      </c>
      <c r="V1127" t="s">
        <v>99</v>
      </c>
      <c r="X1127" s="13">
        <v>250.9</v>
      </c>
    </row>
    <row r="1128" spans="1:24" x14ac:dyDescent="0.25">
      <c r="A1128" t="s">
        <v>1253</v>
      </c>
      <c r="B1128" t="s">
        <v>63</v>
      </c>
      <c r="C1128" t="s">
        <v>1242</v>
      </c>
      <c r="D1128" t="s">
        <v>1243</v>
      </c>
      <c r="E1128" t="s">
        <v>64</v>
      </c>
      <c r="F1128" t="s">
        <v>94</v>
      </c>
      <c r="G1128" t="s">
        <v>277</v>
      </c>
      <c r="H1128" s="12">
        <v>6.1440245999999998</v>
      </c>
      <c r="I1128" s="12">
        <v>-75.448478399999999</v>
      </c>
      <c r="J1128" t="s">
        <v>1244</v>
      </c>
      <c r="K1128" t="s">
        <v>97</v>
      </c>
      <c r="L1128" t="s">
        <v>98</v>
      </c>
      <c r="M1128">
        <v>11</v>
      </c>
      <c r="N1128">
        <v>104</v>
      </c>
      <c r="O1128">
        <v>254</v>
      </c>
      <c r="P1128" s="13">
        <v>187.3</v>
      </c>
      <c r="Q1128" s="13">
        <v>17.100000000000001</v>
      </c>
      <c r="R1128">
        <v>32</v>
      </c>
      <c r="S1128">
        <v>52</v>
      </c>
      <c r="T1128" s="13">
        <v>43.1</v>
      </c>
      <c r="U1128" s="13">
        <v>54.5</v>
      </c>
      <c r="V1128" t="s">
        <v>99</v>
      </c>
      <c r="X1128" s="13">
        <v>187.3</v>
      </c>
    </row>
    <row r="1129" spans="1:24" x14ac:dyDescent="0.25">
      <c r="A1129" t="s">
        <v>1254</v>
      </c>
      <c r="B1129" t="s">
        <v>63</v>
      </c>
      <c r="C1129" t="s">
        <v>1242</v>
      </c>
      <c r="D1129" t="s">
        <v>1243</v>
      </c>
      <c r="E1129" t="s">
        <v>64</v>
      </c>
      <c r="F1129" t="s">
        <v>94</v>
      </c>
      <c r="G1129" t="s">
        <v>277</v>
      </c>
      <c r="H1129" s="12">
        <v>6.1440245999999998</v>
      </c>
      <c r="I1129" s="12">
        <v>-75.448478399999999</v>
      </c>
      <c r="J1129" t="s">
        <v>1244</v>
      </c>
      <c r="K1129" t="s">
        <v>97</v>
      </c>
      <c r="L1129" t="s">
        <v>98</v>
      </c>
      <c r="M1129">
        <v>11</v>
      </c>
      <c r="N1129">
        <v>124</v>
      </c>
      <c r="O1129">
        <v>254</v>
      </c>
      <c r="P1129" s="13">
        <v>226.2</v>
      </c>
      <c r="Q1129" s="13">
        <v>39</v>
      </c>
      <c r="R1129">
        <v>28</v>
      </c>
      <c r="S1129">
        <v>60</v>
      </c>
      <c r="T1129" s="13">
        <v>46.6</v>
      </c>
      <c r="U1129" s="13">
        <v>67.3</v>
      </c>
      <c r="V1129" t="s">
        <v>99</v>
      </c>
      <c r="X1129" s="13">
        <v>226.2</v>
      </c>
    </row>
    <row r="1130" spans="1:24" x14ac:dyDescent="0.25">
      <c r="A1130" t="s">
        <v>1255</v>
      </c>
      <c r="B1130" t="s">
        <v>63</v>
      </c>
      <c r="C1130" t="s">
        <v>1242</v>
      </c>
      <c r="D1130" t="s">
        <v>1243</v>
      </c>
      <c r="E1130" t="s">
        <v>64</v>
      </c>
      <c r="F1130" t="s">
        <v>94</v>
      </c>
      <c r="G1130" t="s">
        <v>277</v>
      </c>
      <c r="H1130" s="12">
        <v>6.1440245999999998</v>
      </c>
      <c r="I1130" s="12">
        <v>-75.448478399999999</v>
      </c>
      <c r="J1130" t="s">
        <v>1244</v>
      </c>
      <c r="K1130" t="s">
        <v>97</v>
      </c>
      <c r="L1130" t="s">
        <v>98</v>
      </c>
      <c r="M1130">
        <v>11</v>
      </c>
      <c r="N1130">
        <v>134</v>
      </c>
      <c r="O1130">
        <v>254</v>
      </c>
      <c r="P1130" s="13">
        <v>248.3</v>
      </c>
      <c r="Q1130" s="13">
        <v>61</v>
      </c>
      <c r="R1130">
        <v>32</v>
      </c>
      <c r="S1130">
        <v>56</v>
      </c>
      <c r="T1130" s="13">
        <v>41.4</v>
      </c>
      <c r="U1130" s="13">
        <v>74.5</v>
      </c>
      <c r="V1130" t="s">
        <v>99</v>
      </c>
      <c r="X1130" s="13">
        <v>248.3</v>
      </c>
    </row>
    <row r="1131" spans="1:24" x14ac:dyDescent="0.25">
      <c r="A1131" t="s">
        <v>1256</v>
      </c>
      <c r="B1131" t="s">
        <v>63</v>
      </c>
      <c r="C1131" t="s">
        <v>1242</v>
      </c>
      <c r="D1131" t="s">
        <v>1243</v>
      </c>
      <c r="E1131" t="s">
        <v>64</v>
      </c>
      <c r="F1131" t="s">
        <v>94</v>
      </c>
      <c r="G1131" t="s">
        <v>277</v>
      </c>
      <c r="H1131" s="12">
        <v>6.1440245999999998</v>
      </c>
      <c r="I1131" s="12">
        <v>-75.448478399999999</v>
      </c>
      <c r="J1131" t="s">
        <v>1244</v>
      </c>
      <c r="K1131" t="s">
        <v>97</v>
      </c>
      <c r="L1131" t="s">
        <v>98</v>
      </c>
      <c r="M1131">
        <v>11</v>
      </c>
      <c r="N1131">
        <v>130</v>
      </c>
      <c r="O1131">
        <v>254</v>
      </c>
      <c r="P1131" s="13">
        <v>245</v>
      </c>
      <c r="Q1131" s="13">
        <v>53.7</v>
      </c>
      <c r="R1131">
        <v>32</v>
      </c>
      <c r="S1131">
        <v>60</v>
      </c>
      <c r="T1131" s="13">
        <v>44.8</v>
      </c>
      <c r="U1131" s="13">
        <v>65.5</v>
      </c>
      <c r="V1131" t="s">
        <v>99</v>
      </c>
      <c r="X1131" s="13">
        <v>245</v>
      </c>
    </row>
    <row r="1132" spans="1:24" x14ac:dyDescent="0.25">
      <c r="A1132" t="s">
        <v>1257</v>
      </c>
      <c r="B1132" t="s">
        <v>63</v>
      </c>
      <c r="C1132" t="s">
        <v>1242</v>
      </c>
      <c r="D1132" t="s">
        <v>1243</v>
      </c>
      <c r="E1132" t="s">
        <v>64</v>
      </c>
      <c r="F1132" t="s">
        <v>94</v>
      </c>
      <c r="G1132" t="s">
        <v>277</v>
      </c>
      <c r="H1132" s="12">
        <v>6.1440245999999998</v>
      </c>
      <c r="I1132" s="12">
        <v>-75.448478399999999</v>
      </c>
      <c r="J1132" t="s">
        <v>1244</v>
      </c>
      <c r="K1132" t="s">
        <v>97</v>
      </c>
      <c r="L1132" t="s">
        <v>98</v>
      </c>
      <c r="M1132">
        <v>11</v>
      </c>
      <c r="N1132">
        <v>102</v>
      </c>
      <c r="O1132">
        <v>254</v>
      </c>
      <c r="P1132" s="13">
        <v>199.3</v>
      </c>
      <c r="Q1132" s="13">
        <v>31.7</v>
      </c>
      <c r="R1132">
        <v>38</v>
      </c>
      <c r="S1132">
        <v>50</v>
      </c>
      <c r="T1132" s="13">
        <v>39.700000000000003</v>
      </c>
      <c r="U1132" s="13">
        <v>40</v>
      </c>
      <c r="V1132" t="s">
        <v>99</v>
      </c>
      <c r="X1132" s="13">
        <v>199.3</v>
      </c>
    </row>
    <row r="1133" spans="1:24" x14ac:dyDescent="0.25">
      <c r="A1133" t="s">
        <v>1258</v>
      </c>
      <c r="B1133" t="s">
        <v>63</v>
      </c>
      <c r="C1133" t="s">
        <v>1242</v>
      </c>
      <c r="D1133" t="s">
        <v>1243</v>
      </c>
      <c r="E1133" t="s">
        <v>64</v>
      </c>
      <c r="F1133" t="s">
        <v>94</v>
      </c>
      <c r="G1133" t="s">
        <v>277</v>
      </c>
      <c r="H1133" s="12">
        <v>6.1440245999999998</v>
      </c>
      <c r="I1133" s="12">
        <v>-75.448478399999999</v>
      </c>
      <c r="J1133" t="s">
        <v>1244</v>
      </c>
      <c r="K1133" t="s">
        <v>97</v>
      </c>
      <c r="L1133" t="s">
        <v>98</v>
      </c>
      <c r="M1133">
        <v>11</v>
      </c>
      <c r="N1133">
        <v>116</v>
      </c>
      <c r="O1133">
        <v>254</v>
      </c>
      <c r="P1133" s="13">
        <v>200.1</v>
      </c>
      <c r="Q1133" s="13">
        <v>41.5</v>
      </c>
      <c r="R1133">
        <v>20</v>
      </c>
      <c r="S1133">
        <v>48</v>
      </c>
      <c r="T1133" s="13">
        <v>37.9</v>
      </c>
      <c r="U1133" s="13">
        <v>78.2</v>
      </c>
      <c r="V1133" t="s">
        <v>99</v>
      </c>
      <c r="X1133" s="13">
        <v>200.1</v>
      </c>
    </row>
    <row r="1134" spans="1:24" x14ac:dyDescent="0.25">
      <c r="A1134" t="s">
        <v>1259</v>
      </c>
      <c r="B1134" t="s">
        <v>63</v>
      </c>
      <c r="C1134" t="s">
        <v>1242</v>
      </c>
      <c r="D1134" t="s">
        <v>1243</v>
      </c>
      <c r="E1134" t="s">
        <v>64</v>
      </c>
      <c r="F1134" t="s">
        <v>94</v>
      </c>
      <c r="G1134" t="s">
        <v>277</v>
      </c>
      <c r="H1134" s="12">
        <v>6.1440245999999998</v>
      </c>
      <c r="I1134" s="12">
        <v>-75.448478399999999</v>
      </c>
      <c r="J1134" t="s">
        <v>1244</v>
      </c>
      <c r="K1134" t="s">
        <v>97</v>
      </c>
      <c r="L1134" t="s">
        <v>98</v>
      </c>
      <c r="M1134">
        <v>11</v>
      </c>
      <c r="N1134">
        <v>132</v>
      </c>
      <c r="O1134">
        <v>254</v>
      </c>
      <c r="P1134" s="13">
        <v>237.2</v>
      </c>
      <c r="Q1134" s="13">
        <v>34.1</v>
      </c>
      <c r="R1134">
        <v>38</v>
      </c>
      <c r="S1134">
        <v>62</v>
      </c>
      <c r="T1134" s="13">
        <v>46.6</v>
      </c>
      <c r="U1134" s="13">
        <v>74.5</v>
      </c>
      <c r="V1134" t="s">
        <v>99</v>
      </c>
      <c r="X1134" s="13">
        <v>237.2</v>
      </c>
    </row>
    <row r="1135" spans="1:24" x14ac:dyDescent="0.25">
      <c r="A1135" t="s">
        <v>1260</v>
      </c>
      <c r="B1135" t="s">
        <v>63</v>
      </c>
      <c r="C1135" t="s">
        <v>1242</v>
      </c>
      <c r="D1135" t="s">
        <v>1243</v>
      </c>
      <c r="E1135" t="s">
        <v>64</v>
      </c>
      <c r="F1135" t="s">
        <v>94</v>
      </c>
      <c r="G1135" t="s">
        <v>277</v>
      </c>
      <c r="H1135" s="12">
        <v>6.1440245999999998</v>
      </c>
      <c r="I1135" s="12">
        <v>-75.448478399999999</v>
      </c>
      <c r="J1135" t="s">
        <v>1244</v>
      </c>
      <c r="K1135" t="s">
        <v>97</v>
      </c>
      <c r="L1135" t="s">
        <v>98</v>
      </c>
      <c r="M1135">
        <v>11</v>
      </c>
      <c r="N1135">
        <v>123</v>
      </c>
      <c r="O1135">
        <v>254</v>
      </c>
      <c r="P1135" s="13">
        <v>232.2</v>
      </c>
      <c r="Q1135" s="13">
        <v>56.1</v>
      </c>
      <c r="R1135">
        <v>26</v>
      </c>
      <c r="S1135">
        <v>68</v>
      </c>
      <c r="T1135" s="13">
        <v>29.3</v>
      </c>
      <c r="U1135" s="13">
        <v>65.5</v>
      </c>
      <c r="V1135" t="s">
        <v>99</v>
      </c>
      <c r="X1135" s="13">
        <v>232.2</v>
      </c>
    </row>
    <row r="1136" spans="1:24" x14ac:dyDescent="0.25">
      <c r="A1136" t="s">
        <v>1261</v>
      </c>
      <c r="B1136" t="s">
        <v>63</v>
      </c>
      <c r="C1136" t="s">
        <v>1242</v>
      </c>
      <c r="D1136" t="s">
        <v>1243</v>
      </c>
      <c r="E1136" t="s">
        <v>64</v>
      </c>
      <c r="F1136" t="s">
        <v>94</v>
      </c>
      <c r="G1136" t="s">
        <v>277</v>
      </c>
      <c r="H1136" s="12">
        <v>6.1440245999999998</v>
      </c>
      <c r="I1136" s="12">
        <v>-75.448478399999999</v>
      </c>
      <c r="J1136" t="s">
        <v>1244</v>
      </c>
      <c r="K1136" t="s">
        <v>97</v>
      </c>
      <c r="L1136" t="s">
        <v>98</v>
      </c>
      <c r="M1136">
        <v>11</v>
      </c>
      <c r="N1136">
        <v>101</v>
      </c>
      <c r="O1136">
        <v>254</v>
      </c>
      <c r="P1136" s="13">
        <v>209.5</v>
      </c>
      <c r="Q1136" s="13">
        <v>43.9</v>
      </c>
      <c r="R1136">
        <v>32</v>
      </c>
      <c r="S1136">
        <v>58</v>
      </c>
      <c r="T1136" s="13">
        <v>37.9</v>
      </c>
      <c r="U1136" s="13">
        <v>29.1</v>
      </c>
      <c r="V1136" t="s">
        <v>99</v>
      </c>
      <c r="X1136" s="13">
        <v>209.5</v>
      </c>
    </row>
    <row r="1137" spans="1:24" x14ac:dyDescent="0.25">
      <c r="A1137" t="s">
        <v>1262</v>
      </c>
      <c r="B1137" t="s">
        <v>63</v>
      </c>
      <c r="C1137" t="s">
        <v>1242</v>
      </c>
      <c r="D1137" t="s">
        <v>1243</v>
      </c>
      <c r="E1137" t="s">
        <v>64</v>
      </c>
      <c r="F1137" t="s">
        <v>94</v>
      </c>
      <c r="G1137" t="s">
        <v>277</v>
      </c>
      <c r="H1137" s="12">
        <v>6.1440245999999998</v>
      </c>
      <c r="I1137" s="12">
        <v>-75.448478399999999</v>
      </c>
      <c r="J1137" t="s">
        <v>1244</v>
      </c>
      <c r="K1137" t="s">
        <v>97</v>
      </c>
      <c r="L1137" t="s">
        <v>98</v>
      </c>
      <c r="M1137">
        <v>11</v>
      </c>
      <c r="N1137">
        <v>105</v>
      </c>
      <c r="O1137">
        <v>254</v>
      </c>
      <c r="P1137" s="13">
        <v>222.4</v>
      </c>
      <c r="Q1137" s="13">
        <v>46.3</v>
      </c>
      <c r="R1137">
        <v>36</v>
      </c>
      <c r="S1137">
        <v>56</v>
      </c>
      <c r="T1137" s="13">
        <v>46.6</v>
      </c>
      <c r="U1137" s="13">
        <v>23.6</v>
      </c>
      <c r="V1137" t="s">
        <v>99</v>
      </c>
      <c r="X1137" s="13">
        <v>222.4</v>
      </c>
    </row>
    <row r="1138" spans="1:24" x14ac:dyDescent="0.25">
      <c r="A1138" t="s">
        <v>1263</v>
      </c>
      <c r="B1138" t="s">
        <v>63</v>
      </c>
      <c r="C1138" t="s">
        <v>1242</v>
      </c>
      <c r="D1138" t="s">
        <v>1243</v>
      </c>
      <c r="E1138" t="s">
        <v>64</v>
      </c>
      <c r="F1138" t="s">
        <v>94</v>
      </c>
      <c r="G1138" t="s">
        <v>277</v>
      </c>
      <c r="H1138" s="12">
        <v>6.1440245999999998</v>
      </c>
      <c r="I1138" s="12">
        <v>-75.448478399999999</v>
      </c>
      <c r="J1138" t="s">
        <v>1244</v>
      </c>
      <c r="K1138" t="s">
        <v>97</v>
      </c>
      <c r="L1138" t="s">
        <v>98</v>
      </c>
      <c r="M1138">
        <v>11</v>
      </c>
      <c r="N1138">
        <v>146</v>
      </c>
      <c r="O1138">
        <v>254</v>
      </c>
      <c r="P1138" s="13">
        <v>281.8</v>
      </c>
      <c r="Q1138" s="13">
        <v>56.1</v>
      </c>
      <c r="R1138">
        <v>44</v>
      </c>
      <c r="S1138">
        <v>74</v>
      </c>
      <c r="T1138" s="13">
        <v>48.3</v>
      </c>
      <c r="U1138" s="13">
        <v>65.5</v>
      </c>
      <c r="V1138" t="s">
        <v>99</v>
      </c>
      <c r="X1138" s="13">
        <v>281.8</v>
      </c>
    </row>
    <row r="1139" spans="1:24" x14ac:dyDescent="0.25">
      <c r="A1139" t="s">
        <v>1264</v>
      </c>
      <c r="B1139" t="s">
        <v>63</v>
      </c>
      <c r="C1139" t="s">
        <v>1242</v>
      </c>
      <c r="D1139" t="s">
        <v>1243</v>
      </c>
      <c r="E1139" t="s">
        <v>64</v>
      </c>
      <c r="F1139" t="s">
        <v>94</v>
      </c>
      <c r="G1139" t="s">
        <v>277</v>
      </c>
      <c r="H1139" s="12">
        <v>6.1440245999999998</v>
      </c>
      <c r="I1139" s="12">
        <v>-75.448478399999999</v>
      </c>
      <c r="J1139" t="s">
        <v>1244</v>
      </c>
      <c r="K1139" t="s">
        <v>97</v>
      </c>
      <c r="L1139" t="s">
        <v>98</v>
      </c>
      <c r="M1139">
        <v>11</v>
      </c>
      <c r="N1139">
        <v>96</v>
      </c>
      <c r="O1139">
        <v>254</v>
      </c>
      <c r="P1139" s="13">
        <v>184</v>
      </c>
      <c r="Q1139" s="13">
        <v>51.2</v>
      </c>
      <c r="R1139">
        <v>20</v>
      </c>
      <c r="S1139">
        <v>54</v>
      </c>
      <c r="T1139" s="13">
        <v>17.2</v>
      </c>
      <c r="U1139" s="13">
        <v>50.9</v>
      </c>
      <c r="V1139" t="s">
        <v>99</v>
      </c>
      <c r="X1139" s="13">
        <v>184</v>
      </c>
    </row>
    <row r="1140" spans="1:24" x14ac:dyDescent="0.25">
      <c r="A1140" t="s">
        <v>1265</v>
      </c>
      <c r="B1140" t="s">
        <v>63</v>
      </c>
      <c r="C1140" t="s">
        <v>1242</v>
      </c>
      <c r="D1140" t="s">
        <v>1243</v>
      </c>
      <c r="E1140" t="s">
        <v>64</v>
      </c>
      <c r="F1140" t="s">
        <v>94</v>
      </c>
      <c r="G1140" t="s">
        <v>277</v>
      </c>
      <c r="H1140" s="12">
        <v>6.1440245999999998</v>
      </c>
      <c r="I1140" s="12">
        <v>-75.448478399999999</v>
      </c>
      <c r="J1140" t="s">
        <v>1244</v>
      </c>
      <c r="K1140" t="s">
        <v>97</v>
      </c>
      <c r="L1140" t="s">
        <v>98</v>
      </c>
      <c r="M1140">
        <v>11</v>
      </c>
      <c r="N1140">
        <v>110</v>
      </c>
      <c r="O1140">
        <v>254</v>
      </c>
      <c r="P1140" s="13">
        <v>228.2</v>
      </c>
      <c r="Q1140" s="13">
        <v>46.3</v>
      </c>
      <c r="R1140">
        <v>44</v>
      </c>
      <c r="S1140">
        <v>62</v>
      </c>
      <c r="T1140" s="13">
        <v>34.5</v>
      </c>
      <c r="U1140" s="13">
        <v>32.700000000000003</v>
      </c>
      <c r="V1140" t="s">
        <v>99</v>
      </c>
      <c r="X1140" s="13">
        <v>228.2</v>
      </c>
    </row>
    <row r="1141" spans="1:24" x14ac:dyDescent="0.25">
      <c r="A1141" t="s">
        <v>1266</v>
      </c>
      <c r="B1141" t="s">
        <v>64</v>
      </c>
      <c r="C1141" t="s">
        <v>1267</v>
      </c>
      <c r="D1141" t="s">
        <v>1268</v>
      </c>
      <c r="E1141" t="s">
        <v>64</v>
      </c>
      <c r="F1141" t="s">
        <v>94</v>
      </c>
      <c r="G1141" t="s">
        <v>277</v>
      </c>
      <c r="H1141" s="12">
        <v>6.1870000000000003</v>
      </c>
      <c r="I1141" s="12">
        <v>-75.38</v>
      </c>
      <c r="J1141" t="s">
        <v>129</v>
      </c>
      <c r="K1141" t="s">
        <v>1269</v>
      </c>
      <c r="L1141" t="s">
        <v>1270</v>
      </c>
      <c r="P1141" s="13">
        <v>210.8</v>
      </c>
      <c r="Q1141" s="13">
        <v>58.5</v>
      </c>
      <c r="R1141">
        <v>38</v>
      </c>
      <c r="S1141">
        <v>44</v>
      </c>
      <c r="T1141" s="13">
        <v>27.6</v>
      </c>
      <c r="U1141" s="13">
        <v>43.6</v>
      </c>
      <c r="V1141" t="s">
        <v>268</v>
      </c>
      <c r="W1141" t="s">
        <v>1271</v>
      </c>
      <c r="X1141" s="13"/>
    </row>
    <row r="1142" spans="1:24" x14ac:dyDescent="0.25">
      <c r="A1142" t="s">
        <v>1272</v>
      </c>
      <c r="B1142" t="s">
        <v>64</v>
      </c>
      <c r="C1142" t="s">
        <v>1267</v>
      </c>
      <c r="D1142" t="s">
        <v>1268</v>
      </c>
      <c r="E1142" t="s">
        <v>64</v>
      </c>
      <c r="F1142" t="s">
        <v>94</v>
      </c>
      <c r="G1142" t="s">
        <v>277</v>
      </c>
      <c r="H1142" s="12">
        <v>6.1870000000000003</v>
      </c>
      <c r="I1142" s="12">
        <v>-75.38</v>
      </c>
      <c r="J1142" t="s">
        <v>129</v>
      </c>
      <c r="K1142" t="s">
        <v>97</v>
      </c>
      <c r="L1142" t="s">
        <v>1273</v>
      </c>
      <c r="P1142" s="13">
        <v>279.7</v>
      </c>
      <c r="Q1142" s="13">
        <v>58.5</v>
      </c>
      <c r="R1142">
        <v>32</v>
      </c>
      <c r="S1142">
        <v>78</v>
      </c>
      <c r="T1142" s="13">
        <v>56.9</v>
      </c>
      <c r="U1142" s="13">
        <v>50.9</v>
      </c>
      <c r="V1142" t="s">
        <v>99</v>
      </c>
      <c r="X1142" s="13">
        <v>279.7</v>
      </c>
    </row>
    <row r="1143" spans="1:24" x14ac:dyDescent="0.25">
      <c r="A1143" t="s">
        <v>1272</v>
      </c>
      <c r="B1143" t="s">
        <v>64</v>
      </c>
      <c r="C1143" t="s">
        <v>1267</v>
      </c>
      <c r="D1143" t="s">
        <v>1268</v>
      </c>
      <c r="E1143" t="s">
        <v>64</v>
      </c>
      <c r="F1143" t="s">
        <v>94</v>
      </c>
      <c r="G1143" t="s">
        <v>277</v>
      </c>
      <c r="H1143" s="12">
        <v>6.1870000000000003</v>
      </c>
      <c r="I1143" s="12">
        <v>-75.38</v>
      </c>
      <c r="J1143" t="s">
        <v>129</v>
      </c>
      <c r="K1143" t="s">
        <v>1269</v>
      </c>
      <c r="L1143" t="s">
        <v>1270</v>
      </c>
      <c r="P1143" s="13">
        <v>303.7</v>
      </c>
      <c r="Q1143" s="13">
        <v>63.4</v>
      </c>
      <c r="R1143">
        <v>42</v>
      </c>
      <c r="S1143">
        <v>88</v>
      </c>
      <c r="T1143" s="13">
        <v>53.4</v>
      </c>
      <c r="U1143" s="13">
        <v>49.1</v>
      </c>
      <c r="V1143" t="s">
        <v>268</v>
      </c>
      <c r="W1143" t="s">
        <v>1271</v>
      </c>
      <c r="X1143" s="13"/>
    </row>
    <row r="1144" spans="1:24" x14ac:dyDescent="0.25">
      <c r="A1144" t="s">
        <v>1274</v>
      </c>
      <c r="B1144" t="s">
        <v>64</v>
      </c>
      <c r="C1144" t="s">
        <v>1267</v>
      </c>
      <c r="D1144" t="s">
        <v>1268</v>
      </c>
      <c r="E1144" t="s">
        <v>64</v>
      </c>
      <c r="F1144" t="s">
        <v>94</v>
      </c>
      <c r="G1144" t="s">
        <v>277</v>
      </c>
      <c r="H1144" s="12">
        <v>6.1870000000000003</v>
      </c>
      <c r="I1144" s="12">
        <v>-75.38</v>
      </c>
      <c r="J1144" t="s">
        <v>129</v>
      </c>
      <c r="K1144" t="s">
        <v>97</v>
      </c>
      <c r="L1144" t="s">
        <v>1273</v>
      </c>
      <c r="P1144" s="13">
        <v>313.39999999999998</v>
      </c>
      <c r="Q1144" s="13">
        <v>61</v>
      </c>
      <c r="R1144">
        <v>52</v>
      </c>
      <c r="S1144">
        <v>80</v>
      </c>
      <c r="T1144" s="13">
        <v>58.6</v>
      </c>
      <c r="U1144" s="13">
        <v>60</v>
      </c>
      <c r="V1144" t="s">
        <v>99</v>
      </c>
      <c r="X1144" s="13">
        <v>313.39999999999998</v>
      </c>
    </row>
    <row r="1145" spans="1:24" x14ac:dyDescent="0.25">
      <c r="A1145" t="s">
        <v>1274</v>
      </c>
      <c r="B1145" t="s">
        <v>64</v>
      </c>
      <c r="C1145" t="s">
        <v>1267</v>
      </c>
      <c r="D1145" t="s">
        <v>1268</v>
      </c>
      <c r="E1145" t="s">
        <v>64</v>
      </c>
      <c r="F1145" t="s">
        <v>94</v>
      </c>
      <c r="G1145" t="s">
        <v>277</v>
      </c>
      <c r="H1145" s="12">
        <v>6.1870000000000003</v>
      </c>
      <c r="I1145" s="12">
        <v>-75.38</v>
      </c>
      <c r="J1145" t="s">
        <v>129</v>
      </c>
      <c r="K1145" t="s">
        <v>1269</v>
      </c>
      <c r="L1145" t="s">
        <v>1270</v>
      </c>
      <c r="P1145" s="13">
        <v>323.5</v>
      </c>
      <c r="Q1145" s="13">
        <v>56.1</v>
      </c>
      <c r="R1145">
        <v>60</v>
      </c>
      <c r="S1145">
        <v>80</v>
      </c>
      <c r="T1145" s="13">
        <v>65.5</v>
      </c>
      <c r="U1145" s="13">
        <v>56.4</v>
      </c>
      <c r="V1145" t="s">
        <v>268</v>
      </c>
      <c r="W1145" t="s">
        <v>1271</v>
      </c>
      <c r="X1145" s="13"/>
    </row>
    <row r="1146" spans="1:24" x14ac:dyDescent="0.25">
      <c r="A1146" t="s">
        <v>1275</v>
      </c>
      <c r="B1146" t="s">
        <v>64</v>
      </c>
      <c r="C1146" t="s">
        <v>1267</v>
      </c>
      <c r="D1146" t="s">
        <v>1268</v>
      </c>
      <c r="E1146" t="s">
        <v>64</v>
      </c>
      <c r="F1146" t="s">
        <v>94</v>
      </c>
      <c r="G1146" t="s">
        <v>277</v>
      </c>
      <c r="H1146" s="12">
        <v>6.1870000000000003</v>
      </c>
      <c r="I1146" s="12">
        <v>-75.38</v>
      </c>
      <c r="J1146" t="s">
        <v>129</v>
      </c>
      <c r="K1146" t="s">
        <v>97</v>
      </c>
      <c r="L1146" t="s">
        <v>1273</v>
      </c>
      <c r="P1146" s="13">
        <v>163.4</v>
      </c>
      <c r="Q1146" s="13">
        <v>31.7</v>
      </c>
      <c r="R1146">
        <v>30</v>
      </c>
      <c r="S1146">
        <v>28</v>
      </c>
      <c r="T1146" s="13">
        <v>37.9</v>
      </c>
      <c r="U1146" s="13">
        <v>41.8</v>
      </c>
      <c r="V1146" t="s">
        <v>99</v>
      </c>
      <c r="X1146" s="13">
        <v>163.4</v>
      </c>
    </row>
    <row r="1147" spans="1:24" x14ac:dyDescent="0.25">
      <c r="A1147" t="s">
        <v>1275</v>
      </c>
      <c r="B1147" t="s">
        <v>64</v>
      </c>
      <c r="C1147" t="s">
        <v>1267</v>
      </c>
      <c r="D1147" t="s">
        <v>1268</v>
      </c>
      <c r="E1147" t="s">
        <v>64</v>
      </c>
      <c r="F1147" t="s">
        <v>94</v>
      </c>
      <c r="G1147" t="s">
        <v>277</v>
      </c>
      <c r="H1147" s="12">
        <v>6.1870000000000003</v>
      </c>
      <c r="I1147" s="12">
        <v>-75.38</v>
      </c>
      <c r="J1147" t="s">
        <v>129</v>
      </c>
      <c r="K1147" t="s">
        <v>1269</v>
      </c>
      <c r="L1147" t="s">
        <v>1270</v>
      </c>
      <c r="P1147" s="13">
        <v>169.2</v>
      </c>
      <c r="Q1147" s="13">
        <v>46.3</v>
      </c>
      <c r="R1147">
        <v>26</v>
      </c>
      <c r="S1147">
        <v>24</v>
      </c>
      <c r="T1147" s="13">
        <v>32.799999999999997</v>
      </c>
      <c r="U1147" s="13">
        <v>52.7</v>
      </c>
      <c r="V1147" t="s">
        <v>268</v>
      </c>
      <c r="W1147" t="s">
        <v>1271</v>
      </c>
      <c r="X1147" s="13"/>
    </row>
    <row r="1148" spans="1:24" x14ac:dyDescent="0.25">
      <c r="A1148" t="s">
        <v>1276</v>
      </c>
      <c r="B1148" t="s">
        <v>64</v>
      </c>
      <c r="C1148" t="s">
        <v>1267</v>
      </c>
      <c r="D1148" t="s">
        <v>1268</v>
      </c>
      <c r="E1148" t="s">
        <v>64</v>
      </c>
      <c r="F1148" t="s">
        <v>94</v>
      </c>
      <c r="G1148" t="s">
        <v>277</v>
      </c>
      <c r="H1148" s="12">
        <v>6.1870000000000003</v>
      </c>
      <c r="I1148" s="12">
        <v>-75.38</v>
      </c>
      <c r="J1148" t="s">
        <v>129</v>
      </c>
      <c r="K1148" t="s">
        <v>97</v>
      </c>
      <c r="L1148" t="s">
        <v>1273</v>
      </c>
      <c r="P1148" s="13">
        <v>268.5</v>
      </c>
      <c r="Q1148" s="13">
        <v>82.9</v>
      </c>
      <c r="R1148">
        <v>34</v>
      </c>
      <c r="S1148">
        <v>70</v>
      </c>
      <c r="T1148" s="13">
        <v>27.6</v>
      </c>
      <c r="U1148" s="13">
        <v>54.5</v>
      </c>
      <c r="V1148" t="s">
        <v>99</v>
      </c>
      <c r="X1148" s="13">
        <v>268.5</v>
      </c>
    </row>
    <row r="1149" spans="1:24" x14ac:dyDescent="0.25">
      <c r="A1149" t="s">
        <v>1276</v>
      </c>
      <c r="B1149" t="s">
        <v>64</v>
      </c>
      <c r="C1149" t="s">
        <v>1267</v>
      </c>
      <c r="D1149" t="s">
        <v>1268</v>
      </c>
      <c r="E1149" t="s">
        <v>64</v>
      </c>
      <c r="F1149" t="s">
        <v>94</v>
      </c>
      <c r="G1149" t="s">
        <v>277</v>
      </c>
      <c r="H1149" s="12">
        <v>6.1870000000000003</v>
      </c>
      <c r="I1149" s="12">
        <v>-75.38</v>
      </c>
      <c r="J1149" t="s">
        <v>129</v>
      </c>
      <c r="K1149" t="s">
        <v>1269</v>
      </c>
      <c r="L1149" t="s">
        <v>1270</v>
      </c>
      <c r="P1149" s="13">
        <v>301.2</v>
      </c>
      <c r="Q1149" s="13">
        <v>53.7</v>
      </c>
      <c r="R1149">
        <v>52</v>
      </c>
      <c r="S1149">
        <v>82</v>
      </c>
      <c r="T1149" s="13">
        <v>55.2</v>
      </c>
      <c r="U1149" s="13">
        <v>54.5</v>
      </c>
      <c r="V1149" t="s">
        <v>268</v>
      </c>
      <c r="W1149" t="s">
        <v>1271</v>
      </c>
      <c r="X1149" s="13"/>
    </row>
    <row r="1150" spans="1:24" x14ac:dyDescent="0.25">
      <c r="A1150" t="s">
        <v>1277</v>
      </c>
      <c r="B1150" t="s">
        <v>64</v>
      </c>
      <c r="C1150" t="s">
        <v>1267</v>
      </c>
      <c r="D1150" t="s">
        <v>1268</v>
      </c>
      <c r="E1150" t="s">
        <v>64</v>
      </c>
      <c r="F1150" t="s">
        <v>94</v>
      </c>
      <c r="G1150" t="s">
        <v>277</v>
      </c>
      <c r="H1150" s="12">
        <v>6.1870000000000003</v>
      </c>
      <c r="I1150" s="12">
        <v>-75.38</v>
      </c>
      <c r="J1150" t="s">
        <v>129</v>
      </c>
      <c r="K1150" t="s">
        <v>97</v>
      </c>
      <c r="L1150" t="s">
        <v>1273</v>
      </c>
      <c r="P1150" s="13">
        <v>201.2</v>
      </c>
      <c r="Q1150" s="13">
        <v>61</v>
      </c>
      <c r="R1150">
        <v>32</v>
      </c>
      <c r="S1150">
        <v>30</v>
      </c>
      <c r="T1150" s="13">
        <v>36.200000000000003</v>
      </c>
      <c r="U1150" s="13">
        <v>45.5</v>
      </c>
      <c r="V1150" t="s">
        <v>99</v>
      </c>
      <c r="X1150" s="13">
        <v>201.2</v>
      </c>
    </row>
    <row r="1151" spans="1:24" x14ac:dyDescent="0.25">
      <c r="A1151" t="s">
        <v>1277</v>
      </c>
      <c r="B1151" t="s">
        <v>64</v>
      </c>
      <c r="C1151" t="s">
        <v>1267</v>
      </c>
      <c r="D1151" t="s">
        <v>1268</v>
      </c>
      <c r="E1151" t="s">
        <v>64</v>
      </c>
      <c r="F1151" t="s">
        <v>94</v>
      </c>
      <c r="G1151" t="s">
        <v>277</v>
      </c>
      <c r="H1151" s="12">
        <v>6.1870000000000003</v>
      </c>
      <c r="I1151" s="12">
        <v>-75.38</v>
      </c>
      <c r="J1151" t="s">
        <v>129</v>
      </c>
      <c r="K1151" t="s">
        <v>1269</v>
      </c>
      <c r="L1151" t="s">
        <v>1270</v>
      </c>
      <c r="P1151" s="13">
        <v>220.2</v>
      </c>
      <c r="Q1151" s="13">
        <v>48.8</v>
      </c>
      <c r="R1151">
        <v>38</v>
      </c>
      <c r="S1151">
        <v>46</v>
      </c>
      <c r="T1151" s="13">
        <v>46.6</v>
      </c>
      <c r="U1151" s="13">
        <v>34.5</v>
      </c>
      <c r="V1151" t="s">
        <v>268</v>
      </c>
      <c r="W1151" t="s">
        <v>1271</v>
      </c>
      <c r="X1151" s="13"/>
    </row>
    <row r="1152" spans="1:24" x14ac:dyDescent="0.25">
      <c r="A1152" t="s">
        <v>1278</v>
      </c>
      <c r="B1152" t="s">
        <v>64</v>
      </c>
      <c r="C1152" t="s">
        <v>1267</v>
      </c>
      <c r="D1152" t="s">
        <v>1268</v>
      </c>
      <c r="E1152" t="s">
        <v>64</v>
      </c>
      <c r="F1152" t="s">
        <v>94</v>
      </c>
      <c r="G1152" t="s">
        <v>277</v>
      </c>
      <c r="H1152" s="12">
        <v>6.1870000000000003</v>
      </c>
      <c r="I1152" s="12">
        <v>-75.38</v>
      </c>
      <c r="J1152" t="s">
        <v>129</v>
      </c>
      <c r="K1152" t="s">
        <v>1269</v>
      </c>
      <c r="L1152" t="s">
        <v>1270</v>
      </c>
      <c r="P1152" s="13">
        <v>243.6</v>
      </c>
      <c r="Q1152" s="13">
        <v>48.8</v>
      </c>
      <c r="R1152">
        <v>44</v>
      </c>
      <c r="S1152">
        <v>62</v>
      </c>
      <c r="T1152" s="13">
        <v>44.8</v>
      </c>
      <c r="U1152" s="13">
        <v>34.5</v>
      </c>
      <c r="V1152" t="s">
        <v>268</v>
      </c>
      <c r="W1152" t="s">
        <v>1271</v>
      </c>
      <c r="X1152" s="13"/>
    </row>
    <row r="1153" spans="1:24" x14ac:dyDescent="0.25">
      <c r="A1153" t="s">
        <v>1279</v>
      </c>
      <c r="B1153" t="s">
        <v>64</v>
      </c>
      <c r="C1153" t="s">
        <v>1267</v>
      </c>
      <c r="D1153" t="s">
        <v>1268</v>
      </c>
      <c r="E1153" t="s">
        <v>64</v>
      </c>
      <c r="F1153" t="s">
        <v>94</v>
      </c>
      <c r="G1153" t="s">
        <v>277</v>
      </c>
      <c r="H1153" s="12">
        <v>6.1870000000000003</v>
      </c>
      <c r="I1153" s="12">
        <v>-75.38</v>
      </c>
      <c r="J1153" t="s">
        <v>129</v>
      </c>
      <c r="K1153" t="s">
        <v>97</v>
      </c>
      <c r="L1153" t="s">
        <v>1273</v>
      </c>
      <c r="P1153" s="13">
        <v>228.8</v>
      </c>
      <c r="Q1153" s="13">
        <v>58.5</v>
      </c>
      <c r="R1153">
        <v>24</v>
      </c>
      <c r="S1153">
        <v>58</v>
      </c>
      <c r="T1153" s="13">
        <v>41.4</v>
      </c>
      <c r="U1153" s="13">
        <v>49.1</v>
      </c>
      <c r="V1153" t="s">
        <v>99</v>
      </c>
      <c r="X1153" s="13">
        <v>228.8</v>
      </c>
    </row>
    <row r="1154" spans="1:24" x14ac:dyDescent="0.25">
      <c r="A1154" t="s">
        <v>1279</v>
      </c>
      <c r="B1154" t="s">
        <v>64</v>
      </c>
      <c r="C1154" t="s">
        <v>1267</v>
      </c>
      <c r="D1154" t="s">
        <v>1268</v>
      </c>
      <c r="E1154" t="s">
        <v>64</v>
      </c>
      <c r="F1154" t="s">
        <v>94</v>
      </c>
      <c r="G1154" t="s">
        <v>277</v>
      </c>
      <c r="H1154" s="12">
        <v>6.1870000000000003</v>
      </c>
      <c r="I1154" s="12">
        <v>-75.38</v>
      </c>
      <c r="J1154" t="s">
        <v>129</v>
      </c>
      <c r="K1154" t="s">
        <v>1269</v>
      </c>
      <c r="L1154" t="s">
        <v>1270</v>
      </c>
      <c r="P1154" s="13">
        <v>235.1</v>
      </c>
      <c r="Q1154" s="13">
        <v>58.5</v>
      </c>
      <c r="R1154">
        <v>28</v>
      </c>
      <c r="S1154">
        <v>54</v>
      </c>
      <c r="T1154" s="13">
        <v>51.7</v>
      </c>
      <c r="U1154" s="13">
        <v>34.5</v>
      </c>
      <c r="V1154" t="s">
        <v>268</v>
      </c>
      <c r="W1154" t="s">
        <v>1271</v>
      </c>
      <c r="X1154" s="13"/>
    </row>
    <row r="1155" spans="1:24" x14ac:dyDescent="0.25">
      <c r="A1155" t="s">
        <v>1280</v>
      </c>
      <c r="B1155" t="s">
        <v>64</v>
      </c>
      <c r="C1155" t="s">
        <v>1267</v>
      </c>
      <c r="D1155" t="s">
        <v>1268</v>
      </c>
      <c r="E1155" t="s">
        <v>64</v>
      </c>
      <c r="F1155" t="s">
        <v>94</v>
      </c>
      <c r="G1155" t="s">
        <v>277</v>
      </c>
      <c r="H1155" s="12">
        <v>6.1870000000000003</v>
      </c>
      <c r="I1155" s="12">
        <v>-75.38</v>
      </c>
      <c r="J1155" t="s">
        <v>129</v>
      </c>
      <c r="K1155" t="s">
        <v>97</v>
      </c>
      <c r="L1155" t="s">
        <v>1273</v>
      </c>
      <c r="P1155" s="13">
        <v>255.1</v>
      </c>
      <c r="Q1155" s="13">
        <v>63.4</v>
      </c>
      <c r="R1155">
        <v>30</v>
      </c>
      <c r="S1155">
        <v>70</v>
      </c>
      <c r="T1155" s="13">
        <v>43.1</v>
      </c>
      <c r="U1155" s="13">
        <v>43.6</v>
      </c>
      <c r="V1155" t="s">
        <v>99</v>
      </c>
      <c r="X1155" s="13">
        <v>255.1</v>
      </c>
    </row>
    <row r="1156" spans="1:24" x14ac:dyDescent="0.25">
      <c r="A1156" t="s">
        <v>1280</v>
      </c>
      <c r="B1156" t="s">
        <v>64</v>
      </c>
      <c r="C1156" t="s">
        <v>1267</v>
      </c>
      <c r="D1156" t="s">
        <v>1268</v>
      </c>
      <c r="E1156" t="s">
        <v>64</v>
      </c>
      <c r="F1156" t="s">
        <v>94</v>
      </c>
      <c r="G1156" t="s">
        <v>277</v>
      </c>
      <c r="H1156" s="12">
        <v>6.1870000000000003</v>
      </c>
      <c r="I1156" s="12">
        <v>-75.38</v>
      </c>
      <c r="J1156" t="s">
        <v>129</v>
      </c>
      <c r="K1156" t="s">
        <v>1269</v>
      </c>
      <c r="L1156" t="s">
        <v>1270</v>
      </c>
      <c r="P1156" s="13">
        <v>277.60000000000002</v>
      </c>
      <c r="Q1156" s="13">
        <v>51.2</v>
      </c>
      <c r="R1156">
        <v>56</v>
      </c>
      <c r="S1156">
        <v>84</v>
      </c>
      <c r="T1156" s="13">
        <v>39.700000000000003</v>
      </c>
      <c r="U1156" s="13">
        <v>29.1</v>
      </c>
      <c r="V1156" t="s">
        <v>268</v>
      </c>
      <c r="W1156" t="s">
        <v>1271</v>
      </c>
      <c r="X1156" s="13"/>
    </row>
    <row r="1157" spans="1:24" x14ac:dyDescent="0.25">
      <c r="A1157" t="s">
        <v>1281</v>
      </c>
      <c r="B1157" t="s">
        <v>64</v>
      </c>
      <c r="C1157" t="s">
        <v>1267</v>
      </c>
      <c r="D1157" t="s">
        <v>1268</v>
      </c>
      <c r="E1157" t="s">
        <v>64</v>
      </c>
      <c r="F1157" t="s">
        <v>94</v>
      </c>
      <c r="G1157" t="s">
        <v>277</v>
      </c>
      <c r="H1157" s="12">
        <v>6.1870000000000003</v>
      </c>
      <c r="I1157" s="12">
        <v>-75.38</v>
      </c>
      <c r="J1157" t="s">
        <v>129</v>
      </c>
      <c r="K1157" t="s">
        <v>97</v>
      </c>
      <c r="L1157" t="s">
        <v>1273</v>
      </c>
      <c r="P1157" s="13">
        <v>236.6</v>
      </c>
      <c r="Q1157" s="13">
        <v>73.2</v>
      </c>
      <c r="R1157">
        <v>22</v>
      </c>
      <c r="S1157">
        <v>60</v>
      </c>
      <c r="T1157" s="13">
        <v>29.3</v>
      </c>
      <c r="U1157" s="13">
        <v>61.8</v>
      </c>
      <c r="V1157" t="s">
        <v>99</v>
      </c>
      <c r="X1157" s="13">
        <v>236.6</v>
      </c>
    </row>
    <row r="1158" spans="1:24" x14ac:dyDescent="0.25">
      <c r="A1158" t="s">
        <v>1281</v>
      </c>
      <c r="B1158" t="s">
        <v>64</v>
      </c>
      <c r="C1158" t="s">
        <v>1267</v>
      </c>
      <c r="D1158" t="s">
        <v>1268</v>
      </c>
      <c r="E1158" t="s">
        <v>64</v>
      </c>
      <c r="F1158" t="s">
        <v>94</v>
      </c>
      <c r="G1158" t="s">
        <v>277</v>
      </c>
      <c r="H1158" s="12">
        <v>6.1870000000000003</v>
      </c>
      <c r="I1158" s="12">
        <v>-75.38</v>
      </c>
      <c r="J1158" t="s">
        <v>129</v>
      </c>
      <c r="K1158" t="s">
        <v>1269</v>
      </c>
      <c r="L1158" t="s">
        <v>1270</v>
      </c>
      <c r="P1158" s="13">
        <v>255.2</v>
      </c>
      <c r="Q1158" s="13">
        <v>53.7</v>
      </c>
      <c r="R1158">
        <v>42</v>
      </c>
      <c r="S1158">
        <v>70</v>
      </c>
      <c r="T1158" s="13">
        <v>37.9</v>
      </c>
      <c r="U1158" s="13">
        <v>52.7</v>
      </c>
      <c r="V1158" t="s">
        <v>268</v>
      </c>
      <c r="W1158" t="s">
        <v>1271</v>
      </c>
      <c r="X1158" s="13"/>
    </row>
    <row r="1159" spans="1:24" x14ac:dyDescent="0.25">
      <c r="A1159" t="s">
        <v>1282</v>
      </c>
      <c r="B1159" t="s">
        <v>64</v>
      </c>
      <c r="C1159" t="s">
        <v>1267</v>
      </c>
      <c r="D1159" t="s">
        <v>1268</v>
      </c>
      <c r="E1159" t="s">
        <v>64</v>
      </c>
      <c r="F1159" t="s">
        <v>94</v>
      </c>
      <c r="G1159" t="s">
        <v>277</v>
      </c>
      <c r="H1159" s="12">
        <v>6.1870000000000003</v>
      </c>
      <c r="I1159" s="12">
        <v>-75.38</v>
      </c>
      <c r="J1159" t="s">
        <v>129</v>
      </c>
      <c r="K1159" t="s">
        <v>97</v>
      </c>
      <c r="L1159" t="s">
        <v>1273</v>
      </c>
      <c r="P1159" s="13">
        <v>205.4</v>
      </c>
      <c r="Q1159" s="13">
        <v>51.2</v>
      </c>
      <c r="R1159">
        <v>32</v>
      </c>
      <c r="S1159">
        <v>40</v>
      </c>
      <c r="T1159" s="13">
        <v>39.700000000000003</v>
      </c>
      <c r="U1159" s="13">
        <v>45.5</v>
      </c>
      <c r="V1159" t="s">
        <v>99</v>
      </c>
      <c r="X1159" s="13">
        <v>205.4</v>
      </c>
    </row>
    <row r="1160" spans="1:24" x14ac:dyDescent="0.25">
      <c r="A1160" t="s">
        <v>1282</v>
      </c>
      <c r="B1160" t="s">
        <v>64</v>
      </c>
      <c r="C1160" t="s">
        <v>1267</v>
      </c>
      <c r="D1160" t="s">
        <v>1268</v>
      </c>
      <c r="E1160" t="s">
        <v>64</v>
      </c>
      <c r="F1160" t="s">
        <v>94</v>
      </c>
      <c r="G1160" t="s">
        <v>277</v>
      </c>
      <c r="H1160" s="12">
        <v>6.1870000000000003</v>
      </c>
      <c r="I1160" s="12">
        <v>-75.38</v>
      </c>
      <c r="J1160" t="s">
        <v>129</v>
      </c>
      <c r="K1160" t="s">
        <v>1269</v>
      </c>
      <c r="L1160" t="s">
        <v>1270</v>
      </c>
      <c r="P1160" s="13">
        <v>201.5</v>
      </c>
      <c r="Q1160" s="13">
        <v>46.3</v>
      </c>
      <c r="R1160">
        <v>32</v>
      </c>
      <c r="S1160">
        <v>58</v>
      </c>
      <c r="T1160" s="13">
        <v>31</v>
      </c>
      <c r="U1160" s="13">
        <v>21.8</v>
      </c>
      <c r="V1160" t="s">
        <v>268</v>
      </c>
      <c r="W1160" t="s">
        <v>1271</v>
      </c>
      <c r="X1160" s="13"/>
    </row>
    <row r="1161" spans="1:24" x14ac:dyDescent="0.25">
      <c r="A1161" t="s">
        <v>1283</v>
      </c>
      <c r="B1161" t="s">
        <v>64</v>
      </c>
      <c r="C1161" t="s">
        <v>1267</v>
      </c>
      <c r="D1161" t="s">
        <v>1268</v>
      </c>
      <c r="E1161" t="s">
        <v>64</v>
      </c>
      <c r="F1161" t="s">
        <v>94</v>
      </c>
      <c r="G1161" t="s">
        <v>277</v>
      </c>
      <c r="H1161" s="12">
        <v>6.1870000000000003</v>
      </c>
      <c r="I1161" s="12">
        <v>-75.38</v>
      </c>
      <c r="J1161" t="s">
        <v>129</v>
      </c>
      <c r="K1161" t="s">
        <v>1269</v>
      </c>
      <c r="L1161" t="s">
        <v>1270</v>
      </c>
      <c r="P1161" s="13">
        <v>207.4</v>
      </c>
      <c r="Q1161" s="13">
        <v>41.5</v>
      </c>
      <c r="R1161">
        <v>26</v>
      </c>
      <c r="S1161">
        <v>60</v>
      </c>
      <c r="T1161" s="13">
        <v>41.4</v>
      </c>
      <c r="U1161" s="13">
        <v>32.700000000000003</v>
      </c>
      <c r="V1161" t="s">
        <v>268</v>
      </c>
      <c r="W1161" t="s">
        <v>1271</v>
      </c>
      <c r="X1161" s="13"/>
    </row>
    <row r="1162" spans="1:24" x14ac:dyDescent="0.25">
      <c r="A1162" t="s">
        <v>1284</v>
      </c>
      <c r="B1162" t="s">
        <v>64</v>
      </c>
      <c r="C1162" t="s">
        <v>1267</v>
      </c>
      <c r="D1162" t="s">
        <v>1268</v>
      </c>
      <c r="E1162" t="s">
        <v>64</v>
      </c>
      <c r="F1162" t="s">
        <v>94</v>
      </c>
      <c r="G1162" t="s">
        <v>277</v>
      </c>
      <c r="H1162" s="12">
        <v>6.1870000000000003</v>
      </c>
      <c r="I1162" s="12">
        <v>-75.38</v>
      </c>
      <c r="J1162" t="s">
        <v>129</v>
      </c>
      <c r="K1162" t="s">
        <v>97</v>
      </c>
      <c r="L1162" t="s">
        <v>1273</v>
      </c>
      <c r="P1162" s="13">
        <v>228.4</v>
      </c>
      <c r="Q1162" s="13">
        <v>65.900000000000006</v>
      </c>
      <c r="R1162">
        <v>40</v>
      </c>
      <c r="S1162">
        <v>50</v>
      </c>
      <c r="T1162" s="13">
        <v>27.6</v>
      </c>
      <c r="U1162" s="13">
        <v>43.6</v>
      </c>
      <c r="V1162" t="s">
        <v>99</v>
      </c>
      <c r="X1162" s="13">
        <v>228.4</v>
      </c>
    </row>
    <row r="1163" spans="1:24" x14ac:dyDescent="0.25">
      <c r="A1163" t="s">
        <v>1284</v>
      </c>
      <c r="B1163" t="s">
        <v>64</v>
      </c>
      <c r="C1163" t="s">
        <v>1267</v>
      </c>
      <c r="D1163" t="s">
        <v>1268</v>
      </c>
      <c r="E1163" t="s">
        <v>64</v>
      </c>
      <c r="F1163" t="s">
        <v>94</v>
      </c>
      <c r="G1163" t="s">
        <v>277</v>
      </c>
      <c r="H1163" s="12">
        <v>6.1870000000000003</v>
      </c>
      <c r="I1163" s="12">
        <v>-75.38</v>
      </c>
      <c r="J1163" t="s">
        <v>129</v>
      </c>
      <c r="K1163" t="s">
        <v>1269</v>
      </c>
      <c r="L1163" t="s">
        <v>1270</v>
      </c>
      <c r="P1163" s="13">
        <v>260.3</v>
      </c>
      <c r="Q1163" s="13">
        <v>56.1</v>
      </c>
      <c r="R1163">
        <v>30</v>
      </c>
      <c r="S1163">
        <v>72</v>
      </c>
      <c r="T1163" s="13">
        <v>51.7</v>
      </c>
      <c r="U1163" s="13">
        <v>47.3</v>
      </c>
      <c r="V1163" t="s">
        <v>268</v>
      </c>
      <c r="W1163" t="s">
        <v>1271</v>
      </c>
      <c r="X1163" s="13"/>
    </row>
    <row r="1164" spans="1:24" x14ac:dyDescent="0.25">
      <c r="A1164" t="s">
        <v>1285</v>
      </c>
      <c r="B1164" t="s">
        <v>64</v>
      </c>
      <c r="C1164" t="s">
        <v>1267</v>
      </c>
      <c r="D1164" t="s">
        <v>1268</v>
      </c>
      <c r="E1164" t="s">
        <v>64</v>
      </c>
      <c r="F1164" t="s">
        <v>94</v>
      </c>
      <c r="G1164" t="s">
        <v>277</v>
      </c>
      <c r="H1164" s="12">
        <v>6.1870000000000003</v>
      </c>
      <c r="I1164" s="12">
        <v>-75.38</v>
      </c>
      <c r="J1164" t="s">
        <v>96</v>
      </c>
      <c r="K1164" t="s">
        <v>1269</v>
      </c>
      <c r="L1164" t="s">
        <v>1270</v>
      </c>
      <c r="P1164" s="13">
        <v>234.2</v>
      </c>
      <c r="Q1164" s="13">
        <v>56.1</v>
      </c>
      <c r="R1164">
        <v>52</v>
      </c>
      <c r="S1164">
        <v>28</v>
      </c>
      <c r="T1164" s="13">
        <v>51.7</v>
      </c>
      <c r="U1164" s="13">
        <v>45.5</v>
      </c>
      <c r="V1164" t="s">
        <v>268</v>
      </c>
      <c r="W1164" t="s">
        <v>1271</v>
      </c>
      <c r="X1164" s="13"/>
    </row>
    <row r="1165" spans="1:24" x14ac:dyDescent="0.25">
      <c r="A1165" t="s">
        <v>1286</v>
      </c>
      <c r="B1165" t="s">
        <v>64</v>
      </c>
      <c r="C1165" t="s">
        <v>1267</v>
      </c>
      <c r="D1165" t="s">
        <v>1268</v>
      </c>
      <c r="E1165" t="s">
        <v>64</v>
      </c>
      <c r="F1165" t="s">
        <v>94</v>
      </c>
      <c r="G1165" t="s">
        <v>277</v>
      </c>
      <c r="H1165" s="12">
        <v>6.1870000000000003</v>
      </c>
      <c r="I1165" s="12">
        <v>-75.38</v>
      </c>
      <c r="J1165" t="s">
        <v>96</v>
      </c>
      <c r="K1165" t="s">
        <v>1269</v>
      </c>
      <c r="L1165" t="s">
        <v>1270</v>
      </c>
      <c r="P1165" s="13">
        <v>192.1</v>
      </c>
      <c r="Q1165" s="13">
        <v>56.1</v>
      </c>
      <c r="R1165">
        <v>30</v>
      </c>
      <c r="S1165">
        <v>46</v>
      </c>
      <c r="T1165" s="13">
        <v>25.9</v>
      </c>
      <c r="U1165" s="13">
        <v>25.5</v>
      </c>
      <c r="V1165" t="s">
        <v>268</v>
      </c>
      <c r="W1165" t="s">
        <v>1271</v>
      </c>
      <c r="X1165" s="13"/>
    </row>
    <row r="1166" spans="1:24" x14ac:dyDescent="0.25">
      <c r="A1166" t="s">
        <v>1287</v>
      </c>
      <c r="B1166" t="s">
        <v>64</v>
      </c>
      <c r="C1166" t="s">
        <v>1267</v>
      </c>
      <c r="D1166" t="s">
        <v>1268</v>
      </c>
      <c r="E1166" t="s">
        <v>64</v>
      </c>
      <c r="F1166" t="s">
        <v>94</v>
      </c>
      <c r="G1166" t="s">
        <v>277</v>
      </c>
      <c r="H1166" s="12">
        <v>6.1870000000000003</v>
      </c>
      <c r="I1166" s="12">
        <v>-75.38</v>
      </c>
      <c r="J1166" t="s">
        <v>96</v>
      </c>
      <c r="K1166" t="s">
        <v>97</v>
      </c>
      <c r="L1166" t="s">
        <v>1273</v>
      </c>
      <c r="P1166" s="13">
        <v>177.9</v>
      </c>
      <c r="Q1166" s="13">
        <v>34.1</v>
      </c>
      <c r="R1166">
        <v>36</v>
      </c>
      <c r="S1166">
        <v>34</v>
      </c>
      <c r="T1166" s="13">
        <v>37.9</v>
      </c>
      <c r="U1166" s="13">
        <v>36.4</v>
      </c>
      <c r="V1166" t="s">
        <v>99</v>
      </c>
      <c r="X1166" s="13">
        <v>177.9</v>
      </c>
    </row>
    <row r="1167" spans="1:24" x14ac:dyDescent="0.25">
      <c r="A1167" t="s">
        <v>1287</v>
      </c>
      <c r="B1167" t="s">
        <v>64</v>
      </c>
      <c r="C1167" t="s">
        <v>1267</v>
      </c>
      <c r="D1167" t="s">
        <v>1268</v>
      </c>
      <c r="E1167" t="s">
        <v>64</v>
      </c>
      <c r="F1167" t="s">
        <v>94</v>
      </c>
      <c r="G1167" t="s">
        <v>277</v>
      </c>
      <c r="H1167" s="12">
        <v>6.1870000000000003</v>
      </c>
      <c r="I1167" s="12">
        <v>-75.38</v>
      </c>
      <c r="J1167" t="s">
        <v>96</v>
      </c>
      <c r="K1167" t="s">
        <v>1269</v>
      </c>
      <c r="L1167" t="s">
        <v>1270</v>
      </c>
      <c r="P1167" s="13">
        <v>234.6</v>
      </c>
      <c r="Q1167" s="13">
        <v>46.3</v>
      </c>
      <c r="R1167">
        <v>64</v>
      </c>
      <c r="S1167">
        <v>40</v>
      </c>
      <c r="T1167" s="13">
        <v>39.700000000000003</v>
      </c>
      <c r="U1167" s="13">
        <v>40</v>
      </c>
      <c r="V1167" t="s">
        <v>268</v>
      </c>
      <c r="W1167" t="s">
        <v>1271</v>
      </c>
      <c r="X1167" s="13"/>
    </row>
    <row r="1168" spans="1:24" x14ac:dyDescent="0.25">
      <c r="A1168" t="s">
        <v>1288</v>
      </c>
      <c r="B1168" t="s">
        <v>64</v>
      </c>
      <c r="C1168" t="s">
        <v>1267</v>
      </c>
      <c r="D1168" t="s">
        <v>1268</v>
      </c>
      <c r="E1168" t="s">
        <v>64</v>
      </c>
      <c r="F1168" t="s">
        <v>94</v>
      </c>
      <c r="G1168" t="s">
        <v>277</v>
      </c>
      <c r="H1168" s="12">
        <v>6.1870000000000003</v>
      </c>
      <c r="I1168" s="12">
        <v>-75.38</v>
      </c>
      <c r="J1168" t="s">
        <v>96</v>
      </c>
      <c r="K1168" t="s">
        <v>97</v>
      </c>
      <c r="L1168" t="s">
        <v>1273</v>
      </c>
      <c r="P1168" s="13">
        <v>294.8</v>
      </c>
      <c r="Q1168" s="13">
        <v>56.1</v>
      </c>
      <c r="R1168">
        <v>54</v>
      </c>
      <c r="S1168">
        <v>60</v>
      </c>
      <c r="T1168" s="13">
        <v>67.2</v>
      </c>
      <c r="U1168" s="13">
        <v>54.5</v>
      </c>
      <c r="V1168" t="s">
        <v>99</v>
      </c>
      <c r="X1168" s="13">
        <v>294.8</v>
      </c>
    </row>
    <row r="1169" spans="1:24" x14ac:dyDescent="0.25">
      <c r="A1169" t="s">
        <v>1288</v>
      </c>
      <c r="B1169" t="s">
        <v>64</v>
      </c>
      <c r="C1169" t="s">
        <v>1267</v>
      </c>
      <c r="D1169" t="s">
        <v>1268</v>
      </c>
      <c r="E1169" t="s">
        <v>64</v>
      </c>
      <c r="F1169" t="s">
        <v>94</v>
      </c>
      <c r="G1169" t="s">
        <v>277</v>
      </c>
      <c r="H1169" s="12">
        <v>6.1870000000000003</v>
      </c>
      <c r="I1169" s="12">
        <v>-75.38</v>
      </c>
      <c r="J1169" t="s">
        <v>96</v>
      </c>
      <c r="K1169" t="s">
        <v>1269</v>
      </c>
      <c r="L1169" t="s">
        <v>1270</v>
      </c>
      <c r="P1169" s="13">
        <v>210.3</v>
      </c>
      <c r="Q1169" s="13">
        <v>43.9</v>
      </c>
      <c r="R1169">
        <v>26</v>
      </c>
      <c r="S1169">
        <v>46</v>
      </c>
      <c r="T1169" s="13">
        <v>50</v>
      </c>
      <c r="U1169" s="13">
        <v>49.1</v>
      </c>
      <c r="V1169" t="s">
        <v>268</v>
      </c>
      <c r="W1169" t="s">
        <v>1271</v>
      </c>
      <c r="X1169" s="13"/>
    </row>
    <row r="1170" spans="1:24" x14ac:dyDescent="0.25">
      <c r="A1170" t="s">
        <v>1289</v>
      </c>
      <c r="B1170" t="s">
        <v>64</v>
      </c>
      <c r="C1170" t="s">
        <v>1267</v>
      </c>
      <c r="D1170" t="s">
        <v>1268</v>
      </c>
      <c r="E1170" t="s">
        <v>64</v>
      </c>
      <c r="F1170" t="s">
        <v>94</v>
      </c>
      <c r="G1170" t="s">
        <v>277</v>
      </c>
      <c r="H1170" s="12">
        <v>6.1870000000000003</v>
      </c>
      <c r="I1170" s="12">
        <v>-75.38</v>
      </c>
      <c r="J1170" t="s">
        <v>96</v>
      </c>
      <c r="K1170" t="s">
        <v>97</v>
      </c>
      <c r="L1170" t="s">
        <v>1273</v>
      </c>
      <c r="P1170" s="13">
        <v>348.5</v>
      </c>
      <c r="Q1170" s="13">
        <v>90.2</v>
      </c>
      <c r="R1170">
        <v>50</v>
      </c>
      <c r="S1170">
        <v>84</v>
      </c>
      <c r="T1170" s="13">
        <v>62.1</v>
      </c>
      <c r="U1170" s="13">
        <v>47.3</v>
      </c>
      <c r="V1170" t="s">
        <v>99</v>
      </c>
      <c r="X1170" s="13">
        <v>348.5</v>
      </c>
    </row>
    <row r="1171" spans="1:24" x14ac:dyDescent="0.25">
      <c r="A1171" t="s">
        <v>1289</v>
      </c>
      <c r="B1171" t="s">
        <v>64</v>
      </c>
      <c r="C1171" t="s">
        <v>1267</v>
      </c>
      <c r="D1171" t="s">
        <v>1268</v>
      </c>
      <c r="E1171" t="s">
        <v>64</v>
      </c>
      <c r="F1171" t="s">
        <v>94</v>
      </c>
      <c r="G1171" t="s">
        <v>277</v>
      </c>
      <c r="H1171" s="12">
        <v>6.1870000000000003</v>
      </c>
      <c r="I1171" s="12">
        <v>-75.38</v>
      </c>
      <c r="J1171" t="s">
        <v>96</v>
      </c>
      <c r="K1171" t="s">
        <v>1269</v>
      </c>
      <c r="L1171" t="s">
        <v>1270</v>
      </c>
      <c r="P1171" s="13">
        <v>300.2</v>
      </c>
      <c r="Q1171" s="13">
        <v>53.7</v>
      </c>
      <c r="R1171">
        <v>46</v>
      </c>
      <c r="S1171">
        <v>78</v>
      </c>
      <c r="T1171" s="13">
        <v>65.5</v>
      </c>
      <c r="U1171" s="13">
        <v>50.9</v>
      </c>
      <c r="V1171" t="s">
        <v>268</v>
      </c>
      <c r="W1171" t="s">
        <v>1271</v>
      </c>
      <c r="X1171" s="13"/>
    </row>
    <row r="1172" spans="1:24" x14ac:dyDescent="0.25">
      <c r="A1172" t="s">
        <v>1290</v>
      </c>
      <c r="B1172" t="s">
        <v>64</v>
      </c>
      <c r="C1172" t="s">
        <v>1267</v>
      </c>
      <c r="D1172" t="s">
        <v>1268</v>
      </c>
      <c r="E1172" t="s">
        <v>64</v>
      </c>
      <c r="F1172" t="s">
        <v>94</v>
      </c>
      <c r="G1172" t="s">
        <v>277</v>
      </c>
      <c r="H1172" s="12">
        <v>6.1870000000000003</v>
      </c>
      <c r="I1172" s="12">
        <v>-75.38</v>
      </c>
      <c r="J1172" t="s">
        <v>96</v>
      </c>
      <c r="K1172" t="s">
        <v>97</v>
      </c>
      <c r="L1172" t="s">
        <v>1273</v>
      </c>
      <c r="P1172" s="13">
        <v>212.2</v>
      </c>
      <c r="Q1172" s="13">
        <v>34.1</v>
      </c>
      <c r="R1172">
        <v>30</v>
      </c>
      <c r="S1172">
        <v>56</v>
      </c>
      <c r="T1172" s="13">
        <v>53.4</v>
      </c>
      <c r="U1172" s="13">
        <v>30.9</v>
      </c>
      <c r="V1172" t="s">
        <v>99</v>
      </c>
      <c r="X1172" s="13">
        <v>212.2</v>
      </c>
    </row>
    <row r="1173" spans="1:24" x14ac:dyDescent="0.25">
      <c r="A1173" t="s">
        <v>1290</v>
      </c>
      <c r="B1173" t="s">
        <v>64</v>
      </c>
      <c r="C1173" t="s">
        <v>1267</v>
      </c>
      <c r="D1173" t="s">
        <v>1268</v>
      </c>
      <c r="E1173" t="s">
        <v>64</v>
      </c>
      <c r="F1173" t="s">
        <v>94</v>
      </c>
      <c r="G1173" t="s">
        <v>277</v>
      </c>
      <c r="H1173" s="12">
        <v>6.1870000000000003</v>
      </c>
      <c r="I1173" s="12">
        <v>-75.38</v>
      </c>
      <c r="J1173" t="s">
        <v>96</v>
      </c>
      <c r="K1173" t="s">
        <v>1269</v>
      </c>
      <c r="L1173" t="s">
        <v>1270</v>
      </c>
      <c r="P1173" s="13">
        <v>202</v>
      </c>
      <c r="Q1173" s="13">
        <v>48.8</v>
      </c>
      <c r="R1173">
        <v>34</v>
      </c>
      <c r="S1173">
        <v>40</v>
      </c>
      <c r="T1173" s="13">
        <v>41.4</v>
      </c>
      <c r="U1173" s="13">
        <v>32.700000000000003</v>
      </c>
      <c r="V1173" t="s">
        <v>268</v>
      </c>
      <c r="W1173" t="s">
        <v>1271</v>
      </c>
      <c r="X1173" s="13"/>
    </row>
    <row r="1174" spans="1:24" x14ac:dyDescent="0.25">
      <c r="A1174" t="s">
        <v>1291</v>
      </c>
      <c r="B1174" t="s">
        <v>64</v>
      </c>
      <c r="C1174" t="s">
        <v>1267</v>
      </c>
      <c r="D1174" t="s">
        <v>1268</v>
      </c>
      <c r="E1174" t="s">
        <v>64</v>
      </c>
      <c r="F1174" t="s">
        <v>94</v>
      </c>
      <c r="G1174" t="s">
        <v>277</v>
      </c>
      <c r="H1174" s="12">
        <v>6.1870000000000003</v>
      </c>
      <c r="I1174" s="12">
        <v>-75.38</v>
      </c>
      <c r="J1174" t="s">
        <v>96</v>
      </c>
      <c r="K1174" t="s">
        <v>97</v>
      </c>
      <c r="L1174" t="s">
        <v>1273</v>
      </c>
      <c r="P1174" s="13">
        <v>146.80000000000001</v>
      </c>
      <c r="Q1174" s="13">
        <v>29.3</v>
      </c>
      <c r="R1174">
        <v>26</v>
      </c>
      <c r="S1174">
        <v>34</v>
      </c>
      <c r="T1174" s="13">
        <v>25.9</v>
      </c>
      <c r="U1174" s="13">
        <v>36.4</v>
      </c>
      <c r="V1174" t="s">
        <v>99</v>
      </c>
      <c r="X1174" s="13">
        <v>146.80000000000001</v>
      </c>
    </row>
    <row r="1175" spans="1:24" x14ac:dyDescent="0.25">
      <c r="A1175" t="s">
        <v>1291</v>
      </c>
      <c r="B1175" t="s">
        <v>64</v>
      </c>
      <c r="C1175" t="s">
        <v>1267</v>
      </c>
      <c r="D1175" t="s">
        <v>1268</v>
      </c>
      <c r="E1175" t="s">
        <v>64</v>
      </c>
      <c r="F1175" t="s">
        <v>94</v>
      </c>
      <c r="G1175" t="s">
        <v>277</v>
      </c>
      <c r="H1175" s="12">
        <v>6.1870000000000003</v>
      </c>
      <c r="I1175" s="12">
        <v>-75.38</v>
      </c>
      <c r="J1175" t="s">
        <v>96</v>
      </c>
      <c r="K1175" t="s">
        <v>1269</v>
      </c>
      <c r="L1175" t="s">
        <v>1270</v>
      </c>
      <c r="P1175" s="13">
        <v>166.8</v>
      </c>
      <c r="Q1175" s="13">
        <v>46.3</v>
      </c>
      <c r="R1175">
        <v>34</v>
      </c>
      <c r="S1175">
        <v>32</v>
      </c>
      <c r="T1175" s="13">
        <v>20.7</v>
      </c>
      <c r="U1175" s="13">
        <v>34.5</v>
      </c>
      <c r="V1175" t="s">
        <v>268</v>
      </c>
      <c r="W1175" t="s">
        <v>1271</v>
      </c>
      <c r="X1175" s="13"/>
    </row>
    <row r="1176" spans="1:24" x14ac:dyDescent="0.25">
      <c r="A1176" t="s">
        <v>1292</v>
      </c>
      <c r="B1176" t="s">
        <v>64</v>
      </c>
      <c r="C1176" t="s">
        <v>1267</v>
      </c>
      <c r="D1176" t="s">
        <v>1268</v>
      </c>
      <c r="E1176" t="s">
        <v>64</v>
      </c>
      <c r="F1176" t="s">
        <v>94</v>
      </c>
      <c r="G1176" t="s">
        <v>277</v>
      </c>
      <c r="H1176" s="12">
        <v>6.1870000000000003</v>
      </c>
      <c r="I1176" s="12">
        <v>-75.38</v>
      </c>
      <c r="J1176" t="s">
        <v>96</v>
      </c>
      <c r="K1176" t="s">
        <v>97</v>
      </c>
      <c r="L1176" t="s">
        <v>1273</v>
      </c>
      <c r="P1176" s="13">
        <v>173.8</v>
      </c>
      <c r="Q1176" s="13">
        <v>46.3</v>
      </c>
      <c r="R1176">
        <v>30</v>
      </c>
      <c r="S1176">
        <v>26</v>
      </c>
      <c r="T1176" s="13">
        <v>36.200000000000003</v>
      </c>
      <c r="U1176" s="13">
        <v>36.4</v>
      </c>
      <c r="V1176" t="s">
        <v>99</v>
      </c>
      <c r="X1176" s="13">
        <v>173.8</v>
      </c>
    </row>
    <row r="1177" spans="1:24" x14ac:dyDescent="0.25">
      <c r="A1177" t="s">
        <v>1292</v>
      </c>
      <c r="B1177" t="s">
        <v>64</v>
      </c>
      <c r="C1177" t="s">
        <v>1267</v>
      </c>
      <c r="D1177" t="s">
        <v>1268</v>
      </c>
      <c r="E1177" t="s">
        <v>64</v>
      </c>
      <c r="F1177" t="s">
        <v>94</v>
      </c>
      <c r="G1177" t="s">
        <v>277</v>
      </c>
      <c r="H1177" s="12">
        <v>6.1870000000000003</v>
      </c>
      <c r="I1177" s="12">
        <v>-75.38</v>
      </c>
      <c r="J1177" t="s">
        <v>96</v>
      </c>
      <c r="K1177" t="s">
        <v>1269</v>
      </c>
      <c r="L1177" t="s">
        <v>1270</v>
      </c>
      <c r="P1177" s="13">
        <v>193.4</v>
      </c>
      <c r="Q1177" s="13">
        <v>51.2</v>
      </c>
      <c r="R1177">
        <v>42</v>
      </c>
      <c r="S1177">
        <v>32</v>
      </c>
      <c r="T1177" s="13">
        <v>34.5</v>
      </c>
      <c r="U1177" s="13">
        <v>23.6</v>
      </c>
      <c r="V1177" t="s">
        <v>268</v>
      </c>
      <c r="W1177" t="s">
        <v>1271</v>
      </c>
      <c r="X1177" s="13"/>
    </row>
    <row r="1178" spans="1:24" x14ac:dyDescent="0.25">
      <c r="A1178" t="s">
        <v>1293</v>
      </c>
      <c r="B1178" t="s">
        <v>64</v>
      </c>
      <c r="C1178" t="s">
        <v>1267</v>
      </c>
      <c r="D1178" t="s">
        <v>1268</v>
      </c>
      <c r="E1178" t="s">
        <v>64</v>
      </c>
      <c r="F1178" t="s">
        <v>94</v>
      </c>
      <c r="G1178" t="s">
        <v>277</v>
      </c>
      <c r="H1178" s="12">
        <v>6.1870000000000003</v>
      </c>
      <c r="I1178" s="12">
        <v>-75.38</v>
      </c>
      <c r="J1178" t="s">
        <v>96</v>
      </c>
      <c r="K1178" t="s">
        <v>97</v>
      </c>
      <c r="L1178" t="s">
        <v>1273</v>
      </c>
      <c r="P1178" s="13">
        <v>214.4</v>
      </c>
      <c r="Q1178" s="13">
        <v>48.8</v>
      </c>
      <c r="R1178">
        <v>38</v>
      </c>
      <c r="S1178">
        <v>60</v>
      </c>
      <c r="T1178" s="13">
        <v>29.3</v>
      </c>
      <c r="U1178" s="13">
        <v>29.1</v>
      </c>
      <c r="V1178" t="s">
        <v>99</v>
      </c>
      <c r="X1178" s="13">
        <v>214.4</v>
      </c>
    </row>
    <row r="1179" spans="1:24" x14ac:dyDescent="0.25">
      <c r="A1179" t="s">
        <v>1293</v>
      </c>
      <c r="B1179" t="s">
        <v>64</v>
      </c>
      <c r="C1179" t="s">
        <v>1267</v>
      </c>
      <c r="D1179" t="s">
        <v>1268</v>
      </c>
      <c r="E1179" t="s">
        <v>64</v>
      </c>
      <c r="F1179" t="s">
        <v>94</v>
      </c>
      <c r="G1179" t="s">
        <v>277</v>
      </c>
      <c r="H1179" s="12">
        <v>6.1870000000000003</v>
      </c>
      <c r="I1179" s="12">
        <v>-75.38</v>
      </c>
      <c r="J1179" t="s">
        <v>96</v>
      </c>
      <c r="K1179" t="s">
        <v>1269</v>
      </c>
      <c r="L1179" t="s">
        <v>1270</v>
      </c>
      <c r="P1179" s="13">
        <v>265.39999999999998</v>
      </c>
      <c r="Q1179" s="13">
        <v>58.5</v>
      </c>
      <c r="R1179">
        <v>36</v>
      </c>
      <c r="S1179">
        <v>78</v>
      </c>
      <c r="T1179" s="13">
        <v>46.6</v>
      </c>
      <c r="U1179" s="13">
        <v>32.700000000000003</v>
      </c>
      <c r="V1179" t="s">
        <v>268</v>
      </c>
      <c r="W1179" t="s">
        <v>1271</v>
      </c>
      <c r="X1179" s="13"/>
    </row>
    <row r="1180" spans="1:24" x14ac:dyDescent="0.25">
      <c r="A1180" t="s">
        <v>1294</v>
      </c>
      <c r="B1180" t="s">
        <v>64</v>
      </c>
      <c r="C1180" t="s">
        <v>1267</v>
      </c>
      <c r="D1180" t="s">
        <v>1268</v>
      </c>
      <c r="E1180" t="s">
        <v>64</v>
      </c>
      <c r="F1180" t="s">
        <v>94</v>
      </c>
      <c r="G1180" t="s">
        <v>277</v>
      </c>
      <c r="H1180" s="12">
        <v>6.1870000000000003</v>
      </c>
      <c r="I1180" s="12">
        <v>-75.38</v>
      </c>
      <c r="J1180" t="s">
        <v>129</v>
      </c>
      <c r="K1180" t="s">
        <v>97</v>
      </c>
      <c r="L1180" t="s">
        <v>1273</v>
      </c>
      <c r="P1180" s="13">
        <v>262.2</v>
      </c>
      <c r="Q1180" s="13">
        <v>70.7</v>
      </c>
      <c r="R1180">
        <v>22</v>
      </c>
      <c r="S1180">
        <v>64</v>
      </c>
      <c r="T1180" s="13">
        <v>51.7</v>
      </c>
      <c r="U1180" s="13">
        <v>56.4</v>
      </c>
      <c r="V1180" t="s">
        <v>99</v>
      </c>
      <c r="X1180" s="13">
        <v>262.2</v>
      </c>
    </row>
    <row r="1181" spans="1:24" x14ac:dyDescent="0.25">
      <c r="A1181" t="s">
        <v>1294</v>
      </c>
      <c r="B1181" t="s">
        <v>64</v>
      </c>
      <c r="C1181" t="s">
        <v>1267</v>
      </c>
      <c r="D1181" t="s">
        <v>1268</v>
      </c>
      <c r="E1181" t="s">
        <v>64</v>
      </c>
      <c r="F1181" t="s">
        <v>94</v>
      </c>
      <c r="G1181" t="s">
        <v>277</v>
      </c>
      <c r="H1181" s="12">
        <v>6.1870000000000003</v>
      </c>
      <c r="I1181" s="12">
        <v>-75.38</v>
      </c>
      <c r="J1181" t="s">
        <v>129</v>
      </c>
      <c r="K1181" t="s">
        <v>1269</v>
      </c>
      <c r="L1181" t="s">
        <v>1270</v>
      </c>
      <c r="P1181" s="13">
        <v>278.60000000000002</v>
      </c>
      <c r="Q1181" s="13">
        <v>61</v>
      </c>
      <c r="R1181">
        <v>46</v>
      </c>
      <c r="S1181">
        <v>70</v>
      </c>
      <c r="T1181" s="13">
        <v>51.7</v>
      </c>
      <c r="U1181" s="13">
        <v>38.200000000000003</v>
      </c>
      <c r="V1181" t="s">
        <v>268</v>
      </c>
      <c r="W1181" t="s">
        <v>1271</v>
      </c>
      <c r="X1181" s="13"/>
    </row>
    <row r="1182" spans="1:24" x14ac:dyDescent="0.25">
      <c r="A1182" t="s">
        <v>1295</v>
      </c>
      <c r="B1182" t="s">
        <v>64</v>
      </c>
      <c r="C1182" t="s">
        <v>1267</v>
      </c>
      <c r="D1182" t="s">
        <v>1268</v>
      </c>
      <c r="E1182" t="s">
        <v>64</v>
      </c>
      <c r="F1182" t="s">
        <v>94</v>
      </c>
      <c r="G1182" t="s">
        <v>277</v>
      </c>
      <c r="H1182" s="12">
        <v>6.1870000000000003</v>
      </c>
      <c r="I1182" s="12">
        <v>-75.38</v>
      </c>
      <c r="J1182" t="s">
        <v>96</v>
      </c>
      <c r="K1182" t="s">
        <v>97</v>
      </c>
      <c r="L1182" t="s">
        <v>1273</v>
      </c>
      <c r="P1182" s="13">
        <v>312.60000000000002</v>
      </c>
      <c r="Q1182" s="13">
        <v>70.7</v>
      </c>
      <c r="R1182">
        <v>44</v>
      </c>
      <c r="S1182">
        <v>80</v>
      </c>
      <c r="T1182" s="13">
        <v>48.3</v>
      </c>
      <c r="U1182" s="13">
        <v>83.6</v>
      </c>
      <c r="V1182" t="s">
        <v>99</v>
      </c>
      <c r="X1182" s="13">
        <v>312.60000000000002</v>
      </c>
    </row>
    <row r="1183" spans="1:24" x14ac:dyDescent="0.25">
      <c r="A1183" t="s">
        <v>1295</v>
      </c>
      <c r="B1183" t="s">
        <v>64</v>
      </c>
      <c r="C1183" t="s">
        <v>1267</v>
      </c>
      <c r="D1183" t="s">
        <v>1268</v>
      </c>
      <c r="E1183" t="s">
        <v>64</v>
      </c>
      <c r="F1183" t="s">
        <v>94</v>
      </c>
      <c r="G1183" t="s">
        <v>277</v>
      </c>
      <c r="H1183" s="12">
        <v>6.1870000000000003</v>
      </c>
      <c r="I1183" s="12">
        <v>-75.38</v>
      </c>
      <c r="J1183" t="s">
        <v>96</v>
      </c>
      <c r="K1183" t="s">
        <v>1269</v>
      </c>
      <c r="L1183" t="s">
        <v>1270</v>
      </c>
      <c r="P1183" s="13">
        <v>341.2</v>
      </c>
      <c r="Q1183" s="13">
        <v>61</v>
      </c>
      <c r="R1183">
        <v>66</v>
      </c>
      <c r="S1183">
        <v>80</v>
      </c>
      <c r="T1183" s="13">
        <v>62.1</v>
      </c>
      <c r="U1183" s="13">
        <v>80</v>
      </c>
      <c r="V1183" t="s">
        <v>268</v>
      </c>
      <c r="W1183" t="s">
        <v>1271</v>
      </c>
      <c r="X1183" s="13"/>
    </row>
    <row r="1184" spans="1:24" x14ac:dyDescent="0.25">
      <c r="A1184" t="s">
        <v>1296</v>
      </c>
      <c r="B1184" t="s">
        <v>64</v>
      </c>
      <c r="C1184" t="s">
        <v>1267</v>
      </c>
      <c r="D1184" t="s">
        <v>1268</v>
      </c>
      <c r="E1184" t="s">
        <v>64</v>
      </c>
      <c r="F1184" t="s">
        <v>94</v>
      </c>
      <c r="G1184" t="s">
        <v>277</v>
      </c>
      <c r="H1184" s="12">
        <v>6.1870000000000003</v>
      </c>
      <c r="I1184" s="12">
        <v>-75.38</v>
      </c>
      <c r="J1184" t="s">
        <v>96</v>
      </c>
      <c r="K1184" t="s">
        <v>97</v>
      </c>
      <c r="L1184" t="s">
        <v>1273</v>
      </c>
      <c r="P1184" s="13">
        <v>256.10000000000002</v>
      </c>
      <c r="Q1184" s="13">
        <v>56.1</v>
      </c>
      <c r="R1184">
        <v>42</v>
      </c>
      <c r="S1184">
        <v>58</v>
      </c>
      <c r="T1184" s="13">
        <v>48.3</v>
      </c>
      <c r="U1184" s="13">
        <v>52.7</v>
      </c>
      <c r="V1184" t="s">
        <v>99</v>
      </c>
      <c r="X1184" s="13">
        <v>256.10000000000002</v>
      </c>
    </row>
    <row r="1185" spans="1:24" x14ac:dyDescent="0.25">
      <c r="A1185" t="s">
        <v>1296</v>
      </c>
      <c r="B1185" t="s">
        <v>64</v>
      </c>
      <c r="C1185" t="s">
        <v>1267</v>
      </c>
      <c r="D1185" t="s">
        <v>1268</v>
      </c>
      <c r="E1185" t="s">
        <v>64</v>
      </c>
      <c r="F1185" t="s">
        <v>94</v>
      </c>
      <c r="G1185" t="s">
        <v>277</v>
      </c>
      <c r="H1185" s="12">
        <v>6.1870000000000003</v>
      </c>
      <c r="I1185" s="12">
        <v>-75.38</v>
      </c>
      <c r="J1185" t="s">
        <v>96</v>
      </c>
      <c r="K1185" t="s">
        <v>1269</v>
      </c>
      <c r="L1185" t="s">
        <v>1270</v>
      </c>
      <c r="P1185" s="13">
        <v>299.2</v>
      </c>
      <c r="Q1185" s="13">
        <v>53.7</v>
      </c>
      <c r="R1185">
        <v>50</v>
      </c>
      <c r="S1185">
        <v>68</v>
      </c>
      <c r="T1185" s="13">
        <v>70.7</v>
      </c>
      <c r="U1185" s="13">
        <v>50.9</v>
      </c>
      <c r="V1185" t="s">
        <v>268</v>
      </c>
      <c r="W1185" t="s">
        <v>1271</v>
      </c>
      <c r="X1185" s="13"/>
    </row>
    <row r="1186" spans="1:24" x14ac:dyDescent="0.25">
      <c r="A1186" t="s">
        <v>1297</v>
      </c>
      <c r="B1186" t="s">
        <v>64</v>
      </c>
      <c r="C1186" t="s">
        <v>1267</v>
      </c>
      <c r="D1186" t="s">
        <v>1268</v>
      </c>
      <c r="E1186" t="s">
        <v>64</v>
      </c>
      <c r="F1186" t="s">
        <v>94</v>
      </c>
      <c r="G1186" t="s">
        <v>277</v>
      </c>
      <c r="H1186" s="12">
        <v>6.1870000000000003</v>
      </c>
      <c r="I1186" s="12">
        <v>-75.38</v>
      </c>
      <c r="J1186" t="s">
        <v>96</v>
      </c>
      <c r="K1186" t="s">
        <v>97</v>
      </c>
      <c r="L1186" t="s">
        <v>1273</v>
      </c>
      <c r="P1186" s="13">
        <v>217.9</v>
      </c>
      <c r="Q1186" s="13">
        <v>65.900000000000006</v>
      </c>
      <c r="R1186">
        <v>24</v>
      </c>
      <c r="S1186">
        <v>50</v>
      </c>
      <c r="T1186" s="13">
        <v>34.5</v>
      </c>
      <c r="U1186" s="13">
        <v>43.6</v>
      </c>
      <c r="V1186" t="s">
        <v>99</v>
      </c>
      <c r="X1186" s="13">
        <v>217.9</v>
      </c>
    </row>
    <row r="1187" spans="1:24" x14ac:dyDescent="0.25">
      <c r="A1187" t="s">
        <v>1297</v>
      </c>
      <c r="B1187" t="s">
        <v>64</v>
      </c>
      <c r="C1187" t="s">
        <v>1267</v>
      </c>
      <c r="D1187" t="s">
        <v>1268</v>
      </c>
      <c r="E1187" t="s">
        <v>64</v>
      </c>
      <c r="F1187" t="s">
        <v>94</v>
      </c>
      <c r="G1187" t="s">
        <v>277</v>
      </c>
      <c r="H1187" s="12">
        <v>6.1870000000000003</v>
      </c>
      <c r="I1187" s="12">
        <v>-75.38</v>
      </c>
      <c r="J1187" t="s">
        <v>96</v>
      </c>
      <c r="K1187" t="s">
        <v>1269</v>
      </c>
      <c r="L1187" t="s">
        <v>1270</v>
      </c>
      <c r="P1187" s="13">
        <v>284.2</v>
      </c>
      <c r="Q1187" s="13">
        <v>61</v>
      </c>
      <c r="R1187">
        <v>46</v>
      </c>
      <c r="S1187">
        <v>80</v>
      </c>
      <c r="T1187" s="13">
        <v>44.8</v>
      </c>
      <c r="U1187" s="13">
        <v>43.6</v>
      </c>
      <c r="V1187" t="s">
        <v>268</v>
      </c>
      <c r="W1187" t="s">
        <v>1271</v>
      </c>
      <c r="X1187" s="13"/>
    </row>
    <row r="1188" spans="1:24" x14ac:dyDescent="0.25">
      <c r="A1188" t="s">
        <v>1298</v>
      </c>
      <c r="B1188" t="s">
        <v>64</v>
      </c>
      <c r="C1188" t="s">
        <v>1267</v>
      </c>
      <c r="D1188" t="s">
        <v>1268</v>
      </c>
      <c r="E1188" t="s">
        <v>64</v>
      </c>
      <c r="F1188" t="s">
        <v>94</v>
      </c>
      <c r="G1188" t="s">
        <v>277</v>
      </c>
      <c r="H1188" s="12">
        <v>6.1870000000000003</v>
      </c>
      <c r="I1188" s="12">
        <v>-75.38</v>
      </c>
      <c r="J1188" t="s">
        <v>96</v>
      </c>
      <c r="K1188" t="s">
        <v>97</v>
      </c>
      <c r="L1188" t="s">
        <v>1273</v>
      </c>
      <c r="P1188" s="13">
        <v>190.4</v>
      </c>
      <c r="Q1188" s="13">
        <v>58.5</v>
      </c>
      <c r="R1188">
        <v>36</v>
      </c>
      <c r="S1188">
        <v>32</v>
      </c>
      <c r="T1188" s="13">
        <v>27.6</v>
      </c>
      <c r="U1188" s="13">
        <v>32.700000000000003</v>
      </c>
      <c r="V1188" t="s">
        <v>99</v>
      </c>
      <c r="X1188" s="13">
        <v>190.4</v>
      </c>
    </row>
    <row r="1189" spans="1:24" x14ac:dyDescent="0.25">
      <c r="A1189" t="s">
        <v>1298</v>
      </c>
      <c r="B1189" t="s">
        <v>64</v>
      </c>
      <c r="C1189" t="s">
        <v>1267</v>
      </c>
      <c r="D1189" t="s">
        <v>1268</v>
      </c>
      <c r="E1189" t="s">
        <v>64</v>
      </c>
      <c r="F1189" t="s">
        <v>94</v>
      </c>
      <c r="G1189" t="s">
        <v>277</v>
      </c>
      <c r="H1189" s="12">
        <v>6.1870000000000003</v>
      </c>
      <c r="I1189" s="12">
        <v>-75.38</v>
      </c>
      <c r="J1189" t="s">
        <v>96</v>
      </c>
      <c r="K1189" t="s">
        <v>1269</v>
      </c>
      <c r="L1189" t="s">
        <v>1270</v>
      </c>
      <c r="P1189" s="13">
        <v>188.3</v>
      </c>
      <c r="Q1189" s="13">
        <v>48.8</v>
      </c>
      <c r="R1189">
        <v>34</v>
      </c>
      <c r="S1189">
        <v>40</v>
      </c>
      <c r="T1189" s="13">
        <v>25.9</v>
      </c>
      <c r="U1189" s="13">
        <v>43.6</v>
      </c>
      <c r="V1189" t="s">
        <v>268</v>
      </c>
      <c r="W1189" t="s">
        <v>1271</v>
      </c>
      <c r="X1189" s="13"/>
    </row>
    <row r="1190" spans="1:24" x14ac:dyDescent="0.25">
      <c r="A1190" t="s">
        <v>1299</v>
      </c>
      <c r="B1190" t="s">
        <v>64</v>
      </c>
      <c r="C1190" t="s">
        <v>1267</v>
      </c>
      <c r="D1190" t="s">
        <v>1268</v>
      </c>
      <c r="E1190" t="s">
        <v>64</v>
      </c>
      <c r="F1190" t="s">
        <v>94</v>
      </c>
      <c r="G1190" t="s">
        <v>277</v>
      </c>
      <c r="H1190" s="12">
        <v>6.1870000000000003</v>
      </c>
      <c r="I1190" s="12">
        <v>-75.38</v>
      </c>
      <c r="J1190" t="s">
        <v>96</v>
      </c>
      <c r="K1190" t="s">
        <v>97</v>
      </c>
      <c r="L1190" t="s">
        <v>1273</v>
      </c>
      <c r="P1190" s="13">
        <v>145.6</v>
      </c>
      <c r="Q1190" s="13">
        <v>31.7</v>
      </c>
      <c r="R1190">
        <v>32</v>
      </c>
      <c r="S1190">
        <v>22</v>
      </c>
      <c r="T1190" s="13">
        <v>24.1</v>
      </c>
      <c r="U1190" s="13">
        <v>49.1</v>
      </c>
      <c r="V1190" t="s">
        <v>99</v>
      </c>
      <c r="X1190" s="13">
        <v>145.6</v>
      </c>
    </row>
    <row r="1191" spans="1:24" x14ac:dyDescent="0.25">
      <c r="A1191" t="s">
        <v>1299</v>
      </c>
      <c r="B1191" t="s">
        <v>64</v>
      </c>
      <c r="C1191" t="s">
        <v>1267</v>
      </c>
      <c r="D1191" t="s">
        <v>1268</v>
      </c>
      <c r="E1191" t="s">
        <v>64</v>
      </c>
      <c r="F1191" t="s">
        <v>94</v>
      </c>
      <c r="G1191" t="s">
        <v>277</v>
      </c>
      <c r="H1191" s="12">
        <v>6.1870000000000003</v>
      </c>
      <c r="I1191" s="12">
        <v>-75.38</v>
      </c>
      <c r="J1191" t="s">
        <v>96</v>
      </c>
      <c r="K1191" t="s">
        <v>1269</v>
      </c>
      <c r="L1191" t="s">
        <v>1270</v>
      </c>
      <c r="P1191" s="13">
        <v>171.7</v>
      </c>
      <c r="Q1191" s="13">
        <v>36.6</v>
      </c>
      <c r="R1191">
        <v>28</v>
      </c>
      <c r="S1191">
        <v>40</v>
      </c>
      <c r="T1191" s="13">
        <v>34.5</v>
      </c>
      <c r="U1191" s="13">
        <v>29.1</v>
      </c>
      <c r="V1191" t="s">
        <v>268</v>
      </c>
      <c r="W1191" t="s">
        <v>1271</v>
      </c>
      <c r="X1191" s="13"/>
    </row>
    <row r="1192" spans="1:24" x14ac:dyDescent="0.25">
      <c r="A1192" t="s">
        <v>1300</v>
      </c>
      <c r="B1192" t="s">
        <v>64</v>
      </c>
      <c r="C1192" t="s">
        <v>1267</v>
      </c>
      <c r="D1192" t="s">
        <v>1268</v>
      </c>
      <c r="E1192" t="s">
        <v>64</v>
      </c>
      <c r="F1192" t="s">
        <v>94</v>
      </c>
      <c r="G1192" t="s">
        <v>277</v>
      </c>
      <c r="H1192" s="12">
        <v>6.1870000000000003</v>
      </c>
      <c r="I1192" s="12">
        <v>-75.38</v>
      </c>
      <c r="J1192" t="s">
        <v>96</v>
      </c>
      <c r="K1192" t="s">
        <v>1269</v>
      </c>
      <c r="L1192" t="s">
        <v>1270</v>
      </c>
      <c r="P1192" s="13">
        <v>188.2</v>
      </c>
      <c r="Q1192" s="13">
        <v>39</v>
      </c>
      <c r="R1192">
        <v>34</v>
      </c>
      <c r="S1192">
        <v>36</v>
      </c>
      <c r="T1192" s="13">
        <v>41.4</v>
      </c>
      <c r="U1192" s="13">
        <v>38.200000000000003</v>
      </c>
      <c r="V1192" t="s">
        <v>268</v>
      </c>
      <c r="W1192" t="s">
        <v>1271</v>
      </c>
      <c r="X1192" s="13"/>
    </row>
    <row r="1193" spans="1:24" x14ac:dyDescent="0.25">
      <c r="A1193" t="s">
        <v>1301</v>
      </c>
      <c r="B1193" t="s">
        <v>64</v>
      </c>
      <c r="C1193" t="s">
        <v>1267</v>
      </c>
      <c r="D1193" t="s">
        <v>1268</v>
      </c>
      <c r="E1193" t="s">
        <v>64</v>
      </c>
      <c r="F1193" t="s">
        <v>94</v>
      </c>
      <c r="G1193" t="s">
        <v>277</v>
      </c>
      <c r="H1193" s="12">
        <v>6.1870000000000003</v>
      </c>
      <c r="I1193" s="12">
        <v>-75.38</v>
      </c>
      <c r="J1193" t="s">
        <v>96</v>
      </c>
      <c r="K1193" t="s">
        <v>1269</v>
      </c>
      <c r="L1193" t="s">
        <v>1270</v>
      </c>
      <c r="P1193" s="13">
        <v>247.2</v>
      </c>
      <c r="Q1193" s="13">
        <v>53.7</v>
      </c>
      <c r="R1193">
        <v>46</v>
      </c>
      <c r="S1193">
        <v>60</v>
      </c>
      <c r="T1193" s="13">
        <v>43.1</v>
      </c>
      <c r="U1193" s="13">
        <v>34.5</v>
      </c>
      <c r="V1193" t="s">
        <v>268</v>
      </c>
      <c r="W1193" t="s">
        <v>1271</v>
      </c>
      <c r="X1193" s="13"/>
    </row>
    <row r="1194" spans="1:24" x14ac:dyDescent="0.25">
      <c r="A1194" t="s">
        <v>1302</v>
      </c>
      <c r="B1194" t="s">
        <v>64</v>
      </c>
      <c r="C1194" t="s">
        <v>1267</v>
      </c>
      <c r="D1194" t="s">
        <v>1268</v>
      </c>
      <c r="E1194" t="s">
        <v>64</v>
      </c>
      <c r="F1194" t="s">
        <v>94</v>
      </c>
      <c r="G1194" t="s">
        <v>277</v>
      </c>
      <c r="H1194" s="12">
        <v>6.1870000000000003</v>
      </c>
      <c r="I1194" s="12">
        <v>-75.38</v>
      </c>
      <c r="J1194" t="s">
        <v>96</v>
      </c>
      <c r="K1194" t="s">
        <v>97</v>
      </c>
      <c r="L1194" t="s">
        <v>1273</v>
      </c>
      <c r="P1194" s="13">
        <v>186.3</v>
      </c>
      <c r="Q1194" s="13">
        <v>48.8</v>
      </c>
      <c r="R1194">
        <v>32</v>
      </c>
      <c r="S1194">
        <v>30</v>
      </c>
      <c r="T1194" s="13">
        <v>25.9</v>
      </c>
      <c r="U1194" s="13">
        <v>74.5</v>
      </c>
      <c r="V1194" t="s">
        <v>99</v>
      </c>
      <c r="X1194" s="13">
        <v>186.3</v>
      </c>
    </row>
    <row r="1195" spans="1:24" x14ac:dyDescent="0.25">
      <c r="A1195" t="s">
        <v>1302</v>
      </c>
      <c r="B1195" t="s">
        <v>64</v>
      </c>
      <c r="C1195" t="s">
        <v>1267</v>
      </c>
      <c r="D1195" t="s">
        <v>1268</v>
      </c>
      <c r="E1195" t="s">
        <v>64</v>
      </c>
      <c r="F1195" t="s">
        <v>94</v>
      </c>
      <c r="G1195" t="s">
        <v>277</v>
      </c>
      <c r="H1195" s="12">
        <v>6.1870000000000003</v>
      </c>
      <c r="I1195" s="12">
        <v>-75.38</v>
      </c>
      <c r="J1195" t="s">
        <v>96</v>
      </c>
      <c r="K1195" t="s">
        <v>1269</v>
      </c>
      <c r="L1195" t="s">
        <v>1270</v>
      </c>
      <c r="P1195" s="13">
        <v>243.9</v>
      </c>
      <c r="Q1195" s="13">
        <v>41.5</v>
      </c>
      <c r="R1195">
        <v>42</v>
      </c>
      <c r="S1195">
        <v>60</v>
      </c>
      <c r="T1195" s="13">
        <v>43.1</v>
      </c>
      <c r="U1195" s="13">
        <v>74.5</v>
      </c>
      <c r="V1195" t="s">
        <v>268</v>
      </c>
      <c r="W1195" t="s">
        <v>1271</v>
      </c>
      <c r="X1195" s="13"/>
    </row>
    <row r="1196" spans="1:24" x14ac:dyDescent="0.25">
      <c r="A1196" t="s">
        <v>1303</v>
      </c>
      <c r="B1196" t="s">
        <v>64</v>
      </c>
      <c r="C1196" t="s">
        <v>1267</v>
      </c>
      <c r="D1196" t="s">
        <v>1268</v>
      </c>
      <c r="E1196" t="s">
        <v>64</v>
      </c>
      <c r="F1196" t="s">
        <v>94</v>
      </c>
      <c r="G1196" t="s">
        <v>277</v>
      </c>
      <c r="H1196" s="12">
        <v>6.1870000000000003</v>
      </c>
      <c r="I1196" s="12">
        <v>-75.38</v>
      </c>
      <c r="J1196" t="s">
        <v>96</v>
      </c>
      <c r="K1196" t="s">
        <v>97</v>
      </c>
      <c r="L1196" t="s">
        <v>1273</v>
      </c>
      <c r="P1196" s="13">
        <v>293.39999999999998</v>
      </c>
      <c r="Q1196" s="13">
        <v>58.5</v>
      </c>
      <c r="R1196">
        <v>44</v>
      </c>
      <c r="S1196">
        <v>74</v>
      </c>
      <c r="T1196" s="13">
        <v>51.7</v>
      </c>
      <c r="U1196" s="13">
        <v>78.2</v>
      </c>
      <c r="V1196" t="s">
        <v>99</v>
      </c>
      <c r="X1196" s="13">
        <v>293.39999999999998</v>
      </c>
    </row>
    <row r="1197" spans="1:24" x14ac:dyDescent="0.25">
      <c r="A1197" t="s">
        <v>1303</v>
      </c>
      <c r="B1197" t="s">
        <v>64</v>
      </c>
      <c r="C1197" t="s">
        <v>1267</v>
      </c>
      <c r="D1197" t="s">
        <v>1268</v>
      </c>
      <c r="E1197" t="s">
        <v>64</v>
      </c>
      <c r="F1197" t="s">
        <v>94</v>
      </c>
      <c r="G1197" t="s">
        <v>277</v>
      </c>
      <c r="H1197" s="12">
        <v>6.1870000000000003</v>
      </c>
      <c r="I1197" s="12">
        <v>-75.38</v>
      </c>
      <c r="J1197" t="s">
        <v>96</v>
      </c>
      <c r="K1197" t="s">
        <v>1269</v>
      </c>
      <c r="L1197" t="s">
        <v>1270</v>
      </c>
      <c r="P1197" s="13">
        <v>325.89999999999998</v>
      </c>
      <c r="Q1197" s="13">
        <v>61</v>
      </c>
      <c r="R1197">
        <v>64</v>
      </c>
      <c r="S1197">
        <v>78</v>
      </c>
      <c r="T1197" s="13">
        <v>53.4</v>
      </c>
      <c r="U1197" s="13">
        <v>78.2</v>
      </c>
      <c r="V1197" t="s">
        <v>268</v>
      </c>
      <c r="W1197" t="s">
        <v>1271</v>
      </c>
      <c r="X1197" s="13"/>
    </row>
    <row r="1198" spans="1:24" x14ac:dyDescent="0.25">
      <c r="A1198" t="s">
        <v>1304</v>
      </c>
      <c r="B1198" t="s">
        <v>64</v>
      </c>
      <c r="C1198" t="s">
        <v>1267</v>
      </c>
      <c r="D1198" t="s">
        <v>1268</v>
      </c>
      <c r="E1198" t="s">
        <v>64</v>
      </c>
      <c r="F1198" t="s">
        <v>94</v>
      </c>
      <c r="G1198" t="s">
        <v>277</v>
      </c>
      <c r="H1198" s="12">
        <v>6.1870000000000003</v>
      </c>
      <c r="I1198" s="12">
        <v>-75.38</v>
      </c>
      <c r="J1198" t="s">
        <v>96</v>
      </c>
      <c r="K1198" t="s">
        <v>97</v>
      </c>
      <c r="L1198" t="s">
        <v>1273</v>
      </c>
      <c r="P1198" s="13">
        <v>226.3</v>
      </c>
      <c r="Q1198" s="13">
        <v>48.8</v>
      </c>
      <c r="R1198">
        <v>36</v>
      </c>
      <c r="S1198">
        <v>52</v>
      </c>
      <c r="T1198" s="13">
        <v>44.8</v>
      </c>
      <c r="U1198" s="13">
        <v>43.6</v>
      </c>
      <c r="V1198" t="s">
        <v>99</v>
      </c>
      <c r="X1198" s="13">
        <v>226.3</v>
      </c>
    </row>
    <row r="1199" spans="1:24" x14ac:dyDescent="0.25">
      <c r="A1199" t="s">
        <v>1304</v>
      </c>
      <c r="B1199" t="s">
        <v>64</v>
      </c>
      <c r="C1199" t="s">
        <v>1267</v>
      </c>
      <c r="D1199" t="s">
        <v>1268</v>
      </c>
      <c r="E1199" t="s">
        <v>64</v>
      </c>
      <c r="F1199" t="s">
        <v>94</v>
      </c>
      <c r="G1199" t="s">
        <v>277</v>
      </c>
      <c r="H1199" s="12">
        <v>6.1870000000000003</v>
      </c>
      <c r="I1199" s="12">
        <v>-75.38</v>
      </c>
      <c r="J1199" t="s">
        <v>96</v>
      </c>
      <c r="K1199" t="s">
        <v>1269</v>
      </c>
      <c r="L1199" t="s">
        <v>1270</v>
      </c>
      <c r="P1199" s="13">
        <v>261.5</v>
      </c>
      <c r="Q1199" s="13">
        <v>53.7</v>
      </c>
      <c r="R1199">
        <v>50</v>
      </c>
      <c r="S1199">
        <v>58</v>
      </c>
      <c r="T1199" s="13">
        <v>53.4</v>
      </c>
      <c r="U1199" s="13">
        <v>34.5</v>
      </c>
      <c r="V1199" t="s">
        <v>268</v>
      </c>
      <c r="W1199" t="s">
        <v>1271</v>
      </c>
      <c r="X1199" s="13"/>
    </row>
    <row r="1200" spans="1:24" x14ac:dyDescent="0.25">
      <c r="A1200" t="s">
        <v>1305</v>
      </c>
      <c r="B1200" t="s">
        <v>64</v>
      </c>
      <c r="C1200" t="s">
        <v>1267</v>
      </c>
      <c r="D1200" t="s">
        <v>1268</v>
      </c>
      <c r="E1200" t="s">
        <v>64</v>
      </c>
      <c r="F1200" t="s">
        <v>94</v>
      </c>
      <c r="G1200" t="s">
        <v>277</v>
      </c>
      <c r="H1200" s="12">
        <v>6.1870000000000003</v>
      </c>
      <c r="I1200" s="12">
        <v>-75.38</v>
      </c>
      <c r="J1200" t="s">
        <v>129</v>
      </c>
      <c r="K1200" t="s">
        <v>97</v>
      </c>
      <c r="L1200" t="s">
        <v>1273</v>
      </c>
      <c r="P1200" s="13">
        <v>206.7</v>
      </c>
      <c r="Q1200" s="13">
        <v>56.1</v>
      </c>
      <c r="R1200">
        <v>42</v>
      </c>
      <c r="S1200">
        <v>42</v>
      </c>
      <c r="T1200" s="13">
        <v>29.3</v>
      </c>
      <c r="U1200" s="13">
        <v>29.1</v>
      </c>
      <c r="V1200" t="s">
        <v>99</v>
      </c>
      <c r="X1200" s="13">
        <v>206.7</v>
      </c>
    </row>
    <row r="1201" spans="1:24" x14ac:dyDescent="0.25">
      <c r="A1201" t="s">
        <v>1305</v>
      </c>
      <c r="B1201" t="s">
        <v>64</v>
      </c>
      <c r="C1201" t="s">
        <v>1267</v>
      </c>
      <c r="D1201" t="s">
        <v>1268</v>
      </c>
      <c r="E1201" t="s">
        <v>64</v>
      </c>
      <c r="F1201" t="s">
        <v>94</v>
      </c>
      <c r="G1201" t="s">
        <v>277</v>
      </c>
      <c r="H1201" s="12">
        <v>6.1870000000000003</v>
      </c>
      <c r="I1201" s="12">
        <v>-75.38</v>
      </c>
      <c r="J1201" t="s">
        <v>129</v>
      </c>
      <c r="K1201" t="s">
        <v>1269</v>
      </c>
      <c r="L1201" t="s">
        <v>1270</v>
      </c>
      <c r="P1201" s="13">
        <v>179.2</v>
      </c>
      <c r="Q1201" s="13">
        <v>31.7</v>
      </c>
      <c r="R1201">
        <v>48</v>
      </c>
      <c r="S1201">
        <v>34</v>
      </c>
      <c r="T1201" s="13">
        <v>25.9</v>
      </c>
      <c r="U1201" s="13">
        <v>47.3</v>
      </c>
      <c r="V1201" t="s">
        <v>268</v>
      </c>
      <c r="W1201" t="s">
        <v>1271</v>
      </c>
      <c r="X1201" s="13"/>
    </row>
    <row r="1202" spans="1:24" x14ac:dyDescent="0.25">
      <c r="A1202" t="s">
        <v>1306</v>
      </c>
      <c r="B1202" t="s">
        <v>64</v>
      </c>
      <c r="C1202" t="s">
        <v>1267</v>
      </c>
      <c r="D1202" t="s">
        <v>1268</v>
      </c>
      <c r="E1202" t="s">
        <v>64</v>
      </c>
      <c r="F1202" t="s">
        <v>94</v>
      </c>
      <c r="G1202" t="s">
        <v>277</v>
      </c>
      <c r="H1202" s="12">
        <v>6.1870000000000003</v>
      </c>
      <c r="I1202" s="12">
        <v>-75.38</v>
      </c>
      <c r="J1202" t="s">
        <v>96</v>
      </c>
      <c r="K1202" t="s">
        <v>97</v>
      </c>
      <c r="L1202" t="s">
        <v>1273</v>
      </c>
      <c r="P1202" s="13">
        <v>234.3</v>
      </c>
      <c r="Q1202" s="13">
        <v>51.2</v>
      </c>
      <c r="R1202">
        <v>32</v>
      </c>
      <c r="S1202">
        <v>56</v>
      </c>
      <c r="T1202" s="13">
        <v>51.7</v>
      </c>
      <c r="U1202" s="13">
        <v>36.4</v>
      </c>
      <c r="V1202" t="s">
        <v>99</v>
      </c>
      <c r="X1202" s="13">
        <v>234.3</v>
      </c>
    </row>
    <row r="1203" spans="1:24" x14ac:dyDescent="0.25">
      <c r="A1203" t="s">
        <v>1306</v>
      </c>
      <c r="B1203" t="s">
        <v>64</v>
      </c>
      <c r="C1203" t="s">
        <v>1267</v>
      </c>
      <c r="D1203" t="s">
        <v>1268</v>
      </c>
      <c r="E1203" t="s">
        <v>64</v>
      </c>
      <c r="F1203" t="s">
        <v>94</v>
      </c>
      <c r="G1203" t="s">
        <v>277</v>
      </c>
      <c r="H1203" s="12">
        <v>6.1870000000000003</v>
      </c>
      <c r="I1203" s="12">
        <v>-75.38</v>
      </c>
      <c r="J1203" t="s">
        <v>96</v>
      </c>
      <c r="K1203" t="s">
        <v>1269</v>
      </c>
      <c r="L1203" t="s">
        <v>1270</v>
      </c>
      <c r="P1203" s="13">
        <v>185</v>
      </c>
      <c r="Q1203" s="13">
        <v>29.3</v>
      </c>
      <c r="R1203">
        <v>40</v>
      </c>
      <c r="S1203">
        <v>36</v>
      </c>
      <c r="T1203" s="13">
        <v>46.6</v>
      </c>
      <c r="U1203" s="13">
        <v>25.5</v>
      </c>
      <c r="V1203" t="s">
        <v>268</v>
      </c>
      <c r="W1203" t="s">
        <v>1271</v>
      </c>
      <c r="X1203" s="13"/>
    </row>
    <row r="1204" spans="1:24" x14ac:dyDescent="0.25">
      <c r="A1204" t="s">
        <v>1307</v>
      </c>
      <c r="B1204" t="s">
        <v>64</v>
      </c>
      <c r="C1204" t="s">
        <v>1267</v>
      </c>
      <c r="D1204" t="s">
        <v>1268</v>
      </c>
      <c r="E1204" t="s">
        <v>64</v>
      </c>
      <c r="F1204" t="s">
        <v>94</v>
      </c>
      <c r="G1204" t="s">
        <v>277</v>
      </c>
      <c r="H1204" s="12">
        <v>6.1870000000000003</v>
      </c>
      <c r="I1204" s="12">
        <v>-75.38</v>
      </c>
      <c r="J1204" t="s">
        <v>96</v>
      </c>
      <c r="K1204" t="s">
        <v>97</v>
      </c>
      <c r="L1204" t="s">
        <v>1273</v>
      </c>
      <c r="P1204" s="13">
        <v>207.4</v>
      </c>
      <c r="Q1204" s="13">
        <v>46.3</v>
      </c>
      <c r="R1204">
        <v>34</v>
      </c>
      <c r="S1204">
        <v>40</v>
      </c>
      <c r="T1204" s="13">
        <v>44.8</v>
      </c>
      <c r="U1204" s="13">
        <v>43.6</v>
      </c>
      <c r="V1204" t="s">
        <v>99</v>
      </c>
      <c r="X1204" s="13">
        <v>207.4</v>
      </c>
    </row>
    <row r="1205" spans="1:24" x14ac:dyDescent="0.25">
      <c r="A1205" t="s">
        <v>1307</v>
      </c>
      <c r="B1205" t="s">
        <v>64</v>
      </c>
      <c r="C1205" t="s">
        <v>1267</v>
      </c>
      <c r="D1205" t="s">
        <v>1268</v>
      </c>
      <c r="E1205" t="s">
        <v>64</v>
      </c>
      <c r="F1205" t="s">
        <v>94</v>
      </c>
      <c r="G1205" t="s">
        <v>277</v>
      </c>
      <c r="H1205" s="12">
        <v>6.1870000000000003</v>
      </c>
      <c r="I1205" s="12">
        <v>-75.38</v>
      </c>
      <c r="J1205" t="s">
        <v>96</v>
      </c>
      <c r="K1205" t="s">
        <v>1269</v>
      </c>
      <c r="L1205" t="s">
        <v>1270</v>
      </c>
      <c r="P1205" s="13">
        <v>234.2</v>
      </c>
      <c r="Q1205" s="13">
        <v>51.2</v>
      </c>
      <c r="R1205">
        <v>46</v>
      </c>
      <c r="S1205">
        <v>50</v>
      </c>
      <c r="T1205" s="13">
        <v>44.8</v>
      </c>
      <c r="U1205" s="13">
        <v>32.700000000000003</v>
      </c>
      <c r="V1205" t="s">
        <v>268</v>
      </c>
      <c r="W1205" t="s">
        <v>1271</v>
      </c>
      <c r="X1205" s="13"/>
    </row>
    <row r="1206" spans="1:24" x14ac:dyDescent="0.25">
      <c r="A1206" t="s">
        <v>1308</v>
      </c>
      <c r="B1206" t="s">
        <v>64</v>
      </c>
      <c r="C1206" t="s">
        <v>1267</v>
      </c>
      <c r="D1206" t="s">
        <v>1268</v>
      </c>
      <c r="E1206" t="s">
        <v>64</v>
      </c>
      <c r="F1206" t="s">
        <v>94</v>
      </c>
      <c r="G1206" t="s">
        <v>277</v>
      </c>
      <c r="H1206" s="12">
        <v>6.1870000000000003</v>
      </c>
      <c r="I1206" s="12">
        <v>-75.38</v>
      </c>
      <c r="J1206" t="s">
        <v>129</v>
      </c>
      <c r="K1206" t="s">
        <v>97</v>
      </c>
      <c r="L1206" t="s">
        <v>1273</v>
      </c>
      <c r="P1206" s="13">
        <v>188.8</v>
      </c>
      <c r="Q1206" s="13">
        <v>43.9</v>
      </c>
      <c r="R1206">
        <v>36</v>
      </c>
      <c r="S1206">
        <v>40</v>
      </c>
      <c r="T1206" s="13">
        <v>31</v>
      </c>
      <c r="U1206" s="13">
        <v>38.200000000000003</v>
      </c>
      <c r="V1206" t="s">
        <v>99</v>
      </c>
      <c r="X1206" s="13">
        <v>188.8</v>
      </c>
    </row>
    <row r="1207" spans="1:24" x14ac:dyDescent="0.25">
      <c r="A1207" t="s">
        <v>1308</v>
      </c>
      <c r="B1207" t="s">
        <v>64</v>
      </c>
      <c r="C1207" t="s">
        <v>1267</v>
      </c>
      <c r="D1207" t="s">
        <v>1268</v>
      </c>
      <c r="E1207" t="s">
        <v>64</v>
      </c>
      <c r="F1207" t="s">
        <v>94</v>
      </c>
      <c r="G1207" t="s">
        <v>277</v>
      </c>
      <c r="H1207" s="12">
        <v>6.1870000000000003</v>
      </c>
      <c r="I1207" s="12">
        <v>-75.38</v>
      </c>
      <c r="J1207" t="s">
        <v>129</v>
      </c>
      <c r="K1207" t="s">
        <v>1269</v>
      </c>
      <c r="L1207" t="s">
        <v>1270</v>
      </c>
      <c r="P1207" s="13">
        <v>243.1</v>
      </c>
      <c r="Q1207" s="13">
        <v>63.4</v>
      </c>
      <c r="R1207">
        <v>46</v>
      </c>
      <c r="S1207">
        <v>66</v>
      </c>
      <c r="T1207" s="13">
        <v>20.7</v>
      </c>
      <c r="U1207" s="13">
        <v>43.6</v>
      </c>
      <c r="V1207" t="s">
        <v>268</v>
      </c>
      <c r="W1207" t="s">
        <v>1271</v>
      </c>
      <c r="X1207" s="13"/>
    </row>
    <row r="1208" spans="1:24" x14ac:dyDescent="0.25">
      <c r="A1208" t="s">
        <v>1309</v>
      </c>
      <c r="B1208" t="s">
        <v>64</v>
      </c>
      <c r="C1208" t="s">
        <v>1267</v>
      </c>
      <c r="D1208" t="s">
        <v>1268</v>
      </c>
      <c r="E1208" t="s">
        <v>64</v>
      </c>
      <c r="F1208" t="s">
        <v>94</v>
      </c>
      <c r="G1208" t="s">
        <v>277</v>
      </c>
      <c r="H1208" s="12">
        <v>6.1870000000000003</v>
      </c>
      <c r="I1208" s="12">
        <v>-75.38</v>
      </c>
      <c r="J1208" t="s">
        <v>129</v>
      </c>
      <c r="K1208" t="s">
        <v>97</v>
      </c>
      <c r="L1208" t="s">
        <v>1273</v>
      </c>
      <c r="P1208" s="13">
        <v>233.5</v>
      </c>
      <c r="Q1208" s="13">
        <v>46.3</v>
      </c>
      <c r="R1208">
        <v>22</v>
      </c>
      <c r="S1208">
        <v>70</v>
      </c>
      <c r="T1208" s="13">
        <v>48.3</v>
      </c>
      <c r="U1208" s="13">
        <v>47.3</v>
      </c>
      <c r="V1208" t="s">
        <v>99</v>
      </c>
      <c r="X1208" s="13">
        <v>233.5</v>
      </c>
    </row>
    <row r="1209" spans="1:24" x14ac:dyDescent="0.25">
      <c r="A1209" t="s">
        <v>1309</v>
      </c>
      <c r="B1209" t="s">
        <v>64</v>
      </c>
      <c r="C1209" t="s">
        <v>1267</v>
      </c>
      <c r="D1209" t="s">
        <v>1268</v>
      </c>
      <c r="E1209" t="s">
        <v>64</v>
      </c>
      <c r="F1209" t="s">
        <v>94</v>
      </c>
      <c r="G1209" t="s">
        <v>277</v>
      </c>
      <c r="H1209" s="12">
        <v>6.1870000000000003</v>
      </c>
      <c r="I1209" s="12">
        <v>-75.38</v>
      </c>
      <c r="J1209" t="s">
        <v>129</v>
      </c>
      <c r="K1209" t="s">
        <v>1269</v>
      </c>
      <c r="L1209" t="s">
        <v>1270</v>
      </c>
      <c r="P1209" s="13">
        <v>302.8</v>
      </c>
      <c r="Q1209" s="13">
        <v>61</v>
      </c>
      <c r="R1209">
        <v>60</v>
      </c>
      <c r="S1209">
        <v>70</v>
      </c>
      <c r="T1209" s="13">
        <v>56.9</v>
      </c>
      <c r="U1209" s="13">
        <v>43.6</v>
      </c>
      <c r="V1209" t="s">
        <v>268</v>
      </c>
      <c r="W1209" t="s">
        <v>1271</v>
      </c>
      <c r="X1209" s="13"/>
    </row>
    <row r="1210" spans="1:24" x14ac:dyDescent="0.25">
      <c r="A1210" t="s">
        <v>1310</v>
      </c>
      <c r="B1210" t="s">
        <v>64</v>
      </c>
      <c r="C1210" t="s">
        <v>1267</v>
      </c>
      <c r="D1210" t="s">
        <v>1268</v>
      </c>
      <c r="E1210" t="s">
        <v>64</v>
      </c>
      <c r="F1210" t="s">
        <v>94</v>
      </c>
      <c r="G1210" t="s">
        <v>277</v>
      </c>
      <c r="H1210" s="12">
        <v>6.1870000000000003</v>
      </c>
      <c r="I1210" s="12">
        <v>-75.38</v>
      </c>
      <c r="J1210" t="s">
        <v>129</v>
      </c>
      <c r="K1210" t="s">
        <v>97</v>
      </c>
      <c r="L1210" t="s">
        <v>1273</v>
      </c>
      <c r="P1210" s="13">
        <v>316.89999999999998</v>
      </c>
      <c r="Q1210" s="13">
        <v>75.599999999999994</v>
      </c>
      <c r="R1210">
        <v>52</v>
      </c>
      <c r="S1210">
        <v>84</v>
      </c>
      <c r="T1210" s="13">
        <v>32.799999999999997</v>
      </c>
      <c r="U1210" s="13">
        <v>90.9</v>
      </c>
      <c r="V1210" t="s">
        <v>99</v>
      </c>
      <c r="X1210" s="13">
        <v>316.89999999999998</v>
      </c>
    </row>
    <row r="1211" spans="1:24" x14ac:dyDescent="0.25">
      <c r="A1211" t="s">
        <v>1310</v>
      </c>
      <c r="B1211" t="s">
        <v>64</v>
      </c>
      <c r="C1211" t="s">
        <v>1267</v>
      </c>
      <c r="D1211" t="s">
        <v>1268</v>
      </c>
      <c r="E1211" t="s">
        <v>64</v>
      </c>
      <c r="F1211" t="s">
        <v>94</v>
      </c>
      <c r="G1211" t="s">
        <v>277</v>
      </c>
      <c r="H1211" s="12">
        <v>6.1870000000000003</v>
      </c>
      <c r="I1211" s="12">
        <v>-75.38</v>
      </c>
      <c r="J1211" t="s">
        <v>129</v>
      </c>
      <c r="K1211" t="s">
        <v>1269</v>
      </c>
      <c r="L1211" t="s">
        <v>1270</v>
      </c>
      <c r="P1211" s="13">
        <v>376.5</v>
      </c>
      <c r="Q1211" s="13">
        <v>68.3</v>
      </c>
      <c r="R1211">
        <v>76</v>
      </c>
      <c r="S1211">
        <v>88</v>
      </c>
      <c r="T1211" s="13">
        <v>65.5</v>
      </c>
      <c r="U1211" s="13">
        <v>85.5</v>
      </c>
      <c r="V1211" t="s">
        <v>268</v>
      </c>
      <c r="W1211" t="s">
        <v>1271</v>
      </c>
      <c r="X1211" s="13"/>
    </row>
    <row r="1212" spans="1:24" x14ac:dyDescent="0.25">
      <c r="A1212" t="s">
        <v>1311</v>
      </c>
      <c r="B1212" t="s">
        <v>64</v>
      </c>
      <c r="C1212" t="s">
        <v>1267</v>
      </c>
      <c r="D1212" t="s">
        <v>1268</v>
      </c>
      <c r="E1212" t="s">
        <v>64</v>
      </c>
      <c r="F1212" t="s">
        <v>94</v>
      </c>
      <c r="G1212" t="s">
        <v>277</v>
      </c>
      <c r="H1212" s="12">
        <v>6.1870000000000003</v>
      </c>
      <c r="I1212" s="12">
        <v>-75.38</v>
      </c>
      <c r="J1212" t="s">
        <v>129</v>
      </c>
      <c r="K1212" t="s">
        <v>97</v>
      </c>
      <c r="L1212" t="s">
        <v>1273</v>
      </c>
      <c r="P1212" s="13">
        <v>201.1</v>
      </c>
      <c r="Q1212" s="13">
        <v>31.7</v>
      </c>
      <c r="R1212">
        <v>38</v>
      </c>
      <c r="S1212">
        <v>44</v>
      </c>
      <c r="T1212" s="13">
        <v>44.8</v>
      </c>
      <c r="U1212" s="13">
        <v>47.3</v>
      </c>
      <c r="V1212" t="s">
        <v>99</v>
      </c>
      <c r="X1212" s="13">
        <v>201.1</v>
      </c>
    </row>
    <row r="1213" spans="1:24" x14ac:dyDescent="0.25">
      <c r="A1213" t="s">
        <v>1311</v>
      </c>
      <c r="B1213" t="s">
        <v>64</v>
      </c>
      <c r="C1213" t="s">
        <v>1267</v>
      </c>
      <c r="D1213" t="s">
        <v>1268</v>
      </c>
      <c r="E1213" t="s">
        <v>64</v>
      </c>
      <c r="F1213" t="s">
        <v>94</v>
      </c>
      <c r="G1213" t="s">
        <v>277</v>
      </c>
      <c r="H1213" s="12">
        <v>6.1870000000000003</v>
      </c>
      <c r="I1213" s="12">
        <v>-75.38</v>
      </c>
      <c r="J1213" t="s">
        <v>129</v>
      </c>
      <c r="K1213" t="s">
        <v>1269</v>
      </c>
      <c r="L1213" t="s">
        <v>1270</v>
      </c>
      <c r="P1213" s="13">
        <v>213.4</v>
      </c>
      <c r="Q1213" s="13">
        <v>34.1</v>
      </c>
      <c r="R1213">
        <v>40</v>
      </c>
      <c r="S1213">
        <v>44</v>
      </c>
      <c r="T1213" s="13">
        <v>53.4</v>
      </c>
      <c r="U1213" s="13">
        <v>40</v>
      </c>
      <c r="V1213" t="s">
        <v>268</v>
      </c>
      <c r="W1213" t="s">
        <v>1271</v>
      </c>
      <c r="X1213" s="13"/>
    </row>
    <row r="1214" spans="1:24" x14ac:dyDescent="0.25">
      <c r="A1214" t="s">
        <v>1312</v>
      </c>
      <c r="B1214" t="s">
        <v>64</v>
      </c>
      <c r="C1214" t="s">
        <v>1267</v>
      </c>
      <c r="D1214" t="s">
        <v>1268</v>
      </c>
      <c r="E1214" t="s">
        <v>64</v>
      </c>
      <c r="F1214" t="s">
        <v>94</v>
      </c>
      <c r="G1214" t="s">
        <v>277</v>
      </c>
      <c r="H1214" s="12">
        <v>6.1870000000000003</v>
      </c>
      <c r="I1214" s="12">
        <v>-75.38</v>
      </c>
      <c r="J1214" t="s">
        <v>129</v>
      </c>
      <c r="K1214" t="s">
        <v>97</v>
      </c>
      <c r="L1214" t="s">
        <v>1273</v>
      </c>
      <c r="P1214" s="13">
        <v>279.7</v>
      </c>
      <c r="Q1214" s="13">
        <v>56.1</v>
      </c>
      <c r="R1214">
        <v>50</v>
      </c>
      <c r="S1214">
        <v>66</v>
      </c>
      <c r="T1214" s="13">
        <v>55.2</v>
      </c>
      <c r="U1214" s="13">
        <v>45.5</v>
      </c>
      <c r="V1214" t="s">
        <v>99</v>
      </c>
      <c r="X1214" s="13">
        <v>279.7</v>
      </c>
    </row>
    <row r="1215" spans="1:24" x14ac:dyDescent="0.25">
      <c r="A1215" t="s">
        <v>1312</v>
      </c>
      <c r="B1215" t="s">
        <v>64</v>
      </c>
      <c r="C1215" t="s">
        <v>1267</v>
      </c>
      <c r="D1215" t="s">
        <v>1268</v>
      </c>
      <c r="E1215" t="s">
        <v>64</v>
      </c>
      <c r="F1215" t="s">
        <v>94</v>
      </c>
      <c r="G1215" t="s">
        <v>277</v>
      </c>
      <c r="H1215" s="12">
        <v>6.1870000000000003</v>
      </c>
      <c r="I1215" s="12">
        <v>-75.38</v>
      </c>
      <c r="J1215" t="s">
        <v>129</v>
      </c>
      <c r="K1215" t="s">
        <v>1269</v>
      </c>
      <c r="L1215" t="s">
        <v>1270</v>
      </c>
      <c r="P1215" s="13">
        <v>315.10000000000002</v>
      </c>
      <c r="Q1215" s="13">
        <v>58.5</v>
      </c>
      <c r="R1215">
        <v>48</v>
      </c>
      <c r="S1215">
        <v>80</v>
      </c>
      <c r="T1215" s="13">
        <v>69</v>
      </c>
      <c r="U1215" s="13">
        <v>52.7</v>
      </c>
      <c r="V1215" t="s">
        <v>268</v>
      </c>
      <c r="W1215" t="s">
        <v>1271</v>
      </c>
      <c r="X1215" s="13"/>
    </row>
    <row r="1216" spans="1:24" x14ac:dyDescent="0.25">
      <c r="A1216" t="s">
        <v>1313</v>
      </c>
      <c r="B1216" t="s">
        <v>64</v>
      </c>
      <c r="C1216" t="s">
        <v>1314</v>
      </c>
      <c r="D1216" t="s">
        <v>1315</v>
      </c>
      <c r="E1216" t="s">
        <v>64</v>
      </c>
      <c r="F1216" t="s">
        <v>94</v>
      </c>
      <c r="G1216" t="s">
        <v>277</v>
      </c>
      <c r="H1216" s="12">
        <v>6.1429999999999998</v>
      </c>
      <c r="I1216" s="12">
        <v>-75.448999999999998</v>
      </c>
      <c r="J1216" t="s">
        <v>96</v>
      </c>
      <c r="K1216" t="s">
        <v>97</v>
      </c>
      <c r="L1216" t="s">
        <v>1273</v>
      </c>
      <c r="P1216" s="13">
        <v>156.80000000000001</v>
      </c>
      <c r="Q1216" s="13">
        <v>34.1</v>
      </c>
      <c r="R1216">
        <v>38</v>
      </c>
      <c r="S1216">
        <v>24</v>
      </c>
      <c r="T1216" s="13">
        <v>27.6</v>
      </c>
      <c r="U1216" s="13">
        <v>36.4</v>
      </c>
      <c r="V1216" t="s">
        <v>99</v>
      </c>
      <c r="X1216" s="13">
        <v>156.80000000000001</v>
      </c>
    </row>
    <row r="1217" spans="1:24" x14ac:dyDescent="0.25">
      <c r="A1217" t="s">
        <v>1313</v>
      </c>
      <c r="B1217" t="s">
        <v>64</v>
      </c>
      <c r="C1217" t="s">
        <v>1314</v>
      </c>
      <c r="D1217" t="s">
        <v>1315</v>
      </c>
      <c r="E1217" t="s">
        <v>64</v>
      </c>
      <c r="F1217" t="s">
        <v>94</v>
      </c>
      <c r="G1217" t="s">
        <v>277</v>
      </c>
      <c r="H1217" s="12">
        <v>6.1429999999999998</v>
      </c>
      <c r="I1217" s="12">
        <v>-75.448999999999998</v>
      </c>
      <c r="J1217" t="s">
        <v>96</v>
      </c>
      <c r="K1217" t="s">
        <v>1269</v>
      </c>
      <c r="L1217" t="s">
        <v>1270</v>
      </c>
      <c r="P1217" s="13">
        <v>162.5</v>
      </c>
      <c r="Q1217" s="13">
        <v>41.5</v>
      </c>
      <c r="R1217">
        <v>30</v>
      </c>
      <c r="S1217">
        <v>34</v>
      </c>
      <c r="T1217" s="13">
        <v>29.3</v>
      </c>
      <c r="U1217" s="13">
        <v>18.2</v>
      </c>
      <c r="V1217" t="s">
        <v>268</v>
      </c>
      <c r="W1217" t="s">
        <v>1271</v>
      </c>
      <c r="X1217" s="13"/>
    </row>
    <row r="1218" spans="1:24" x14ac:dyDescent="0.25">
      <c r="A1218" t="s">
        <v>1316</v>
      </c>
      <c r="B1218" t="s">
        <v>64</v>
      </c>
      <c r="C1218" t="s">
        <v>1314</v>
      </c>
      <c r="D1218" t="s">
        <v>1315</v>
      </c>
      <c r="E1218" t="s">
        <v>64</v>
      </c>
      <c r="F1218" t="s">
        <v>94</v>
      </c>
      <c r="G1218" t="s">
        <v>277</v>
      </c>
      <c r="H1218" s="12">
        <v>6.1429999999999998</v>
      </c>
      <c r="I1218" s="12">
        <v>-75.448999999999998</v>
      </c>
      <c r="J1218" t="s">
        <v>96</v>
      </c>
      <c r="K1218" t="s">
        <v>97</v>
      </c>
      <c r="L1218" t="s">
        <v>1273</v>
      </c>
      <c r="P1218" s="13">
        <v>198.9</v>
      </c>
      <c r="Q1218" s="13">
        <v>51.2</v>
      </c>
      <c r="R1218">
        <v>26</v>
      </c>
      <c r="S1218">
        <v>60</v>
      </c>
      <c r="T1218" s="13">
        <v>22.4</v>
      </c>
      <c r="U1218" s="13">
        <v>38.200000000000003</v>
      </c>
      <c r="V1218" t="s">
        <v>99</v>
      </c>
      <c r="X1218" s="13">
        <v>198.9</v>
      </c>
    </row>
    <row r="1219" spans="1:24" x14ac:dyDescent="0.25">
      <c r="A1219" t="s">
        <v>1316</v>
      </c>
      <c r="B1219" t="s">
        <v>64</v>
      </c>
      <c r="C1219" t="s">
        <v>1314</v>
      </c>
      <c r="D1219" t="s">
        <v>1315</v>
      </c>
      <c r="E1219" t="s">
        <v>64</v>
      </c>
      <c r="F1219" t="s">
        <v>94</v>
      </c>
      <c r="G1219" t="s">
        <v>277</v>
      </c>
      <c r="H1219" s="12">
        <v>6.1429999999999998</v>
      </c>
      <c r="I1219" s="12">
        <v>-75.448999999999998</v>
      </c>
      <c r="J1219" t="s">
        <v>96</v>
      </c>
      <c r="K1219" t="s">
        <v>1269</v>
      </c>
      <c r="L1219" t="s">
        <v>1270</v>
      </c>
      <c r="P1219" s="13">
        <v>217.6</v>
      </c>
      <c r="Q1219" s="13">
        <v>51.2</v>
      </c>
      <c r="R1219">
        <v>32</v>
      </c>
      <c r="S1219">
        <v>68</v>
      </c>
      <c r="T1219" s="13">
        <v>25.9</v>
      </c>
      <c r="U1219" s="13">
        <v>34.5</v>
      </c>
      <c r="V1219" t="s">
        <v>268</v>
      </c>
      <c r="W1219" t="s">
        <v>1271</v>
      </c>
      <c r="X1219" s="13"/>
    </row>
    <row r="1220" spans="1:24" x14ac:dyDescent="0.25">
      <c r="A1220" t="s">
        <v>1317</v>
      </c>
      <c r="B1220" t="s">
        <v>64</v>
      </c>
      <c r="C1220" t="s">
        <v>1314</v>
      </c>
      <c r="D1220" t="s">
        <v>1315</v>
      </c>
      <c r="E1220" t="s">
        <v>64</v>
      </c>
      <c r="F1220" t="s">
        <v>94</v>
      </c>
      <c r="G1220" t="s">
        <v>277</v>
      </c>
      <c r="H1220" s="12">
        <v>6.1429999999999998</v>
      </c>
      <c r="I1220" s="12">
        <v>-75.448999999999998</v>
      </c>
      <c r="J1220" t="s">
        <v>96</v>
      </c>
      <c r="K1220" t="s">
        <v>97</v>
      </c>
      <c r="L1220" t="s">
        <v>1273</v>
      </c>
      <c r="P1220" s="13">
        <v>286.10000000000002</v>
      </c>
      <c r="Q1220" s="13">
        <v>63.4</v>
      </c>
      <c r="R1220">
        <v>36</v>
      </c>
      <c r="S1220">
        <v>80</v>
      </c>
      <c r="T1220" s="13">
        <v>43.1</v>
      </c>
      <c r="U1220" s="13">
        <v>76.400000000000006</v>
      </c>
      <c r="V1220" t="s">
        <v>99</v>
      </c>
      <c r="X1220" s="13">
        <v>286.10000000000002</v>
      </c>
    </row>
    <row r="1221" spans="1:24" x14ac:dyDescent="0.25">
      <c r="A1221" t="s">
        <v>1317</v>
      </c>
      <c r="B1221" t="s">
        <v>64</v>
      </c>
      <c r="C1221" t="s">
        <v>1314</v>
      </c>
      <c r="D1221" t="s">
        <v>1315</v>
      </c>
      <c r="E1221" t="s">
        <v>64</v>
      </c>
      <c r="F1221" t="s">
        <v>94</v>
      </c>
      <c r="G1221" t="s">
        <v>277</v>
      </c>
      <c r="H1221" s="12">
        <v>6.1429999999999998</v>
      </c>
      <c r="I1221" s="12">
        <v>-75.448999999999998</v>
      </c>
      <c r="J1221" t="s">
        <v>96</v>
      </c>
      <c r="K1221" t="s">
        <v>1269</v>
      </c>
      <c r="L1221" t="s">
        <v>1270</v>
      </c>
      <c r="P1221" s="13">
        <v>324.89999999999998</v>
      </c>
      <c r="Q1221" s="13">
        <v>58.5</v>
      </c>
      <c r="R1221">
        <v>62</v>
      </c>
      <c r="S1221">
        <v>86</v>
      </c>
      <c r="T1221" s="13">
        <v>56.9</v>
      </c>
      <c r="U1221" s="13">
        <v>54.5</v>
      </c>
      <c r="V1221" t="s">
        <v>268</v>
      </c>
      <c r="W1221" t="s">
        <v>1271</v>
      </c>
      <c r="X1221" s="13"/>
    </row>
    <row r="1222" spans="1:24" x14ac:dyDescent="0.25">
      <c r="A1222" t="s">
        <v>1318</v>
      </c>
      <c r="B1222" t="s">
        <v>64</v>
      </c>
      <c r="C1222" t="s">
        <v>1314</v>
      </c>
      <c r="D1222" t="s">
        <v>1315</v>
      </c>
      <c r="E1222" t="s">
        <v>64</v>
      </c>
      <c r="F1222" t="s">
        <v>94</v>
      </c>
      <c r="G1222" t="s">
        <v>277</v>
      </c>
      <c r="H1222" s="12">
        <v>6.1429999999999998</v>
      </c>
      <c r="I1222" s="12">
        <v>-75.448999999999998</v>
      </c>
      <c r="J1222" t="s">
        <v>96</v>
      </c>
      <c r="K1222" t="s">
        <v>97</v>
      </c>
      <c r="L1222" t="s">
        <v>1273</v>
      </c>
      <c r="P1222" s="13">
        <v>239.3</v>
      </c>
      <c r="Q1222" s="13">
        <v>51.2</v>
      </c>
      <c r="R1222">
        <v>24</v>
      </c>
      <c r="S1222">
        <v>64</v>
      </c>
      <c r="T1222" s="13">
        <v>50</v>
      </c>
      <c r="U1222" s="13">
        <v>54.5</v>
      </c>
      <c r="V1222" t="s">
        <v>99</v>
      </c>
      <c r="X1222" s="13">
        <v>239.3</v>
      </c>
    </row>
    <row r="1223" spans="1:24" x14ac:dyDescent="0.25">
      <c r="A1223" t="s">
        <v>1318</v>
      </c>
      <c r="B1223" t="s">
        <v>64</v>
      </c>
      <c r="C1223" t="s">
        <v>1314</v>
      </c>
      <c r="D1223" t="s">
        <v>1315</v>
      </c>
      <c r="E1223" t="s">
        <v>64</v>
      </c>
      <c r="F1223" t="s">
        <v>94</v>
      </c>
      <c r="G1223" t="s">
        <v>277</v>
      </c>
      <c r="H1223" s="12">
        <v>6.1429999999999998</v>
      </c>
      <c r="I1223" s="12">
        <v>-75.448999999999998</v>
      </c>
      <c r="J1223" t="s">
        <v>96</v>
      </c>
      <c r="K1223" t="s">
        <v>1269</v>
      </c>
      <c r="L1223" t="s">
        <v>1270</v>
      </c>
      <c r="P1223" s="13">
        <v>276.60000000000002</v>
      </c>
      <c r="Q1223" s="13">
        <v>53.7</v>
      </c>
      <c r="R1223">
        <v>36</v>
      </c>
      <c r="S1223">
        <v>74</v>
      </c>
      <c r="T1223" s="13">
        <v>60.3</v>
      </c>
      <c r="U1223" s="13">
        <v>47.3</v>
      </c>
      <c r="V1223" t="s">
        <v>268</v>
      </c>
      <c r="W1223" t="s">
        <v>1271</v>
      </c>
      <c r="X1223" s="13"/>
    </row>
    <row r="1224" spans="1:24" x14ac:dyDescent="0.25">
      <c r="A1224" t="s">
        <v>1319</v>
      </c>
      <c r="B1224" t="s">
        <v>64</v>
      </c>
      <c r="C1224" t="s">
        <v>1314</v>
      </c>
      <c r="D1224" t="s">
        <v>1315</v>
      </c>
      <c r="E1224" t="s">
        <v>64</v>
      </c>
      <c r="F1224" t="s">
        <v>94</v>
      </c>
      <c r="G1224" t="s">
        <v>277</v>
      </c>
      <c r="H1224" s="12">
        <v>6.1429999999999998</v>
      </c>
      <c r="I1224" s="12">
        <v>-75.448999999999998</v>
      </c>
      <c r="J1224" t="s">
        <v>96</v>
      </c>
      <c r="K1224" t="s">
        <v>97</v>
      </c>
      <c r="L1224" t="s">
        <v>1273</v>
      </c>
      <c r="P1224" s="13">
        <v>188.5</v>
      </c>
      <c r="Q1224" s="13">
        <v>43.9</v>
      </c>
      <c r="R1224">
        <v>36</v>
      </c>
      <c r="S1224">
        <v>38</v>
      </c>
      <c r="T1224" s="13">
        <v>32.799999999999997</v>
      </c>
      <c r="U1224" s="13">
        <v>38.200000000000003</v>
      </c>
      <c r="V1224" t="s">
        <v>99</v>
      </c>
      <c r="X1224" s="13">
        <v>188.5</v>
      </c>
    </row>
    <row r="1225" spans="1:24" x14ac:dyDescent="0.25">
      <c r="A1225" t="s">
        <v>1319</v>
      </c>
      <c r="B1225" t="s">
        <v>64</v>
      </c>
      <c r="C1225" t="s">
        <v>1314</v>
      </c>
      <c r="D1225" t="s">
        <v>1315</v>
      </c>
      <c r="E1225" t="s">
        <v>64</v>
      </c>
      <c r="F1225" t="s">
        <v>94</v>
      </c>
      <c r="G1225" t="s">
        <v>277</v>
      </c>
      <c r="H1225" s="12">
        <v>6.1429999999999998</v>
      </c>
      <c r="I1225" s="12">
        <v>-75.448999999999998</v>
      </c>
      <c r="J1225" t="s">
        <v>96</v>
      </c>
      <c r="K1225" t="s">
        <v>1269</v>
      </c>
      <c r="L1225" t="s">
        <v>1270</v>
      </c>
      <c r="P1225" s="13">
        <v>255.9</v>
      </c>
      <c r="Q1225" s="13">
        <v>56.1</v>
      </c>
      <c r="R1225">
        <v>54</v>
      </c>
      <c r="S1225">
        <v>64</v>
      </c>
      <c r="T1225" s="13">
        <v>36.200000000000003</v>
      </c>
      <c r="U1225" s="13">
        <v>34.5</v>
      </c>
      <c r="V1225" t="s">
        <v>268</v>
      </c>
      <c r="W1225" t="s">
        <v>1271</v>
      </c>
      <c r="X1225" s="13"/>
    </row>
    <row r="1226" spans="1:24" x14ac:dyDescent="0.25">
      <c r="A1226" t="s">
        <v>1320</v>
      </c>
      <c r="B1226" t="s">
        <v>64</v>
      </c>
      <c r="C1226" t="s">
        <v>1314</v>
      </c>
      <c r="D1226" t="s">
        <v>1315</v>
      </c>
      <c r="E1226" t="s">
        <v>64</v>
      </c>
      <c r="F1226" t="s">
        <v>94</v>
      </c>
      <c r="G1226" t="s">
        <v>277</v>
      </c>
      <c r="H1226" s="12">
        <v>6.1429999999999998</v>
      </c>
      <c r="I1226" s="12">
        <v>-75.448999999999998</v>
      </c>
      <c r="J1226" t="s">
        <v>96</v>
      </c>
      <c r="K1226" t="s">
        <v>97</v>
      </c>
      <c r="L1226" t="s">
        <v>1273</v>
      </c>
      <c r="P1226" s="13">
        <v>237.1</v>
      </c>
      <c r="Q1226" s="13">
        <v>56.1</v>
      </c>
      <c r="R1226">
        <v>26</v>
      </c>
      <c r="S1226">
        <v>70</v>
      </c>
      <c r="T1226" s="13">
        <v>32.799999999999997</v>
      </c>
      <c r="U1226" s="13">
        <v>61.8</v>
      </c>
      <c r="V1226" t="s">
        <v>99</v>
      </c>
      <c r="X1226" s="13">
        <v>237.1</v>
      </c>
    </row>
    <row r="1227" spans="1:24" x14ac:dyDescent="0.25">
      <c r="A1227" t="s">
        <v>1320</v>
      </c>
      <c r="B1227" t="s">
        <v>64</v>
      </c>
      <c r="C1227" t="s">
        <v>1314</v>
      </c>
      <c r="D1227" t="s">
        <v>1315</v>
      </c>
      <c r="E1227" t="s">
        <v>64</v>
      </c>
      <c r="F1227" t="s">
        <v>94</v>
      </c>
      <c r="G1227" t="s">
        <v>277</v>
      </c>
      <c r="H1227" s="12">
        <v>6.1429999999999998</v>
      </c>
      <c r="I1227" s="12">
        <v>-75.448999999999998</v>
      </c>
      <c r="J1227" t="s">
        <v>96</v>
      </c>
      <c r="K1227" t="s">
        <v>1269</v>
      </c>
      <c r="L1227" t="s">
        <v>1270</v>
      </c>
      <c r="P1227" s="13">
        <v>227.1</v>
      </c>
      <c r="Q1227" s="13">
        <v>56.1</v>
      </c>
      <c r="R1227">
        <v>24</v>
      </c>
      <c r="S1227">
        <v>74</v>
      </c>
      <c r="T1227" s="13">
        <v>17.2</v>
      </c>
      <c r="U1227" s="13">
        <v>76.400000000000006</v>
      </c>
      <c r="V1227" t="s">
        <v>268</v>
      </c>
      <c r="W1227" t="s">
        <v>1271</v>
      </c>
      <c r="X1227" s="13"/>
    </row>
    <row r="1228" spans="1:24" x14ac:dyDescent="0.25">
      <c r="A1228" t="s">
        <v>1321</v>
      </c>
      <c r="B1228" t="s">
        <v>64</v>
      </c>
      <c r="C1228" t="s">
        <v>1314</v>
      </c>
      <c r="D1228" t="s">
        <v>1315</v>
      </c>
      <c r="E1228" t="s">
        <v>64</v>
      </c>
      <c r="F1228" t="s">
        <v>94</v>
      </c>
      <c r="G1228" t="s">
        <v>277</v>
      </c>
      <c r="H1228" s="12">
        <v>6.1429999999999998</v>
      </c>
      <c r="I1228" s="12">
        <v>-75.448999999999998</v>
      </c>
      <c r="J1228" t="s">
        <v>96</v>
      </c>
      <c r="K1228" t="s">
        <v>97</v>
      </c>
      <c r="L1228" t="s">
        <v>1273</v>
      </c>
      <c r="P1228" s="13">
        <v>121.5</v>
      </c>
      <c r="Q1228" s="13">
        <v>19.5</v>
      </c>
      <c r="R1228">
        <v>22</v>
      </c>
      <c r="S1228">
        <v>24</v>
      </c>
      <c r="T1228" s="13">
        <v>25.9</v>
      </c>
      <c r="U1228" s="13">
        <v>41.8</v>
      </c>
      <c r="V1228" t="s">
        <v>99</v>
      </c>
      <c r="X1228" s="13">
        <v>121.5</v>
      </c>
    </row>
    <row r="1229" spans="1:24" x14ac:dyDescent="0.25">
      <c r="A1229" t="s">
        <v>1321</v>
      </c>
      <c r="B1229" t="s">
        <v>64</v>
      </c>
      <c r="C1229" t="s">
        <v>1314</v>
      </c>
      <c r="D1229" t="s">
        <v>1315</v>
      </c>
      <c r="E1229" t="s">
        <v>64</v>
      </c>
      <c r="F1229" t="s">
        <v>94</v>
      </c>
      <c r="G1229" t="s">
        <v>277</v>
      </c>
      <c r="H1229" s="12">
        <v>6.1429999999999998</v>
      </c>
      <c r="I1229" s="12">
        <v>-75.448999999999998</v>
      </c>
      <c r="J1229" t="s">
        <v>96</v>
      </c>
      <c r="K1229" t="s">
        <v>1269</v>
      </c>
      <c r="L1229" t="s">
        <v>1270</v>
      </c>
      <c r="P1229" s="13">
        <v>158.9</v>
      </c>
      <c r="Q1229" s="13">
        <v>36.6</v>
      </c>
      <c r="R1229">
        <v>32</v>
      </c>
      <c r="S1229">
        <v>30</v>
      </c>
      <c r="T1229" s="13">
        <v>27.6</v>
      </c>
      <c r="U1229" s="13">
        <v>34.5</v>
      </c>
      <c r="V1229" t="s">
        <v>268</v>
      </c>
      <c r="W1229" t="s">
        <v>1271</v>
      </c>
      <c r="X1229" s="13"/>
    </row>
    <row r="1230" spans="1:24" x14ac:dyDescent="0.25">
      <c r="A1230" t="s">
        <v>1322</v>
      </c>
      <c r="B1230" t="s">
        <v>64</v>
      </c>
      <c r="C1230" t="s">
        <v>1314</v>
      </c>
      <c r="D1230" t="s">
        <v>1315</v>
      </c>
      <c r="E1230" t="s">
        <v>64</v>
      </c>
      <c r="F1230" t="s">
        <v>94</v>
      </c>
      <c r="G1230" t="s">
        <v>277</v>
      </c>
      <c r="H1230" s="12">
        <v>6.1429999999999998</v>
      </c>
      <c r="I1230" s="12">
        <v>-75.448999999999998</v>
      </c>
      <c r="J1230" t="s">
        <v>96</v>
      </c>
      <c r="K1230" t="s">
        <v>97</v>
      </c>
      <c r="L1230" t="s">
        <v>1273</v>
      </c>
      <c r="P1230" s="13">
        <v>133.5</v>
      </c>
      <c r="Q1230" s="13">
        <v>31.7</v>
      </c>
      <c r="R1230">
        <v>26</v>
      </c>
      <c r="S1230">
        <v>24</v>
      </c>
      <c r="T1230" s="13">
        <v>20.7</v>
      </c>
      <c r="U1230" s="13">
        <v>40</v>
      </c>
      <c r="V1230" t="s">
        <v>99</v>
      </c>
      <c r="X1230" s="13">
        <v>133.5</v>
      </c>
    </row>
    <row r="1231" spans="1:24" x14ac:dyDescent="0.25">
      <c r="A1231" t="s">
        <v>1322</v>
      </c>
      <c r="B1231" t="s">
        <v>64</v>
      </c>
      <c r="C1231" t="s">
        <v>1314</v>
      </c>
      <c r="D1231" t="s">
        <v>1315</v>
      </c>
      <c r="E1231" t="s">
        <v>64</v>
      </c>
      <c r="F1231" t="s">
        <v>94</v>
      </c>
      <c r="G1231" t="s">
        <v>277</v>
      </c>
      <c r="H1231" s="12">
        <v>6.1429999999999998</v>
      </c>
      <c r="I1231" s="12">
        <v>-75.448999999999998</v>
      </c>
      <c r="J1231" t="s">
        <v>96</v>
      </c>
      <c r="K1231" t="s">
        <v>1269</v>
      </c>
      <c r="L1231" t="s">
        <v>1270</v>
      </c>
      <c r="P1231" s="13">
        <v>139.69999999999999</v>
      </c>
      <c r="Q1231" s="13">
        <v>41.5</v>
      </c>
      <c r="R1231">
        <v>28</v>
      </c>
      <c r="S1231">
        <v>20</v>
      </c>
      <c r="T1231" s="13">
        <v>20.7</v>
      </c>
      <c r="U1231" s="13">
        <v>32.700000000000003</v>
      </c>
      <c r="V1231" t="s">
        <v>268</v>
      </c>
      <c r="W1231" t="s">
        <v>1271</v>
      </c>
      <c r="X1231" s="13"/>
    </row>
    <row r="1232" spans="1:24" x14ac:dyDescent="0.25">
      <c r="A1232" t="s">
        <v>1323</v>
      </c>
      <c r="B1232" t="s">
        <v>64</v>
      </c>
      <c r="C1232" t="s">
        <v>1314</v>
      </c>
      <c r="D1232" t="s">
        <v>1315</v>
      </c>
      <c r="E1232" t="s">
        <v>64</v>
      </c>
      <c r="F1232" t="s">
        <v>94</v>
      </c>
      <c r="G1232" t="s">
        <v>277</v>
      </c>
      <c r="H1232" s="12">
        <v>6.1429999999999998</v>
      </c>
      <c r="I1232" s="12">
        <v>-75.448999999999998</v>
      </c>
      <c r="J1232" t="s">
        <v>96</v>
      </c>
      <c r="K1232" t="s">
        <v>97</v>
      </c>
      <c r="L1232" t="s">
        <v>1273</v>
      </c>
      <c r="P1232" s="13">
        <v>171</v>
      </c>
      <c r="Q1232" s="13">
        <v>56.1</v>
      </c>
      <c r="R1232">
        <v>22</v>
      </c>
      <c r="S1232">
        <v>36</v>
      </c>
      <c r="T1232" s="13">
        <v>19</v>
      </c>
      <c r="U1232" s="13">
        <v>45.5</v>
      </c>
      <c r="V1232" t="s">
        <v>99</v>
      </c>
      <c r="X1232" s="13">
        <v>171</v>
      </c>
    </row>
    <row r="1233" spans="1:24" x14ac:dyDescent="0.25">
      <c r="A1233" t="s">
        <v>1323</v>
      </c>
      <c r="B1233" t="s">
        <v>64</v>
      </c>
      <c r="C1233" t="s">
        <v>1314</v>
      </c>
      <c r="D1233" t="s">
        <v>1315</v>
      </c>
      <c r="E1233" t="s">
        <v>64</v>
      </c>
      <c r="F1233" t="s">
        <v>94</v>
      </c>
      <c r="G1233" t="s">
        <v>277</v>
      </c>
      <c r="H1233" s="12">
        <v>6.1429999999999998</v>
      </c>
      <c r="I1233" s="12">
        <v>-75.448999999999998</v>
      </c>
      <c r="J1233" t="s">
        <v>96</v>
      </c>
      <c r="K1233" t="s">
        <v>1269</v>
      </c>
      <c r="L1233" t="s">
        <v>1270</v>
      </c>
      <c r="P1233" s="13">
        <v>213.9</v>
      </c>
      <c r="Q1233" s="13">
        <v>56.1</v>
      </c>
      <c r="R1233">
        <v>26</v>
      </c>
      <c r="S1233">
        <v>54</v>
      </c>
      <c r="T1233" s="13">
        <v>29.3</v>
      </c>
      <c r="U1233" s="13">
        <v>60</v>
      </c>
      <c r="V1233" t="s">
        <v>268</v>
      </c>
      <c r="W1233" t="s">
        <v>1271</v>
      </c>
      <c r="X1233" s="13"/>
    </row>
    <row r="1234" spans="1:24" x14ac:dyDescent="0.25">
      <c r="A1234" t="s">
        <v>1324</v>
      </c>
      <c r="B1234" t="s">
        <v>64</v>
      </c>
      <c r="C1234" t="s">
        <v>1314</v>
      </c>
      <c r="D1234" t="s">
        <v>1315</v>
      </c>
      <c r="E1234" t="s">
        <v>64</v>
      </c>
      <c r="F1234" t="s">
        <v>94</v>
      </c>
      <c r="G1234" t="s">
        <v>277</v>
      </c>
      <c r="H1234" s="12">
        <v>6.1429999999999998</v>
      </c>
      <c r="I1234" s="12">
        <v>-75.448999999999998</v>
      </c>
      <c r="J1234" t="s">
        <v>96</v>
      </c>
      <c r="K1234" t="s">
        <v>97</v>
      </c>
      <c r="L1234" t="s">
        <v>1273</v>
      </c>
      <c r="P1234" s="13">
        <v>160.9</v>
      </c>
      <c r="Q1234" s="13">
        <v>36.6</v>
      </c>
      <c r="R1234">
        <v>30</v>
      </c>
      <c r="S1234">
        <v>36</v>
      </c>
      <c r="T1234" s="13">
        <v>24.1</v>
      </c>
      <c r="U1234" s="13">
        <v>38.200000000000003</v>
      </c>
      <c r="V1234" t="s">
        <v>99</v>
      </c>
      <c r="X1234" s="13">
        <v>160.9</v>
      </c>
    </row>
    <row r="1235" spans="1:24" x14ac:dyDescent="0.25">
      <c r="A1235" t="s">
        <v>1324</v>
      </c>
      <c r="B1235" t="s">
        <v>64</v>
      </c>
      <c r="C1235" t="s">
        <v>1314</v>
      </c>
      <c r="D1235" t="s">
        <v>1315</v>
      </c>
      <c r="E1235" t="s">
        <v>64</v>
      </c>
      <c r="F1235" t="s">
        <v>94</v>
      </c>
      <c r="G1235" t="s">
        <v>277</v>
      </c>
      <c r="H1235" s="12">
        <v>6.1429999999999998</v>
      </c>
      <c r="I1235" s="12">
        <v>-75.448999999999998</v>
      </c>
      <c r="J1235" t="s">
        <v>96</v>
      </c>
      <c r="K1235" t="s">
        <v>1269</v>
      </c>
      <c r="L1235" t="s">
        <v>1270</v>
      </c>
      <c r="P1235" s="13">
        <v>174.1</v>
      </c>
      <c r="Q1235" s="13">
        <v>31.7</v>
      </c>
      <c r="R1235">
        <v>48</v>
      </c>
      <c r="S1235">
        <v>28</v>
      </c>
      <c r="T1235" s="13">
        <v>31</v>
      </c>
      <c r="U1235" s="13">
        <v>36.4</v>
      </c>
      <c r="V1235" t="s">
        <v>268</v>
      </c>
      <c r="W1235" t="s">
        <v>1271</v>
      </c>
      <c r="X1235" s="13"/>
    </row>
    <row r="1236" spans="1:24" x14ac:dyDescent="0.25">
      <c r="A1236" t="s">
        <v>1325</v>
      </c>
      <c r="B1236" t="s">
        <v>64</v>
      </c>
      <c r="C1236" t="s">
        <v>1314</v>
      </c>
      <c r="D1236" t="s">
        <v>1315</v>
      </c>
      <c r="E1236" t="s">
        <v>64</v>
      </c>
      <c r="F1236" t="s">
        <v>94</v>
      </c>
      <c r="G1236" t="s">
        <v>277</v>
      </c>
      <c r="H1236" s="12">
        <v>6.1429999999999998</v>
      </c>
      <c r="I1236" s="12">
        <v>-75.448999999999998</v>
      </c>
      <c r="J1236" t="s">
        <v>96</v>
      </c>
      <c r="K1236" t="s">
        <v>97</v>
      </c>
      <c r="L1236" t="s">
        <v>1273</v>
      </c>
      <c r="P1236" s="13">
        <v>132.1</v>
      </c>
      <c r="Q1236" s="13">
        <v>41.5</v>
      </c>
      <c r="R1236">
        <v>18</v>
      </c>
      <c r="S1236">
        <v>24</v>
      </c>
      <c r="T1236" s="13">
        <v>20.7</v>
      </c>
      <c r="U1236" s="13">
        <v>30.9</v>
      </c>
      <c r="V1236" t="s">
        <v>99</v>
      </c>
      <c r="X1236" s="13">
        <v>132.1</v>
      </c>
    </row>
    <row r="1237" spans="1:24" x14ac:dyDescent="0.25">
      <c r="A1237" t="s">
        <v>1325</v>
      </c>
      <c r="B1237" t="s">
        <v>64</v>
      </c>
      <c r="C1237" t="s">
        <v>1314</v>
      </c>
      <c r="D1237" t="s">
        <v>1315</v>
      </c>
      <c r="E1237" t="s">
        <v>64</v>
      </c>
      <c r="F1237" t="s">
        <v>94</v>
      </c>
      <c r="G1237" t="s">
        <v>277</v>
      </c>
      <c r="H1237" s="12">
        <v>6.1429999999999998</v>
      </c>
      <c r="I1237" s="12">
        <v>-75.448999999999998</v>
      </c>
      <c r="J1237" t="s">
        <v>96</v>
      </c>
      <c r="K1237" t="s">
        <v>1269</v>
      </c>
      <c r="L1237" t="s">
        <v>1270</v>
      </c>
      <c r="P1237" s="13">
        <v>170.6</v>
      </c>
      <c r="Q1237" s="13">
        <v>36.6</v>
      </c>
      <c r="R1237">
        <v>30</v>
      </c>
      <c r="S1237">
        <v>30</v>
      </c>
      <c r="T1237" s="13">
        <v>37.9</v>
      </c>
      <c r="U1237" s="13">
        <v>40</v>
      </c>
      <c r="V1237" t="s">
        <v>268</v>
      </c>
      <c r="W1237" t="s">
        <v>1271</v>
      </c>
      <c r="X1237" s="13"/>
    </row>
    <row r="1238" spans="1:24" x14ac:dyDescent="0.25">
      <c r="A1238" t="s">
        <v>1326</v>
      </c>
      <c r="B1238" t="s">
        <v>64</v>
      </c>
      <c r="C1238" t="s">
        <v>1314</v>
      </c>
      <c r="D1238" t="s">
        <v>1315</v>
      </c>
      <c r="E1238" t="s">
        <v>64</v>
      </c>
      <c r="F1238" t="s">
        <v>94</v>
      </c>
      <c r="G1238" t="s">
        <v>277</v>
      </c>
      <c r="H1238" s="12">
        <v>6.1429999999999998</v>
      </c>
      <c r="I1238" s="12">
        <v>-75.448999999999998</v>
      </c>
      <c r="J1238" t="s">
        <v>96</v>
      </c>
      <c r="K1238" t="s">
        <v>97</v>
      </c>
      <c r="L1238" t="s">
        <v>1273</v>
      </c>
      <c r="P1238" s="13">
        <v>197.7</v>
      </c>
      <c r="Q1238" s="13">
        <v>41.5</v>
      </c>
      <c r="R1238">
        <v>30</v>
      </c>
      <c r="S1238">
        <v>40</v>
      </c>
      <c r="T1238" s="13">
        <v>46.6</v>
      </c>
      <c r="U1238" s="13">
        <v>40</v>
      </c>
      <c r="V1238" t="s">
        <v>99</v>
      </c>
      <c r="X1238" s="13">
        <v>197.7</v>
      </c>
    </row>
    <row r="1239" spans="1:24" x14ac:dyDescent="0.25">
      <c r="A1239" t="s">
        <v>1326</v>
      </c>
      <c r="B1239" t="s">
        <v>64</v>
      </c>
      <c r="C1239" t="s">
        <v>1314</v>
      </c>
      <c r="D1239" t="s">
        <v>1315</v>
      </c>
      <c r="E1239" t="s">
        <v>64</v>
      </c>
      <c r="F1239" t="s">
        <v>94</v>
      </c>
      <c r="G1239" t="s">
        <v>277</v>
      </c>
      <c r="H1239" s="12">
        <v>6.1429999999999998</v>
      </c>
      <c r="I1239" s="12">
        <v>-75.448999999999998</v>
      </c>
      <c r="J1239" t="s">
        <v>96</v>
      </c>
      <c r="K1239" t="s">
        <v>1269</v>
      </c>
      <c r="L1239" t="s">
        <v>1270</v>
      </c>
      <c r="P1239" s="13">
        <v>131.1</v>
      </c>
      <c r="Q1239" s="13">
        <v>51.2</v>
      </c>
      <c r="R1239">
        <v>10</v>
      </c>
      <c r="S1239">
        <v>30</v>
      </c>
      <c r="T1239" s="13">
        <v>22.4</v>
      </c>
      <c r="U1239" s="13">
        <v>0</v>
      </c>
      <c r="V1239" t="s">
        <v>268</v>
      </c>
      <c r="W1239" t="s">
        <v>1271</v>
      </c>
      <c r="X1239" s="13"/>
    </row>
    <row r="1240" spans="1:24" x14ac:dyDescent="0.25">
      <c r="A1240" t="s">
        <v>1327</v>
      </c>
      <c r="B1240" t="s">
        <v>64</v>
      </c>
      <c r="C1240" t="s">
        <v>1314</v>
      </c>
      <c r="D1240" t="s">
        <v>1315</v>
      </c>
      <c r="E1240" t="s">
        <v>64</v>
      </c>
      <c r="F1240" t="s">
        <v>94</v>
      </c>
      <c r="G1240" t="s">
        <v>277</v>
      </c>
      <c r="H1240" s="12">
        <v>6.1429999999999998</v>
      </c>
      <c r="I1240" s="12">
        <v>-75.448999999999998</v>
      </c>
      <c r="J1240" t="s">
        <v>96</v>
      </c>
      <c r="K1240" t="s">
        <v>97</v>
      </c>
      <c r="L1240" t="s">
        <v>1273</v>
      </c>
      <c r="P1240" s="13">
        <v>140.4</v>
      </c>
      <c r="Q1240" s="13">
        <v>39</v>
      </c>
      <c r="R1240">
        <v>16</v>
      </c>
      <c r="S1240">
        <v>32</v>
      </c>
      <c r="T1240" s="13">
        <v>20.7</v>
      </c>
      <c r="U1240" s="13">
        <v>41.8</v>
      </c>
      <c r="V1240" t="s">
        <v>99</v>
      </c>
      <c r="X1240" s="13">
        <v>140.4</v>
      </c>
    </row>
    <row r="1241" spans="1:24" x14ac:dyDescent="0.25">
      <c r="A1241" t="s">
        <v>1327</v>
      </c>
      <c r="B1241" t="s">
        <v>64</v>
      </c>
      <c r="C1241" t="s">
        <v>1314</v>
      </c>
      <c r="D1241" t="s">
        <v>1315</v>
      </c>
      <c r="E1241" t="s">
        <v>64</v>
      </c>
      <c r="F1241" t="s">
        <v>94</v>
      </c>
      <c r="G1241" t="s">
        <v>277</v>
      </c>
      <c r="H1241" s="12">
        <v>6.1429999999999998</v>
      </c>
      <c r="I1241" s="12">
        <v>-75.448999999999998</v>
      </c>
      <c r="J1241" t="s">
        <v>96</v>
      </c>
      <c r="K1241" t="s">
        <v>1269</v>
      </c>
      <c r="L1241" t="s">
        <v>1270</v>
      </c>
      <c r="P1241" s="13">
        <v>182.3</v>
      </c>
      <c r="Q1241" s="13">
        <v>53.7</v>
      </c>
      <c r="R1241">
        <v>32</v>
      </c>
      <c r="S1241">
        <v>24</v>
      </c>
      <c r="T1241" s="13">
        <v>36.200000000000003</v>
      </c>
      <c r="U1241" s="13">
        <v>36.4</v>
      </c>
      <c r="V1241" t="s">
        <v>268</v>
      </c>
      <c r="W1241" t="s">
        <v>1271</v>
      </c>
      <c r="X1241" s="13"/>
    </row>
    <row r="1242" spans="1:24" x14ac:dyDescent="0.25">
      <c r="A1242" t="s">
        <v>1328</v>
      </c>
      <c r="B1242" t="s">
        <v>64</v>
      </c>
      <c r="C1242" t="s">
        <v>1314</v>
      </c>
      <c r="D1242" t="s">
        <v>1315</v>
      </c>
      <c r="E1242" t="s">
        <v>64</v>
      </c>
      <c r="F1242" t="s">
        <v>94</v>
      </c>
      <c r="G1242" t="s">
        <v>277</v>
      </c>
      <c r="H1242" s="12">
        <v>6.1429999999999998</v>
      </c>
      <c r="I1242" s="12">
        <v>-75.448999999999998</v>
      </c>
      <c r="J1242" t="s">
        <v>96</v>
      </c>
      <c r="K1242" t="s">
        <v>97</v>
      </c>
      <c r="L1242" t="s">
        <v>1273</v>
      </c>
      <c r="P1242" s="13">
        <v>280.5</v>
      </c>
      <c r="Q1242" s="13">
        <v>56.1</v>
      </c>
      <c r="R1242">
        <v>28</v>
      </c>
      <c r="S1242">
        <v>72</v>
      </c>
      <c r="T1242" s="13">
        <v>60.3</v>
      </c>
      <c r="U1242" s="13">
        <v>80</v>
      </c>
      <c r="V1242" t="s">
        <v>99</v>
      </c>
      <c r="X1242" s="13">
        <v>280.5</v>
      </c>
    </row>
    <row r="1243" spans="1:24" x14ac:dyDescent="0.25">
      <c r="A1243" t="s">
        <v>1328</v>
      </c>
      <c r="B1243" t="s">
        <v>64</v>
      </c>
      <c r="C1243" t="s">
        <v>1314</v>
      </c>
      <c r="D1243" t="s">
        <v>1315</v>
      </c>
      <c r="E1243" t="s">
        <v>64</v>
      </c>
      <c r="F1243" t="s">
        <v>94</v>
      </c>
      <c r="G1243" t="s">
        <v>277</v>
      </c>
      <c r="H1243" s="12">
        <v>6.1429999999999998</v>
      </c>
      <c r="I1243" s="12">
        <v>-75.448999999999998</v>
      </c>
      <c r="J1243" t="s">
        <v>96</v>
      </c>
      <c r="K1243" t="s">
        <v>1269</v>
      </c>
      <c r="L1243" t="s">
        <v>1270</v>
      </c>
      <c r="P1243" s="13">
        <v>338</v>
      </c>
      <c r="Q1243" s="13">
        <v>65.900000000000006</v>
      </c>
      <c r="R1243">
        <v>56</v>
      </c>
      <c r="S1243">
        <v>86</v>
      </c>
      <c r="T1243" s="13">
        <v>62.1</v>
      </c>
      <c r="U1243" s="13">
        <v>69.099999999999994</v>
      </c>
      <c r="V1243" t="s">
        <v>268</v>
      </c>
      <c r="W1243" t="s">
        <v>1271</v>
      </c>
      <c r="X1243" s="13"/>
    </row>
    <row r="1244" spans="1:24" x14ac:dyDescent="0.25">
      <c r="A1244" t="s">
        <v>1329</v>
      </c>
      <c r="B1244" t="s">
        <v>64</v>
      </c>
      <c r="C1244" t="s">
        <v>1314</v>
      </c>
      <c r="D1244" t="s">
        <v>1315</v>
      </c>
      <c r="E1244" t="s">
        <v>64</v>
      </c>
      <c r="F1244" t="s">
        <v>94</v>
      </c>
      <c r="G1244" t="s">
        <v>277</v>
      </c>
      <c r="H1244" s="12">
        <v>6.1429999999999998</v>
      </c>
      <c r="I1244" s="12">
        <v>-75.448999999999998</v>
      </c>
      <c r="J1244" t="s">
        <v>96</v>
      </c>
      <c r="K1244" t="s">
        <v>97</v>
      </c>
      <c r="L1244" t="s">
        <v>1273</v>
      </c>
      <c r="P1244" s="13">
        <v>140.1</v>
      </c>
      <c r="Q1244" s="13">
        <v>26.8</v>
      </c>
      <c r="R1244">
        <v>28</v>
      </c>
      <c r="S1244">
        <v>28</v>
      </c>
      <c r="T1244" s="13">
        <v>25.9</v>
      </c>
      <c r="U1244" s="13">
        <v>38.200000000000003</v>
      </c>
      <c r="V1244" t="s">
        <v>99</v>
      </c>
      <c r="X1244" s="13">
        <v>140.1</v>
      </c>
    </row>
    <row r="1245" spans="1:24" x14ac:dyDescent="0.25">
      <c r="A1245" t="s">
        <v>1329</v>
      </c>
      <c r="B1245" t="s">
        <v>64</v>
      </c>
      <c r="C1245" t="s">
        <v>1314</v>
      </c>
      <c r="D1245" t="s">
        <v>1315</v>
      </c>
      <c r="E1245" t="s">
        <v>64</v>
      </c>
      <c r="F1245" t="s">
        <v>94</v>
      </c>
      <c r="G1245" t="s">
        <v>277</v>
      </c>
      <c r="H1245" s="12">
        <v>6.1429999999999998</v>
      </c>
      <c r="I1245" s="12">
        <v>-75.448999999999998</v>
      </c>
      <c r="J1245" t="s">
        <v>96</v>
      </c>
      <c r="K1245" t="s">
        <v>1269</v>
      </c>
      <c r="L1245" t="s">
        <v>1270</v>
      </c>
      <c r="P1245" s="13">
        <v>189.5</v>
      </c>
      <c r="Q1245" s="13">
        <v>41.5</v>
      </c>
      <c r="R1245">
        <v>32</v>
      </c>
      <c r="S1245">
        <v>36</v>
      </c>
      <c r="T1245" s="13">
        <v>39.700000000000003</v>
      </c>
      <c r="U1245" s="13">
        <v>45.5</v>
      </c>
      <c r="V1245" t="s">
        <v>268</v>
      </c>
      <c r="W1245" t="s">
        <v>1271</v>
      </c>
      <c r="X1245" s="13"/>
    </row>
    <row r="1246" spans="1:24" x14ac:dyDescent="0.25">
      <c r="A1246" t="s">
        <v>1330</v>
      </c>
      <c r="B1246" t="s">
        <v>64</v>
      </c>
      <c r="C1246" t="s">
        <v>1314</v>
      </c>
      <c r="D1246" t="s">
        <v>1315</v>
      </c>
      <c r="E1246" t="s">
        <v>64</v>
      </c>
      <c r="F1246" t="s">
        <v>94</v>
      </c>
      <c r="G1246" t="s">
        <v>277</v>
      </c>
      <c r="H1246" s="12">
        <v>6.1429999999999998</v>
      </c>
      <c r="I1246" s="12">
        <v>-75.448999999999998</v>
      </c>
      <c r="J1246" t="s">
        <v>96</v>
      </c>
      <c r="K1246" t="s">
        <v>97</v>
      </c>
      <c r="L1246" t="s">
        <v>1273</v>
      </c>
      <c r="P1246" s="13">
        <v>123.1</v>
      </c>
      <c r="Q1246" s="13">
        <v>34.1</v>
      </c>
      <c r="R1246">
        <v>28</v>
      </c>
      <c r="S1246">
        <v>16</v>
      </c>
      <c r="T1246" s="13">
        <v>20.7</v>
      </c>
      <c r="U1246" s="13">
        <v>23.6</v>
      </c>
      <c r="V1246" t="s">
        <v>99</v>
      </c>
      <c r="X1246" s="13">
        <v>123.1</v>
      </c>
    </row>
    <row r="1247" spans="1:24" x14ac:dyDescent="0.25">
      <c r="A1247" t="s">
        <v>1330</v>
      </c>
      <c r="B1247" t="s">
        <v>64</v>
      </c>
      <c r="C1247" t="s">
        <v>1314</v>
      </c>
      <c r="D1247" t="s">
        <v>1315</v>
      </c>
      <c r="E1247" t="s">
        <v>64</v>
      </c>
      <c r="F1247" t="s">
        <v>94</v>
      </c>
      <c r="G1247" t="s">
        <v>277</v>
      </c>
      <c r="H1247" s="12">
        <v>6.1429999999999998</v>
      </c>
      <c r="I1247" s="12">
        <v>-75.448999999999998</v>
      </c>
      <c r="J1247" t="s">
        <v>96</v>
      </c>
      <c r="K1247" t="s">
        <v>1269</v>
      </c>
      <c r="L1247" t="s">
        <v>1270</v>
      </c>
      <c r="P1247" s="13">
        <v>158.9</v>
      </c>
      <c r="Q1247" s="13">
        <v>36.6</v>
      </c>
      <c r="R1247">
        <v>32</v>
      </c>
      <c r="S1247">
        <v>26</v>
      </c>
      <c r="T1247" s="13">
        <v>31</v>
      </c>
      <c r="U1247" s="13">
        <v>36.4</v>
      </c>
      <c r="V1247" t="s">
        <v>268</v>
      </c>
      <c r="W1247" t="s">
        <v>1271</v>
      </c>
      <c r="X1247" s="13"/>
    </row>
    <row r="1248" spans="1:24" x14ac:dyDescent="0.25">
      <c r="A1248" t="s">
        <v>1331</v>
      </c>
      <c r="B1248" t="s">
        <v>64</v>
      </c>
      <c r="C1248" t="s">
        <v>1314</v>
      </c>
      <c r="D1248" t="s">
        <v>1315</v>
      </c>
      <c r="E1248" t="s">
        <v>64</v>
      </c>
      <c r="F1248" t="s">
        <v>94</v>
      </c>
      <c r="G1248" t="s">
        <v>277</v>
      </c>
      <c r="H1248" s="12">
        <v>6.1429999999999998</v>
      </c>
      <c r="I1248" s="12">
        <v>-75.448999999999998</v>
      </c>
      <c r="J1248" t="s">
        <v>96</v>
      </c>
      <c r="K1248" t="s">
        <v>97</v>
      </c>
      <c r="L1248" t="s">
        <v>1273</v>
      </c>
      <c r="P1248" s="13">
        <v>165.4</v>
      </c>
      <c r="Q1248" s="13">
        <v>34.1</v>
      </c>
      <c r="R1248">
        <v>38</v>
      </c>
      <c r="S1248">
        <v>30</v>
      </c>
      <c r="T1248" s="13">
        <v>32.799999999999997</v>
      </c>
      <c r="U1248" s="13">
        <v>25.5</v>
      </c>
      <c r="V1248" t="s">
        <v>99</v>
      </c>
      <c r="X1248" s="13">
        <v>165.4</v>
      </c>
    </row>
    <row r="1249" spans="1:24" x14ac:dyDescent="0.25">
      <c r="A1249" t="s">
        <v>1331</v>
      </c>
      <c r="B1249" t="s">
        <v>64</v>
      </c>
      <c r="C1249" t="s">
        <v>1314</v>
      </c>
      <c r="D1249" t="s">
        <v>1315</v>
      </c>
      <c r="E1249" t="s">
        <v>64</v>
      </c>
      <c r="F1249" t="s">
        <v>94</v>
      </c>
      <c r="G1249" t="s">
        <v>277</v>
      </c>
      <c r="H1249" s="12">
        <v>6.1429999999999998</v>
      </c>
      <c r="I1249" s="12">
        <v>-75.448999999999998</v>
      </c>
      <c r="J1249" t="s">
        <v>96</v>
      </c>
      <c r="K1249" t="s">
        <v>1269</v>
      </c>
      <c r="L1249" t="s">
        <v>1270</v>
      </c>
      <c r="P1249" s="13">
        <v>173.3</v>
      </c>
      <c r="Q1249" s="13">
        <v>53.7</v>
      </c>
      <c r="R1249">
        <v>24</v>
      </c>
      <c r="S1249">
        <v>30</v>
      </c>
      <c r="T1249" s="13">
        <v>31</v>
      </c>
      <c r="U1249" s="13">
        <v>34.5</v>
      </c>
      <c r="V1249" t="s">
        <v>268</v>
      </c>
      <c r="W1249" t="s">
        <v>1271</v>
      </c>
      <c r="X1249" s="13"/>
    </row>
    <row r="1250" spans="1:24" x14ac:dyDescent="0.25">
      <c r="A1250" t="s">
        <v>1332</v>
      </c>
      <c r="B1250" t="s">
        <v>64</v>
      </c>
      <c r="C1250" t="s">
        <v>1314</v>
      </c>
      <c r="D1250" t="s">
        <v>1315</v>
      </c>
      <c r="E1250" t="s">
        <v>64</v>
      </c>
      <c r="F1250" t="s">
        <v>94</v>
      </c>
      <c r="G1250" t="s">
        <v>277</v>
      </c>
      <c r="H1250" s="12">
        <v>6.1429999999999998</v>
      </c>
      <c r="I1250" s="12">
        <v>-75.448999999999998</v>
      </c>
      <c r="J1250" t="s">
        <v>96</v>
      </c>
      <c r="K1250" t="s">
        <v>97</v>
      </c>
      <c r="L1250" t="s">
        <v>1273</v>
      </c>
      <c r="P1250" s="13">
        <v>119.7</v>
      </c>
      <c r="Q1250" s="13">
        <v>29.3</v>
      </c>
      <c r="R1250">
        <v>22</v>
      </c>
      <c r="S1250">
        <v>20</v>
      </c>
      <c r="T1250" s="13">
        <v>27.6</v>
      </c>
      <c r="U1250" s="13">
        <v>14.5</v>
      </c>
      <c r="V1250" t="s">
        <v>99</v>
      </c>
      <c r="X1250" s="13">
        <v>119.7</v>
      </c>
    </row>
    <row r="1251" spans="1:24" x14ac:dyDescent="0.25">
      <c r="A1251" t="s">
        <v>1332</v>
      </c>
      <c r="B1251" t="s">
        <v>64</v>
      </c>
      <c r="C1251" t="s">
        <v>1314</v>
      </c>
      <c r="D1251" t="s">
        <v>1315</v>
      </c>
      <c r="E1251" t="s">
        <v>64</v>
      </c>
      <c r="F1251" t="s">
        <v>94</v>
      </c>
      <c r="G1251" t="s">
        <v>277</v>
      </c>
      <c r="H1251" s="12">
        <v>6.1429999999999998</v>
      </c>
      <c r="I1251" s="12">
        <v>-75.448999999999998</v>
      </c>
      <c r="J1251" t="s">
        <v>96</v>
      </c>
      <c r="K1251" t="s">
        <v>1269</v>
      </c>
      <c r="L1251" t="s">
        <v>1270</v>
      </c>
      <c r="P1251" s="13">
        <v>155.9</v>
      </c>
      <c r="Q1251" s="13">
        <v>41.5</v>
      </c>
      <c r="R1251">
        <v>24</v>
      </c>
      <c r="S1251">
        <v>26</v>
      </c>
      <c r="T1251" s="13">
        <v>32.799999999999997</v>
      </c>
      <c r="U1251" s="13">
        <v>32.700000000000003</v>
      </c>
      <c r="V1251" t="s">
        <v>268</v>
      </c>
      <c r="W1251" t="s">
        <v>1271</v>
      </c>
      <c r="X1251" s="13"/>
    </row>
    <row r="1252" spans="1:24" x14ac:dyDescent="0.25">
      <c r="A1252" t="s">
        <v>1333</v>
      </c>
      <c r="B1252" t="s">
        <v>64</v>
      </c>
      <c r="C1252" t="s">
        <v>1314</v>
      </c>
      <c r="D1252" t="s">
        <v>1315</v>
      </c>
      <c r="E1252" t="s">
        <v>64</v>
      </c>
      <c r="F1252" t="s">
        <v>94</v>
      </c>
      <c r="G1252" t="s">
        <v>277</v>
      </c>
      <c r="H1252" s="12">
        <v>6.1429999999999998</v>
      </c>
      <c r="I1252" s="12">
        <v>-75.448999999999998</v>
      </c>
      <c r="J1252" t="s">
        <v>96</v>
      </c>
      <c r="K1252" t="s">
        <v>97</v>
      </c>
      <c r="L1252" t="s">
        <v>1273</v>
      </c>
      <c r="P1252" s="13">
        <v>294.5</v>
      </c>
      <c r="Q1252" s="13">
        <v>58.5</v>
      </c>
      <c r="R1252">
        <v>42</v>
      </c>
      <c r="S1252">
        <v>70</v>
      </c>
      <c r="T1252" s="13">
        <v>58.6</v>
      </c>
      <c r="U1252" s="13">
        <v>78.2</v>
      </c>
      <c r="V1252" t="s">
        <v>99</v>
      </c>
      <c r="X1252" s="13">
        <v>294.5</v>
      </c>
    </row>
    <row r="1253" spans="1:24" x14ac:dyDescent="0.25">
      <c r="A1253" t="s">
        <v>1333</v>
      </c>
      <c r="B1253" t="s">
        <v>64</v>
      </c>
      <c r="C1253" t="s">
        <v>1314</v>
      </c>
      <c r="D1253" t="s">
        <v>1315</v>
      </c>
      <c r="E1253" t="s">
        <v>64</v>
      </c>
      <c r="F1253" t="s">
        <v>94</v>
      </c>
      <c r="G1253" t="s">
        <v>277</v>
      </c>
      <c r="H1253" s="12">
        <v>6.1429999999999998</v>
      </c>
      <c r="I1253" s="12">
        <v>-75.448999999999998</v>
      </c>
      <c r="J1253" t="s">
        <v>96</v>
      </c>
      <c r="K1253" t="s">
        <v>1269</v>
      </c>
      <c r="L1253" t="s">
        <v>1270</v>
      </c>
      <c r="P1253" s="13">
        <v>318</v>
      </c>
      <c r="Q1253" s="13">
        <v>58.5</v>
      </c>
      <c r="R1253">
        <v>52</v>
      </c>
      <c r="S1253">
        <v>78</v>
      </c>
      <c r="T1253" s="13">
        <v>58.6</v>
      </c>
      <c r="U1253" s="13">
        <v>85.5</v>
      </c>
      <c r="V1253" t="s">
        <v>268</v>
      </c>
      <c r="W1253" t="s">
        <v>1271</v>
      </c>
      <c r="X1253" s="13"/>
    </row>
    <row r="1254" spans="1:24" x14ac:dyDescent="0.25">
      <c r="A1254" t="s">
        <v>1334</v>
      </c>
      <c r="B1254" t="s">
        <v>64</v>
      </c>
      <c r="C1254" t="s">
        <v>1314</v>
      </c>
      <c r="D1254" t="s">
        <v>1315</v>
      </c>
      <c r="E1254" t="s">
        <v>64</v>
      </c>
      <c r="F1254" t="s">
        <v>94</v>
      </c>
      <c r="G1254" t="s">
        <v>277</v>
      </c>
      <c r="H1254" s="12">
        <v>6.1429999999999998</v>
      </c>
      <c r="I1254" s="12">
        <v>-75.448999999999998</v>
      </c>
      <c r="J1254" t="s">
        <v>96</v>
      </c>
      <c r="K1254" t="s">
        <v>97</v>
      </c>
      <c r="L1254" t="s">
        <v>1273</v>
      </c>
      <c r="P1254" s="13">
        <v>171.2</v>
      </c>
      <c r="Q1254" s="13">
        <v>48.8</v>
      </c>
      <c r="R1254">
        <v>26</v>
      </c>
      <c r="S1254">
        <v>34</v>
      </c>
      <c r="T1254" s="13">
        <v>29.3</v>
      </c>
      <c r="U1254" s="13">
        <v>30.9</v>
      </c>
      <c r="V1254" t="s">
        <v>99</v>
      </c>
      <c r="X1254" s="13">
        <v>171.2</v>
      </c>
    </row>
    <row r="1255" spans="1:24" x14ac:dyDescent="0.25">
      <c r="A1255" t="s">
        <v>1334</v>
      </c>
      <c r="B1255" t="s">
        <v>64</v>
      </c>
      <c r="C1255" t="s">
        <v>1314</v>
      </c>
      <c r="D1255" t="s">
        <v>1315</v>
      </c>
      <c r="E1255" t="s">
        <v>64</v>
      </c>
      <c r="F1255" t="s">
        <v>94</v>
      </c>
      <c r="G1255" t="s">
        <v>277</v>
      </c>
      <c r="H1255" s="12">
        <v>6.1429999999999998</v>
      </c>
      <c r="I1255" s="12">
        <v>-75.448999999999998</v>
      </c>
      <c r="J1255" t="s">
        <v>96</v>
      </c>
      <c r="K1255" t="s">
        <v>1269</v>
      </c>
      <c r="L1255" t="s">
        <v>1270</v>
      </c>
      <c r="P1255" s="13">
        <v>181.5</v>
      </c>
      <c r="Q1255" s="13">
        <v>51.2</v>
      </c>
      <c r="R1255">
        <v>36</v>
      </c>
      <c r="S1255">
        <v>28</v>
      </c>
      <c r="T1255" s="13">
        <v>29.3</v>
      </c>
      <c r="U1255" s="13">
        <v>38.200000000000003</v>
      </c>
      <c r="V1255" t="s">
        <v>268</v>
      </c>
      <c r="W1255" t="s">
        <v>1271</v>
      </c>
      <c r="X1255" s="13"/>
    </row>
    <row r="1256" spans="1:24" x14ac:dyDescent="0.25">
      <c r="A1256" t="s">
        <v>1335</v>
      </c>
      <c r="B1256" t="s">
        <v>64</v>
      </c>
      <c r="C1256" t="s">
        <v>1314</v>
      </c>
      <c r="D1256" t="s">
        <v>1315</v>
      </c>
      <c r="E1256" t="s">
        <v>64</v>
      </c>
      <c r="F1256" t="s">
        <v>94</v>
      </c>
      <c r="G1256" t="s">
        <v>277</v>
      </c>
      <c r="H1256" s="12">
        <v>6.1429999999999998</v>
      </c>
      <c r="I1256" s="12">
        <v>-75.448999999999998</v>
      </c>
      <c r="J1256" t="s">
        <v>96</v>
      </c>
      <c r="K1256" t="s">
        <v>97</v>
      </c>
      <c r="L1256" t="s">
        <v>1273</v>
      </c>
      <c r="P1256" s="13">
        <v>143.1</v>
      </c>
      <c r="Q1256" s="13">
        <v>31.7</v>
      </c>
      <c r="R1256">
        <v>26</v>
      </c>
      <c r="S1256">
        <v>22</v>
      </c>
      <c r="T1256" s="13">
        <v>32.799999999999997</v>
      </c>
      <c r="U1256" s="13">
        <v>34.5</v>
      </c>
      <c r="V1256" t="s">
        <v>99</v>
      </c>
      <c r="X1256" s="13">
        <v>143.1</v>
      </c>
    </row>
    <row r="1257" spans="1:24" x14ac:dyDescent="0.25">
      <c r="A1257" t="s">
        <v>1335</v>
      </c>
      <c r="B1257" t="s">
        <v>64</v>
      </c>
      <c r="C1257" t="s">
        <v>1314</v>
      </c>
      <c r="D1257" t="s">
        <v>1315</v>
      </c>
      <c r="E1257" t="s">
        <v>64</v>
      </c>
      <c r="F1257" t="s">
        <v>94</v>
      </c>
      <c r="G1257" t="s">
        <v>277</v>
      </c>
      <c r="H1257" s="12">
        <v>6.1429999999999998</v>
      </c>
      <c r="I1257" s="12">
        <v>-75.448999999999998</v>
      </c>
      <c r="J1257" t="s">
        <v>96</v>
      </c>
      <c r="K1257" t="s">
        <v>1269</v>
      </c>
      <c r="L1257" t="s">
        <v>1270</v>
      </c>
      <c r="P1257" s="13">
        <v>142.5</v>
      </c>
      <c r="Q1257" s="13">
        <v>34.1</v>
      </c>
      <c r="R1257">
        <v>16</v>
      </c>
      <c r="S1257">
        <v>36</v>
      </c>
      <c r="T1257" s="13">
        <v>25.9</v>
      </c>
      <c r="U1257" s="13">
        <v>34.5</v>
      </c>
      <c r="V1257" t="s">
        <v>268</v>
      </c>
      <c r="W1257" t="s">
        <v>1271</v>
      </c>
      <c r="X1257" s="13"/>
    </row>
    <row r="1258" spans="1:24" x14ac:dyDescent="0.25">
      <c r="A1258" t="s">
        <v>1336</v>
      </c>
      <c r="B1258" t="s">
        <v>64</v>
      </c>
      <c r="C1258" t="s">
        <v>1314</v>
      </c>
      <c r="D1258" t="s">
        <v>1315</v>
      </c>
      <c r="E1258" t="s">
        <v>64</v>
      </c>
      <c r="F1258" t="s">
        <v>94</v>
      </c>
      <c r="G1258" t="s">
        <v>277</v>
      </c>
      <c r="H1258" s="12">
        <v>6.1429999999999998</v>
      </c>
      <c r="I1258" s="12">
        <v>-75.448999999999998</v>
      </c>
      <c r="J1258" t="s">
        <v>96</v>
      </c>
      <c r="K1258" t="s">
        <v>97</v>
      </c>
      <c r="L1258" t="s">
        <v>1273</v>
      </c>
      <c r="P1258" s="13">
        <v>156.9</v>
      </c>
      <c r="Q1258" s="13">
        <v>31.7</v>
      </c>
      <c r="R1258">
        <v>28</v>
      </c>
      <c r="S1258">
        <v>30</v>
      </c>
      <c r="T1258" s="13">
        <v>29.3</v>
      </c>
      <c r="U1258" s="13">
        <v>50.9</v>
      </c>
      <c r="V1258" t="s">
        <v>99</v>
      </c>
      <c r="X1258" s="13">
        <v>156.9</v>
      </c>
    </row>
    <row r="1259" spans="1:24" x14ac:dyDescent="0.25">
      <c r="A1259" t="s">
        <v>1336</v>
      </c>
      <c r="B1259" t="s">
        <v>64</v>
      </c>
      <c r="C1259" t="s">
        <v>1314</v>
      </c>
      <c r="D1259" t="s">
        <v>1315</v>
      </c>
      <c r="E1259" t="s">
        <v>64</v>
      </c>
      <c r="F1259" t="s">
        <v>94</v>
      </c>
      <c r="G1259" t="s">
        <v>277</v>
      </c>
      <c r="H1259" s="12">
        <v>6.1429999999999998</v>
      </c>
      <c r="I1259" s="12">
        <v>-75.448999999999998</v>
      </c>
      <c r="J1259" t="s">
        <v>96</v>
      </c>
      <c r="K1259" t="s">
        <v>1269</v>
      </c>
      <c r="L1259" t="s">
        <v>1270</v>
      </c>
      <c r="P1259" s="13">
        <v>161.4</v>
      </c>
      <c r="Q1259" s="13">
        <v>41.5</v>
      </c>
      <c r="R1259">
        <v>32</v>
      </c>
      <c r="S1259">
        <v>26</v>
      </c>
      <c r="T1259" s="13">
        <v>25.9</v>
      </c>
      <c r="U1259" s="13">
        <v>43.6</v>
      </c>
      <c r="V1259" t="s">
        <v>268</v>
      </c>
      <c r="W1259" t="s">
        <v>1271</v>
      </c>
      <c r="X1259" s="13"/>
    </row>
    <row r="1260" spans="1:24" x14ac:dyDescent="0.25">
      <c r="A1260" t="s">
        <v>1337</v>
      </c>
      <c r="B1260" t="s">
        <v>64</v>
      </c>
      <c r="C1260" t="s">
        <v>1314</v>
      </c>
      <c r="D1260" t="s">
        <v>1315</v>
      </c>
      <c r="E1260" t="s">
        <v>64</v>
      </c>
      <c r="F1260" t="s">
        <v>94</v>
      </c>
      <c r="G1260" t="s">
        <v>277</v>
      </c>
      <c r="H1260" s="12">
        <v>6.1429999999999998</v>
      </c>
      <c r="I1260" s="12">
        <v>-75.448999999999998</v>
      </c>
      <c r="J1260" t="s">
        <v>96</v>
      </c>
      <c r="K1260" t="s">
        <v>97</v>
      </c>
      <c r="L1260" t="s">
        <v>1273</v>
      </c>
      <c r="P1260" s="13">
        <v>136.9</v>
      </c>
      <c r="Q1260" s="13">
        <v>24.4</v>
      </c>
      <c r="R1260">
        <v>26</v>
      </c>
      <c r="S1260">
        <v>16</v>
      </c>
      <c r="T1260" s="13">
        <v>41.4</v>
      </c>
      <c r="U1260" s="13">
        <v>32.700000000000003</v>
      </c>
      <c r="V1260" t="s">
        <v>99</v>
      </c>
      <c r="X1260" s="13">
        <v>136.9</v>
      </c>
    </row>
    <row r="1261" spans="1:24" x14ac:dyDescent="0.25">
      <c r="A1261" t="s">
        <v>1337</v>
      </c>
      <c r="B1261" t="s">
        <v>64</v>
      </c>
      <c r="C1261" t="s">
        <v>1314</v>
      </c>
      <c r="D1261" t="s">
        <v>1315</v>
      </c>
      <c r="E1261" t="s">
        <v>64</v>
      </c>
      <c r="F1261" t="s">
        <v>94</v>
      </c>
      <c r="G1261" t="s">
        <v>277</v>
      </c>
      <c r="H1261" s="12">
        <v>6.1429999999999998</v>
      </c>
      <c r="I1261" s="12">
        <v>-75.448999999999998</v>
      </c>
      <c r="J1261" t="s">
        <v>96</v>
      </c>
      <c r="K1261" t="s">
        <v>1269</v>
      </c>
      <c r="L1261" t="s">
        <v>1270</v>
      </c>
      <c r="P1261" s="13">
        <v>66.8</v>
      </c>
      <c r="Q1261" s="13">
        <v>43.9</v>
      </c>
      <c r="R1261">
        <v>14</v>
      </c>
      <c r="S1261">
        <v>0</v>
      </c>
      <c r="T1261" s="13">
        <v>0</v>
      </c>
      <c r="U1261" s="13">
        <v>0</v>
      </c>
      <c r="V1261" t="s">
        <v>268</v>
      </c>
      <c r="W1261" t="s">
        <v>1271</v>
      </c>
      <c r="X1261" s="13"/>
    </row>
    <row r="1262" spans="1:24" x14ac:dyDescent="0.25">
      <c r="A1262" t="s">
        <v>1338</v>
      </c>
      <c r="B1262" t="s">
        <v>64</v>
      </c>
      <c r="C1262" t="s">
        <v>1314</v>
      </c>
      <c r="D1262" t="s">
        <v>1315</v>
      </c>
      <c r="E1262" t="s">
        <v>64</v>
      </c>
      <c r="F1262" t="s">
        <v>94</v>
      </c>
      <c r="G1262" t="s">
        <v>277</v>
      </c>
      <c r="H1262" s="12">
        <v>6.1429999999999998</v>
      </c>
      <c r="I1262" s="12">
        <v>-75.448999999999998</v>
      </c>
      <c r="J1262" t="s">
        <v>96</v>
      </c>
      <c r="K1262" t="s">
        <v>97</v>
      </c>
      <c r="L1262" t="s">
        <v>1273</v>
      </c>
      <c r="P1262" s="13">
        <v>181</v>
      </c>
      <c r="Q1262" s="13">
        <v>51.2</v>
      </c>
      <c r="R1262">
        <v>30</v>
      </c>
      <c r="S1262">
        <v>24</v>
      </c>
      <c r="T1262" s="13">
        <v>41.4</v>
      </c>
      <c r="U1262" s="13">
        <v>30.9</v>
      </c>
      <c r="V1262" t="s">
        <v>99</v>
      </c>
      <c r="X1262" s="13">
        <v>181</v>
      </c>
    </row>
    <row r="1263" spans="1:24" x14ac:dyDescent="0.25">
      <c r="A1263" t="s">
        <v>1338</v>
      </c>
      <c r="B1263" t="s">
        <v>64</v>
      </c>
      <c r="C1263" t="s">
        <v>1314</v>
      </c>
      <c r="D1263" t="s">
        <v>1315</v>
      </c>
      <c r="E1263" t="s">
        <v>64</v>
      </c>
      <c r="F1263" t="s">
        <v>94</v>
      </c>
      <c r="G1263" t="s">
        <v>277</v>
      </c>
      <c r="H1263" s="12">
        <v>6.1429999999999998</v>
      </c>
      <c r="I1263" s="12">
        <v>-75.448999999999998</v>
      </c>
      <c r="J1263" t="s">
        <v>96</v>
      </c>
      <c r="K1263" t="s">
        <v>1269</v>
      </c>
      <c r="L1263" t="s">
        <v>1270</v>
      </c>
      <c r="P1263" s="13">
        <v>171.8</v>
      </c>
      <c r="Q1263" s="13">
        <v>41.5</v>
      </c>
      <c r="R1263">
        <v>26</v>
      </c>
      <c r="S1263">
        <v>32</v>
      </c>
      <c r="T1263" s="13">
        <v>37.9</v>
      </c>
      <c r="U1263" s="13">
        <v>34.5</v>
      </c>
      <c r="V1263" t="s">
        <v>268</v>
      </c>
      <c r="W1263" t="s">
        <v>1271</v>
      </c>
      <c r="X1263" s="13"/>
    </row>
    <row r="1264" spans="1:24" x14ac:dyDescent="0.25">
      <c r="A1264" t="s">
        <v>1339</v>
      </c>
      <c r="B1264" t="s">
        <v>64</v>
      </c>
      <c r="C1264" t="s">
        <v>1314</v>
      </c>
      <c r="D1264" t="s">
        <v>1315</v>
      </c>
      <c r="E1264" t="s">
        <v>64</v>
      </c>
      <c r="F1264" t="s">
        <v>94</v>
      </c>
      <c r="G1264" t="s">
        <v>277</v>
      </c>
      <c r="H1264" s="12">
        <v>6.1429999999999998</v>
      </c>
      <c r="I1264" s="12">
        <v>-75.448999999999998</v>
      </c>
      <c r="J1264" t="s">
        <v>96</v>
      </c>
      <c r="K1264" t="s">
        <v>97</v>
      </c>
      <c r="L1264" t="s">
        <v>1273</v>
      </c>
      <c r="P1264" s="13">
        <v>178.8</v>
      </c>
      <c r="Q1264" s="13">
        <v>41.5</v>
      </c>
      <c r="R1264">
        <v>30</v>
      </c>
      <c r="S1264">
        <v>28</v>
      </c>
      <c r="T1264" s="13">
        <v>37.9</v>
      </c>
      <c r="U1264" s="13">
        <v>52.7</v>
      </c>
      <c r="V1264" t="s">
        <v>99</v>
      </c>
      <c r="X1264" s="13">
        <v>178.8</v>
      </c>
    </row>
    <row r="1265" spans="1:24" x14ac:dyDescent="0.25">
      <c r="A1265" t="s">
        <v>1339</v>
      </c>
      <c r="B1265" t="s">
        <v>64</v>
      </c>
      <c r="C1265" t="s">
        <v>1314</v>
      </c>
      <c r="D1265" t="s">
        <v>1315</v>
      </c>
      <c r="E1265" t="s">
        <v>64</v>
      </c>
      <c r="F1265" t="s">
        <v>94</v>
      </c>
      <c r="G1265" t="s">
        <v>277</v>
      </c>
      <c r="H1265" s="12">
        <v>6.1429999999999998</v>
      </c>
      <c r="I1265" s="12">
        <v>-75.448999999999998</v>
      </c>
      <c r="J1265" t="s">
        <v>96</v>
      </c>
      <c r="K1265" t="s">
        <v>1269</v>
      </c>
      <c r="L1265" t="s">
        <v>1270</v>
      </c>
      <c r="P1265" s="13">
        <v>129.19999999999999</v>
      </c>
      <c r="Q1265" s="13">
        <v>48.8</v>
      </c>
      <c r="R1265">
        <v>20</v>
      </c>
      <c r="S1265">
        <v>14</v>
      </c>
      <c r="T1265" s="13">
        <v>20.7</v>
      </c>
      <c r="U1265" s="13">
        <v>25.5</v>
      </c>
      <c r="V1265" t="s">
        <v>268</v>
      </c>
      <c r="W1265" t="s">
        <v>1271</v>
      </c>
      <c r="X1265" s="13"/>
    </row>
    <row r="1266" spans="1:24" x14ac:dyDescent="0.25">
      <c r="A1266" t="s">
        <v>1340</v>
      </c>
      <c r="B1266" t="s">
        <v>64</v>
      </c>
      <c r="C1266" t="s">
        <v>1314</v>
      </c>
      <c r="D1266" t="s">
        <v>1315</v>
      </c>
      <c r="E1266" t="s">
        <v>64</v>
      </c>
      <c r="F1266" t="s">
        <v>94</v>
      </c>
      <c r="G1266" t="s">
        <v>277</v>
      </c>
      <c r="H1266" s="12">
        <v>6.1429999999999998</v>
      </c>
      <c r="I1266" s="12">
        <v>-75.448999999999998</v>
      </c>
      <c r="J1266" t="s">
        <v>96</v>
      </c>
      <c r="K1266" t="s">
        <v>97</v>
      </c>
      <c r="L1266" t="s">
        <v>1273</v>
      </c>
      <c r="P1266" s="13">
        <v>159.30000000000001</v>
      </c>
      <c r="Q1266" s="13">
        <v>43.9</v>
      </c>
      <c r="R1266">
        <v>34</v>
      </c>
      <c r="S1266">
        <v>24</v>
      </c>
      <c r="T1266" s="13">
        <v>25.9</v>
      </c>
      <c r="U1266" s="13">
        <v>30.9</v>
      </c>
      <c r="V1266" t="s">
        <v>99</v>
      </c>
      <c r="X1266" s="13">
        <v>159.30000000000001</v>
      </c>
    </row>
    <row r="1267" spans="1:24" x14ac:dyDescent="0.25">
      <c r="A1267" t="s">
        <v>1340</v>
      </c>
      <c r="B1267" t="s">
        <v>64</v>
      </c>
      <c r="C1267" t="s">
        <v>1314</v>
      </c>
      <c r="D1267" t="s">
        <v>1315</v>
      </c>
      <c r="E1267" t="s">
        <v>64</v>
      </c>
      <c r="F1267" t="s">
        <v>94</v>
      </c>
      <c r="G1267" t="s">
        <v>277</v>
      </c>
      <c r="H1267" s="12">
        <v>6.1429999999999998</v>
      </c>
      <c r="I1267" s="12">
        <v>-75.448999999999998</v>
      </c>
      <c r="J1267" t="s">
        <v>96</v>
      </c>
      <c r="K1267" t="s">
        <v>1269</v>
      </c>
      <c r="L1267" t="s">
        <v>1270</v>
      </c>
      <c r="P1267" s="13">
        <v>150.5</v>
      </c>
      <c r="Q1267" s="13">
        <v>31.7</v>
      </c>
      <c r="R1267">
        <v>40</v>
      </c>
      <c r="S1267">
        <v>18</v>
      </c>
      <c r="T1267" s="13">
        <v>31</v>
      </c>
      <c r="U1267" s="13">
        <v>29.1</v>
      </c>
      <c r="V1267" t="s">
        <v>268</v>
      </c>
      <c r="W1267" t="s">
        <v>1271</v>
      </c>
      <c r="X1267" s="13"/>
    </row>
    <row r="1268" spans="1:24" x14ac:dyDescent="0.25">
      <c r="A1268" t="s">
        <v>1341</v>
      </c>
      <c r="B1268" t="s">
        <v>64</v>
      </c>
      <c r="C1268" t="s">
        <v>1314</v>
      </c>
      <c r="D1268" t="s">
        <v>1315</v>
      </c>
      <c r="E1268" t="s">
        <v>64</v>
      </c>
      <c r="F1268" t="s">
        <v>94</v>
      </c>
      <c r="G1268" t="s">
        <v>277</v>
      </c>
      <c r="H1268" s="12">
        <v>6.1429999999999998</v>
      </c>
      <c r="I1268" s="12">
        <v>-75.448999999999998</v>
      </c>
      <c r="J1268" t="s">
        <v>96</v>
      </c>
      <c r="K1268" t="s">
        <v>97</v>
      </c>
      <c r="L1268" t="s">
        <v>1273</v>
      </c>
      <c r="P1268" s="13">
        <v>165.5</v>
      </c>
      <c r="Q1268" s="13">
        <v>39</v>
      </c>
      <c r="R1268">
        <v>26</v>
      </c>
      <c r="S1268">
        <v>30</v>
      </c>
      <c r="T1268" s="13">
        <v>34.5</v>
      </c>
      <c r="U1268" s="13">
        <v>41.8</v>
      </c>
      <c r="V1268" t="s">
        <v>99</v>
      </c>
      <c r="X1268" s="13">
        <v>165.5</v>
      </c>
    </row>
    <row r="1269" spans="1:24" x14ac:dyDescent="0.25">
      <c r="A1269" t="s">
        <v>1341</v>
      </c>
      <c r="B1269" t="s">
        <v>64</v>
      </c>
      <c r="C1269" t="s">
        <v>1314</v>
      </c>
      <c r="D1269" t="s">
        <v>1315</v>
      </c>
      <c r="E1269" t="s">
        <v>64</v>
      </c>
      <c r="F1269" t="s">
        <v>94</v>
      </c>
      <c r="G1269" t="s">
        <v>277</v>
      </c>
      <c r="H1269" s="12">
        <v>6.1429999999999998</v>
      </c>
      <c r="I1269" s="12">
        <v>-75.448999999999998</v>
      </c>
      <c r="J1269" t="s">
        <v>96</v>
      </c>
      <c r="K1269" t="s">
        <v>1269</v>
      </c>
      <c r="L1269" t="s">
        <v>1270</v>
      </c>
      <c r="P1269" s="13">
        <v>156.19999999999999</v>
      </c>
      <c r="Q1269" s="13">
        <v>41.5</v>
      </c>
      <c r="R1269">
        <v>28</v>
      </c>
      <c r="S1269">
        <v>22</v>
      </c>
      <c r="T1269" s="13">
        <v>27.6</v>
      </c>
      <c r="U1269" s="13">
        <v>49.1</v>
      </c>
      <c r="V1269" t="s">
        <v>268</v>
      </c>
      <c r="W1269" t="s">
        <v>1271</v>
      </c>
      <c r="X1269" s="13"/>
    </row>
    <row r="1270" spans="1:24" x14ac:dyDescent="0.25">
      <c r="A1270" t="s">
        <v>1342</v>
      </c>
      <c r="B1270" t="s">
        <v>64</v>
      </c>
      <c r="C1270" t="s">
        <v>1314</v>
      </c>
      <c r="D1270" t="s">
        <v>1315</v>
      </c>
      <c r="E1270" t="s">
        <v>64</v>
      </c>
      <c r="F1270" t="s">
        <v>94</v>
      </c>
      <c r="G1270" t="s">
        <v>277</v>
      </c>
      <c r="H1270" s="12">
        <v>6.1429999999999998</v>
      </c>
      <c r="I1270" s="12">
        <v>-75.448999999999998</v>
      </c>
      <c r="J1270" t="s">
        <v>96</v>
      </c>
      <c r="K1270" t="s">
        <v>97</v>
      </c>
      <c r="L1270" t="s">
        <v>1273</v>
      </c>
      <c r="P1270" s="13">
        <v>269.89999999999998</v>
      </c>
      <c r="Q1270" s="13">
        <v>63.4</v>
      </c>
      <c r="R1270">
        <v>40</v>
      </c>
      <c r="S1270">
        <v>66</v>
      </c>
      <c r="T1270" s="13">
        <v>39.700000000000003</v>
      </c>
      <c r="U1270" s="13">
        <v>74.5</v>
      </c>
      <c r="V1270" t="s">
        <v>99</v>
      </c>
      <c r="X1270" s="13">
        <v>269.89999999999998</v>
      </c>
    </row>
    <row r="1271" spans="1:24" x14ac:dyDescent="0.25">
      <c r="A1271" t="s">
        <v>1342</v>
      </c>
      <c r="B1271" t="s">
        <v>64</v>
      </c>
      <c r="C1271" t="s">
        <v>1314</v>
      </c>
      <c r="D1271" t="s">
        <v>1315</v>
      </c>
      <c r="E1271" t="s">
        <v>64</v>
      </c>
      <c r="F1271" t="s">
        <v>94</v>
      </c>
      <c r="G1271" t="s">
        <v>277</v>
      </c>
      <c r="H1271" s="12">
        <v>6.1429999999999998</v>
      </c>
      <c r="I1271" s="12">
        <v>-75.448999999999998</v>
      </c>
      <c r="J1271" t="s">
        <v>96</v>
      </c>
      <c r="K1271" t="s">
        <v>1269</v>
      </c>
      <c r="L1271" t="s">
        <v>1270</v>
      </c>
      <c r="P1271" s="13">
        <v>240.4</v>
      </c>
      <c r="Q1271" s="13">
        <v>53.7</v>
      </c>
      <c r="R1271">
        <v>26</v>
      </c>
      <c r="S1271">
        <v>74</v>
      </c>
      <c r="T1271" s="13">
        <v>31</v>
      </c>
      <c r="U1271" s="13">
        <v>70.900000000000006</v>
      </c>
      <c r="V1271" t="s">
        <v>268</v>
      </c>
      <c r="W1271" t="s">
        <v>1271</v>
      </c>
      <c r="X1271" s="13"/>
    </row>
    <row r="1272" spans="1:24" x14ac:dyDescent="0.25">
      <c r="A1272" t="s">
        <v>1343</v>
      </c>
      <c r="B1272" t="s">
        <v>64</v>
      </c>
      <c r="C1272" t="s">
        <v>1344</v>
      </c>
      <c r="D1272" t="s">
        <v>1345</v>
      </c>
      <c r="E1272" t="s">
        <v>64</v>
      </c>
      <c r="F1272" t="s">
        <v>94</v>
      </c>
      <c r="G1272" t="s">
        <v>277</v>
      </c>
      <c r="H1272" s="12">
        <v>6.0789999999999997</v>
      </c>
      <c r="I1272" s="12">
        <v>-75.424000000000007</v>
      </c>
      <c r="J1272" t="s">
        <v>96</v>
      </c>
      <c r="K1272" t="s">
        <v>97</v>
      </c>
      <c r="L1272" t="s">
        <v>1273</v>
      </c>
      <c r="P1272" s="13">
        <v>286</v>
      </c>
      <c r="Q1272" s="13">
        <v>63.4</v>
      </c>
      <c r="R1272">
        <v>34</v>
      </c>
      <c r="S1272">
        <v>66</v>
      </c>
      <c r="T1272" s="13">
        <v>62.1</v>
      </c>
      <c r="U1272" s="13">
        <v>67.3</v>
      </c>
      <c r="V1272" t="s">
        <v>99</v>
      </c>
      <c r="X1272" s="13">
        <v>286</v>
      </c>
    </row>
    <row r="1273" spans="1:24" x14ac:dyDescent="0.25">
      <c r="A1273" t="s">
        <v>1343</v>
      </c>
      <c r="B1273" t="s">
        <v>64</v>
      </c>
      <c r="C1273" t="s">
        <v>1344</v>
      </c>
      <c r="D1273" t="s">
        <v>1345</v>
      </c>
      <c r="E1273" t="s">
        <v>64</v>
      </c>
      <c r="F1273" t="s">
        <v>94</v>
      </c>
      <c r="G1273" t="s">
        <v>277</v>
      </c>
      <c r="H1273" s="12">
        <v>6.0789999999999997</v>
      </c>
      <c r="I1273" s="12">
        <v>-75.424000000000007</v>
      </c>
      <c r="J1273" t="s">
        <v>96</v>
      </c>
      <c r="K1273" t="s">
        <v>1269</v>
      </c>
      <c r="L1273" t="s">
        <v>1270</v>
      </c>
      <c r="P1273" s="13">
        <v>276.89999999999998</v>
      </c>
      <c r="Q1273" s="13">
        <v>61</v>
      </c>
      <c r="R1273">
        <v>52</v>
      </c>
      <c r="S1273">
        <v>64</v>
      </c>
      <c r="T1273" s="13">
        <v>44.8</v>
      </c>
      <c r="U1273" s="13">
        <v>54.5</v>
      </c>
      <c r="V1273" t="s">
        <v>268</v>
      </c>
      <c r="W1273" t="s">
        <v>1271</v>
      </c>
      <c r="X1273" s="13"/>
    </row>
    <row r="1274" spans="1:24" x14ac:dyDescent="0.25">
      <c r="A1274" t="s">
        <v>1346</v>
      </c>
      <c r="B1274" t="s">
        <v>64</v>
      </c>
      <c r="C1274" t="s">
        <v>1344</v>
      </c>
      <c r="D1274" t="s">
        <v>1345</v>
      </c>
      <c r="E1274" t="s">
        <v>64</v>
      </c>
      <c r="F1274" t="s">
        <v>94</v>
      </c>
      <c r="G1274" t="s">
        <v>277</v>
      </c>
      <c r="H1274" s="12">
        <v>6.0789999999999997</v>
      </c>
      <c r="I1274" s="12">
        <v>-75.424000000000007</v>
      </c>
      <c r="J1274" t="s">
        <v>96</v>
      </c>
      <c r="K1274" t="s">
        <v>97</v>
      </c>
      <c r="L1274" t="s">
        <v>1273</v>
      </c>
      <c r="P1274" s="13">
        <v>230.5</v>
      </c>
      <c r="Q1274" s="13">
        <v>58.5</v>
      </c>
      <c r="R1274">
        <v>44</v>
      </c>
      <c r="S1274">
        <v>26</v>
      </c>
      <c r="T1274" s="13">
        <v>50</v>
      </c>
      <c r="U1274" s="13">
        <v>63.6</v>
      </c>
      <c r="V1274" t="s">
        <v>99</v>
      </c>
      <c r="X1274" s="13">
        <v>230.5</v>
      </c>
    </row>
    <row r="1275" spans="1:24" x14ac:dyDescent="0.25">
      <c r="A1275" t="s">
        <v>1346</v>
      </c>
      <c r="B1275" t="s">
        <v>64</v>
      </c>
      <c r="C1275" t="s">
        <v>1344</v>
      </c>
      <c r="D1275" t="s">
        <v>1345</v>
      </c>
      <c r="E1275" t="s">
        <v>64</v>
      </c>
      <c r="F1275" t="s">
        <v>94</v>
      </c>
      <c r="G1275" t="s">
        <v>277</v>
      </c>
      <c r="H1275" s="12">
        <v>6.0789999999999997</v>
      </c>
      <c r="I1275" s="12">
        <v>-75.424000000000007</v>
      </c>
      <c r="J1275" t="s">
        <v>96</v>
      </c>
      <c r="K1275" t="s">
        <v>1269</v>
      </c>
      <c r="L1275" t="s">
        <v>1270</v>
      </c>
      <c r="P1275" s="13">
        <v>294.7</v>
      </c>
      <c r="Q1275" s="13">
        <v>51.2</v>
      </c>
      <c r="R1275">
        <v>46</v>
      </c>
      <c r="S1275">
        <v>72</v>
      </c>
      <c r="T1275" s="13">
        <v>63.8</v>
      </c>
      <c r="U1275" s="13">
        <v>67.3</v>
      </c>
      <c r="V1275" t="s">
        <v>268</v>
      </c>
      <c r="W1275" t="s">
        <v>1271</v>
      </c>
      <c r="X1275" s="13"/>
    </row>
    <row r="1276" spans="1:24" x14ac:dyDescent="0.25">
      <c r="A1276" t="s">
        <v>1347</v>
      </c>
      <c r="B1276" t="s">
        <v>64</v>
      </c>
      <c r="C1276" t="s">
        <v>1344</v>
      </c>
      <c r="D1276" t="s">
        <v>1345</v>
      </c>
      <c r="E1276" t="s">
        <v>64</v>
      </c>
      <c r="F1276" t="s">
        <v>94</v>
      </c>
      <c r="G1276" t="s">
        <v>277</v>
      </c>
      <c r="H1276" s="12">
        <v>6.0789999999999997</v>
      </c>
      <c r="I1276" s="12">
        <v>-75.424000000000007</v>
      </c>
      <c r="J1276" t="s">
        <v>96</v>
      </c>
      <c r="K1276" t="s">
        <v>97</v>
      </c>
      <c r="L1276" t="s">
        <v>1273</v>
      </c>
      <c r="P1276" s="13">
        <v>153.5</v>
      </c>
      <c r="Q1276" s="13">
        <v>46.3</v>
      </c>
      <c r="R1276">
        <v>20</v>
      </c>
      <c r="S1276">
        <v>16</v>
      </c>
      <c r="T1276" s="13">
        <v>37.9</v>
      </c>
      <c r="U1276" s="13">
        <v>38.200000000000003</v>
      </c>
      <c r="V1276" t="s">
        <v>99</v>
      </c>
      <c r="X1276" s="13">
        <v>153.5</v>
      </c>
    </row>
    <row r="1277" spans="1:24" x14ac:dyDescent="0.25">
      <c r="A1277" t="s">
        <v>1347</v>
      </c>
      <c r="B1277" t="s">
        <v>64</v>
      </c>
      <c r="C1277" t="s">
        <v>1344</v>
      </c>
      <c r="D1277" t="s">
        <v>1345</v>
      </c>
      <c r="E1277" t="s">
        <v>64</v>
      </c>
      <c r="F1277" t="s">
        <v>94</v>
      </c>
      <c r="G1277" t="s">
        <v>277</v>
      </c>
      <c r="H1277" s="12">
        <v>6.0789999999999997</v>
      </c>
      <c r="I1277" s="12">
        <v>-75.424000000000007</v>
      </c>
      <c r="J1277" t="s">
        <v>96</v>
      </c>
      <c r="K1277" t="s">
        <v>1269</v>
      </c>
      <c r="L1277" t="s">
        <v>1270</v>
      </c>
      <c r="P1277" s="13">
        <v>216.5</v>
      </c>
      <c r="Q1277" s="13">
        <v>43.9</v>
      </c>
      <c r="R1277">
        <v>26</v>
      </c>
      <c r="S1277">
        <v>46</v>
      </c>
      <c r="T1277" s="13">
        <v>62.1</v>
      </c>
      <c r="U1277" s="13">
        <v>29.1</v>
      </c>
      <c r="V1277" t="s">
        <v>268</v>
      </c>
      <c r="W1277" t="s">
        <v>1271</v>
      </c>
      <c r="X1277" s="13"/>
    </row>
    <row r="1278" spans="1:24" x14ac:dyDescent="0.25">
      <c r="A1278" t="s">
        <v>1348</v>
      </c>
      <c r="B1278" t="s">
        <v>64</v>
      </c>
      <c r="C1278" t="s">
        <v>1344</v>
      </c>
      <c r="D1278" t="s">
        <v>1345</v>
      </c>
      <c r="E1278" t="s">
        <v>64</v>
      </c>
      <c r="F1278" t="s">
        <v>94</v>
      </c>
      <c r="G1278" t="s">
        <v>277</v>
      </c>
      <c r="H1278" s="12">
        <v>6.0789999999999997</v>
      </c>
      <c r="I1278" s="12">
        <v>-75.424000000000007</v>
      </c>
      <c r="J1278" t="s">
        <v>96</v>
      </c>
      <c r="K1278" t="s">
        <v>97</v>
      </c>
      <c r="L1278" t="s">
        <v>1273</v>
      </c>
      <c r="P1278" s="13">
        <v>316.10000000000002</v>
      </c>
      <c r="Q1278" s="13">
        <v>48.8</v>
      </c>
      <c r="R1278">
        <v>52</v>
      </c>
      <c r="S1278">
        <v>80</v>
      </c>
      <c r="T1278" s="13">
        <v>69</v>
      </c>
      <c r="U1278" s="13">
        <v>72.7</v>
      </c>
      <c r="V1278" t="s">
        <v>99</v>
      </c>
      <c r="X1278" s="13">
        <v>316.10000000000002</v>
      </c>
    </row>
    <row r="1279" spans="1:24" x14ac:dyDescent="0.25">
      <c r="A1279" t="s">
        <v>1348</v>
      </c>
      <c r="B1279" t="s">
        <v>64</v>
      </c>
      <c r="C1279" t="s">
        <v>1344</v>
      </c>
      <c r="D1279" t="s">
        <v>1345</v>
      </c>
      <c r="E1279" t="s">
        <v>64</v>
      </c>
      <c r="F1279" t="s">
        <v>94</v>
      </c>
      <c r="G1279" t="s">
        <v>277</v>
      </c>
      <c r="H1279" s="12">
        <v>6.0789999999999997</v>
      </c>
      <c r="I1279" s="12">
        <v>-75.424000000000007</v>
      </c>
      <c r="J1279" t="s">
        <v>96</v>
      </c>
      <c r="K1279" t="s">
        <v>1269</v>
      </c>
      <c r="L1279" t="s">
        <v>1270</v>
      </c>
      <c r="P1279" s="13">
        <v>352.8</v>
      </c>
      <c r="Q1279" s="13">
        <v>56.1</v>
      </c>
      <c r="R1279">
        <v>78</v>
      </c>
      <c r="S1279">
        <v>76</v>
      </c>
      <c r="T1279" s="13">
        <v>69</v>
      </c>
      <c r="U1279" s="13">
        <v>80</v>
      </c>
      <c r="V1279" t="s">
        <v>268</v>
      </c>
      <c r="W1279" t="s">
        <v>1271</v>
      </c>
      <c r="X1279" s="13"/>
    </row>
    <row r="1280" spans="1:24" x14ac:dyDescent="0.25">
      <c r="A1280" t="s">
        <v>1349</v>
      </c>
      <c r="B1280" t="s">
        <v>64</v>
      </c>
      <c r="C1280" t="s">
        <v>1344</v>
      </c>
      <c r="D1280" t="s">
        <v>1345</v>
      </c>
      <c r="E1280" t="s">
        <v>64</v>
      </c>
      <c r="F1280" t="s">
        <v>94</v>
      </c>
      <c r="G1280" t="s">
        <v>277</v>
      </c>
      <c r="H1280" s="12">
        <v>6.0789999999999997</v>
      </c>
      <c r="I1280" s="12">
        <v>-75.424000000000007</v>
      </c>
      <c r="J1280" t="s">
        <v>96</v>
      </c>
      <c r="K1280" t="s">
        <v>97</v>
      </c>
      <c r="L1280" t="s">
        <v>1273</v>
      </c>
      <c r="P1280" s="13">
        <v>259.8</v>
      </c>
      <c r="Q1280" s="13">
        <v>58.5</v>
      </c>
      <c r="R1280">
        <v>36</v>
      </c>
      <c r="S1280">
        <v>66</v>
      </c>
      <c r="T1280" s="13">
        <v>48.3</v>
      </c>
      <c r="U1280" s="13">
        <v>49.1</v>
      </c>
      <c r="V1280" t="s">
        <v>99</v>
      </c>
      <c r="X1280" s="13">
        <v>259.8</v>
      </c>
    </row>
    <row r="1281" spans="1:24" x14ac:dyDescent="0.25">
      <c r="A1281" t="s">
        <v>1349</v>
      </c>
      <c r="B1281" t="s">
        <v>64</v>
      </c>
      <c r="C1281" t="s">
        <v>1344</v>
      </c>
      <c r="D1281" t="s">
        <v>1345</v>
      </c>
      <c r="E1281" t="s">
        <v>64</v>
      </c>
      <c r="F1281" t="s">
        <v>94</v>
      </c>
      <c r="G1281" t="s">
        <v>277</v>
      </c>
      <c r="H1281" s="12">
        <v>6.0789999999999997</v>
      </c>
      <c r="I1281" s="12">
        <v>-75.424000000000007</v>
      </c>
      <c r="J1281" t="s">
        <v>96</v>
      </c>
      <c r="K1281" t="s">
        <v>1269</v>
      </c>
      <c r="L1281" t="s">
        <v>1270</v>
      </c>
      <c r="P1281" s="13">
        <v>207.5</v>
      </c>
      <c r="Q1281" s="13">
        <v>48.8</v>
      </c>
      <c r="R1281">
        <v>30</v>
      </c>
      <c r="S1281">
        <v>52</v>
      </c>
      <c r="T1281" s="13">
        <v>34.5</v>
      </c>
      <c r="U1281" s="13">
        <v>43.6</v>
      </c>
      <c r="V1281" t="s">
        <v>268</v>
      </c>
      <c r="W1281" t="s">
        <v>1271</v>
      </c>
      <c r="X1281" s="13"/>
    </row>
    <row r="1282" spans="1:24" x14ac:dyDescent="0.25">
      <c r="A1282" t="s">
        <v>1350</v>
      </c>
      <c r="B1282" t="s">
        <v>64</v>
      </c>
      <c r="C1282" t="s">
        <v>1344</v>
      </c>
      <c r="D1282" t="s">
        <v>1345</v>
      </c>
      <c r="E1282" t="s">
        <v>64</v>
      </c>
      <c r="F1282" t="s">
        <v>94</v>
      </c>
      <c r="G1282" t="s">
        <v>277</v>
      </c>
      <c r="H1282" s="12">
        <v>6.0789999999999997</v>
      </c>
      <c r="I1282" s="12">
        <v>-75.424000000000007</v>
      </c>
      <c r="J1282" t="s">
        <v>96</v>
      </c>
      <c r="K1282" t="s">
        <v>97</v>
      </c>
      <c r="L1282" t="s">
        <v>1273</v>
      </c>
      <c r="P1282" s="13">
        <v>320</v>
      </c>
      <c r="Q1282" s="13">
        <v>73.2</v>
      </c>
      <c r="R1282">
        <v>42</v>
      </c>
      <c r="S1282">
        <v>80</v>
      </c>
      <c r="T1282" s="13">
        <v>50</v>
      </c>
      <c r="U1282" s="13">
        <v>96.4</v>
      </c>
      <c r="V1282" t="s">
        <v>99</v>
      </c>
      <c r="X1282" s="13">
        <v>320</v>
      </c>
    </row>
    <row r="1283" spans="1:24" x14ac:dyDescent="0.25">
      <c r="A1283" t="s">
        <v>1350</v>
      </c>
      <c r="B1283" t="s">
        <v>64</v>
      </c>
      <c r="C1283" t="s">
        <v>1344</v>
      </c>
      <c r="D1283" t="s">
        <v>1345</v>
      </c>
      <c r="E1283" t="s">
        <v>64</v>
      </c>
      <c r="F1283" t="s">
        <v>94</v>
      </c>
      <c r="G1283" t="s">
        <v>277</v>
      </c>
      <c r="H1283" s="12">
        <v>6.0789999999999997</v>
      </c>
      <c r="I1283" s="12">
        <v>-75.424000000000007</v>
      </c>
      <c r="J1283" t="s">
        <v>96</v>
      </c>
      <c r="K1283" t="s">
        <v>1269</v>
      </c>
      <c r="L1283" t="s">
        <v>1270</v>
      </c>
      <c r="P1283" s="13">
        <v>346.2</v>
      </c>
      <c r="Q1283" s="13">
        <v>58.5</v>
      </c>
      <c r="R1283">
        <v>58</v>
      </c>
      <c r="S1283">
        <v>82</v>
      </c>
      <c r="T1283" s="13">
        <v>72.400000000000006</v>
      </c>
      <c r="U1283" s="13">
        <v>87.3</v>
      </c>
      <c r="V1283" t="s">
        <v>268</v>
      </c>
      <c r="W1283" t="s">
        <v>1271</v>
      </c>
      <c r="X1283" s="13"/>
    </row>
    <row r="1284" spans="1:24" x14ac:dyDescent="0.25">
      <c r="A1284" t="s">
        <v>1351</v>
      </c>
      <c r="B1284" t="s">
        <v>64</v>
      </c>
      <c r="C1284" t="s">
        <v>1344</v>
      </c>
      <c r="D1284" t="s">
        <v>1345</v>
      </c>
      <c r="E1284" t="s">
        <v>64</v>
      </c>
      <c r="F1284" t="s">
        <v>94</v>
      </c>
      <c r="G1284" t="s">
        <v>277</v>
      </c>
      <c r="H1284" s="12">
        <v>6.0789999999999997</v>
      </c>
      <c r="I1284" s="12">
        <v>-75.424000000000007</v>
      </c>
      <c r="J1284" t="s">
        <v>96</v>
      </c>
      <c r="K1284" t="s">
        <v>97</v>
      </c>
      <c r="L1284" t="s">
        <v>1273</v>
      </c>
      <c r="P1284" s="13">
        <v>138.1</v>
      </c>
      <c r="Q1284" s="13">
        <v>22</v>
      </c>
      <c r="R1284">
        <v>36</v>
      </c>
      <c r="S1284">
        <v>30</v>
      </c>
      <c r="T1284" s="13">
        <v>19</v>
      </c>
      <c r="U1284" s="13">
        <v>38.200000000000003</v>
      </c>
      <c r="V1284" t="s">
        <v>99</v>
      </c>
      <c r="X1284" s="13">
        <v>138.1</v>
      </c>
    </row>
    <row r="1285" spans="1:24" x14ac:dyDescent="0.25">
      <c r="A1285" t="s">
        <v>1351</v>
      </c>
      <c r="B1285" t="s">
        <v>64</v>
      </c>
      <c r="C1285" t="s">
        <v>1344</v>
      </c>
      <c r="D1285" t="s">
        <v>1345</v>
      </c>
      <c r="E1285" t="s">
        <v>64</v>
      </c>
      <c r="F1285" t="s">
        <v>94</v>
      </c>
      <c r="G1285" t="s">
        <v>277</v>
      </c>
      <c r="H1285" s="12">
        <v>6.0789999999999997</v>
      </c>
      <c r="I1285" s="12">
        <v>-75.424000000000007</v>
      </c>
      <c r="J1285" t="s">
        <v>96</v>
      </c>
      <c r="K1285" t="s">
        <v>1269</v>
      </c>
      <c r="L1285" t="s">
        <v>1270</v>
      </c>
      <c r="P1285" s="13">
        <v>186.6</v>
      </c>
      <c r="Q1285" s="13">
        <v>41.5</v>
      </c>
      <c r="R1285">
        <v>40</v>
      </c>
      <c r="S1285">
        <v>28</v>
      </c>
      <c r="T1285" s="13">
        <v>41.4</v>
      </c>
      <c r="U1285" s="13">
        <v>32.700000000000003</v>
      </c>
      <c r="V1285" t="s">
        <v>268</v>
      </c>
      <c r="W1285" t="s">
        <v>1271</v>
      </c>
      <c r="X1285" s="13"/>
    </row>
    <row r="1286" spans="1:24" x14ac:dyDescent="0.25">
      <c r="A1286" t="s">
        <v>1352</v>
      </c>
      <c r="B1286" t="s">
        <v>64</v>
      </c>
      <c r="C1286" t="s">
        <v>1344</v>
      </c>
      <c r="D1286" t="s">
        <v>1345</v>
      </c>
      <c r="E1286" t="s">
        <v>64</v>
      </c>
      <c r="F1286" t="s">
        <v>94</v>
      </c>
      <c r="G1286" t="s">
        <v>277</v>
      </c>
      <c r="H1286" s="12">
        <v>6.0789999999999997</v>
      </c>
      <c r="I1286" s="12">
        <v>-75.424000000000007</v>
      </c>
      <c r="J1286" t="s">
        <v>96</v>
      </c>
      <c r="K1286" t="s">
        <v>97</v>
      </c>
      <c r="L1286" t="s">
        <v>1273</v>
      </c>
      <c r="P1286" s="13">
        <v>275.10000000000002</v>
      </c>
      <c r="Q1286" s="13">
        <v>65.900000000000006</v>
      </c>
      <c r="R1286">
        <v>28</v>
      </c>
      <c r="S1286">
        <v>74</v>
      </c>
      <c r="T1286" s="13">
        <v>50</v>
      </c>
      <c r="U1286" s="13">
        <v>61.8</v>
      </c>
      <c r="V1286" t="s">
        <v>99</v>
      </c>
      <c r="X1286" s="13">
        <v>275.10000000000002</v>
      </c>
    </row>
    <row r="1287" spans="1:24" x14ac:dyDescent="0.25">
      <c r="A1287" t="s">
        <v>1352</v>
      </c>
      <c r="B1287" t="s">
        <v>64</v>
      </c>
      <c r="C1287" t="s">
        <v>1344</v>
      </c>
      <c r="D1287" t="s">
        <v>1345</v>
      </c>
      <c r="E1287" t="s">
        <v>64</v>
      </c>
      <c r="F1287" t="s">
        <v>94</v>
      </c>
      <c r="G1287" t="s">
        <v>277</v>
      </c>
      <c r="H1287" s="12">
        <v>6.0789999999999997</v>
      </c>
      <c r="I1287" s="12">
        <v>-75.424000000000007</v>
      </c>
      <c r="J1287" t="s">
        <v>96</v>
      </c>
      <c r="K1287" t="s">
        <v>1269</v>
      </c>
      <c r="L1287" t="s">
        <v>1270</v>
      </c>
      <c r="P1287" s="13">
        <v>269.2</v>
      </c>
      <c r="Q1287" s="13">
        <v>56.1</v>
      </c>
      <c r="R1287">
        <v>34</v>
      </c>
      <c r="S1287">
        <v>78</v>
      </c>
      <c r="T1287" s="13">
        <v>48.3</v>
      </c>
      <c r="U1287" s="13">
        <v>50.9</v>
      </c>
      <c r="V1287" t="s">
        <v>268</v>
      </c>
      <c r="W1287" t="s">
        <v>1271</v>
      </c>
      <c r="X1287" s="13"/>
    </row>
    <row r="1288" spans="1:24" x14ac:dyDescent="0.25">
      <c r="A1288" t="s">
        <v>1353</v>
      </c>
      <c r="B1288" t="s">
        <v>64</v>
      </c>
      <c r="C1288" t="s">
        <v>1344</v>
      </c>
      <c r="D1288" t="s">
        <v>1345</v>
      </c>
      <c r="E1288" t="s">
        <v>64</v>
      </c>
      <c r="F1288" t="s">
        <v>94</v>
      </c>
      <c r="G1288" t="s">
        <v>277</v>
      </c>
      <c r="H1288" s="12">
        <v>6.0789999999999997</v>
      </c>
      <c r="I1288" s="12">
        <v>-75.424000000000007</v>
      </c>
      <c r="J1288" t="s">
        <v>96</v>
      </c>
      <c r="K1288" t="s">
        <v>97</v>
      </c>
      <c r="L1288" t="s">
        <v>1273</v>
      </c>
      <c r="P1288" s="13">
        <v>229.2</v>
      </c>
      <c r="Q1288" s="13">
        <v>75.599999999999994</v>
      </c>
      <c r="R1288">
        <v>32</v>
      </c>
      <c r="S1288">
        <v>20</v>
      </c>
      <c r="T1288" s="13">
        <v>53.4</v>
      </c>
      <c r="U1288" s="13">
        <v>52.7</v>
      </c>
      <c r="V1288" t="s">
        <v>99</v>
      </c>
      <c r="X1288" s="13">
        <v>229.2</v>
      </c>
    </row>
    <row r="1289" spans="1:24" x14ac:dyDescent="0.25">
      <c r="A1289" t="s">
        <v>1353</v>
      </c>
      <c r="B1289" t="s">
        <v>64</v>
      </c>
      <c r="C1289" t="s">
        <v>1344</v>
      </c>
      <c r="D1289" t="s">
        <v>1345</v>
      </c>
      <c r="E1289" t="s">
        <v>64</v>
      </c>
      <c r="F1289" t="s">
        <v>94</v>
      </c>
      <c r="G1289" t="s">
        <v>277</v>
      </c>
      <c r="H1289" s="12">
        <v>6.0789999999999997</v>
      </c>
      <c r="I1289" s="12">
        <v>-75.424000000000007</v>
      </c>
      <c r="J1289" t="s">
        <v>96</v>
      </c>
      <c r="K1289" t="s">
        <v>1269</v>
      </c>
      <c r="L1289" t="s">
        <v>1270</v>
      </c>
      <c r="P1289" s="13">
        <v>268.5</v>
      </c>
      <c r="Q1289" s="13">
        <v>61</v>
      </c>
      <c r="R1289">
        <v>52</v>
      </c>
      <c r="S1289">
        <v>54</v>
      </c>
      <c r="T1289" s="13">
        <v>50</v>
      </c>
      <c r="U1289" s="13">
        <v>47.3</v>
      </c>
      <c r="V1289" t="s">
        <v>268</v>
      </c>
      <c r="W1289" t="s">
        <v>1271</v>
      </c>
      <c r="X1289" s="13"/>
    </row>
    <row r="1290" spans="1:24" x14ac:dyDescent="0.25">
      <c r="A1290" t="s">
        <v>1354</v>
      </c>
      <c r="B1290" t="s">
        <v>64</v>
      </c>
      <c r="C1290" t="s">
        <v>1344</v>
      </c>
      <c r="D1290" t="s">
        <v>1345</v>
      </c>
      <c r="E1290" t="s">
        <v>64</v>
      </c>
      <c r="F1290" t="s">
        <v>94</v>
      </c>
      <c r="G1290" t="s">
        <v>277</v>
      </c>
      <c r="H1290" s="12">
        <v>6.0789999999999997</v>
      </c>
      <c r="I1290" s="12">
        <v>-75.424000000000007</v>
      </c>
      <c r="J1290" t="s">
        <v>96</v>
      </c>
      <c r="K1290" t="s">
        <v>97</v>
      </c>
      <c r="L1290" t="s">
        <v>1273</v>
      </c>
      <c r="P1290" s="13">
        <v>226</v>
      </c>
      <c r="Q1290" s="13">
        <v>46.3</v>
      </c>
      <c r="R1290">
        <v>32</v>
      </c>
      <c r="S1290">
        <v>58</v>
      </c>
      <c r="T1290" s="13">
        <v>41.4</v>
      </c>
      <c r="U1290" s="13">
        <v>54.5</v>
      </c>
      <c r="V1290" t="s">
        <v>99</v>
      </c>
      <c r="X1290" s="13">
        <v>226</v>
      </c>
    </row>
    <row r="1291" spans="1:24" x14ac:dyDescent="0.25">
      <c r="A1291" t="s">
        <v>1354</v>
      </c>
      <c r="B1291" t="s">
        <v>64</v>
      </c>
      <c r="C1291" t="s">
        <v>1344</v>
      </c>
      <c r="D1291" t="s">
        <v>1345</v>
      </c>
      <c r="E1291" t="s">
        <v>64</v>
      </c>
      <c r="F1291" t="s">
        <v>94</v>
      </c>
      <c r="G1291" t="s">
        <v>277</v>
      </c>
      <c r="H1291" s="12">
        <v>6.0789999999999997</v>
      </c>
      <c r="I1291" s="12">
        <v>-75.424000000000007</v>
      </c>
      <c r="J1291" t="s">
        <v>96</v>
      </c>
      <c r="K1291" t="s">
        <v>1269</v>
      </c>
      <c r="L1291" t="s">
        <v>1270</v>
      </c>
      <c r="P1291" s="13">
        <v>224</v>
      </c>
      <c r="Q1291" s="13">
        <v>48.8</v>
      </c>
      <c r="R1291">
        <v>40</v>
      </c>
      <c r="S1291">
        <v>68</v>
      </c>
      <c r="T1291" s="13">
        <v>25.9</v>
      </c>
      <c r="U1291" s="13">
        <v>34.5</v>
      </c>
      <c r="V1291" t="s">
        <v>268</v>
      </c>
      <c r="W1291" t="s">
        <v>1271</v>
      </c>
      <c r="X1291" s="13"/>
    </row>
    <row r="1292" spans="1:24" x14ac:dyDescent="0.25">
      <c r="A1292" t="s">
        <v>1355</v>
      </c>
      <c r="B1292" t="s">
        <v>64</v>
      </c>
      <c r="C1292" t="s">
        <v>1344</v>
      </c>
      <c r="D1292" t="s">
        <v>1345</v>
      </c>
      <c r="E1292" t="s">
        <v>64</v>
      </c>
      <c r="F1292" t="s">
        <v>94</v>
      </c>
      <c r="G1292" t="s">
        <v>277</v>
      </c>
      <c r="H1292" s="12">
        <v>6.0789999999999997</v>
      </c>
      <c r="I1292" s="12">
        <v>-75.424000000000007</v>
      </c>
      <c r="J1292" t="s">
        <v>96</v>
      </c>
      <c r="K1292" t="s">
        <v>97</v>
      </c>
      <c r="L1292" t="s">
        <v>1273</v>
      </c>
      <c r="P1292" s="13">
        <v>176.8</v>
      </c>
      <c r="Q1292" s="13">
        <v>41.5</v>
      </c>
      <c r="R1292">
        <v>24</v>
      </c>
      <c r="S1292">
        <v>28</v>
      </c>
      <c r="T1292" s="13">
        <v>37.9</v>
      </c>
      <c r="U1292" s="13">
        <v>65.5</v>
      </c>
      <c r="V1292" t="s">
        <v>99</v>
      </c>
      <c r="X1292" s="13">
        <v>176.8</v>
      </c>
    </row>
    <row r="1293" spans="1:24" x14ac:dyDescent="0.25">
      <c r="A1293" t="s">
        <v>1355</v>
      </c>
      <c r="B1293" t="s">
        <v>64</v>
      </c>
      <c r="C1293" t="s">
        <v>1344</v>
      </c>
      <c r="D1293" t="s">
        <v>1345</v>
      </c>
      <c r="E1293" t="s">
        <v>64</v>
      </c>
      <c r="F1293" t="s">
        <v>94</v>
      </c>
      <c r="G1293" t="s">
        <v>277</v>
      </c>
      <c r="H1293" s="12">
        <v>6.0789999999999997</v>
      </c>
      <c r="I1293" s="12">
        <v>-75.424000000000007</v>
      </c>
      <c r="J1293" t="s">
        <v>96</v>
      </c>
      <c r="K1293" t="s">
        <v>1269</v>
      </c>
      <c r="L1293" t="s">
        <v>1270</v>
      </c>
      <c r="P1293" s="13">
        <v>232.7</v>
      </c>
      <c r="Q1293" s="13">
        <v>41.5</v>
      </c>
      <c r="R1293">
        <v>38</v>
      </c>
      <c r="S1293">
        <v>44</v>
      </c>
      <c r="T1293" s="13">
        <v>55.2</v>
      </c>
      <c r="U1293" s="13">
        <v>69.099999999999994</v>
      </c>
      <c r="V1293" t="s">
        <v>268</v>
      </c>
      <c r="W1293" t="s">
        <v>1271</v>
      </c>
      <c r="X1293" s="13"/>
    </row>
    <row r="1294" spans="1:24" x14ac:dyDescent="0.25">
      <c r="A1294" t="s">
        <v>1356</v>
      </c>
      <c r="B1294" t="s">
        <v>64</v>
      </c>
      <c r="C1294" t="s">
        <v>1344</v>
      </c>
      <c r="D1294" t="s">
        <v>1345</v>
      </c>
      <c r="E1294" t="s">
        <v>64</v>
      </c>
      <c r="F1294" t="s">
        <v>94</v>
      </c>
      <c r="G1294" t="s">
        <v>277</v>
      </c>
      <c r="H1294" s="12">
        <v>6.0789999999999997</v>
      </c>
      <c r="I1294" s="12">
        <v>-75.424000000000007</v>
      </c>
      <c r="J1294" t="s">
        <v>96</v>
      </c>
      <c r="K1294" t="s">
        <v>97</v>
      </c>
      <c r="L1294" t="s">
        <v>1273</v>
      </c>
      <c r="P1294" s="13">
        <v>238</v>
      </c>
      <c r="Q1294" s="13">
        <v>56.1</v>
      </c>
      <c r="R1294">
        <v>46</v>
      </c>
      <c r="S1294">
        <v>54</v>
      </c>
      <c r="T1294" s="13">
        <v>36.200000000000003</v>
      </c>
      <c r="U1294" s="13">
        <v>41.8</v>
      </c>
      <c r="V1294" t="s">
        <v>99</v>
      </c>
      <c r="X1294" s="13">
        <v>238</v>
      </c>
    </row>
    <row r="1295" spans="1:24" x14ac:dyDescent="0.25">
      <c r="A1295" t="s">
        <v>1356</v>
      </c>
      <c r="B1295" t="s">
        <v>64</v>
      </c>
      <c r="C1295" t="s">
        <v>1344</v>
      </c>
      <c r="D1295" t="s">
        <v>1345</v>
      </c>
      <c r="E1295" t="s">
        <v>64</v>
      </c>
      <c r="F1295" t="s">
        <v>94</v>
      </c>
      <c r="G1295" t="s">
        <v>277</v>
      </c>
      <c r="H1295" s="12">
        <v>6.0789999999999997</v>
      </c>
      <c r="I1295" s="12">
        <v>-75.424000000000007</v>
      </c>
      <c r="J1295" t="s">
        <v>96</v>
      </c>
      <c r="K1295" t="s">
        <v>1269</v>
      </c>
      <c r="L1295" t="s">
        <v>1270</v>
      </c>
      <c r="P1295" s="13">
        <v>242.3</v>
      </c>
      <c r="Q1295" s="13">
        <v>51.2</v>
      </c>
      <c r="R1295">
        <v>36</v>
      </c>
      <c r="S1295">
        <v>48</v>
      </c>
      <c r="T1295" s="13">
        <v>62.1</v>
      </c>
      <c r="U1295" s="13">
        <v>38.200000000000003</v>
      </c>
      <c r="V1295" t="s">
        <v>268</v>
      </c>
      <c r="W1295" t="s">
        <v>1271</v>
      </c>
      <c r="X1295" s="13"/>
    </row>
    <row r="1296" spans="1:24" x14ac:dyDescent="0.25">
      <c r="A1296" t="s">
        <v>1357</v>
      </c>
      <c r="B1296" t="s">
        <v>64</v>
      </c>
      <c r="C1296" t="s">
        <v>1344</v>
      </c>
      <c r="D1296" t="s">
        <v>1345</v>
      </c>
      <c r="E1296" t="s">
        <v>64</v>
      </c>
      <c r="F1296" t="s">
        <v>94</v>
      </c>
      <c r="G1296" t="s">
        <v>277</v>
      </c>
      <c r="H1296" s="12">
        <v>6.0789999999999997</v>
      </c>
      <c r="I1296" s="12">
        <v>-75.424000000000007</v>
      </c>
      <c r="J1296" t="s">
        <v>96</v>
      </c>
      <c r="K1296" t="s">
        <v>97</v>
      </c>
      <c r="L1296" t="s">
        <v>1273</v>
      </c>
      <c r="P1296" s="13">
        <v>218.7</v>
      </c>
      <c r="Q1296" s="13">
        <v>51.2</v>
      </c>
      <c r="R1296">
        <v>40</v>
      </c>
      <c r="S1296">
        <v>32</v>
      </c>
      <c r="T1296" s="13">
        <v>50</v>
      </c>
      <c r="U1296" s="13">
        <v>49.1</v>
      </c>
      <c r="V1296" t="s">
        <v>99</v>
      </c>
      <c r="X1296" s="13">
        <v>218.7</v>
      </c>
    </row>
    <row r="1297" spans="1:24" x14ac:dyDescent="0.25">
      <c r="A1297" t="s">
        <v>1357</v>
      </c>
      <c r="B1297" t="s">
        <v>64</v>
      </c>
      <c r="C1297" t="s">
        <v>1344</v>
      </c>
      <c r="D1297" t="s">
        <v>1345</v>
      </c>
      <c r="E1297" t="s">
        <v>64</v>
      </c>
      <c r="F1297" t="s">
        <v>94</v>
      </c>
      <c r="G1297" t="s">
        <v>277</v>
      </c>
      <c r="H1297" s="12">
        <v>6.0789999999999997</v>
      </c>
      <c r="I1297" s="12">
        <v>-75.424000000000007</v>
      </c>
      <c r="J1297" t="s">
        <v>96</v>
      </c>
      <c r="K1297" t="s">
        <v>1269</v>
      </c>
      <c r="L1297" t="s">
        <v>1270</v>
      </c>
      <c r="P1297" s="13">
        <v>269.60000000000002</v>
      </c>
      <c r="Q1297" s="13">
        <v>53.7</v>
      </c>
      <c r="R1297">
        <v>54</v>
      </c>
      <c r="S1297">
        <v>48</v>
      </c>
      <c r="T1297" s="13">
        <v>58.6</v>
      </c>
      <c r="U1297" s="13">
        <v>58.2</v>
      </c>
      <c r="V1297" t="s">
        <v>268</v>
      </c>
      <c r="W1297" t="s">
        <v>1271</v>
      </c>
      <c r="X1297" s="13"/>
    </row>
    <row r="1298" spans="1:24" x14ac:dyDescent="0.25">
      <c r="A1298" t="s">
        <v>1358</v>
      </c>
      <c r="B1298" t="s">
        <v>64</v>
      </c>
      <c r="C1298" t="s">
        <v>1344</v>
      </c>
      <c r="D1298" t="s">
        <v>1345</v>
      </c>
      <c r="E1298" t="s">
        <v>64</v>
      </c>
      <c r="F1298" t="s">
        <v>94</v>
      </c>
      <c r="G1298" t="s">
        <v>277</v>
      </c>
      <c r="H1298" s="12">
        <v>6.0789999999999997</v>
      </c>
      <c r="I1298" s="12">
        <v>-75.424000000000007</v>
      </c>
      <c r="J1298" t="s">
        <v>96</v>
      </c>
      <c r="K1298" t="s">
        <v>97</v>
      </c>
      <c r="L1298" t="s">
        <v>1273</v>
      </c>
      <c r="P1298" s="13">
        <v>278</v>
      </c>
      <c r="Q1298" s="13">
        <v>61</v>
      </c>
      <c r="R1298">
        <v>32</v>
      </c>
      <c r="S1298">
        <v>74</v>
      </c>
      <c r="T1298" s="13">
        <v>55.2</v>
      </c>
      <c r="U1298" s="13">
        <v>56.4</v>
      </c>
      <c r="V1298" t="s">
        <v>99</v>
      </c>
      <c r="X1298" s="13">
        <v>278</v>
      </c>
    </row>
    <row r="1299" spans="1:24" x14ac:dyDescent="0.25">
      <c r="A1299" t="s">
        <v>1358</v>
      </c>
      <c r="B1299" t="s">
        <v>64</v>
      </c>
      <c r="C1299" t="s">
        <v>1344</v>
      </c>
      <c r="D1299" t="s">
        <v>1345</v>
      </c>
      <c r="E1299" t="s">
        <v>64</v>
      </c>
      <c r="F1299" t="s">
        <v>94</v>
      </c>
      <c r="G1299" t="s">
        <v>277</v>
      </c>
      <c r="H1299" s="12">
        <v>6.0789999999999997</v>
      </c>
      <c r="I1299" s="12">
        <v>-75.424000000000007</v>
      </c>
      <c r="J1299" t="s">
        <v>96</v>
      </c>
      <c r="K1299" t="s">
        <v>1269</v>
      </c>
      <c r="L1299" t="s">
        <v>1270</v>
      </c>
      <c r="P1299" s="13">
        <v>310.60000000000002</v>
      </c>
      <c r="Q1299" s="13">
        <v>63.4</v>
      </c>
      <c r="R1299">
        <v>58</v>
      </c>
      <c r="S1299">
        <v>64</v>
      </c>
      <c r="T1299" s="13">
        <v>63.8</v>
      </c>
      <c r="U1299" s="13">
        <v>60</v>
      </c>
      <c r="V1299" t="s">
        <v>268</v>
      </c>
      <c r="W1299" t="s">
        <v>1271</v>
      </c>
      <c r="X1299" s="13"/>
    </row>
    <row r="1300" spans="1:24" x14ac:dyDescent="0.25">
      <c r="A1300" t="s">
        <v>1359</v>
      </c>
      <c r="B1300" t="s">
        <v>64</v>
      </c>
      <c r="C1300" t="s">
        <v>1344</v>
      </c>
      <c r="D1300" t="s">
        <v>1345</v>
      </c>
      <c r="E1300" t="s">
        <v>64</v>
      </c>
      <c r="F1300" t="s">
        <v>94</v>
      </c>
      <c r="G1300" t="s">
        <v>277</v>
      </c>
      <c r="H1300" s="12">
        <v>6.0789999999999997</v>
      </c>
      <c r="I1300" s="12">
        <v>-75.424000000000007</v>
      </c>
      <c r="J1300" t="s">
        <v>96</v>
      </c>
      <c r="K1300" t="s">
        <v>97</v>
      </c>
      <c r="L1300" t="s">
        <v>1273</v>
      </c>
      <c r="P1300" s="13">
        <v>180.3</v>
      </c>
      <c r="Q1300" s="13">
        <v>56.1</v>
      </c>
      <c r="R1300">
        <v>38</v>
      </c>
      <c r="S1300">
        <v>24</v>
      </c>
      <c r="T1300" s="13">
        <v>22.4</v>
      </c>
      <c r="U1300" s="13">
        <v>47.3</v>
      </c>
      <c r="V1300" t="s">
        <v>99</v>
      </c>
      <c r="X1300" s="13">
        <v>180.3</v>
      </c>
    </row>
    <row r="1301" spans="1:24" x14ac:dyDescent="0.25">
      <c r="A1301" t="s">
        <v>1359</v>
      </c>
      <c r="B1301" t="s">
        <v>64</v>
      </c>
      <c r="C1301" t="s">
        <v>1344</v>
      </c>
      <c r="D1301" t="s">
        <v>1345</v>
      </c>
      <c r="E1301" t="s">
        <v>64</v>
      </c>
      <c r="F1301" t="s">
        <v>94</v>
      </c>
      <c r="G1301" t="s">
        <v>277</v>
      </c>
      <c r="H1301" s="12">
        <v>6.0789999999999997</v>
      </c>
      <c r="I1301" s="12">
        <v>-75.424000000000007</v>
      </c>
      <c r="J1301" t="s">
        <v>96</v>
      </c>
      <c r="K1301" t="s">
        <v>1269</v>
      </c>
      <c r="L1301" t="s">
        <v>1270</v>
      </c>
      <c r="P1301" s="13">
        <v>258.7</v>
      </c>
      <c r="Q1301" s="13">
        <v>51.2</v>
      </c>
      <c r="R1301">
        <v>38</v>
      </c>
      <c r="S1301">
        <v>76</v>
      </c>
      <c r="T1301" s="13">
        <v>41.4</v>
      </c>
      <c r="U1301" s="13">
        <v>52.7</v>
      </c>
      <c r="V1301" t="s">
        <v>268</v>
      </c>
      <c r="W1301" t="s">
        <v>1271</v>
      </c>
      <c r="X1301" s="13"/>
    </row>
    <row r="1302" spans="1:24" x14ac:dyDescent="0.25">
      <c r="A1302" t="s">
        <v>1360</v>
      </c>
      <c r="B1302" t="s">
        <v>64</v>
      </c>
      <c r="C1302" t="s">
        <v>1344</v>
      </c>
      <c r="D1302" t="s">
        <v>1345</v>
      </c>
      <c r="E1302" t="s">
        <v>64</v>
      </c>
      <c r="F1302" t="s">
        <v>94</v>
      </c>
      <c r="G1302" t="s">
        <v>277</v>
      </c>
      <c r="H1302" s="12">
        <v>6.0789999999999997</v>
      </c>
      <c r="I1302" s="12">
        <v>-75.424000000000007</v>
      </c>
      <c r="J1302" t="s">
        <v>96</v>
      </c>
      <c r="K1302" t="s">
        <v>97</v>
      </c>
      <c r="L1302" t="s">
        <v>1273</v>
      </c>
      <c r="P1302" s="13">
        <v>199.1</v>
      </c>
      <c r="Q1302" s="13">
        <v>48.8</v>
      </c>
      <c r="R1302">
        <v>32</v>
      </c>
      <c r="S1302">
        <v>36</v>
      </c>
      <c r="T1302" s="13">
        <v>44.8</v>
      </c>
      <c r="U1302" s="13">
        <v>32.700000000000003</v>
      </c>
      <c r="V1302" t="s">
        <v>99</v>
      </c>
      <c r="X1302" s="13">
        <v>199.1</v>
      </c>
    </row>
    <row r="1303" spans="1:24" x14ac:dyDescent="0.25">
      <c r="A1303" t="s">
        <v>1360</v>
      </c>
      <c r="B1303" t="s">
        <v>64</v>
      </c>
      <c r="C1303" t="s">
        <v>1344</v>
      </c>
      <c r="D1303" t="s">
        <v>1345</v>
      </c>
      <c r="E1303" t="s">
        <v>64</v>
      </c>
      <c r="F1303" t="s">
        <v>94</v>
      </c>
      <c r="G1303" t="s">
        <v>277</v>
      </c>
      <c r="H1303" s="12">
        <v>6.0789999999999997</v>
      </c>
      <c r="I1303" s="12">
        <v>-75.424000000000007</v>
      </c>
      <c r="J1303" t="s">
        <v>96</v>
      </c>
      <c r="K1303" t="s">
        <v>1269</v>
      </c>
      <c r="L1303" t="s">
        <v>1270</v>
      </c>
      <c r="P1303" s="13">
        <v>203.5</v>
      </c>
      <c r="Q1303" s="13">
        <v>46.3</v>
      </c>
      <c r="R1303">
        <v>32</v>
      </c>
      <c r="S1303">
        <v>48</v>
      </c>
      <c r="T1303" s="13">
        <v>37.9</v>
      </c>
      <c r="U1303" s="13">
        <v>36.4</v>
      </c>
      <c r="V1303" t="s">
        <v>268</v>
      </c>
      <c r="W1303" t="s">
        <v>1271</v>
      </c>
      <c r="X1303" s="13"/>
    </row>
    <row r="1304" spans="1:24" x14ac:dyDescent="0.25">
      <c r="A1304" t="s">
        <v>1361</v>
      </c>
      <c r="B1304" t="s">
        <v>64</v>
      </c>
      <c r="C1304" t="s">
        <v>1344</v>
      </c>
      <c r="D1304" t="s">
        <v>1345</v>
      </c>
      <c r="E1304" t="s">
        <v>64</v>
      </c>
      <c r="F1304" t="s">
        <v>94</v>
      </c>
      <c r="G1304" t="s">
        <v>277</v>
      </c>
      <c r="H1304" s="12">
        <v>6.0789999999999997</v>
      </c>
      <c r="I1304" s="12">
        <v>-75.424000000000007</v>
      </c>
      <c r="J1304" t="s">
        <v>96</v>
      </c>
      <c r="K1304" t="s">
        <v>97</v>
      </c>
      <c r="L1304" t="s">
        <v>1273</v>
      </c>
      <c r="P1304" s="13">
        <v>314.89999999999998</v>
      </c>
      <c r="Q1304" s="13">
        <v>73.2</v>
      </c>
      <c r="R1304">
        <v>38</v>
      </c>
      <c r="S1304">
        <v>74</v>
      </c>
      <c r="T1304" s="13">
        <v>58.6</v>
      </c>
      <c r="U1304" s="13">
        <v>87.3</v>
      </c>
      <c r="V1304" t="s">
        <v>99</v>
      </c>
      <c r="X1304" s="13">
        <v>314.89999999999998</v>
      </c>
    </row>
    <row r="1305" spans="1:24" x14ac:dyDescent="0.25">
      <c r="A1305" t="s">
        <v>1361</v>
      </c>
      <c r="B1305" t="s">
        <v>64</v>
      </c>
      <c r="C1305" t="s">
        <v>1344</v>
      </c>
      <c r="D1305" t="s">
        <v>1345</v>
      </c>
      <c r="E1305" t="s">
        <v>64</v>
      </c>
      <c r="F1305" t="s">
        <v>94</v>
      </c>
      <c r="G1305" t="s">
        <v>277</v>
      </c>
      <c r="H1305" s="12">
        <v>6.0789999999999997</v>
      </c>
      <c r="I1305" s="12">
        <v>-75.424000000000007</v>
      </c>
      <c r="J1305" t="s">
        <v>96</v>
      </c>
      <c r="K1305" t="s">
        <v>1269</v>
      </c>
      <c r="L1305" t="s">
        <v>1270</v>
      </c>
      <c r="P1305" s="13">
        <v>333.9</v>
      </c>
      <c r="Q1305" s="13">
        <v>58.5</v>
      </c>
      <c r="R1305">
        <v>56</v>
      </c>
      <c r="S1305">
        <v>82</v>
      </c>
      <c r="T1305" s="13">
        <v>63.8</v>
      </c>
      <c r="U1305" s="13">
        <v>87.3</v>
      </c>
      <c r="V1305" t="s">
        <v>268</v>
      </c>
      <c r="W1305" t="s">
        <v>1271</v>
      </c>
      <c r="X1305" s="13"/>
    </row>
    <row r="1306" spans="1:24" x14ac:dyDescent="0.25">
      <c r="A1306" t="s">
        <v>1362</v>
      </c>
      <c r="B1306" t="s">
        <v>64</v>
      </c>
      <c r="C1306" t="s">
        <v>1363</v>
      </c>
      <c r="D1306" t="s">
        <v>1364</v>
      </c>
      <c r="E1306" t="s">
        <v>64</v>
      </c>
      <c r="F1306" t="s">
        <v>94</v>
      </c>
      <c r="G1306" t="s">
        <v>277</v>
      </c>
      <c r="H1306" s="12">
        <v>6.1529999999999996</v>
      </c>
      <c r="I1306" s="12">
        <v>-75.406999999999996</v>
      </c>
      <c r="J1306" t="s">
        <v>129</v>
      </c>
      <c r="K1306" t="s">
        <v>97</v>
      </c>
      <c r="L1306" t="s">
        <v>1273</v>
      </c>
      <c r="P1306" s="13">
        <v>307.3</v>
      </c>
      <c r="Q1306" s="13">
        <v>65.900000000000006</v>
      </c>
      <c r="R1306">
        <v>56</v>
      </c>
      <c r="S1306">
        <v>60</v>
      </c>
      <c r="T1306" s="13">
        <v>62.1</v>
      </c>
      <c r="U1306" s="13">
        <v>67.3</v>
      </c>
      <c r="V1306" t="s">
        <v>99</v>
      </c>
      <c r="X1306" s="13">
        <v>307.3</v>
      </c>
    </row>
    <row r="1307" spans="1:24" x14ac:dyDescent="0.25">
      <c r="A1307" t="s">
        <v>1362</v>
      </c>
      <c r="B1307" t="s">
        <v>64</v>
      </c>
      <c r="C1307" t="s">
        <v>1363</v>
      </c>
      <c r="D1307" t="s">
        <v>1364</v>
      </c>
      <c r="E1307" t="s">
        <v>64</v>
      </c>
      <c r="F1307" t="s">
        <v>94</v>
      </c>
      <c r="G1307" t="s">
        <v>277</v>
      </c>
      <c r="H1307" s="12">
        <v>6.1529999999999996</v>
      </c>
      <c r="I1307" s="12">
        <v>-75.406999999999996</v>
      </c>
      <c r="J1307" t="s">
        <v>129</v>
      </c>
      <c r="K1307" t="s">
        <v>1269</v>
      </c>
      <c r="L1307" t="s">
        <v>1270</v>
      </c>
      <c r="P1307" s="13">
        <v>355.5</v>
      </c>
      <c r="Q1307" s="13">
        <v>61</v>
      </c>
      <c r="R1307">
        <v>74</v>
      </c>
      <c r="S1307">
        <v>78</v>
      </c>
      <c r="T1307" s="13">
        <v>67.2</v>
      </c>
      <c r="U1307" s="13">
        <v>83.6</v>
      </c>
      <c r="V1307" t="s">
        <v>268</v>
      </c>
      <c r="W1307" t="s">
        <v>1271</v>
      </c>
      <c r="X1307" s="13"/>
    </row>
    <row r="1308" spans="1:24" x14ac:dyDescent="0.25">
      <c r="A1308" t="s">
        <v>1365</v>
      </c>
      <c r="B1308" t="s">
        <v>64</v>
      </c>
      <c r="C1308" t="s">
        <v>1363</v>
      </c>
      <c r="D1308" t="s">
        <v>1364</v>
      </c>
      <c r="E1308" t="s">
        <v>64</v>
      </c>
      <c r="F1308" t="s">
        <v>94</v>
      </c>
      <c r="G1308" t="s">
        <v>277</v>
      </c>
      <c r="H1308" s="12">
        <v>6.1529999999999996</v>
      </c>
      <c r="I1308" s="12">
        <v>-75.406999999999996</v>
      </c>
      <c r="J1308" t="s">
        <v>129</v>
      </c>
      <c r="K1308" t="s">
        <v>97</v>
      </c>
      <c r="L1308" t="s">
        <v>1273</v>
      </c>
      <c r="P1308" s="13">
        <v>146.6</v>
      </c>
      <c r="Q1308" s="13">
        <v>39</v>
      </c>
      <c r="R1308">
        <v>16</v>
      </c>
      <c r="S1308">
        <v>26</v>
      </c>
      <c r="T1308" s="13">
        <v>34.5</v>
      </c>
      <c r="U1308" s="13">
        <v>34.5</v>
      </c>
      <c r="V1308" t="s">
        <v>99</v>
      </c>
      <c r="X1308" s="13">
        <v>146.6</v>
      </c>
    </row>
    <row r="1309" spans="1:24" x14ac:dyDescent="0.25">
      <c r="A1309" t="s">
        <v>1365</v>
      </c>
      <c r="B1309" t="s">
        <v>64</v>
      </c>
      <c r="C1309" t="s">
        <v>1363</v>
      </c>
      <c r="D1309" t="s">
        <v>1364</v>
      </c>
      <c r="E1309" t="s">
        <v>64</v>
      </c>
      <c r="F1309" t="s">
        <v>94</v>
      </c>
      <c r="G1309" t="s">
        <v>277</v>
      </c>
      <c r="H1309" s="12">
        <v>6.1529999999999996</v>
      </c>
      <c r="I1309" s="12">
        <v>-75.406999999999996</v>
      </c>
      <c r="J1309" t="s">
        <v>129</v>
      </c>
      <c r="K1309" t="s">
        <v>1269</v>
      </c>
      <c r="L1309" t="s">
        <v>1270</v>
      </c>
      <c r="P1309" s="13">
        <v>121.9</v>
      </c>
      <c r="Q1309" s="13">
        <v>36.6</v>
      </c>
      <c r="R1309">
        <v>14</v>
      </c>
      <c r="S1309">
        <v>18</v>
      </c>
      <c r="T1309" s="13">
        <v>20.7</v>
      </c>
      <c r="U1309" s="13">
        <v>49.1</v>
      </c>
      <c r="V1309" t="s">
        <v>268</v>
      </c>
      <c r="W1309" t="s">
        <v>1271</v>
      </c>
      <c r="X1309" s="13"/>
    </row>
    <row r="1310" spans="1:24" x14ac:dyDescent="0.25">
      <c r="A1310" t="s">
        <v>1366</v>
      </c>
      <c r="B1310" t="s">
        <v>64</v>
      </c>
      <c r="C1310" t="s">
        <v>1363</v>
      </c>
      <c r="D1310" t="s">
        <v>1364</v>
      </c>
      <c r="E1310" t="s">
        <v>64</v>
      </c>
      <c r="F1310" t="s">
        <v>94</v>
      </c>
      <c r="G1310" t="s">
        <v>277</v>
      </c>
      <c r="H1310" s="12">
        <v>6.1529999999999996</v>
      </c>
      <c r="I1310" s="12">
        <v>-75.406999999999996</v>
      </c>
      <c r="J1310" t="s">
        <v>129</v>
      </c>
      <c r="K1310" t="s">
        <v>97</v>
      </c>
      <c r="L1310" t="s">
        <v>1273</v>
      </c>
      <c r="P1310" s="13">
        <v>179.6</v>
      </c>
      <c r="Q1310" s="13">
        <v>39</v>
      </c>
      <c r="R1310">
        <v>24</v>
      </c>
      <c r="S1310">
        <v>42</v>
      </c>
      <c r="T1310" s="13">
        <v>37.9</v>
      </c>
      <c r="U1310" s="13">
        <v>38.200000000000003</v>
      </c>
      <c r="V1310" t="s">
        <v>99</v>
      </c>
      <c r="X1310" s="13">
        <v>179.6</v>
      </c>
    </row>
    <row r="1311" spans="1:24" x14ac:dyDescent="0.25">
      <c r="A1311" t="s">
        <v>1366</v>
      </c>
      <c r="B1311" t="s">
        <v>64</v>
      </c>
      <c r="C1311" t="s">
        <v>1363</v>
      </c>
      <c r="D1311" t="s">
        <v>1364</v>
      </c>
      <c r="E1311" t="s">
        <v>64</v>
      </c>
      <c r="F1311" t="s">
        <v>94</v>
      </c>
      <c r="G1311" t="s">
        <v>277</v>
      </c>
      <c r="H1311" s="12">
        <v>6.1529999999999996</v>
      </c>
      <c r="I1311" s="12">
        <v>-75.406999999999996</v>
      </c>
      <c r="J1311" t="s">
        <v>129</v>
      </c>
      <c r="K1311" t="s">
        <v>1269</v>
      </c>
      <c r="L1311" t="s">
        <v>1270</v>
      </c>
      <c r="P1311" s="13">
        <v>216.5</v>
      </c>
      <c r="Q1311" s="13">
        <v>51.2</v>
      </c>
      <c r="R1311">
        <v>34</v>
      </c>
      <c r="S1311">
        <v>42</v>
      </c>
      <c r="T1311" s="13">
        <v>48.3</v>
      </c>
      <c r="U1311" s="13">
        <v>36.4</v>
      </c>
      <c r="V1311" t="s">
        <v>268</v>
      </c>
      <c r="W1311" t="s">
        <v>1271</v>
      </c>
      <c r="X1311" s="13"/>
    </row>
    <row r="1312" spans="1:24" x14ac:dyDescent="0.25">
      <c r="A1312" t="s">
        <v>1367</v>
      </c>
      <c r="B1312" t="s">
        <v>64</v>
      </c>
      <c r="C1312" t="s">
        <v>1363</v>
      </c>
      <c r="D1312" t="s">
        <v>1364</v>
      </c>
      <c r="E1312" t="s">
        <v>64</v>
      </c>
      <c r="F1312" t="s">
        <v>94</v>
      </c>
      <c r="G1312" t="s">
        <v>277</v>
      </c>
      <c r="H1312" s="12">
        <v>6.1529999999999996</v>
      </c>
      <c r="I1312" s="12">
        <v>-75.406999999999996</v>
      </c>
      <c r="J1312" t="s">
        <v>129</v>
      </c>
      <c r="K1312" t="s">
        <v>97</v>
      </c>
      <c r="L1312" t="s">
        <v>1273</v>
      </c>
      <c r="P1312" s="13">
        <v>208.9</v>
      </c>
      <c r="Q1312" s="13">
        <v>56.1</v>
      </c>
      <c r="R1312">
        <v>36</v>
      </c>
      <c r="S1312">
        <v>36</v>
      </c>
      <c r="T1312" s="13">
        <v>39.700000000000003</v>
      </c>
      <c r="U1312" s="13">
        <v>40</v>
      </c>
      <c r="V1312" t="s">
        <v>99</v>
      </c>
      <c r="X1312" s="13">
        <v>208.9</v>
      </c>
    </row>
    <row r="1313" spans="1:24" x14ac:dyDescent="0.25">
      <c r="A1313" t="s">
        <v>1367</v>
      </c>
      <c r="B1313" t="s">
        <v>64</v>
      </c>
      <c r="C1313" t="s">
        <v>1363</v>
      </c>
      <c r="D1313" t="s">
        <v>1364</v>
      </c>
      <c r="E1313" t="s">
        <v>64</v>
      </c>
      <c r="F1313" t="s">
        <v>94</v>
      </c>
      <c r="G1313" t="s">
        <v>277</v>
      </c>
      <c r="H1313" s="12">
        <v>6.1529999999999996</v>
      </c>
      <c r="I1313" s="12">
        <v>-75.406999999999996</v>
      </c>
      <c r="J1313" t="s">
        <v>129</v>
      </c>
      <c r="K1313" t="s">
        <v>1269</v>
      </c>
      <c r="L1313" t="s">
        <v>1270</v>
      </c>
      <c r="P1313" s="13">
        <v>206.8</v>
      </c>
      <c r="Q1313" s="13">
        <v>46.3</v>
      </c>
      <c r="R1313">
        <v>32</v>
      </c>
      <c r="S1313">
        <v>54</v>
      </c>
      <c r="T1313" s="13">
        <v>29.3</v>
      </c>
      <c r="U1313" s="13">
        <v>52.7</v>
      </c>
      <c r="V1313" t="s">
        <v>268</v>
      </c>
      <c r="W1313" t="s">
        <v>1271</v>
      </c>
      <c r="X1313" s="13"/>
    </row>
    <row r="1314" spans="1:24" x14ac:dyDescent="0.25">
      <c r="A1314" t="s">
        <v>1368</v>
      </c>
      <c r="B1314" t="s">
        <v>64</v>
      </c>
      <c r="C1314" t="s">
        <v>1363</v>
      </c>
      <c r="D1314" t="s">
        <v>1364</v>
      </c>
      <c r="E1314" t="s">
        <v>64</v>
      </c>
      <c r="F1314" t="s">
        <v>94</v>
      </c>
      <c r="G1314" t="s">
        <v>277</v>
      </c>
      <c r="H1314" s="12">
        <v>6.1529999999999996</v>
      </c>
      <c r="I1314" s="12">
        <v>-75.406999999999996</v>
      </c>
      <c r="J1314" t="s">
        <v>129</v>
      </c>
      <c r="K1314" t="s">
        <v>97</v>
      </c>
      <c r="L1314" t="s">
        <v>1273</v>
      </c>
      <c r="P1314" s="13">
        <v>243.9</v>
      </c>
      <c r="Q1314" s="13">
        <v>48.8</v>
      </c>
      <c r="R1314">
        <v>40</v>
      </c>
      <c r="S1314">
        <v>50</v>
      </c>
      <c r="T1314" s="13">
        <v>58.6</v>
      </c>
      <c r="U1314" s="13">
        <v>41.8</v>
      </c>
      <c r="V1314" t="s">
        <v>99</v>
      </c>
      <c r="X1314" s="13">
        <v>243.9</v>
      </c>
    </row>
    <row r="1315" spans="1:24" x14ac:dyDescent="0.25">
      <c r="A1315" t="s">
        <v>1368</v>
      </c>
      <c r="B1315" t="s">
        <v>64</v>
      </c>
      <c r="C1315" t="s">
        <v>1363</v>
      </c>
      <c r="D1315" t="s">
        <v>1364</v>
      </c>
      <c r="E1315" t="s">
        <v>64</v>
      </c>
      <c r="F1315" t="s">
        <v>94</v>
      </c>
      <c r="G1315" t="s">
        <v>277</v>
      </c>
      <c r="H1315" s="12">
        <v>6.1529999999999996</v>
      </c>
      <c r="I1315" s="12">
        <v>-75.406999999999996</v>
      </c>
      <c r="J1315" t="s">
        <v>129</v>
      </c>
      <c r="K1315" t="s">
        <v>1269</v>
      </c>
      <c r="L1315" t="s">
        <v>1270</v>
      </c>
      <c r="P1315" s="13">
        <v>226.8</v>
      </c>
      <c r="Q1315" s="13">
        <v>48.8</v>
      </c>
      <c r="R1315">
        <v>48</v>
      </c>
      <c r="S1315">
        <v>44</v>
      </c>
      <c r="T1315" s="13">
        <v>44.8</v>
      </c>
      <c r="U1315" s="13">
        <v>32.700000000000003</v>
      </c>
      <c r="V1315" t="s">
        <v>268</v>
      </c>
      <c r="W1315" t="s">
        <v>1271</v>
      </c>
      <c r="X1315" s="13"/>
    </row>
    <row r="1316" spans="1:24" x14ac:dyDescent="0.25">
      <c r="A1316" t="s">
        <v>1369</v>
      </c>
      <c r="B1316" t="s">
        <v>64</v>
      </c>
      <c r="C1316" t="s">
        <v>1363</v>
      </c>
      <c r="D1316" t="s">
        <v>1364</v>
      </c>
      <c r="E1316" t="s">
        <v>64</v>
      </c>
      <c r="F1316" t="s">
        <v>94</v>
      </c>
      <c r="G1316" t="s">
        <v>277</v>
      </c>
      <c r="H1316" s="12">
        <v>6.1529999999999996</v>
      </c>
      <c r="I1316" s="12">
        <v>-75.406999999999996</v>
      </c>
      <c r="J1316" t="s">
        <v>129</v>
      </c>
      <c r="K1316" t="s">
        <v>97</v>
      </c>
      <c r="L1316" t="s">
        <v>1273</v>
      </c>
      <c r="P1316" s="13">
        <v>225.8</v>
      </c>
      <c r="Q1316" s="13">
        <v>56.1</v>
      </c>
      <c r="R1316">
        <v>46</v>
      </c>
      <c r="S1316">
        <v>48</v>
      </c>
      <c r="T1316" s="13">
        <v>31</v>
      </c>
      <c r="U1316" s="13">
        <v>43.6</v>
      </c>
      <c r="V1316" t="s">
        <v>99</v>
      </c>
      <c r="X1316" s="13">
        <v>225.8</v>
      </c>
    </row>
    <row r="1317" spans="1:24" x14ac:dyDescent="0.25">
      <c r="A1317" t="s">
        <v>1369</v>
      </c>
      <c r="B1317" t="s">
        <v>64</v>
      </c>
      <c r="C1317" t="s">
        <v>1363</v>
      </c>
      <c r="D1317" t="s">
        <v>1364</v>
      </c>
      <c r="E1317" t="s">
        <v>64</v>
      </c>
      <c r="F1317" t="s">
        <v>94</v>
      </c>
      <c r="G1317" t="s">
        <v>277</v>
      </c>
      <c r="H1317" s="12">
        <v>6.1529999999999996</v>
      </c>
      <c r="I1317" s="12">
        <v>-75.406999999999996</v>
      </c>
      <c r="J1317" t="s">
        <v>129</v>
      </c>
      <c r="K1317" t="s">
        <v>1269</v>
      </c>
      <c r="L1317" t="s">
        <v>1270</v>
      </c>
      <c r="P1317" s="13">
        <v>157.1</v>
      </c>
      <c r="Q1317" s="13">
        <v>43.9</v>
      </c>
      <c r="R1317">
        <v>28</v>
      </c>
      <c r="S1317">
        <v>24</v>
      </c>
      <c r="T1317" s="13">
        <v>29.3</v>
      </c>
      <c r="U1317" s="13">
        <v>32.700000000000003</v>
      </c>
      <c r="V1317" t="s">
        <v>268</v>
      </c>
      <c r="W1317" t="s">
        <v>1271</v>
      </c>
      <c r="X1317" s="13"/>
    </row>
    <row r="1318" spans="1:24" x14ac:dyDescent="0.25">
      <c r="A1318" t="s">
        <v>1370</v>
      </c>
      <c r="B1318" t="s">
        <v>64</v>
      </c>
      <c r="C1318" t="s">
        <v>1363</v>
      </c>
      <c r="D1318" t="s">
        <v>1364</v>
      </c>
      <c r="E1318" t="s">
        <v>64</v>
      </c>
      <c r="F1318" t="s">
        <v>94</v>
      </c>
      <c r="G1318" t="s">
        <v>277</v>
      </c>
      <c r="H1318" s="12">
        <v>6.1529999999999996</v>
      </c>
      <c r="I1318" s="12">
        <v>-75.406999999999996</v>
      </c>
      <c r="J1318" t="s">
        <v>129</v>
      </c>
      <c r="K1318" t="s">
        <v>97</v>
      </c>
      <c r="L1318" t="s">
        <v>1273</v>
      </c>
      <c r="P1318" s="13">
        <v>197.2</v>
      </c>
      <c r="Q1318" s="13">
        <v>46.3</v>
      </c>
      <c r="R1318">
        <v>28</v>
      </c>
      <c r="S1318">
        <v>36</v>
      </c>
      <c r="T1318" s="13">
        <v>44.8</v>
      </c>
      <c r="U1318" s="13">
        <v>47.3</v>
      </c>
      <c r="V1318" t="s">
        <v>99</v>
      </c>
      <c r="X1318" s="13">
        <v>197.2</v>
      </c>
    </row>
    <row r="1319" spans="1:24" x14ac:dyDescent="0.25">
      <c r="A1319" t="s">
        <v>1370</v>
      </c>
      <c r="B1319" t="s">
        <v>64</v>
      </c>
      <c r="C1319" t="s">
        <v>1363</v>
      </c>
      <c r="D1319" t="s">
        <v>1364</v>
      </c>
      <c r="E1319" t="s">
        <v>64</v>
      </c>
      <c r="F1319" t="s">
        <v>94</v>
      </c>
      <c r="G1319" t="s">
        <v>277</v>
      </c>
      <c r="H1319" s="12">
        <v>6.1529999999999996</v>
      </c>
      <c r="I1319" s="12">
        <v>-75.406999999999996</v>
      </c>
      <c r="J1319" t="s">
        <v>129</v>
      </c>
      <c r="K1319" t="s">
        <v>1269</v>
      </c>
      <c r="L1319" t="s">
        <v>1270</v>
      </c>
      <c r="P1319" s="13">
        <v>219.1</v>
      </c>
      <c r="Q1319" s="13">
        <v>43.9</v>
      </c>
      <c r="R1319">
        <v>42</v>
      </c>
      <c r="S1319">
        <v>42</v>
      </c>
      <c r="T1319" s="13">
        <v>51.7</v>
      </c>
      <c r="U1319" s="13">
        <v>30.9</v>
      </c>
      <c r="V1319" t="s">
        <v>268</v>
      </c>
      <c r="W1319" t="s">
        <v>1271</v>
      </c>
      <c r="X1319" s="13"/>
    </row>
    <row r="1320" spans="1:24" x14ac:dyDescent="0.25">
      <c r="A1320" t="s">
        <v>1371</v>
      </c>
      <c r="B1320" t="s">
        <v>64</v>
      </c>
      <c r="C1320" t="s">
        <v>1363</v>
      </c>
      <c r="D1320" t="s">
        <v>1364</v>
      </c>
      <c r="E1320" t="s">
        <v>64</v>
      </c>
      <c r="F1320" t="s">
        <v>94</v>
      </c>
      <c r="G1320" t="s">
        <v>277</v>
      </c>
      <c r="H1320" s="12">
        <v>6.1529999999999996</v>
      </c>
      <c r="I1320" s="12">
        <v>-75.406999999999996</v>
      </c>
      <c r="J1320" t="s">
        <v>129</v>
      </c>
      <c r="K1320" t="s">
        <v>97</v>
      </c>
      <c r="L1320" t="s">
        <v>1273</v>
      </c>
      <c r="P1320" s="13">
        <v>233.9</v>
      </c>
      <c r="Q1320" s="13">
        <v>58.5</v>
      </c>
      <c r="R1320">
        <v>32</v>
      </c>
      <c r="S1320">
        <v>36</v>
      </c>
      <c r="T1320" s="13">
        <v>58.6</v>
      </c>
      <c r="U1320" s="13">
        <v>52.7</v>
      </c>
      <c r="V1320" t="s">
        <v>99</v>
      </c>
      <c r="X1320" s="13">
        <v>233.9</v>
      </c>
    </row>
    <row r="1321" spans="1:24" x14ac:dyDescent="0.25">
      <c r="A1321" t="s">
        <v>1371</v>
      </c>
      <c r="B1321" t="s">
        <v>64</v>
      </c>
      <c r="C1321" t="s">
        <v>1363</v>
      </c>
      <c r="D1321" t="s">
        <v>1364</v>
      </c>
      <c r="E1321" t="s">
        <v>64</v>
      </c>
      <c r="F1321" t="s">
        <v>94</v>
      </c>
      <c r="G1321" t="s">
        <v>277</v>
      </c>
      <c r="H1321" s="12">
        <v>6.1529999999999996</v>
      </c>
      <c r="I1321" s="12">
        <v>-75.406999999999996</v>
      </c>
      <c r="J1321" t="s">
        <v>129</v>
      </c>
      <c r="K1321" t="s">
        <v>1269</v>
      </c>
      <c r="L1321" t="s">
        <v>1270</v>
      </c>
      <c r="P1321" s="13">
        <v>240.1</v>
      </c>
      <c r="Q1321" s="13">
        <v>43.9</v>
      </c>
      <c r="R1321">
        <v>48</v>
      </c>
      <c r="S1321">
        <v>52</v>
      </c>
      <c r="T1321" s="13">
        <v>44.8</v>
      </c>
      <c r="U1321" s="13">
        <v>58.2</v>
      </c>
      <c r="V1321" t="s">
        <v>268</v>
      </c>
      <c r="W1321" t="s">
        <v>1271</v>
      </c>
      <c r="X1321" s="13"/>
    </row>
    <row r="1322" spans="1:24" x14ac:dyDescent="0.25">
      <c r="A1322" t="s">
        <v>1372</v>
      </c>
      <c r="B1322" t="s">
        <v>64</v>
      </c>
      <c r="C1322" t="s">
        <v>1363</v>
      </c>
      <c r="D1322" t="s">
        <v>1364</v>
      </c>
      <c r="E1322" t="s">
        <v>64</v>
      </c>
      <c r="F1322" t="s">
        <v>94</v>
      </c>
      <c r="G1322" t="s">
        <v>277</v>
      </c>
      <c r="H1322" s="12">
        <v>6.1529999999999996</v>
      </c>
      <c r="I1322" s="12">
        <v>-75.406999999999996</v>
      </c>
      <c r="J1322" t="s">
        <v>129</v>
      </c>
      <c r="K1322" t="s">
        <v>97</v>
      </c>
      <c r="L1322" t="s">
        <v>1273</v>
      </c>
      <c r="P1322" s="13">
        <v>182.7</v>
      </c>
      <c r="Q1322" s="13">
        <v>41.5</v>
      </c>
      <c r="R1322">
        <v>26</v>
      </c>
      <c r="S1322">
        <v>32</v>
      </c>
      <c r="T1322" s="13">
        <v>43.1</v>
      </c>
      <c r="U1322" s="13">
        <v>47.3</v>
      </c>
      <c r="V1322" t="s">
        <v>99</v>
      </c>
      <c r="X1322" s="13">
        <v>182.7</v>
      </c>
    </row>
    <row r="1323" spans="1:24" x14ac:dyDescent="0.25">
      <c r="A1323" t="s">
        <v>1372</v>
      </c>
      <c r="B1323" t="s">
        <v>64</v>
      </c>
      <c r="C1323" t="s">
        <v>1363</v>
      </c>
      <c r="D1323" t="s">
        <v>1364</v>
      </c>
      <c r="E1323" t="s">
        <v>64</v>
      </c>
      <c r="F1323" t="s">
        <v>94</v>
      </c>
      <c r="G1323" t="s">
        <v>277</v>
      </c>
      <c r="H1323" s="12">
        <v>6.1529999999999996</v>
      </c>
      <c r="I1323" s="12">
        <v>-75.406999999999996</v>
      </c>
      <c r="J1323" t="s">
        <v>129</v>
      </c>
      <c r="K1323" t="s">
        <v>1269</v>
      </c>
      <c r="L1323" t="s">
        <v>1270</v>
      </c>
      <c r="P1323" s="13">
        <v>167.7</v>
      </c>
      <c r="Q1323" s="13">
        <v>41.5</v>
      </c>
      <c r="R1323">
        <v>30</v>
      </c>
      <c r="S1323">
        <v>32</v>
      </c>
      <c r="T1323" s="13">
        <v>32.799999999999997</v>
      </c>
      <c r="U1323" s="13">
        <v>27.3</v>
      </c>
      <c r="V1323" t="s">
        <v>268</v>
      </c>
      <c r="W1323" t="s">
        <v>1271</v>
      </c>
      <c r="X1323" s="13"/>
    </row>
    <row r="1324" spans="1:24" x14ac:dyDescent="0.25">
      <c r="A1324" t="s">
        <v>1373</v>
      </c>
      <c r="B1324" t="s">
        <v>64</v>
      </c>
      <c r="C1324" t="s">
        <v>1363</v>
      </c>
      <c r="D1324" t="s">
        <v>1364</v>
      </c>
      <c r="E1324" t="s">
        <v>64</v>
      </c>
      <c r="F1324" t="s">
        <v>94</v>
      </c>
      <c r="G1324" t="s">
        <v>277</v>
      </c>
      <c r="H1324" s="12">
        <v>6.1529999999999996</v>
      </c>
      <c r="I1324" s="12">
        <v>-75.406999999999996</v>
      </c>
      <c r="J1324" t="s">
        <v>129</v>
      </c>
      <c r="K1324" t="s">
        <v>97</v>
      </c>
      <c r="L1324" t="s">
        <v>1273</v>
      </c>
      <c r="P1324" s="13">
        <v>109.5</v>
      </c>
      <c r="Q1324" s="13">
        <v>17.100000000000001</v>
      </c>
      <c r="R1324">
        <v>20</v>
      </c>
      <c r="S1324">
        <v>26</v>
      </c>
      <c r="T1324" s="13">
        <v>17.2</v>
      </c>
      <c r="U1324" s="13">
        <v>43.6</v>
      </c>
      <c r="V1324" t="s">
        <v>99</v>
      </c>
      <c r="X1324" s="13">
        <v>109.5</v>
      </c>
    </row>
    <row r="1325" spans="1:24" x14ac:dyDescent="0.25">
      <c r="A1325" t="s">
        <v>1373</v>
      </c>
      <c r="B1325" t="s">
        <v>64</v>
      </c>
      <c r="C1325" t="s">
        <v>1363</v>
      </c>
      <c r="D1325" t="s">
        <v>1364</v>
      </c>
      <c r="E1325" t="s">
        <v>64</v>
      </c>
      <c r="F1325" t="s">
        <v>94</v>
      </c>
      <c r="G1325" t="s">
        <v>277</v>
      </c>
      <c r="H1325" s="12">
        <v>6.1529999999999996</v>
      </c>
      <c r="I1325" s="12">
        <v>-75.406999999999996</v>
      </c>
      <c r="J1325" t="s">
        <v>129</v>
      </c>
      <c r="K1325" t="s">
        <v>1269</v>
      </c>
      <c r="L1325" t="s">
        <v>1270</v>
      </c>
      <c r="P1325" s="13">
        <v>178.6</v>
      </c>
      <c r="Q1325" s="13">
        <v>34.1</v>
      </c>
      <c r="R1325">
        <v>38</v>
      </c>
      <c r="S1325">
        <v>24</v>
      </c>
      <c r="T1325" s="13">
        <v>36.200000000000003</v>
      </c>
      <c r="U1325" s="13">
        <v>67.3</v>
      </c>
      <c r="V1325" t="s">
        <v>268</v>
      </c>
      <c r="W1325" t="s">
        <v>1271</v>
      </c>
      <c r="X1325" s="13"/>
    </row>
    <row r="1326" spans="1:24" x14ac:dyDescent="0.25">
      <c r="A1326" t="s">
        <v>1374</v>
      </c>
      <c r="B1326" t="s">
        <v>64</v>
      </c>
      <c r="C1326" t="s">
        <v>1363</v>
      </c>
      <c r="D1326" t="s">
        <v>1364</v>
      </c>
      <c r="E1326" t="s">
        <v>64</v>
      </c>
      <c r="F1326" t="s">
        <v>94</v>
      </c>
      <c r="G1326" t="s">
        <v>277</v>
      </c>
      <c r="H1326" s="12">
        <v>6.1529999999999996</v>
      </c>
      <c r="I1326" s="12">
        <v>-75.406999999999996</v>
      </c>
      <c r="J1326" t="s">
        <v>96</v>
      </c>
      <c r="K1326" t="s">
        <v>97</v>
      </c>
      <c r="L1326" t="s">
        <v>1273</v>
      </c>
      <c r="P1326" s="13">
        <v>272.60000000000002</v>
      </c>
      <c r="Q1326" s="13">
        <v>78</v>
      </c>
      <c r="R1326">
        <v>26</v>
      </c>
      <c r="S1326">
        <v>66</v>
      </c>
      <c r="T1326" s="13">
        <v>41.4</v>
      </c>
      <c r="U1326" s="13">
        <v>74.5</v>
      </c>
      <c r="V1326" t="s">
        <v>99</v>
      </c>
      <c r="X1326" s="13">
        <v>272.60000000000002</v>
      </c>
    </row>
    <row r="1327" spans="1:24" x14ac:dyDescent="0.25">
      <c r="A1327" t="s">
        <v>1374</v>
      </c>
      <c r="B1327" t="s">
        <v>64</v>
      </c>
      <c r="C1327" t="s">
        <v>1363</v>
      </c>
      <c r="D1327" t="s">
        <v>1364</v>
      </c>
      <c r="E1327" t="s">
        <v>64</v>
      </c>
      <c r="F1327" t="s">
        <v>94</v>
      </c>
      <c r="G1327" t="s">
        <v>277</v>
      </c>
      <c r="H1327" s="12">
        <v>6.1529999999999996</v>
      </c>
      <c r="I1327" s="12">
        <v>-75.406999999999996</v>
      </c>
      <c r="J1327" t="s">
        <v>96</v>
      </c>
      <c r="K1327" t="s">
        <v>1269</v>
      </c>
      <c r="L1327" t="s">
        <v>1270</v>
      </c>
      <c r="P1327" s="13">
        <v>286.39999999999998</v>
      </c>
      <c r="Q1327" s="13">
        <v>61</v>
      </c>
      <c r="R1327">
        <v>40</v>
      </c>
      <c r="S1327">
        <v>66</v>
      </c>
      <c r="T1327" s="13">
        <v>55.2</v>
      </c>
      <c r="U1327" s="13">
        <v>78.2</v>
      </c>
      <c r="V1327" t="s">
        <v>268</v>
      </c>
      <c r="W1327" t="s">
        <v>1271</v>
      </c>
      <c r="X1327" s="13"/>
    </row>
    <row r="1328" spans="1:24" x14ac:dyDescent="0.25">
      <c r="A1328" t="s">
        <v>1375</v>
      </c>
      <c r="B1328" t="s">
        <v>64</v>
      </c>
      <c r="C1328" t="s">
        <v>1363</v>
      </c>
      <c r="D1328" t="s">
        <v>1364</v>
      </c>
      <c r="E1328" t="s">
        <v>64</v>
      </c>
      <c r="F1328" t="s">
        <v>94</v>
      </c>
      <c r="G1328" t="s">
        <v>277</v>
      </c>
      <c r="H1328" s="12">
        <v>6.1529999999999996</v>
      </c>
      <c r="I1328" s="12">
        <v>-75.406999999999996</v>
      </c>
      <c r="J1328" t="s">
        <v>129</v>
      </c>
      <c r="K1328" t="s">
        <v>97</v>
      </c>
      <c r="L1328" t="s">
        <v>1273</v>
      </c>
      <c r="P1328" s="13">
        <v>190</v>
      </c>
      <c r="Q1328" s="13">
        <v>53.7</v>
      </c>
      <c r="R1328">
        <v>22</v>
      </c>
      <c r="S1328">
        <v>40</v>
      </c>
      <c r="T1328" s="13">
        <v>34.5</v>
      </c>
      <c r="U1328" s="13">
        <v>43.6</v>
      </c>
      <c r="V1328" t="s">
        <v>99</v>
      </c>
      <c r="X1328" s="13">
        <v>190</v>
      </c>
    </row>
    <row r="1329" spans="1:24" x14ac:dyDescent="0.25">
      <c r="A1329" t="s">
        <v>1375</v>
      </c>
      <c r="B1329" t="s">
        <v>64</v>
      </c>
      <c r="C1329" t="s">
        <v>1363</v>
      </c>
      <c r="D1329" t="s">
        <v>1364</v>
      </c>
      <c r="E1329" t="s">
        <v>64</v>
      </c>
      <c r="F1329" t="s">
        <v>94</v>
      </c>
      <c r="G1329" t="s">
        <v>277</v>
      </c>
      <c r="H1329" s="12">
        <v>6.1529999999999996</v>
      </c>
      <c r="I1329" s="12">
        <v>-75.406999999999996</v>
      </c>
      <c r="J1329" t="s">
        <v>129</v>
      </c>
      <c r="K1329" t="s">
        <v>1269</v>
      </c>
      <c r="L1329" t="s">
        <v>1270</v>
      </c>
      <c r="P1329" s="13">
        <v>159.9</v>
      </c>
      <c r="Q1329" s="13">
        <v>22</v>
      </c>
      <c r="R1329">
        <v>36</v>
      </c>
      <c r="S1329">
        <v>28</v>
      </c>
      <c r="T1329" s="13">
        <v>34.5</v>
      </c>
      <c r="U1329" s="13">
        <v>54.5</v>
      </c>
      <c r="V1329" t="s">
        <v>268</v>
      </c>
      <c r="W1329" t="s">
        <v>1271</v>
      </c>
      <c r="X1329" s="13"/>
    </row>
    <row r="1330" spans="1:24" x14ac:dyDescent="0.25">
      <c r="A1330" t="s">
        <v>1376</v>
      </c>
      <c r="B1330" t="s">
        <v>64</v>
      </c>
      <c r="C1330" t="s">
        <v>1363</v>
      </c>
      <c r="D1330" t="s">
        <v>1364</v>
      </c>
      <c r="E1330" t="s">
        <v>64</v>
      </c>
      <c r="F1330" t="s">
        <v>94</v>
      </c>
      <c r="G1330" t="s">
        <v>277</v>
      </c>
      <c r="H1330" s="12">
        <v>6.1529999999999996</v>
      </c>
      <c r="I1330" s="12">
        <v>-75.406999999999996</v>
      </c>
      <c r="J1330" t="s">
        <v>96</v>
      </c>
      <c r="K1330" t="s">
        <v>97</v>
      </c>
      <c r="L1330" t="s">
        <v>1273</v>
      </c>
      <c r="P1330" s="13">
        <v>164.9</v>
      </c>
      <c r="Q1330" s="13">
        <v>43.9</v>
      </c>
      <c r="R1330">
        <v>34</v>
      </c>
      <c r="S1330">
        <v>16</v>
      </c>
      <c r="T1330" s="13">
        <v>34.5</v>
      </c>
      <c r="U1330" s="13">
        <v>43.6</v>
      </c>
      <c r="V1330" t="s">
        <v>99</v>
      </c>
      <c r="X1330" s="13">
        <v>164.9</v>
      </c>
    </row>
    <row r="1331" spans="1:24" x14ac:dyDescent="0.25">
      <c r="A1331" t="s">
        <v>1376</v>
      </c>
      <c r="B1331" t="s">
        <v>64</v>
      </c>
      <c r="C1331" t="s">
        <v>1363</v>
      </c>
      <c r="D1331" t="s">
        <v>1364</v>
      </c>
      <c r="E1331" t="s">
        <v>64</v>
      </c>
      <c r="F1331" t="s">
        <v>94</v>
      </c>
      <c r="G1331" t="s">
        <v>277</v>
      </c>
      <c r="H1331" s="12">
        <v>6.1529999999999996</v>
      </c>
      <c r="I1331" s="12">
        <v>-75.406999999999996</v>
      </c>
      <c r="J1331" t="s">
        <v>96</v>
      </c>
      <c r="K1331" t="s">
        <v>1269</v>
      </c>
      <c r="L1331" t="s">
        <v>1270</v>
      </c>
      <c r="P1331" s="13">
        <v>230.2</v>
      </c>
      <c r="Q1331" s="13">
        <v>43.9</v>
      </c>
      <c r="R1331">
        <v>48</v>
      </c>
      <c r="S1331">
        <v>48</v>
      </c>
      <c r="T1331" s="13">
        <v>41.4</v>
      </c>
      <c r="U1331" s="13">
        <v>54.5</v>
      </c>
      <c r="V1331" t="s">
        <v>268</v>
      </c>
      <c r="W1331" t="s">
        <v>1271</v>
      </c>
      <c r="X1331" s="13"/>
    </row>
    <row r="1332" spans="1:24" x14ac:dyDescent="0.25">
      <c r="A1332" t="s">
        <v>1377</v>
      </c>
      <c r="B1332" t="s">
        <v>64</v>
      </c>
      <c r="C1332" t="s">
        <v>1363</v>
      </c>
      <c r="D1332" t="s">
        <v>1364</v>
      </c>
      <c r="E1332" t="s">
        <v>64</v>
      </c>
      <c r="F1332" t="s">
        <v>94</v>
      </c>
      <c r="G1332" t="s">
        <v>277</v>
      </c>
      <c r="H1332" s="12">
        <v>6.1529999999999996</v>
      </c>
      <c r="I1332" s="12">
        <v>-75.406999999999996</v>
      </c>
      <c r="J1332" t="s">
        <v>96</v>
      </c>
      <c r="K1332" t="s">
        <v>97</v>
      </c>
      <c r="L1332" t="s">
        <v>1273</v>
      </c>
      <c r="P1332" s="13">
        <v>171.4</v>
      </c>
      <c r="Q1332" s="13">
        <v>48.8</v>
      </c>
      <c r="R1332">
        <v>26</v>
      </c>
      <c r="S1332">
        <v>22</v>
      </c>
      <c r="T1332" s="13">
        <v>39.700000000000003</v>
      </c>
      <c r="U1332" s="13">
        <v>36.4</v>
      </c>
      <c r="V1332" t="s">
        <v>99</v>
      </c>
      <c r="X1332" s="13">
        <v>171.4</v>
      </c>
    </row>
    <row r="1333" spans="1:24" x14ac:dyDescent="0.25">
      <c r="A1333" t="s">
        <v>1377</v>
      </c>
      <c r="B1333" t="s">
        <v>64</v>
      </c>
      <c r="C1333" t="s">
        <v>1363</v>
      </c>
      <c r="D1333" t="s">
        <v>1364</v>
      </c>
      <c r="E1333" t="s">
        <v>64</v>
      </c>
      <c r="F1333" t="s">
        <v>94</v>
      </c>
      <c r="G1333" t="s">
        <v>277</v>
      </c>
      <c r="H1333" s="12">
        <v>6.1529999999999996</v>
      </c>
      <c r="I1333" s="12">
        <v>-75.406999999999996</v>
      </c>
      <c r="J1333" t="s">
        <v>96</v>
      </c>
      <c r="K1333" t="s">
        <v>1269</v>
      </c>
      <c r="L1333" t="s">
        <v>1270</v>
      </c>
      <c r="P1333" s="13">
        <v>229.2</v>
      </c>
      <c r="Q1333" s="13">
        <v>53.7</v>
      </c>
      <c r="R1333">
        <v>46</v>
      </c>
      <c r="S1333">
        <v>36</v>
      </c>
      <c r="T1333" s="13">
        <v>44.8</v>
      </c>
      <c r="U1333" s="13">
        <v>54.5</v>
      </c>
      <c r="V1333" t="s">
        <v>268</v>
      </c>
      <c r="W1333" t="s">
        <v>1271</v>
      </c>
      <c r="X1333" s="13"/>
    </row>
    <row r="1334" spans="1:24" x14ac:dyDescent="0.25">
      <c r="A1334" t="s">
        <v>1378</v>
      </c>
      <c r="B1334" t="s">
        <v>64</v>
      </c>
      <c r="C1334" t="s">
        <v>1363</v>
      </c>
      <c r="D1334" t="s">
        <v>1364</v>
      </c>
      <c r="E1334" t="s">
        <v>64</v>
      </c>
      <c r="F1334" t="s">
        <v>94</v>
      </c>
      <c r="G1334" t="s">
        <v>277</v>
      </c>
      <c r="H1334" s="12">
        <v>6.1529999999999996</v>
      </c>
      <c r="I1334" s="12">
        <v>-75.406999999999996</v>
      </c>
      <c r="J1334" t="s">
        <v>96</v>
      </c>
      <c r="K1334" t="s">
        <v>97</v>
      </c>
      <c r="L1334" t="s">
        <v>1273</v>
      </c>
      <c r="P1334" s="13">
        <v>303.10000000000002</v>
      </c>
      <c r="Q1334" s="13">
        <v>80.5</v>
      </c>
      <c r="R1334">
        <v>44</v>
      </c>
      <c r="S1334">
        <v>60</v>
      </c>
      <c r="T1334" s="13">
        <v>55.2</v>
      </c>
      <c r="U1334" s="13">
        <v>69.099999999999994</v>
      </c>
      <c r="V1334" t="s">
        <v>99</v>
      </c>
      <c r="X1334" s="13">
        <v>303.10000000000002</v>
      </c>
    </row>
    <row r="1335" spans="1:24" x14ac:dyDescent="0.25">
      <c r="A1335" t="s">
        <v>1378</v>
      </c>
      <c r="B1335" t="s">
        <v>64</v>
      </c>
      <c r="C1335" t="s">
        <v>1363</v>
      </c>
      <c r="D1335" t="s">
        <v>1364</v>
      </c>
      <c r="E1335" t="s">
        <v>64</v>
      </c>
      <c r="F1335" t="s">
        <v>94</v>
      </c>
      <c r="G1335" t="s">
        <v>277</v>
      </c>
      <c r="H1335" s="12">
        <v>6.1529999999999996</v>
      </c>
      <c r="I1335" s="12">
        <v>-75.406999999999996</v>
      </c>
      <c r="J1335" t="s">
        <v>96</v>
      </c>
      <c r="K1335" t="s">
        <v>1269</v>
      </c>
      <c r="L1335" t="s">
        <v>1270</v>
      </c>
      <c r="P1335" s="13">
        <v>337.6</v>
      </c>
      <c r="Q1335" s="13">
        <v>68.3</v>
      </c>
      <c r="R1335">
        <v>56</v>
      </c>
      <c r="S1335">
        <v>74</v>
      </c>
      <c r="T1335" s="13">
        <v>70.7</v>
      </c>
      <c r="U1335" s="13">
        <v>70.900000000000006</v>
      </c>
      <c r="V1335" t="s">
        <v>268</v>
      </c>
      <c r="W1335" t="s">
        <v>1271</v>
      </c>
      <c r="X1335" s="13"/>
    </row>
    <row r="1336" spans="1:24" x14ac:dyDescent="0.25">
      <c r="A1336" t="s">
        <v>1379</v>
      </c>
      <c r="B1336" t="s">
        <v>64</v>
      </c>
      <c r="C1336" t="s">
        <v>1363</v>
      </c>
      <c r="D1336" t="s">
        <v>1364</v>
      </c>
      <c r="E1336" t="s">
        <v>64</v>
      </c>
      <c r="F1336" t="s">
        <v>94</v>
      </c>
      <c r="G1336" t="s">
        <v>277</v>
      </c>
      <c r="H1336" s="12">
        <v>6.1529999999999996</v>
      </c>
      <c r="I1336" s="12">
        <v>-75.406999999999996</v>
      </c>
      <c r="J1336" t="s">
        <v>96</v>
      </c>
      <c r="K1336" t="s">
        <v>97</v>
      </c>
      <c r="L1336" t="s">
        <v>1273</v>
      </c>
      <c r="P1336" s="13">
        <v>203.3</v>
      </c>
      <c r="Q1336" s="13">
        <v>36.6</v>
      </c>
      <c r="R1336">
        <v>32</v>
      </c>
      <c r="S1336">
        <v>36</v>
      </c>
      <c r="T1336" s="13">
        <v>53.4</v>
      </c>
      <c r="U1336" s="13">
        <v>54.5</v>
      </c>
      <c r="V1336" t="s">
        <v>99</v>
      </c>
      <c r="X1336" s="13">
        <v>203.3</v>
      </c>
    </row>
    <row r="1337" spans="1:24" x14ac:dyDescent="0.25">
      <c r="A1337" t="s">
        <v>1379</v>
      </c>
      <c r="B1337" t="s">
        <v>64</v>
      </c>
      <c r="C1337" t="s">
        <v>1363</v>
      </c>
      <c r="D1337" t="s">
        <v>1364</v>
      </c>
      <c r="E1337" t="s">
        <v>64</v>
      </c>
      <c r="F1337" t="s">
        <v>94</v>
      </c>
      <c r="G1337" t="s">
        <v>277</v>
      </c>
      <c r="H1337" s="12">
        <v>6.1529999999999996</v>
      </c>
      <c r="I1337" s="12">
        <v>-75.406999999999996</v>
      </c>
      <c r="J1337" t="s">
        <v>96</v>
      </c>
      <c r="K1337" t="s">
        <v>1269</v>
      </c>
      <c r="L1337" t="s">
        <v>1270</v>
      </c>
      <c r="P1337" s="13">
        <v>229</v>
      </c>
      <c r="Q1337" s="13">
        <v>43.9</v>
      </c>
      <c r="R1337">
        <v>30</v>
      </c>
      <c r="S1337">
        <v>66</v>
      </c>
      <c r="T1337" s="13">
        <v>48.3</v>
      </c>
      <c r="U1337" s="13">
        <v>30.9</v>
      </c>
      <c r="V1337" t="s">
        <v>268</v>
      </c>
      <c r="W1337" t="s">
        <v>1271</v>
      </c>
      <c r="X1337" s="13"/>
    </row>
    <row r="1338" spans="1:24" x14ac:dyDescent="0.25">
      <c r="A1338" t="s">
        <v>1380</v>
      </c>
      <c r="B1338" t="s">
        <v>64</v>
      </c>
      <c r="C1338" t="s">
        <v>1363</v>
      </c>
      <c r="D1338" t="s">
        <v>1364</v>
      </c>
      <c r="E1338" t="s">
        <v>64</v>
      </c>
      <c r="F1338" t="s">
        <v>94</v>
      </c>
      <c r="G1338" t="s">
        <v>277</v>
      </c>
      <c r="H1338" s="12">
        <v>6.1529999999999996</v>
      </c>
      <c r="I1338" s="12">
        <v>-75.406999999999996</v>
      </c>
      <c r="J1338" t="s">
        <v>96</v>
      </c>
      <c r="K1338" t="s">
        <v>97</v>
      </c>
      <c r="L1338" t="s">
        <v>1273</v>
      </c>
      <c r="P1338" s="13">
        <v>123.8</v>
      </c>
      <c r="Q1338" s="13">
        <v>61</v>
      </c>
      <c r="R1338">
        <v>10</v>
      </c>
      <c r="S1338">
        <v>26</v>
      </c>
      <c r="T1338" s="13">
        <v>10.3</v>
      </c>
      <c r="U1338" s="13">
        <v>0</v>
      </c>
      <c r="V1338" t="s">
        <v>99</v>
      </c>
      <c r="X1338" s="13">
        <v>123.8</v>
      </c>
    </row>
    <row r="1339" spans="1:24" x14ac:dyDescent="0.25">
      <c r="A1339" t="s">
        <v>1380</v>
      </c>
      <c r="B1339" t="s">
        <v>64</v>
      </c>
      <c r="C1339" t="s">
        <v>1363</v>
      </c>
      <c r="D1339" t="s">
        <v>1364</v>
      </c>
      <c r="E1339" t="s">
        <v>64</v>
      </c>
      <c r="F1339" t="s">
        <v>94</v>
      </c>
      <c r="G1339" t="s">
        <v>277</v>
      </c>
      <c r="H1339" s="12">
        <v>6.1529999999999996</v>
      </c>
      <c r="I1339" s="12">
        <v>-75.406999999999996</v>
      </c>
      <c r="J1339" t="s">
        <v>96</v>
      </c>
      <c r="K1339" t="s">
        <v>1269</v>
      </c>
      <c r="L1339" t="s">
        <v>1270</v>
      </c>
      <c r="P1339" s="13">
        <v>209.6</v>
      </c>
      <c r="Q1339" s="13">
        <v>53.7</v>
      </c>
      <c r="R1339">
        <v>20</v>
      </c>
      <c r="S1339">
        <v>62</v>
      </c>
      <c r="T1339" s="13">
        <v>34.5</v>
      </c>
      <c r="U1339" s="13">
        <v>34.5</v>
      </c>
      <c r="V1339" t="s">
        <v>268</v>
      </c>
      <c r="W1339" t="s">
        <v>1271</v>
      </c>
      <c r="X1339" s="13"/>
    </row>
    <row r="1340" spans="1:24" x14ac:dyDescent="0.25">
      <c r="A1340" t="s">
        <v>1381</v>
      </c>
      <c r="B1340" t="s">
        <v>64</v>
      </c>
      <c r="C1340" t="s">
        <v>1363</v>
      </c>
      <c r="D1340" t="s">
        <v>1364</v>
      </c>
      <c r="E1340" t="s">
        <v>64</v>
      </c>
      <c r="F1340" t="s">
        <v>94</v>
      </c>
      <c r="G1340" t="s">
        <v>277</v>
      </c>
      <c r="H1340" s="12">
        <v>6.1529999999999996</v>
      </c>
      <c r="I1340" s="12">
        <v>-75.406999999999996</v>
      </c>
      <c r="J1340" t="s">
        <v>96</v>
      </c>
      <c r="K1340" t="s">
        <v>97</v>
      </c>
      <c r="L1340" t="s">
        <v>1273</v>
      </c>
      <c r="P1340" s="13">
        <v>242.8</v>
      </c>
      <c r="Q1340" s="13">
        <v>75.599999999999994</v>
      </c>
      <c r="R1340">
        <v>32</v>
      </c>
      <c r="S1340">
        <v>48</v>
      </c>
      <c r="T1340" s="13">
        <v>39.700000000000003</v>
      </c>
      <c r="U1340" s="13">
        <v>45.5</v>
      </c>
      <c r="V1340" t="s">
        <v>99</v>
      </c>
      <c r="X1340" s="13">
        <v>242.8</v>
      </c>
    </row>
    <row r="1341" spans="1:24" x14ac:dyDescent="0.25">
      <c r="A1341" t="s">
        <v>1381</v>
      </c>
      <c r="B1341" t="s">
        <v>64</v>
      </c>
      <c r="C1341" t="s">
        <v>1363</v>
      </c>
      <c r="D1341" t="s">
        <v>1364</v>
      </c>
      <c r="E1341" t="s">
        <v>64</v>
      </c>
      <c r="F1341" t="s">
        <v>94</v>
      </c>
      <c r="G1341" t="s">
        <v>277</v>
      </c>
      <c r="H1341" s="12">
        <v>6.1529999999999996</v>
      </c>
      <c r="I1341" s="12">
        <v>-75.406999999999996</v>
      </c>
      <c r="J1341" t="s">
        <v>96</v>
      </c>
      <c r="K1341" t="s">
        <v>1269</v>
      </c>
      <c r="L1341" t="s">
        <v>1270</v>
      </c>
      <c r="P1341" s="13">
        <v>269.89999999999998</v>
      </c>
      <c r="Q1341" s="13">
        <v>56.1</v>
      </c>
      <c r="R1341">
        <v>64</v>
      </c>
      <c r="S1341">
        <v>70</v>
      </c>
      <c r="T1341" s="13">
        <v>29.3</v>
      </c>
      <c r="U1341" s="13">
        <v>43.6</v>
      </c>
      <c r="V1341" t="s">
        <v>268</v>
      </c>
      <c r="W1341" t="s">
        <v>1271</v>
      </c>
      <c r="X1341" s="13"/>
    </row>
    <row r="1342" spans="1:24" x14ac:dyDescent="0.25">
      <c r="A1342" t="s">
        <v>1382</v>
      </c>
      <c r="B1342" t="s">
        <v>64</v>
      </c>
      <c r="C1342" t="s">
        <v>1363</v>
      </c>
      <c r="D1342" t="s">
        <v>1364</v>
      </c>
      <c r="E1342" t="s">
        <v>64</v>
      </c>
      <c r="F1342" t="s">
        <v>94</v>
      </c>
      <c r="G1342" t="s">
        <v>277</v>
      </c>
      <c r="H1342" s="12">
        <v>6.1529999999999996</v>
      </c>
      <c r="I1342" s="12">
        <v>-75.406999999999996</v>
      </c>
      <c r="J1342" t="s">
        <v>96</v>
      </c>
      <c r="K1342" t="s">
        <v>97</v>
      </c>
      <c r="L1342" t="s">
        <v>1273</v>
      </c>
      <c r="P1342" s="13">
        <v>150</v>
      </c>
      <c r="Q1342" s="13">
        <v>31.7</v>
      </c>
      <c r="R1342">
        <v>28</v>
      </c>
      <c r="S1342">
        <v>34</v>
      </c>
      <c r="T1342" s="13">
        <v>24.1</v>
      </c>
      <c r="U1342" s="13">
        <v>36.4</v>
      </c>
      <c r="V1342" t="s">
        <v>99</v>
      </c>
      <c r="X1342" s="13">
        <v>150</v>
      </c>
    </row>
    <row r="1343" spans="1:24" x14ac:dyDescent="0.25">
      <c r="A1343" t="s">
        <v>1382</v>
      </c>
      <c r="B1343" t="s">
        <v>64</v>
      </c>
      <c r="C1343" t="s">
        <v>1363</v>
      </c>
      <c r="D1343" t="s">
        <v>1364</v>
      </c>
      <c r="E1343" t="s">
        <v>64</v>
      </c>
      <c r="F1343" t="s">
        <v>94</v>
      </c>
      <c r="G1343" t="s">
        <v>277</v>
      </c>
      <c r="H1343" s="12">
        <v>6.1529999999999996</v>
      </c>
      <c r="I1343" s="12">
        <v>-75.406999999999996</v>
      </c>
      <c r="J1343" t="s">
        <v>96</v>
      </c>
      <c r="K1343" t="s">
        <v>1269</v>
      </c>
      <c r="L1343" t="s">
        <v>1270</v>
      </c>
      <c r="P1343" s="13">
        <v>75.400000000000006</v>
      </c>
      <c r="Q1343" s="13">
        <v>0</v>
      </c>
      <c r="R1343">
        <v>20</v>
      </c>
      <c r="S1343">
        <v>10</v>
      </c>
      <c r="T1343" s="13">
        <v>19</v>
      </c>
      <c r="U1343" s="13">
        <v>49.1</v>
      </c>
      <c r="V1343" t="s">
        <v>268</v>
      </c>
      <c r="W1343" t="s">
        <v>1271</v>
      </c>
      <c r="X1343" s="13"/>
    </row>
    <row r="1344" spans="1:24" x14ac:dyDescent="0.25">
      <c r="A1344" t="s">
        <v>1383</v>
      </c>
      <c r="B1344" t="s">
        <v>64</v>
      </c>
      <c r="C1344" t="s">
        <v>1363</v>
      </c>
      <c r="D1344" t="s">
        <v>1364</v>
      </c>
      <c r="E1344" t="s">
        <v>64</v>
      </c>
      <c r="F1344" t="s">
        <v>94</v>
      </c>
      <c r="G1344" t="s">
        <v>277</v>
      </c>
      <c r="H1344" s="12">
        <v>6.1529999999999996</v>
      </c>
      <c r="I1344" s="12">
        <v>-75.406999999999996</v>
      </c>
      <c r="J1344" t="s">
        <v>96</v>
      </c>
      <c r="K1344" t="s">
        <v>97</v>
      </c>
      <c r="L1344" t="s">
        <v>1273</v>
      </c>
      <c r="P1344" s="13">
        <v>311.89999999999998</v>
      </c>
      <c r="Q1344" s="13">
        <v>70.7</v>
      </c>
      <c r="R1344">
        <v>48</v>
      </c>
      <c r="S1344">
        <v>76</v>
      </c>
      <c r="T1344" s="13">
        <v>58.6</v>
      </c>
      <c r="U1344" s="13">
        <v>50.9</v>
      </c>
      <c r="V1344" t="s">
        <v>99</v>
      </c>
      <c r="X1344" s="13">
        <v>311.89999999999998</v>
      </c>
    </row>
    <row r="1345" spans="1:24" x14ac:dyDescent="0.25">
      <c r="A1345" t="s">
        <v>1383</v>
      </c>
      <c r="B1345" t="s">
        <v>64</v>
      </c>
      <c r="C1345" t="s">
        <v>1363</v>
      </c>
      <c r="D1345" t="s">
        <v>1364</v>
      </c>
      <c r="E1345" t="s">
        <v>64</v>
      </c>
      <c r="F1345" t="s">
        <v>94</v>
      </c>
      <c r="G1345" t="s">
        <v>277</v>
      </c>
      <c r="H1345" s="12">
        <v>6.1529999999999996</v>
      </c>
      <c r="I1345" s="12">
        <v>-75.406999999999996</v>
      </c>
      <c r="J1345" t="s">
        <v>96</v>
      </c>
      <c r="K1345" t="s">
        <v>1269</v>
      </c>
      <c r="L1345" t="s">
        <v>1270</v>
      </c>
      <c r="P1345" s="13">
        <v>319.5</v>
      </c>
      <c r="Q1345" s="13">
        <v>61</v>
      </c>
      <c r="R1345">
        <v>64</v>
      </c>
      <c r="S1345">
        <v>82</v>
      </c>
      <c r="T1345" s="13">
        <v>51.7</v>
      </c>
      <c r="U1345" s="13">
        <v>54.5</v>
      </c>
      <c r="V1345" t="s">
        <v>268</v>
      </c>
      <c r="W1345" t="s">
        <v>1271</v>
      </c>
      <c r="X1345" s="13"/>
    </row>
    <row r="1346" spans="1:24" x14ac:dyDescent="0.25">
      <c r="A1346" t="s">
        <v>1384</v>
      </c>
      <c r="B1346" t="s">
        <v>64</v>
      </c>
      <c r="C1346" t="s">
        <v>1363</v>
      </c>
      <c r="D1346" t="s">
        <v>1364</v>
      </c>
      <c r="E1346" t="s">
        <v>64</v>
      </c>
      <c r="F1346" t="s">
        <v>94</v>
      </c>
      <c r="G1346" t="s">
        <v>277</v>
      </c>
      <c r="H1346" s="12">
        <v>6.1529999999999996</v>
      </c>
      <c r="I1346" s="12">
        <v>-75.406999999999996</v>
      </c>
      <c r="J1346" t="s">
        <v>96</v>
      </c>
      <c r="K1346" t="s">
        <v>97</v>
      </c>
      <c r="L1346" t="s">
        <v>1273</v>
      </c>
      <c r="P1346" s="13">
        <v>176.8</v>
      </c>
      <c r="Q1346" s="13">
        <v>41.5</v>
      </c>
      <c r="R1346">
        <v>22</v>
      </c>
      <c r="S1346">
        <v>42</v>
      </c>
      <c r="T1346" s="13">
        <v>36.200000000000003</v>
      </c>
      <c r="U1346" s="13">
        <v>34.5</v>
      </c>
      <c r="V1346" t="s">
        <v>99</v>
      </c>
      <c r="X1346" s="13">
        <v>176.8</v>
      </c>
    </row>
    <row r="1347" spans="1:24" x14ac:dyDescent="0.25">
      <c r="A1347" t="s">
        <v>1384</v>
      </c>
      <c r="B1347" t="s">
        <v>64</v>
      </c>
      <c r="C1347" t="s">
        <v>1363</v>
      </c>
      <c r="D1347" t="s">
        <v>1364</v>
      </c>
      <c r="E1347" t="s">
        <v>64</v>
      </c>
      <c r="F1347" t="s">
        <v>94</v>
      </c>
      <c r="G1347" t="s">
        <v>277</v>
      </c>
      <c r="H1347" s="12">
        <v>6.1529999999999996</v>
      </c>
      <c r="I1347" s="12">
        <v>-75.406999999999996</v>
      </c>
      <c r="J1347" t="s">
        <v>96</v>
      </c>
      <c r="K1347" t="s">
        <v>1269</v>
      </c>
      <c r="L1347" t="s">
        <v>1270</v>
      </c>
      <c r="P1347" s="13">
        <v>173.2</v>
      </c>
      <c r="Q1347" s="13">
        <v>43.9</v>
      </c>
      <c r="R1347">
        <v>28</v>
      </c>
      <c r="S1347">
        <v>30</v>
      </c>
      <c r="T1347" s="13">
        <v>37.9</v>
      </c>
      <c r="U1347" s="13">
        <v>30.9</v>
      </c>
      <c r="V1347" t="s">
        <v>268</v>
      </c>
      <c r="W1347" t="s">
        <v>1271</v>
      </c>
      <c r="X1347" s="13"/>
    </row>
    <row r="1348" spans="1:24" x14ac:dyDescent="0.25">
      <c r="A1348" t="s">
        <v>1385</v>
      </c>
      <c r="B1348" t="s">
        <v>64</v>
      </c>
      <c r="C1348" t="s">
        <v>1363</v>
      </c>
      <c r="D1348" t="s">
        <v>1364</v>
      </c>
      <c r="E1348" t="s">
        <v>64</v>
      </c>
      <c r="F1348" t="s">
        <v>94</v>
      </c>
      <c r="G1348" t="s">
        <v>277</v>
      </c>
      <c r="H1348" s="12">
        <v>6.1529999999999996</v>
      </c>
      <c r="I1348" s="12">
        <v>-75.406999999999996</v>
      </c>
      <c r="J1348" t="s">
        <v>96</v>
      </c>
      <c r="K1348" t="s">
        <v>97</v>
      </c>
      <c r="L1348" t="s">
        <v>1273</v>
      </c>
      <c r="P1348" s="13">
        <v>208.4</v>
      </c>
      <c r="Q1348" s="13">
        <v>61</v>
      </c>
      <c r="R1348">
        <v>44</v>
      </c>
      <c r="S1348">
        <v>18</v>
      </c>
      <c r="T1348" s="13">
        <v>32.799999999999997</v>
      </c>
      <c r="U1348" s="13">
        <v>74.5</v>
      </c>
      <c r="V1348" t="s">
        <v>99</v>
      </c>
      <c r="X1348" s="13">
        <v>208.4</v>
      </c>
    </row>
    <row r="1349" spans="1:24" x14ac:dyDescent="0.25">
      <c r="A1349" t="s">
        <v>1385</v>
      </c>
      <c r="B1349" t="s">
        <v>64</v>
      </c>
      <c r="C1349" t="s">
        <v>1363</v>
      </c>
      <c r="D1349" t="s">
        <v>1364</v>
      </c>
      <c r="E1349" t="s">
        <v>64</v>
      </c>
      <c r="F1349" t="s">
        <v>94</v>
      </c>
      <c r="G1349" t="s">
        <v>277</v>
      </c>
      <c r="H1349" s="12">
        <v>6.1529999999999996</v>
      </c>
      <c r="I1349" s="12">
        <v>-75.406999999999996</v>
      </c>
      <c r="J1349" t="s">
        <v>96</v>
      </c>
      <c r="K1349" t="s">
        <v>1269</v>
      </c>
      <c r="L1349" t="s">
        <v>1270</v>
      </c>
      <c r="P1349" s="13">
        <v>311</v>
      </c>
      <c r="Q1349" s="13">
        <v>58.5</v>
      </c>
      <c r="R1349">
        <v>64</v>
      </c>
      <c r="S1349">
        <v>56</v>
      </c>
      <c r="T1349" s="13">
        <v>65.5</v>
      </c>
      <c r="U1349" s="13">
        <v>76.400000000000006</v>
      </c>
      <c r="V1349" t="s">
        <v>268</v>
      </c>
      <c r="W1349" t="s">
        <v>1271</v>
      </c>
      <c r="X1349" s="13"/>
    </row>
    <row r="1350" spans="1:24" x14ac:dyDescent="0.25">
      <c r="A1350" t="s">
        <v>1386</v>
      </c>
      <c r="B1350" t="s">
        <v>64</v>
      </c>
      <c r="C1350" t="s">
        <v>1363</v>
      </c>
      <c r="D1350" t="s">
        <v>1364</v>
      </c>
      <c r="E1350" t="s">
        <v>64</v>
      </c>
      <c r="F1350" t="s">
        <v>94</v>
      </c>
      <c r="G1350" t="s">
        <v>277</v>
      </c>
      <c r="H1350" s="12">
        <v>6.1529999999999996</v>
      </c>
      <c r="I1350" s="12">
        <v>-75.406999999999996</v>
      </c>
      <c r="J1350" t="s">
        <v>129</v>
      </c>
      <c r="K1350" t="s">
        <v>97</v>
      </c>
      <c r="L1350" t="s">
        <v>1273</v>
      </c>
      <c r="P1350" s="13">
        <v>199.2</v>
      </c>
      <c r="Q1350" s="13">
        <v>51.2</v>
      </c>
      <c r="R1350">
        <v>36</v>
      </c>
      <c r="S1350">
        <v>44</v>
      </c>
      <c r="T1350" s="13">
        <v>29.3</v>
      </c>
      <c r="U1350" s="13">
        <v>36.4</v>
      </c>
      <c r="V1350" t="s">
        <v>99</v>
      </c>
      <c r="X1350" s="13">
        <v>199.2</v>
      </c>
    </row>
    <row r="1351" spans="1:24" x14ac:dyDescent="0.25">
      <c r="A1351" t="s">
        <v>1386</v>
      </c>
      <c r="B1351" t="s">
        <v>64</v>
      </c>
      <c r="C1351" t="s">
        <v>1363</v>
      </c>
      <c r="D1351" t="s">
        <v>1364</v>
      </c>
      <c r="E1351" t="s">
        <v>64</v>
      </c>
      <c r="F1351" t="s">
        <v>94</v>
      </c>
      <c r="G1351" t="s">
        <v>277</v>
      </c>
      <c r="H1351" s="12">
        <v>6.1529999999999996</v>
      </c>
      <c r="I1351" s="12">
        <v>-75.406999999999996</v>
      </c>
      <c r="J1351" t="s">
        <v>129</v>
      </c>
      <c r="K1351" t="s">
        <v>1269</v>
      </c>
      <c r="L1351" t="s">
        <v>1270</v>
      </c>
      <c r="P1351" s="13">
        <v>175.4</v>
      </c>
      <c r="Q1351" s="13">
        <v>46.3</v>
      </c>
      <c r="R1351">
        <v>32</v>
      </c>
      <c r="S1351">
        <v>32</v>
      </c>
      <c r="T1351" s="13">
        <v>24.1</v>
      </c>
      <c r="U1351" s="13">
        <v>52.7</v>
      </c>
      <c r="V1351" t="s">
        <v>268</v>
      </c>
      <c r="W1351" t="s">
        <v>1271</v>
      </c>
      <c r="X1351" s="13"/>
    </row>
    <row r="1352" spans="1:24" x14ac:dyDescent="0.25">
      <c r="A1352" t="s">
        <v>1387</v>
      </c>
      <c r="B1352" t="s">
        <v>64</v>
      </c>
      <c r="C1352" t="s">
        <v>1363</v>
      </c>
      <c r="D1352" t="s">
        <v>1364</v>
      </c>
      <c r="E1352" t="s">
        <v>64</v>
      </c>
      <c r="F1352" t="s">
        <v>94</v>
      </c>
      <c r="G1352" t="s">
        <v>277</v>
      </c>
      <c r="H1352" s="12">
        <v>6.1529999999999996</v>
      </c>
      <c r="I1352" s="12">
        <v>-75.406999999999996</v>
      </c>
      <c r="J1352" t="s">
        <v>96</v>
      </c>
      <c r="K1352" t="s">
        <v>97</v>
      </c>
      <c r="L1352" t="s">
        <v>1273</v>
      </c>
      <c r="P1352" s="13">
        <v>224.3</v>
      </c>
      <c r="Q1352" s="13">
        <v>70.7</v>
      </c>
      <c r="R1352">
        <v>44</v>
      </c>
      <c r="S1352">
        <v>26</v>
      </c>
      <c r="T1352" s="13">
        <v>27.6</v>
      </c>
      <c r="U1352" s="13">
        <v>78.2</v>
      </c>
      <c r="V1352" t="s">
        <v>99</v>
      </c>
      <c r="X1352" s="13">
        <v>224.3</v>
      </c>
    </row>
    <row r="1353" spans="1:24" x14ac:dyDescent="0.25">
      <c r="A1353" t="s">
        <v>1387</v>
      </c>
      <c r="B1353" t="s">
        <v>64</v>
      </c>
      <c r="C1353" t="s">
        <v>1363</v>
      </c>
      <c r="D1353" t="s">
        <v>1364</v>
      </c>
      <c r="E1353" t="s">
        <v>64</v>
      </c>
      <c r="F1353" t="s">
        <v>94</v>
      </c>
      <c r="G1353" t="s">
        <v>277</v>
      </c>
      <c r="H1353" s="12">
        <v>6.1529999999999996</v>
      </c>
      <c r="I1353" s="12">
        <v>-75.406999999999996</v>
      </c>
      <c r="J1353" t="s">
        <v>96</v>
      </c>
      <c r="K1353" t="s">
        <v>1269</v>
      </c>
      <c r="L1353" t="s">
        <v>1270</v>
      </c>
      <c r="P1353" s="13">
        <v>242</v>
      </c>
      <c r="Q1353" s="13">
        <v>63.4</v>
      </c>
      <c r="R1353">
        <v>52</v>
      </c>
      <c r="S1353">
        <v>32</v>
      </c>
      <c r="T1353" s="13">
        <v>34.5</v>
      </c>
      <c r="U1353" s="13">
        <v>83.6</v>
      </c>
      <c r="V1353" t="s">
        <v>268</v>
      </c>
      <c r="W1353" t="s">
        <v>1271</v>
      </c>
      <c r="X1353" s="13"/>
    </row>
    <row r="1354" spans="1:24" x14ac:dyDescent="0.25">
      <c r="A1354" t="s">
        <v>1388</v>
      </c>
      <c r="B1354" t="s">
        <v>64</v>
      </c>
      <c r="C1354" t="s">
        <v>1363</v>
      </c>
      <c r="D1354" t="s">
        <v>1364</v>
      </c>
      <c r="E1354" t="s">
        <v>64</v>
      </c>
      <c r="F1354" t="s">
        <v>94</v>
      </c>
      <c r="G1354" t="s">
        <v>277</v>
      </c>
      <c r="H1354" s="12">
        <v>6.1529999999999996</v>
      </c>
      <c r="I1354" s="12">
        <v>-75.406999999999996</v>
      </c>
      <c r="J1354" t="s">
        <v>96</v>
      </c>
      <c r="K1354" t="s">
        <v>97</v>
      </c>
      <c r="L1354" t="s">
        <v>1273</v>
      </c>
      <c r="P1354" s="13">
        <v>287.10000000000002</v>
      </c>
      <c r="Q1354" s="13">
        <v>70.7</v>
      </c>
      <c r="R1354">
        <v>32</v>
      </c>
      <c r="S1354">
        <v>66</v>
      </c>
      <c r="T1354" s="13">
        <v>53.4</v>
      </c>
      <c r="U1354" s="13">
        <v>80</v>
      </c>
      <c r="V1354" t="s">
        <v>99</v>
      </c>
      <c r="X1354" s="13">
        <v>287.10000000000002</v>
      </c>
    </row>
    <row r="1355" spans="1:24" x14ac:dyDescent="0.25">
      <c r="A1355" t="s">
        <v>1388</v>
      </c>
      <c r="B1355" t="s">
        <v>64</v>
      </c>
      <c r="C1355" t="s">
        <v>1363</v>
      </c>
      <c r="D1355" t="s">
        <v>1364</v>
      </c>
      <c r="E1355" t="s">
        <v>64</v>
      </c>
      <c r="F1355" t="s">
        <v>94</v>
      </c>
      <c r="G1355" t="s">
        <v>277</v>
      </c>
      <c r="H1355" s="12">
        <v>6.1529999999999996</v>
      </c>
      <c r="I1355" s="12">
        <v>-75.406999999999996</v>
      </c>
      <c r="J1355" t="s">
        <v>96</v>
      </c>
      <c r="K1355" t="s">
        <v>1269</v>
      </c>
      <c r="L1355" t="s">
        <v>1270</v>
      </c>
      <c r="P1355" s="13">
        <v>299.10000000000002</v>
      </c>
      <c r="Q1355" s="13">
        <v>46.3</v>
      </c>
      <c r="R1355">
        <v>54</v>
      </c>
      <c r="S1355">
        <v>80</v>
      </c>
      <c r="T1355" s="13">
        <v>53.4</v>
      </c>
      <c r="U1355" s="13">
        <v>76.400000000000006</v>
      </c>
      <c r="V1355" t="s">
        <v>268</v>
      </c>
      <c r="W1355" t="s">
        <v>1271</v>
      </c>
      <c r="X1355" s="13"/>
    </row>
    <row r="1356" spans="1:24" x14ac:dyDescent="0.25">
      <c r="A1356" t="s">
        <v>1389</v>
      </c>
      <c r="B1356" t="s">
        <v>64</v>
      </c>
      <c r="C1356" t="s">
        <v>1363</v>
      </c>
      <c r="D1356" t="s">
        <v>1364</v>
      </c>
      <c r="E1356" t="s">
        <v>64</v>
      </c>
      <c r="F1356" t="s">
        <v>94</v>
      </c>
      <c r="G1356" t="s">
        <v>277</v>
      </c>
      <c r="H1356" s="12">
        <v>6.1529999999999996</v>
      </c>
      <c r="I1356" s="12">
        <v>-75.406999999999996</v>
      </c>
      <c r="J1356" t="s">
        <v>96</v>
      </c>
      <c r="K1356" t="s">
        <v>97</v>
      </c>
      <c r="L1356" t="s">
        <v>1273</v>
      </c>
      <c r="P1356" s="13">
        <v>265.8</v>
      </c>
      <c r="Q1356" s="13">
        <v>61</v>
      </c>
      <c r="R1356">
        <v>44</v>
      </c>
      <c r="S1356">
        <v>52</v>
      </c>
      <c r="T1356" s="13">
        <v>55.2</v>
      </c>
      <c r="U1356" s="13">
        <v>54.5</v>
      </c>
      <c r="V1356" t="s">
        <v>99</v>
      </c>
      <c r="X1356" s="13">
        <v>265.8</v>
      </c>
    </row>
    <row r="1357" spans="1:24" x14ac:dyDescent="0.25">
      <c r="A1357" t="s">
        <v>1389</v>
      </c>
      <c r="B1357" t="s">
        <v>64</v>
      </c>
      <c r="C1357" t="s">
        <v>1363</v>
      </c>
      <c r="D1357" t="s">
        <v>1364</v>
      </c>
      <c r="E1357" t="s">
        <v>64</v>
      </c>
      <c r="F1357" t="s">
        <v>94</v>
      </c>
      <c r="G1357" t="s">
        <v>277</v>
      </c>
      <c r="H1357" s="12">
        <v>6.1529999999999996</v>
      </c>
      <c r="I1357" s="12">
        <v>-75.406999999999996</v>
      </c>
      <c r="J1357" t="s">
        <v>96</v>
      </c>
      <c r="K1357" t="s">
        <v>1269</v>
      </c>
      <c r="L1357" t="s">
        <v>1270</v>
      </c>
      <c r="P1357" s="13">
        <v>101.2</v>
      </c>
      <c r="Q1357" s="13">
        <v>0</v>
      </c>
      <c r="R1357">
        <v>24</v>
      </c>
      <c r="S1357">
        <v>28</v>
      </c>
      <c r="T1357" s="13">
        <v>22.4</v>
      </c>
      <c r="U1357" s="13">
        <v>40</v>
      </c>
      <c r="V1357" t="s">
        <v>268</v>
      </c>
      <c r="W1357" t="s">
        <v>1271</v>
      </c>
      <c r="X1357" s="13"/>
    </row>
    <row r="1358" spans="1:24" x14ac:dyDescent="0.25">
      <c r="A1358" t="s">
        <v>1390</v>
      </c>
      <c r="B1358" t="s">
        <v>64</v>
      </c>
      <c r="C1358" t="s">
        <v>1363</v>
      </c>
      <c r="D1358" t="s">
        <v>1364</v>
      </c>
      <c r="E1358" t="s">
        <v>64</v>
      </c>
      <c r="F1358" t="s">
        <v>94</v>
      </c>
      <c r="G1358" t="s">
        <v>277</v>
      </c>
      <c r="H1358" s="12">
        <v>6.1529999999999996</v>
      </c>
      <c r="I1358" s="12">
        <v>-75.406999999999996</v>
      </c>
      <c r="J1358" t="s">
        <v>96</v>
      </c>
      <c r="K1358" t="s">
        <v>97</v>
      </c>
      <c r="L1358" t="s">
        <v>1273</v>
      </c>
      <c r="P1358" s="13">
        <v>166.7</v>
      </c>
      <c r="Q1358" s="13">
        <v>34.1</v>
      </c>
      <c r="R1358">
        <v>30</v>
      </c>
      <c r="S1358">
        <v>32</v>
      </c>
      <c r="T1358" s="13">
        <v>36.200000000000003</v>
      </c>
      <c r="U1358" s="13">
        <v>36.4</v>
      </c>
      <c r="V1358" t="s">
        <v>99</v>
      </c>
      <c r="X1358" s="13">
        <v>166.7</v>
      </c>
    </row>
    <row r="1359" spans="1:24" x14ac:dyDescent="0.25">
      <c r="A1359" t="s">
        <v>1390</v>
      </c>
      <c r="B1359" t="s">
        <v>64</v>
      </c>
      <c r="C1359" t="s">
        <v>1363</v>
      </c>
      <c r="D1359" t="s">
        <v>1364</v>
      </c>
      <c r="E1359" t="s">
        <v>64</v>
      </c>
      <c r="F1359" t="s">
        <v>94</v>
      </c>
      <c r="G1359" t="s">
        <v>277</v>
      </c>
      <c r="H1359" s="12">
        <v>6.1529999999999996</v>
      </c>
      <c r="I1359" s="12">
        <v>-75.406999999999996</v>
      </c>
      <c r="J1359" t="s">
        <v>96</v>
      </c>
      <c r="K1359" t="s">
        <v>1269</v>
      </c>
      <c r="L1359" t="s">
        <v>1270</v>
      </c>
      <c r="P1359" s="13">
        <v>193.3</v>
      </c>
      <c r="Q1359" s="13">
        <v>46.3</v>
      </c>
      <c r="R1359">
        <v>32</v>
      </c>
      <c r="S1359">
        <v>34</v>
      </c>
      <c r="T1359" s="13">
        <v>43.1</v>
      </c>
      <c r="U1359" s="13">
        <v>36.4</v>
      </c>
      <c r="V1359" t="s">
        <v>268</v>
      </c>
      <c r="W1359" t="s">
        <v>1271</v>
      </c>
      <c r="X1359" s="13"/>
    </row>
    <row r="1360" spans="1:24" x14ac:dyDescent="0.25">
      <c r="A1360" t="s">
        <v>1391</v>
      </c>
      <c r="B1360" t="s">
        <v>64</v>
      </c>
      <c r="C1360" t="s">
        <v>1363</v>
      </c>
      <c r="D1360" t="s">
        <v>1364</v>
      </c>
      <c r="E1360" t="s">
        <v>64</v>
      </c>
      <c r="F1360" t="s">
        <v>94</v>
      </c>
      <c r="G1360" t="s">
        <v>277</v>
      </c>
      <c r="H1360" s="12">
        <v>6.1529999999999996</v>
      </c>
      <c r="I1360" s="12">
        <v>-75.406999999999996</v>
      </c>
      <c r="J1360" t="s">
        <v>96</v>
      </c>
      <c r="K1360" t="s">
        <v>97</v>
      </c>
      <c r="L1360" t="s">
        <v>1273</v>
      </c>
      <c r="P1360" s="13">
        <v>190.5</v>
      </c>
      <c r="Q1360" s="13">
        <v>53.7</v>
      </c>
      <c r="R1360">
        <v>26</v>
      </c>
      <c r="S1360">
        <v>34</v>
      </c>
      <c r="T1360" s="13">
        <v>34.5</v>
      </c>
      <c r="U1360" s="13">
        <v>50.9</v>
      </c>
      <c r="V1360" t="s">
        <v>99</v>
      </c>
      <c r="X1360" s="13">
        <v>190.5</v>
      </c>
    </row>
    <row r="1361" spans="1:24" x14ac:dyDescent="0.25">
      <c r="A1361" t="s">
        <v>1391</v>
      </c>
      <c r="B1361" t="s">
        <v>64</v>
      </c>
      <c r="C1361" t="s">
        <v>1363</v>
      </c>
      <c r="D1361" t="s">
        <v>1364</v>
      </c>
      <c r="E1361" t="s">
        <v>64</v>
      </c>
      <c r="F1361" t="s">
        <v>94</v>
      </c>
      <c r="G1361" t="s">
        <v>277</v>
      </c>
      <c r="H1361" s="12">
        <v>6.1529999999999996</v>
      </c>
      <c r="I1361" s="12">
        <v>-75.406999999999996</v>
      </c>
      <c r="J1361" t="s">
        <v>96</v>
      </c>
      <c r="K1361" t="s">
        <v>1269</v>
      </c>
      <c r="L1361" t="s">
        <v>1270</v>
      </c>
      <c r="P1361" s="13">
        <v>191.8</v>
      </c>
      <c r="Q1361" s="13">
        <v>46.3</v>
      </c>
      <c r="R1361">
        <v>24</v>
      </c>
      <c r="S1361">
        <v>34</v>
      </c>
      <c r="T1361" s="13">
        <v>43.1</v>
      </c>
      <c r="U1361" s="13">
        <v>56.4</v>
      </c>
      <c r="V1361" t="s">
        <v>268</v>
      </c>
      <c r="W1361" t="s">
        <v>1271</v>
      </c>
      <c r="X1361" s="13"/>
    </row>
    <row r="1362" spans="1:24" x14ac:dyDescent="0.25">
      <c r="A1362" t="s">
        <v>1392</v>
      </c>
      <c r="B1362" t="s">
        <v>64</v>
      </c>
      <c r="C1362" t="s">
        <v>1363</v>
      </c>
      <c r="D1362" t="s">
        <v>1364</v>
      </c>
      <c r="E1362" t="s">
        <v>64</v>
      </c>
      <c r="F1362" t="s">
        <v>94</v>
      </c>
      <c r="G1362" t="s">
        <v>277</v>
      </c>
      <c r="H1362" s="12">
        <v>6.1529999999999996</v>
      </c>
      <c r="I1362" s="12">
        <v>-75.406999999999996</v>
      </c>
      <c r="J1362" t="s">
        <v>96</v>
      </c>
      <c r="K1362" t="s">
        <v>97</v>
      </c>
      <c r="L1362" t="s">
        <v>1273</v>
      </c>
      <c r="P1362" s="13">
        <v>218.7</v>
      </c>
      <c r="Q1362" s="13">
        <v>51.2</v>
      </c>
      <c r="R1362">
        <v>28</v>
      </c>
      <c r="S1362">
        <v>52</v>
      </c>
      <c r="T1362" s="13">
        <v>41.4</v>
      </c>
      <c r="U1362" s="13">
        <v>50.9</v>
      </c>
      <c r="V1362" t="s">
        <v>99</v>
      </c>
      <c r="X1362" s="13">
        <v>218.7</v>
      </c>
    </row>
    <row r="1363" spans="1:24" x14ac:dyDescent="0.25">
      <c r="A1363" t="s">
        <v>1392</v>
      </c>
      <c r="B1363" t="s">
        <v>64</v>
      </c>
      <c r="C1363" t="s">
        <v>1363</v>
      </c>
      <c r="D1363" t="s">
        <v>1364</v>
      </c>
      <c r="E1363" t="s">
        <v>64</v>
      </c>
      <c r="F1363" t="s">
        <v>94</v>
      </c>
      <c r="G1363" t="s">
        <v>277</v>
      </c>
      <c r="H1363" s="12">
        <v>6.1529999999999996</v>
      </c>
      <c r="I1363" s="12">
        <v>-75.406999999999996</v>
      </c>
      <c r="J1363" t="s">
        <v>96</v>
      </c>
      <c r="K1363" t="s">
        <v>1269</v>
      </c>
      <c r="L1363" t="s">
        <v>1270</v>
      </c>
      <c r="P1363" s="13">
        <v>266.89999999999998</v>
      </c>
      <c r="Q1363" s="13">
        <v>53.7</v>
      </c>
      <c r="R1363">
        <v>44</v>
      </c>
      <c r="S1363">
        <v>64</v>
      </c>
      <c r="T1363" s="13">
        <v>56.9</v>
      </c>
      <c r="U1363" s="13">
        <v>38.200000000000003</v>
      </c>
      <c r="V1363" t="s">
        <v>268</v>
      </c>
      <c r="W1363" t="s">
        <v>1271</v>
      </c>
      <c r="X1363" s="13"/>
    </row>
    <row r="1364" spans="1:24" x14ac:dyDescent="0.25">
      <c r="A1364" t="s">
        <v>1393</v>
      </c>
      <c r="B1364" t="s">
        <v>64</v>
      </c>
      <c r="C1364" t="s">
        <v>1363</v>
      </c>
      <c r="D1364" t="s">
        <v>1364</v>
      </c>
      <c r="E1364" t="s">
        <v>64</v>
      </c>
      <c r="F1364" t="s">
        <v>94</v>
      </c>
      <c r="G1364" t="s">
        <v>277</v>
      </c>
      <c r="H1364" s="12">
        <v>6.1529999999999996</v>
      </c>
      <c r="I1364" s="12">
        <v>-75.406999999999996</v>
      </c>
      <c r="J1364" t="s">
        <v>96</v>
      </c>
      <c r="K1364" t="s">
        <v>97</v>
      </c>
      <c r="L1364" t="s">
        <v>1273</v>
      </c>
      <c r="P1364" s="13">
        <v>197.1</v>
      </c>
      <c r="Q1364" s="13">
        <v>51.2</v>
      </c>
      <c r="R1364">
        <v>32</v>
      </c>
      <c r="S1364">
        <v>48</v>
      </c>
      <c r="T1364" s="13">
        <v>29.3</v>
      </c>
      <c r="U1364" s="13">
        <v>30.9</v>
      </c>
      <c r="V1364" t="s">
        <v>99</v>
      </c>
      <c r="X1364" s="13">
        <v>197.1</v>
      </c>
    </row>
    <row r="1365" spans="1:24" x14ac:dyDescent="0.25">
      <c r="A1365" t="s">
        <v>1393</v>
      </c>
      <c r="B1365" t="s">
        <v>64</v>
      </c>
      <c r="C1365" t="s">
        <v>1363</v>
      </c>
      <c r="D1365" t="s">
        <v>1364</v>
      </c>
      <c r="E1365" t="s">
        <v>64</v>
      </c>
      <c r="F1365" t="s">
        <v>94</v>
      </c>
      <c r="G1365" t="s">
        <v>277</v>
      </c>
      <c r="H1365" s="12">
        <v>6.1529999999999996</v>
      </c>
      <c r="I1365" s="12">
        <v>-75.406999999999996</v>
      </c>
      <c r="J1365" t="s">
        <v>96</v>
      </c>
      <c r="K1365" t="s">
        <v>1269</v>
      </c>
      <c r="L1365" t="s">
        <v>1270</v>
      </c>
      <c r="P1365" s="13">
        <v>229.7</v>
      </c>
      <c r="Q1365" s="13">
        <v>53.7</v>
      </c>
      <c r="R1365">
        <v>44</v>
      </c>
      <c r="S1365">
        <v>52</v>
      </c>
      <c r="T1365" s="13">
        <v>37.9</v>
      </c>
      <c r="U1365" s="13">
        <v>34.5</v>
      </c>
      <c r="V1365" t="s">
        <v>268</v>
      </c>
      <c r="W1365" t="s">
        <v>1271</v>
      </c>
      <c r="X1365" s="13"/>
    </row>
    <row r="1366" spans="1:24" x14ac:dyDescent="0.25">
      <c r="A1366" t="s">
        <v>1394</v>
      </c>
      <c r="B1366" t="s">
        <v>64</v>
      </c>
      <c r="C1366" t="s">
        <v>1363</v>
      </c>
      <c r="D1366" t="s">
        <v>1364</v>
      </c>
      <c r="E1366" t="s">
        <v>64</v>
      </c>
      <c r="F1366" t="s">
        <v>94</v>
      </c>
      <c r="G1366" t="s">
        <v>277</v>
      </c>
      <c r="H1366" s="12">
        <v>6.1529999999999996</v>
      </c>
      <c r="I1366" s="12">
        <v>-75.406999999999996</v>
      </c>
      <c r="J1366" t="s">
        <v>96</v>
      </c>
      <c r="K1366" t="s">
        <v>97</v>
      </c>
      <c r="L1366" t="s">
        <v>1273</v>
      </c>
      <c r="P1366" s="13">
        <v>322.39999999999998</v>
      </c>
      <c r="Q1366" s="13">
        <v>73.2</v>
      </c>
      <c r="R1366">
        <v>36</v>
      </c>
      <c r="S1366">
        <v>86</v>
      </c>
      <c r="T1366" s="13">
        <v>55.2</v>
      </c>
      <c r="U1366" s="13">
        <v>87.3</v>
      </c>
      <c r="V1366" t="s">
        <v>99</v>
      </c>
      <c r="X1366" s="13">
        <v>322.39999999999998</v>
      </c>
    </row>
    <row r="1367" spans="1:24" x14ac:dyDescent="0.25">
      <c r="A1367" t="s">
        <v>1394</v>
      </c>
      <c r="B1367" t="s">
        <v>64</v>
      </c>
      <c r="C1367" t="s">
        <v>1363</v>
      </c>
      <c r="D1367" t="s">
        <v>1364</v>
      </c>
      <c r="E1367" t="s">
        <v>64</v>
      </c>
      <c r="F1367" t="s">
        <v>94</v>
      </c>
      <c r="G1367" t="s">
        <v>277</v>
      </c>
      <c r="H1367" s="12">
        <v>6.1529999999999996</v>
      </c>
      <c r="I1367" s="12">
        <v>-75.406999999999996</v>
      </c>
      <c r="J1367" t="s">
        <v>96</v>
      </c>
      <c r="K1367" t="s">
        <v>1269</v>
      </c>
      <c r="L1367" t="s">
        <v>1270</v>
      </c>
      <c r="P1367" s="13">
        <v>374.2</v>
      </c>
      <c r="Q1367" s="13">
        <v>65.900000000000006</v>
      </c>
      <c r="R1367">
        <v>72</v>
      </c>
      <c r="S1367">
        <v>86</v>
      </c>
      <c r="T1367" s="13">
        <v>69</v>
      </c>
      <c r="U1367" s="13">
        <v>94.5</v>
      </c>
      <c r="V1367" t="s">
        <v>268</v>
      </c>
      <c r="W1367" t="s">
        <v>1271</v>
      </c>
      <c r="X1367" s="13"/>
    </row>
    <row r="1368" spans="1:24" x14ac:dyDescent="0.25">
      <c r="A1368" t="s">
        <v>1395</v>
      </c>
      <c r="B1368" t="s">
        <v>64</v>
      </c>
      <c r="C1368" t="s">
        <v>1363</v>
      </c>
      <c r="D1368" t="s">
        <v>1364</v>
      </c>
      <c r="E1368" t="s">
        <v>64</v>
      </c>
      <c r="F1368" t="s">
        <v>94</v>
      </c>
      <c r="G1368" t="s">
        <v>277</v>
      </c>
      <c r="H1368" s="12">
        <v>6.1529999999999996</v>
      </c>
      <c r="I1368" s="12">
        <v>-75.406999999999996</v>
      </c>
      <c r="J1368" t="s">
        <v>96</v>
      </c>
      <c r="K1368" t="s">
        <v>97</v>
      </c>
      <c r="L1368" t="s">
        <v>1273</v>
      </c>
      <c r="P1368" s="13">
        <v>232.8</v>
      </c>
      <c r="Q1368" s="13">
        <v>56.1</v>
      </c>
      <c r="R1368">
        <v>42</v>
      </c>
      <c r="S1368">
        <v>36</v>
      </c>
      <c r="T1368" s="13">
        <v>48.3</v>
      </c>
      <c r="U1368" s="13">
        <v>58.2</v>
      </c>
      <c r="V1368" t="s">
        <v>99</v>
      </c>
      <c r="X1368" s="13">
        <v>232.8</v>
      </c>
    </row>
    <row r="1369" spans="1:24" x14ac:dyDescent="0.25">
      <c r="A1369" t="s">
        <v>1395</v>
      </c>
      <c r="B1369" t="s">
        <v>64</v>
      </c>
      <c r="C1369" t="s">
        <v>1363</v>
      </c>
      <c r="D1369" t="s">
        <v>1364</v>
      </c>
      <c r="E1369" t="s">
        <v>64</v>
      </c>
      <c r="F1369" t="s">
        <v>94</v>
      </c>
      <c r="G1369" t="s">
        <v>277</v>
      </c>
      <c r="H1369" s="12">
        <v>6.1529999999999996</v>
      </c>
      <c r="I1369" s="12">
        <v>-75.406999999999996</v>
      </c>
      <c r="J1369" t="s">
        <v>96</v>
      </c>
      <c r="K1369" t="s">
        <v>1269</v>
      </c>
      <c r="L1369" t="s">
        <v>1270</v>
      </c>
      <c r="P1369" s="13">
        <v>225.5</v>
      </c>
      <c r="Q1369" s="13">
        <v>63.4</v>
      </c>
      <c r="R1369">
        <v>46</v>
      </c>
      <c r="S1369">
        <v>20</v>
      </c>
      <c r="T1369" s="13">
        <v>44.8</v>
      </c>
      <c r="U1369" s="13">
        <v>63.6</v>
      </c>
      <c r="V1369" t="s">
        <v>268</v>
      </c>
      <c r="W1369" t="s">
        <v>1271</v>
      </c>
      <c r="X1369" s="13"/>
    </row>
    <row r="1370" spans="1:24" x14ac:dyDescent="0.25">
      <c r="A1370" t="s">
        <v>1396</v>
      </c>
      <c r="B1370" t="s">
        <v>64</v>
      </c>
      <c r="C1370" t="s">
        <v>1363</v>
      </c>
      <c r="D1370" t="s">
        <v>1364</v>
      </c>
      <c r="E1370" t="s">
        <v>64</v>
      </c>
      <c r="F1370" t="s">
        <v>94</v>
      </c>
      <c r="G1370" t="s">
        <v>277</v>
      </c>
      <c r="H1370" s="12">
        <v>6.1529999999999996</v>
      </c>
      <c r="I1370" s="12">
        <v>-75.406999999999996</v>
      </c>
      <c r="J1370" t="s">
        <v>96</v>
      </c>
      <c r="K1370" t="s">
        <v>97</v>
      </c>
      <c r="L1370" t="s">
        <v>1273</v>
      </c>
      <c r="P1370" s="13">
        <v>206.9</v>
      </c>
      <c r="Q1370" s="13">
        <v>63.4</v>
      </c>
      <c r="R1370">
        <v>32</v>
      </c>
      <c r="S1370">
        <v>34</v>
      </c>
      <c r="T1370" s="13">
        <v>29.3</v>
      </c>
      <c r="U1370" s="13">
        <v>61.8</v>
      </c>
      <c r="V1370" t="s">
        <v>99</v>
      </c>
      <c r="X1370" s="13">
        <v>206.9</v>
      </c>
    </row>
    <row r="1371" spans="1:24" x14ac:dyDescent="0.25">
      <c r="A1371" t="s">
        <v>1396</v>
      </c>
      <c r="B1371" t="s">
        <v>64</v>
      </c>
      <c r="C1371" t="s">
        <v>1363</v>
      </c>
      <c r="D1371" t="s">
        <v>1364</v>
      </c>
      <c r="E1371" t="s">
        <v>64</v>
      </c>
      <c r="F1371" t="s">
        <v>94</v>
      </c>
      <c r="G1371" t="s">
        <v>277</v>
      </c>
      <c r="H1371" s="12">
        <v>6.1529999999999996</v>
      </c>
      <c r="I1371" s="12">
        <v>-75.406999999999996</v>
      </c>
      <c r="J1371" t="s">
        <v>96</v>
      </c>
      <c r="K1371" t="s">
        <v>1269</v>
      </c>
      <c r="L1371" t="s">
        <v>1270</v>
      </c>
      <c r="P1371" s="13">
        <v>277.39999999999998</v>
      </c>
      <c r="Q1371" s="13">
        <v>48.8</v>
      </c>
      <c r="R1371">
        <v>60</v>
      </c>
      <c r="S1371">
        <v>50</v>
      </c>
      <c r="T1371" s="13">
        <v>58.6</v>
      </c>
      <c r="U1371" s="13">
        <v>69.099999999999994</v>
      </c>
      <c r="V1371" t="s">
        <v>268</v>
      </c>
      <c r="W1371" t="s">
        <v>1271</v>
      </c>
      <c r="X1371" s="13"/>
    </row>
    <row r="1372" spans="1:24" x14ac:dyDescent="0.25">
      <c r="A1372" t="s">
        <v>1397</v>
      </c>
      <c r="B1372" t="s">
        <v>64</v>
      </c>
      <c r="C1372" t="s">
        <v>1363</v>
      </c>
      <c r="D1372" t="s">
        <v>1364</v>
      </c>
      <c r="E1372" t="s">
        <v>64</v>
      </c>
      <c r="F1372" t="s">
        <v>94</v>
      </c>
      <c r="G1372" t="s">
        <v>277</v>
      </c>
      <c r="H1372" s="12">
        <v>6.1529999999999996</v>
      </c>
      <c r="I1372" s="12">
        <v>-75.406999999999996</v>
      </c>
      <c r="J1372" t="s">
        <v>129</v>
      </c>
      <c r="K1372" t="s">
        <v>97</v>
      </c>
      <c r="L1372" t="s">
        <v>1273</v>
      </c>
      <c r="P1372" s="13">
        <v>154.9</v>
      </c>
      <c r="Q1372" s="13">
        <v>34.1</v>
      </c>
      <c r="R1372">
        <v>24</v>
      </c>
      <c r="S1372">
        <v>28</v>
      </c>
      <c r="T1372" s="13">
        <v>39.700000000000003</v>
      </c>
      <c r="U1372" s="13">
        <v>25.5</v>
      </c>
      <c r="V1372" t="s">
        <v>99</v>
      </c>
      <c r="X1372" s="13">
        <v>154.9</v>
      </c>
    </row>
    <row r="1373" spans="1:24" x14ac:dyDescent="0.25">
      <c r="A1373" t="s">
        <v>1397</v>
      </c>
      <c r="B1373" t="s">
        <v>64</v>
      </c>
      <c r="C1373" t="s">
        <v>1363</v>
      </c>
      <c r="D1373" t="s">
        <v>1364</v>
      </c>
      <c r="E1373" t="s">
        <v>64</v>
      </c>
      <c r="F1373" t="s">
        <v>94</v>
      </c>
      <c r="G1373" t="s">
        <v>277</v>
      </c>
      <c r="H1373" s="12">
        <v>6.1529999999999996</v>
      </c>
      <c r="I1373" s="12">
        <v>-75.406999999999996</v>
      </c>
      <c r="J1373" t="s">
        <v>129</v>
      </c>
      <c r="K1373" t="s">
        <v>1269</v>
      </c>
      <c r="L1373" t="s">
        <v>1270</v>
      </c>
      <c r="P1373" s="13">
        <v>102.2</v>
      </c>
      <c r="Q1373" s="13">
        <v>34.1</v>
      </c>
      <c r="R1373">
        <v>26</v>
      </c>
      <c r="S1373">
        <v>6</v>
      </c>
      <c r="T1373" s="13">
        <v>22.4</v>
      </c>
      <c r="U1373" s="13">
        <v>0</v>
      </c>
      <c r="V1373" t="s">
        <v>268</v>
      </c>
      <c r="W1373" t="s">
        <v>1271</v>
      </c>
      <c r="X1373" s="13"/>
    </row>
    <row r="1374" spans="1:24" x14ac:dyDescent="0.25">
      <c r="A1374" t="s">
        <v>1398</v>
      </c>
      <c r="B1374" t="s">
        <v>64</v>
      </c>
      <c r="C1374" t="s">
        <v>1363</v>
      </c>
      <c r="D1374" t="s">
        <v>1364</v>
      </c>
      <c r="E1374" t="s">
        <v>64</v>
      </c>
      <c r="F1374" t="s">
        <v>94</v>
      </c>
      <c r="G1374" t="s">
        <v>277</v>
      </c>
      <c r="H1374" s="12">
        <v>6.1529999999999996</v>
      </c>
      <c r="I1374" s="12">
        <v>-75.406999999999996</v>
      </c>
      <c r="J1374" t="s">
        <v>96</v>
      </c>
      <c r="K1374" t="s">
        <v>97</v>
      </c>
      <c r="L1374" t="s">
        <v>1273</v>
      </c>
      <c r="P1374" s="13">
        <v>161.5</v>
      </c>
      <c r="Q1374" s="13">
        <v>31.7</v>
      </c>
      <c r="R1374">
        <v>26</v>
      </c>
      <c r="S1374">
        <v>30</v>
      </c>
      <c r="T1374" s="13">
        <v>31</v>
      </c>
      <c r="U1374" s="13">
        <v>63.6</v>
      </c>
      <c r="V1374" t="s">
        <v>99</v>
      </c>
      <c r="X1374" s="13">
        <v>161.5</v>
      </c>
    </row>
    <row r="1375" spans="1:24" x14ac:dyDescent="0.25">
      <c r="A1375" t="s">
        <v>1398</v>
      </c>
      <c r="B1375" t="s">
        <v>64</v>
      </c>
      <c r="C1375" t="s">
        <v>1363</v>
      </c>
      <c r="D1375" t="s">
        <v>1364</v>
      </c>
      <c r="E1375" t="s">
        <v>64</v>
      </c>
      <c r="F1375" t="s">
        <v>94</v>
      </c>
      <c r="G1375" t="s">
        <v>277</v>
      </c>
      <c r="H1375" s="12">
        <v>6.1529999999999996</v>
      </c>
      <c r="I1375" s="12">
        <v>-75.406999999999996</v>
      </c>
      <c r="J1375" t="s">
        <v>96</v>
      </c>
      <c r="K1375" t="s">
        <v>1269</v>
      </c>
      <c r="L1375" t="s">
        <v>1270</v>
      </c>
      <c r="P1375" s="13">
        <v>178.9</v>
      </c>
      <c r="Q1375" s="13">
        <v>34.1</v>
      </c>
      <c r="R1375">
        <v>46</v>
      </c>
      <c r="S1375">
        <v>36</v>
      </c>
      <c r="T1375" s="13">
        <v>31</v>
      </c>
      <c r="U1375" s="13">
        <v>23.6</v>
      </c>
      <c r="V1375" t="s">
        <v>268</v>
      </c>
      <c r="W1375" t="s">
        <v>1271</v>
      </c>
      <c r="X1375" s="13"/>
    </row>
    <row r="1376" spans="1:24" x14ac:dyDescent="0.25">
      <c r="A1376" t="s">
        <v>1399</v>
      </c>
      <c r="B1376" t="s">
        <v>64</v>
      </c>
      <c r="C1376" t="s">
        <v>1363</v>
      </c>
      <c r="D1376" t="s">
        <v>1364</v>
      </c>
      <c r="E1376" t="s">
        <v>64</v>
      </c>
      <c r="F1376" t="s">
        <v>94</v>
      </c>
      <c r="G1376" t="s">
        <v>277</v>
      </c>
      <c r="H1376" s="12">
        <v>6.1529999999999996</v>
      </c>
      <c r="I1376" s="12">
        <v>-75.406999999999996</v>
      </c>
      <c r="J1376" t="s">
        <v>96</v>
      </c>
      <c r="K1376" t="s">
        <v>97</v>
      </c>
      <c r="L1376" t="s">
        <v>1273</v>
      </c>
      <c r="P1376" s="13">
        <v>197.4</v>
      </c>
      <c r="Q1376" s="13">
        <v>53.7</v>
      </c>
      <c r="R1376">
        <v>32</v>
      </c>
      <c r="S1376">
        <v>42</v>
      </c>
      <c r="T1376" s="13">
        <v>25.9</v>
      </c>
      <c r="U1376" s="13">
        <v>52.7</v>
      </c>
      <c r="V1376" t="s">
        <v>99</v>
      </c>
      <c r="X1376" s="13">
        <v>197.4</v>
      </c>
    </row>
    <row r="1377" spans="1:24" x14ac:dyDescent="0.25">
      <c r="A1377" t="s">
        <v>1399</v>
      </c>
      <c r="B1377" t="s">
        <v>64</v>
      </c>
      <c r="C1377" t="s">
        <v>1363</v>
      </c>
      <c r="D1377" t="s">
        <v>1364</v>
      </c>
      <c r="E1377" t="s">
        <v>64</v>
      </c>
      <c r="F1377" t="s">
        <v>94</v>
      </c>
      <c r="G1377" t="s">
        <v>277</v>
      </c>
      <c r="H1377" s="12">
        <v>6.1529999999999996</v>
      </c>
      <c r="I1377" s="12">
        <v>-75.406999999999996</v>
      </c>
      <c r="J1377" t="s">
        <v>96</v>
      </c>
      <c r="K1377" t="s">
        <v>1269</v>
      </c>
      <c r="L1377" t="s">
        <v>1270</v>
      </c>
      <c r="P1377" s="13">
        <v>217.6</v>
      </c>
      <c r="Q1377" s="13">
        <v>48.8</v>
      </c>
      <c r="R1377">
        <v>28</v>
      </c>
      <c r="S1377">
        <v>34</v>
      </c>
      <c r="T1377" s="13">
        <v>51.7</v>
      </c>
      <c r="U1377" s="13">
        <v>78.2</v>
      </c>
      <c r="V1377" t="s">
        <v>268</v>
      </c>
      <c r="W1377" t="s">
        <v>1271</v>
      </c>
      <c r="X1377" s="13"/>
    </row>
    <row r="1378" spans="1:24" x14ac:dyDescent="0.25">
      <c r="A1378" t="s">
        <v>1400</v>
      </c>
      <c r="B1378" t="s">
        <v>64</v>
      </c>
      <c r="C1378" t="s">
        <v>1363</v>
      </c>
      <c r="D1378" t="s">
        <v>1364</v>
      </c>
      <c r="E1378" t="s">
        <v>64</v>
      </c>
      <c r="F1378" t="s">
        <v>94</v>
      </c>
      <c r="G1378" t="s">
        <v>277</v>
      </c>
      <c r="H1378" s="12">
        <v>6.1529999999999996</v>
      </c>
      <c r="I1378" s="12">
        <v>-75.406999999999996</v>
      </c>
      <c r="J1378" t="s">
        <v>96</v>
      </c>
      <c r="K1378" t="s">
        <v>97</v>
      </c>
      <c r="L1378" t="s">
        <v>1273</v>
      </c>
      <c r="P1378" s="13">
        <v>129</v>
      </c>
      <c r="Q1378" s="13">
        <v>31.7</v>
      </c>
      <c r="R1378">
        <v>24</v>
      </c>
      <c r="S1378">
        <v>16</v>
      </c>
      <c r="T1378" s="13">
        <v>31</v>
      </c>
      <c r="U1378" s="13">
        <v>27.3</v>
      </c>
      <c r="V1378" t="s">
        <v>99</v>
      </c>
      <c r="X1378" s="13">
        <v>129</v>
      </c>
    </row>
    <row r="1379" spans="1:24" x14ac:dyDescent="0.25">
      <c r="A1379" t="s">
        <v>1400</v>
      </c>
      <c r="B1379" t="s">
        <v>64</v>
      </c>
      <c r="C1379" t="s">
        <v>1363</v>
      </c>
      <c r="D1379" t="s">
        <v>1364</v>
      </c>
      <c r="E1379" t="s">
        <v>64</v>
      </c>
      <c r="F1379" t="s">
        <v>94</v>
      </c>
      <c r="G1379" t="s">
        <v>277</v>
      </c>
      <c r="H1379" s="12">
        <v>6.1529999999999996</v>
      </c>
      <c r="I1379" s="12">
        <v>-75.406999999999996</v>
      </c>
      <c r="J1379" t="s">
        <v>96</v>
      </c>
      <c r="K1379" t="s">
        <v>1269</v>
      </c>
      <c r="L1379" t="s">
        <v>1270</v>
      </c>
      <c r="P1379" s="13">
        <v>175.7</v>
      </c>
      <c r="Q1379" s="13">
        <v>46.3</v>
      </c>
      <c r="R1379">
        <v>26</v>
      </c>
      <c r="S1379">
        <v>22</v>
      </c>
      <c r="T1379" s="13">
        <v>48.3</v>
      </c>
      <c r="U1379" s="13">
        <v>29.1</v>
      </c>
      <c r="V1379" t="s">
        <v>268</v>
      </c>
      <c r="W1379" t="s">
        <v>1271</v>
      </c>
      <c r="X1379" s="13"/>
    </row>
    <row r="1380" spans="1:24" x14ac:dyDescent="0.25">
      <c r="A1380" t="s">
        <v>1401</v>
      </c>
      <c r="B1380" t="s">
        <v>64</v>
      </c>
      <c r="C1380" t="s">
        <v>1363</v>
      </c>
      <c r="D1380" t="s">
        <v>1364</v>
      </c>
      <c r="E1380" t="s">
        <v>64</v>
      </c>
      <c r="F1380" t="s">
        <v>94</v>
      </c>
      <c r="G1380" t="s">
        <v>277</v>
      </c>
      <c r="H1380" s="12">
        <v>6.1529999999999996</v>
      </c>
      <c r="I1380" s="12">
        <v>-75.406999999999996</v>
      </c>
      <c r="J1380" t="s">
        <v>129</v>
      </c>
      <c r="K1380" t="s">
        <v>97</v>
      </c>
      <c r="L1380" t="s">
        <v>1273</v>
      </c>
      <c r="P1380" s="13">
        <v>152.30000000000001</v>
      </c>
      <c r="Q1380" s="13">
        <v>22</v>
      </c>
      <c r="R1380">
        <v>34</v>
      </c>
      <c r="S1380">
        <v>34</v>
      </c>
      <c r="T1380" s="13">
        <v>29.3</v>
      </c>
      <c r="U1380" s="13">
        <v>38.200000000000003</v>
      </c>
      <c r="V1380" t="s">
        <v>99</v>
      </c>
      <c r="X1380" s="13">
        <v>152.30000000000001</v>
      </c>
    </row>
    <row r="1381" spans="1:24" x14ac:dyDescent="0.25">
      <c r="A1381" t="s">
        <v>1401</v>
      </c>
      <c r="B1381" t="s">
        <v>64</v>
      </c>
      <c r="C1381" t="s">
        <v>1363</v>
      </c>
      <c r="D1381" t="s">
        <v>1364</v>
      </c>
      <c r="E1381" t="s">
        <v>64</v>
      </c>
      <c r="F1381" t="s">
        <v>94</v>
      </c>
      <c r="G1381" t="s">
        <v>277</v>
      </c>
      <c r="H1381" s="12">
        <v>6.1529999999999996</v>
      </c>
      <c r="I1381" s="12">
        <v>-75.406999999999996</v>
      </c>
      <c r="J1381" t="s">
        <v>129</v>
      </c>
      <c r="K1381" t="s">
        <v>1269</v>
      </c>
      <c r="L1381" t="s">
        <v>1270</v>
      </c>
      <c r="P1381" s="13">
        <v>141</v>
      </c>
      <c r="Q1381" s="13">
        <v>29.3</v>
      </c>
      <c r="R1381">
        <v>22</v>
      </c>
      <c r="S1381">
        <v>28</v>
      </c>
      <c r="T1381" s="13">
        <v>34.5</v>
      </c>
      <c r="U1381" s="13">
        <v>25.5</v>
      </c>
      <c r="V1381" t="s">
        <v>268</v>
      </c>
      <c r="W1381" t="s">
        <v>1271</v>
      </c>
      <c r="X1381" s="13"/>
    </row>
    <row r="1382" spans="1:24" x14ac:dyDescent="0.25">
      <c r="A1382" t="s">
        <v>1402</v>
      </c>
      <c r="B1382" t="s">
        <v>64</v>
      </c>
      <c r="C1382" t="s">
        <v>1363</v>
      </c>
      <c r="D1382" t="s">
        <v>1364</v>
      </c>
      <c r="E1382" t="s">
        <v>64</v>
      </c>
      <c r="F1382" t="s">
        <v>94</v>
      </c>
      <c r="G1382" t="s">
        <v>277</v>
      </c>
      <c r="H1382" s="12">
        <v>6.1529999999999996</v>
      </c>
      <c r="I1382" s="12">
        <v>-75.406999999999996</v>
      </c>
      <c r="J1382" t="s">
        <v>129</v>
      </c>
      <c r="K1382" t="s">
        <v>97</v>
      </c>
      <c r="L1382" t="s">
        <v>1273</v>
      </c>
      <c r="P1382" s="13">
        <v>210.6</v>
      </c>
      <c r="Q1382" s="13">
        <v>39</v>
      </c>
      <c r="R1382">
        <v>38</v>
      </c>
      <c r="S1382">
        <v>42</v>
      </c>
      <c r="T1382" s="13">
        <v>46.6</v>
      </c>
      <c r="U1382" s="13">
        <v>50.9</v>
      </c>
      <c r="V1382" t="s">
        <v>99</v>
      </c>
      <c r="X1382" s="13">
        <v>210.6</v>
      </c>
    </row>
    <row r="1383" spans="1:24" x14ac:dyDescent="0.25">
      <c r="A1383" t="s">
        <v>1402</v>
      </c>
      <c r="B1383" t="s">
        <v>64</v>
      </c>
      <c r="C1383" t="s">
        <v>1363</v>
      </c>
      <c r="D1383" t="s">
        <v>1364</v>
      </c>
      <c r="E1383" t="s">
        <v>64</v>
      </c>
      <c r="F1383" t="s">
        <v>94</v>
      </c>
      <c r="G1383" t="s">
        <v>277</v>
      </c>
      <c r="H1383" s="12">
        <v>6.1529999999999996</v>
      </c>
      <c r="I1383" s="12">
        <v>-75.406999999999996</v>
      </c>
      <c r="J1383" t="s">
        <v>129</v>
      </c>
      <c r="K1383" t="s">
        <v>1269</v>
      </c>
      <c r="L1383" t="s">
        <v>1270</v>
      </c>
      <c r="P1383" s="13">
        <v>117.7</v>
      </c>
      <c r="Q1383" s="13">
        <v>0</v>
      </c>
      <c r="R1383">
        <v>30</v>
      </c>
      <c r="S1383">
        <v>28</v>
      </c>
      <c r="T1383" s="13">
        <v>25.9</v>
      </c>
      <c r="U1383" s="13">
        <v>54.5</v>
      </c>
      <c r="V1383" t="s">
        <v>268</v>
      </c>
      <c r="W1383" t="s">
        <v>1271</v>
      </c>
      <c r="X1383" s="13"/>
    </row>
    <row r="1384" spans="1:24" x14ac:dyDescent="0.25">
      <c r="A1384" t="s">
        <v>1403</v>
      </c>
      <c r="B1384" t="s">
        <v>64</v>
      </c>
      <c r="C1384" t="s">
        <v>1363</v>
      </c>
      <c r="D1384" t="s">
        <v>1364</v>
      </c>
      <c r="E1384" t="s">
        <v>64</v>
      </c>
      <c r="F1384" t="s">
        <v>94</v>
      </c>
      <c r="G1384" t="s">
        <v>277</v>
      </c>
      <c r="H1384" s="12">
        <v>6.1529999999999996</v>
      </c>
      <c r="I1384" s="12">
        <v>-75.406999999999996</v>
      </c>
      <c r="J1384" t="s">
        <v>129</v>
      </c>
      <c r="K1384" t="s">
        <v>97</v>
      </c>
      <c r="L1384" t="s">
        <v>1273</v>
      </c>
      <c r="P1384" s="13">
        <v>194.4</v>
      </c>
      <c r="Q1384" s="13">
        <v>43.9</v>
      </c>
      <c r="R1384">
        <v>36</v>
      </c>
      <c r="S1384">
        <v>34</v>
      </c>
      <c r="T1384" s="13">
        <v>43.1</v>
      </c>
      <c r="U1384" s="13">
        <v>34.5</v>
      </c>
      <c r="V1384" t="s">
        <v>99</v>
      </c>
      <c r="X1384" s="13">
        <v>194.4</v>
      </c>
    </row>
    <row r="1385" spans="1:24" x14ac:dyDescent="0.25">
      <c r="A1385" t="s">
        <v>1403</v>
      </c>
      <c r="B1385" t="s">
        <v>64</v>
      </c>
      <c r="C1385" t="s">
        <v>1363</v>
      </c>
      <c r="D1385" t="s">
        <v>1364</v>
      </c>
      <c r="E1385" t="s">
        <v>64</v>
      </c>
      <c r="F1385" t="s">
        <v>94</v>
      </c>
      <c r="G1385" t="s">
        <v>277</v>
      </c>
      <c r="H1385" s="12">
        <v>6.1529999999999996</v>
      </c>
      <c r="I1385" s="12">
        <v>-75.406999999999996</v>
      </c>
      <c r="J1385" t="s">
        <v>129</v>
      </c>
      <c r="K1385" t="s">
        <v>1269</v>
      </c>
      <c r="L1385" t="s">
        <v>1270</v>
      </c>
      <c r="P1385" s="13">
        <v>183.7</v>
      </c>
      <c r="Q1385" s="13">
        <v>53.7</v>
      </c>
      <c r="R1385">
        <v>22</v>
      </c>
      <c r="S1385">
        <v>40</v>
      </c>
      <c r="T1385" s="13">
        <v>34.5</v>
      </c>
      <c r="U1385" s="13">
        <v>27.3</v>
      </c>
      <c r="V1385" t="s">
        <v>268</v>
      </c>
      <c r="W1385" t="s">
        <v>1271</v>
      </c>
      <c r="X1385" s="13"/>
    </row>
    <row r="1386" spans="1:24" x14ac:dyDescent="0.25">
      <c r="A1386" t="s">
        <v>1404</v>
      </c>
      <c r="B1386" t="s">
        <v>64</v>
      </c>
      <c r="C1386" t="s">
        <v>1363</v>
      </c>
      <c r="D1386" t="s">
        <v>1364</v>
      </c>
      <c r="E1386" t="s">
        <v>64</v>
      </c>
      <c r="F1386" t="s">
        <v>94</v>
      </c>
      <c r="G1386" t="s">
        <v>277</v>
      </c>
      <c r="H1386" s="12">
        <v>6.1529999999999996</v>
      </c>
      <c r="I1386" s="12">
        <v>-75.406999999999996</v>
      </c>
      <c r="J1386" t="s">
        <v>129</v>
      </c>
      <c r="K1386" t="s">
        <v>1269</v>
      </c>
      <c r="L1386" t="s">
        <v>1270</v>
      </c>
      <c r="P1386" s="13">
        <v>165.8</v>
      </c>
      <c r="Q1386" s="13">
        <v>53.7</v>
      </c>
      <c r="R1386">
        <v>32</v>
      </c>
      <c r="S1386">
        <v>24</v>
      </c>
      <c r="T1386" s="13">
        <v>20.7</v>
      </c>
      <c r="U1386" s="13">
        <v>40</v>
      </c>
      <c r="V1386" t="s">
        <v>268</v>
      </c>
      <c r="W1386" t="s">
        <v>1271</v>
      </c>
      <c r="X1386" s="13"/>
    </row>
    <row r="1387" spans="1:24" x14ac:dyDescent="0.25">
      <c r="A1387" t="s">
        <v>1405</v>
      </c>
      <c r="B1387" t="s">
        <v>64</v>
      </c>
      <c r="C1387" t="s">
        <v>1363</v>
      </c>
      <c r="D1387" t="s">
        <v>1364</v>
      </c>
      <c r="E1387" t="s">
        <v>64</v>
      </c>
      <c r="F1387" t="s">
        <v>94</v>
      </c>
      <c r="G1387" t="s">
        <v>277</v>
      </c>
      <c r="H1387" s="12">
        <v>6.1529999999999996</v>
      </c>
      <c r="I1387" s="12">
        <v>-75.406999999999996</v>
      </c>
      <c r="J1387" t="s">
        <v>129</v>
      </c>
      <c r="K1387" t="s">
        <v>97</v>
      </c>
      <c r="L1387" t="s">
        <v>1273</v>
      </c>
      <c r="P1387" s="13">
        <v>235.9</v>
      </c>
      <c r="Q1387" s="13">
        <v>58.5</v>
      </c>
      <c r="R1387">
        <v>28</v>
      </c>
      <c r="S1387">
        <v>50</v>
      </c>
      <c r="T1387" s="13">
        <v>43.1</v>
      </c>
      <c r="U1387" s="13">
        <v>74.5</v>
      </c>
      <c r="V1387" t="s">
        <v>99</v>
      </c>
      <c r="X1387" s="13">
        <v>235.9</v>
      </c>
    </row>
    <row r="1388" spans="1:24" x14ac:dyDescent="0.25">
      <c r="A1388" t="s">
        <v>1405</v>
      </c>
      <c r="B1388" t="s">
        <v>64</v>
      </c>
      <c r="C1388" t="s">
        <v>1363</v>
      </c>
      <c r="D1388" t="s">
        <v>1364</v>
      </c>
      <c r="E1388" t="s">
        <v>64</v>
      </c>
      <c r="F1388" t="s">
        <v>94</v>
      </c>
      <c r="G1388" t="s">
        <v>277</v>
      </c>
      <c r="H1388" s="12">
        <v>6.1529999999999996</v>
      </c>
      <c r="I1388" s="12">
        <v>-75.406999999999996</v>
      </c>
      <c r="J1388" t="s">
        <v>129</v>
      </c>
      <c r="K1388" t="s">
        <v>1269</v>
      </c>
      <c r="L1388" t="s">
        <v>1270</v>
      </c>
      <c r="P1388" s="13">
        <v>292.89999999999998</v>
      </c>
      <c r="Q1388" s="13">
        <v>58.5</v>
      </c>
      <c r="R1388">
        <v>36</v>
      </c>
      <c r="S1388">
        <v>70</v>
      </c>
      <c r="T1388" s="13">
        <v>62.1</v>
      </c>
      <c r="U1388" s="13">
        <v>81.8</v>
      </c>
      <c r="V1388" t="s">
        <v>268</v>
      </c>
      <c r="W1388" t="s">
        <v>1271</v>
      </c>
      <c r="X1388" s="13"/>
    </row>
    <row r="1389" spans="1:24" x14ac:dyDescent="0.25">
      <c r="A1389" t="s">
        <v>1406</v>
      </c>
      <c r="B1389" t="s">
        <v>64</v>
      </c>
      <c r="C1389" t="s">
        <v>1407</v>
      </c>
      <c r="D1389" t="s">
        <v>1408</v>
      </c>
      <c r="E1389" t="s">
        <v>64</v>
      </c>
      <c r="F1389" t="s">
        <v>94</v>
      </c>
      <c r="G1389" t="s">
        <v>277</v>
      </c>
      <c r="H1389" s="12">
        <v>6.1180000000000003</v>
      </c>
      <c r="I1389" s="12">
        <v>-75.445999999999998</v>
      </c>
      <c r="J1389" t="s">
        <v>96</v>
      </c>
      <c r="K1389" t="s">
        <v>97</v>
      </c>
      <c r="L1389" t="s">
        <v>1273</v>
      </c>
      <c r="P1389" s="13">
        <v>133.6</v>
      </c>
      <c r="Q1389" s="13">
        <v>68.3</v>
      </c>
      <c r="R1389">
        <v>16</v>
      </c>
      <c r="S1389">
        <v>16</v>
      </c>
      <c r="T1389" s="13">
        <v>15.5</v>
      </c>
      <c r="U1389" s="13">
        <v>0</v>
      </c>
      <c r="V1389" t="s">
        <v>99</v>
      </c>
      <c r="X1389" s="13">
        <v>133.6</v>
      </c>
    </row>
    <row r="1390" spans="1:24" x14ac:dyDescent="0.25">
      <c r="A1390" t="s">
        <v>1406</v>
      </c>
      <c r="B1390" t="s">
        <v>64</v>
      </c>
      <c r="C1390" t="s">
        <v>1407</v>
      </c>
      <c r="D1390" t="s">
        <v>1408</v>
      </c>
      <c r="E1390" t="s">
        <v>64</v>
      </c>
      <c r="F1390" t="s">
        <v>94</v>
      </c>
      <c r="G1390" t="s">
        <v>277</v>
      </c>
      <c r="H1390" s="12">
        <v>6.1180000000000003</v>
      </c>
      <c r="I1390" s="12">
        <v>-75.445999999999998</v>
      </c>
      <c r="J1390" t="s">
        <v>96</v>
      </c>
      <c r="K1390" t="s">
        <v>1269</v>
      </c>
      <c r="L1390" t="s">
        <v>1270</v>
      </c>
      <c r="P1390" s="13">
        <v>218.4</v>
      </c>
      <c r="Q1390" s="13">
        <v>43.9</v>
      </c>
      <c r="R1390">
        <v>30</v>
      </c>
      <c r="S1390">
        <v>60</v>
      </c>
      <c r="T1390" s="13">
        <v>39.700000000000003</v>
      </c>
      <c r="U1390" s="13">
        <v>47.3</v>
      </c>
      <c r="V1390" t="s">
        <v>268</v>
      </c>
      <c r="W1390" t="s">
        <v>1271</v>
      </c>
      <c r="X1390" s="13"/>
    </row>
    <row r="1391" spans="1:24" x14ac:dyDescent="0.25">
      <c r="A1391" t="s">
        <v>1409</v>
      </c>
      <c r="B1391" t="s">
        <v>64</v>
      </c>
      <c r="C1391" t="s">
        <v>1407</v>
      </c>
      <c r="D1391" t="s">
        <v>1408</v>
      </c>
      <c r="E1391" t="s">
        <v>64</v>
      </c>
      <c r="F1391" t="s">
        <v>94</v>
      </c>
      <c r="G1391" t="s">
        <v>277</v>
      </c>
      <c r="H1391" s="12">
        <v>6.1180000000000003</v>
      </c>
      <c r="I1391" s="12">
        <v>-75.445999999999998</v>
      </c>
      <c r="J1391" t="s">
        <v>96</v>
      </c>
      <c r="K1391" t="s">
        <v>97</v>
      </c>
      <c r="L1391" t="s">
        <v>1273</v>
      </c>
      <c r="P1391" s="13">
        <v>176.7</v>
      </c>
      <c r="Q1391" s="13">
        <v>65.900000000000006</v>
      </c>
      <c r="R1391">
        <v>34</v>
      </c>
      <c r="S1391">
        <v>24</v>
      </c>
      <c r="T1391" s="13">
        <v>29.3</v>
      </c>
      <c r="U1391" s="13">
        <v>0</v>
      </c>
      <c r="V1391" t="s">
        <v>99</v>
      </c>
      <c r="X1391" s="13">
        <v>176.7</v>
      </c>
    </row>
    <row r="1392" spans="1:24" x14ac:dyDescent="0.25">
      <c r="A1392" t="s">
        <v>1409</v>
      </c>
      <c r="B1392" t="s">
        <v>64</v>
      </c>
      <c r="C1392" t="s">
        <v>1407</v>
      </c>
      <c r="D1392" t="s">
        <v>1408</v>
      </c>
      <c r="E1392" t="s">
        <v>64</v>
      </c>
      <c r="F1392" t="s">
        <v>94</v>
      </c>
      <c r="G1392" t="s">
        <v>277</v>
      </c>
      <c r="H1392" s="12">
        <v>6.1180000000000003</v>
      </c>
      <c r="I1392" s="12">
        <v>-75.445999999999998</v>
      </c>
      <c r="J1392" t="s">
        <v>96</v>
      </c>
      <c r="K1392" t="s">
        <v>1269</v>
      </c>
      <c r="L1392" t="s">
        <v>1270</v>
      </c>
      <c r="P1392" s="13">
        <v>296.3</v>
      </c>
      <c r="Q1392" s="13">
        <v>48.8</v>
      </c>
      <c r="R1392">
        <v>52</v>
      </c>
      <c r="S1392">
        <v>82</v>
      </c>
      <c r="T1392" s="13">
        <v>53.4</v>
      </c>
      <c r="U1392" s="13">
        <v>61.8</v>
      </c>
      <c r="V1392" t="s">
        <v>268</v>
      </c>
      <c r="W1392" t="s">
        <v>1271</v>
      </c>
      <c r="X1392" s="13"/>
    </row>
    <row r="1393" spans="1:24" x14ac:dyDescent="0.25">
      <c r="A1393" t="s">
        <v>1410</v>
      </c>
      <c r="B1393" t="s">
        <v>64</v>
      </c>
      <c r="C1393" t="s">
        <v>1407</v>
      </c>
      <c r="D1393" t="s">
        <v>1408</v>
      </c>
      <c r="E1393" t="s">
        <v>64</v>
      </c>
      <c r="F1393" t="s">
        <v>94</v>
      </c>
      <c r="G1393" t="s">
        <v>277</v>
      </c>
      <c r="H1393" s="12">
        <v>6.1180000000000003</v>
      </c>
      <c r="I1393" s="12">
        <v>-75.445999999999998</v>
      </c>
      <c r="J1393" t="s">
        <v>96</v>
      </c>
      <c r="K1393" t="s">
        <v>1269</v>
      </c>
      <c r="L1393" t="s">
        <v>1270</v>
      </c>
      <c r="P1393" s="13">
        <v>314</v>
      </c>
      <c r="Q1393" s="13">
        <v>56.1</v>
      </c>
      <c r="R1393">
        <v>48</v>
      </c>
      <c r="S1393">
        <v>72</v>
      </c>
      <c r="T1393" s="13">
        <v>72.400000000000006</v>
      </c>
      <c r="U1393" s="13">
        <v>70.900000000000006</v>
      </c>
      <c r="V1393" t="s">
        <v>268</v>
      </c>
      <c r="W1393" t="s">
        <v>1271</v>
      </c>
      <c r="X1393" s="13"/>
    </row>
    <row r="1394" spans="1:24" x14ac:dyDescent="0.25">
      <c r="A1394" t="s">
        <v>1411</v>
      </c>
      <c r="B1394" t="s">
        <v>64</v>
      </c>
      <c r="C1394" t="s">
        <v>1407</v>
      </c>
      <c r="D1394" t="s">
        <v>1408</v>
      </c>
      <c r="E1394" t="s">
        <v>64</v>
      </c>
      <c r="F1394" t="s">
        <v>94</v>
      </c>
      <c r="G1394" t="s">
        <v>277</v>
      </c>
      <c r="H1394" s="12">
        <v>6.1180000000000003</v>
      </c>
      <c r="I1394" s="12">
        <v>-75.445999999999998</v>
      </c>
      <c r="J1394" t="s">
        <v>96</v>
      </c>
      <c r="K1394" t="s">
        <v>97</v>
      </c>
      <c r="L1394" t="s">
        <v>1273</v>
      </c>
      <c r="P1394" s="13">
        <v>114</v>
      </c>
      <c r="Q1394" s="13">
        <v>34.1</v>
      </c>
      <c r="R1394">
        <v>22</v>
      </c>
      <c r="S1394">
        <v>22</v>
      </c>
      <c r="T1394" s="13">
        <v>20.7</v>
      </c>
      <c r="U1394" s="13">
        <v>0</v>
      </c>
      <c r="V1394" t="s">
        <v>99</v>
      </c>
      <c r="X1394" s="13">
        <v>114</v>
      </c>
    </row>
    <row r="1395" spans="1:24" x14ac:dyDescent="0.25">
      <c r="A1395" t="s">
        <v>1411</v>
      </c>
      <c r="B1395" t="s">
        <v>64</v>
      </c>
      <c r="C1395" t="s">
        <v>1407</v>
      </c>
      <c r="D1395" t="s">
        <v>1408</v>
      </c>
      <c r="E1395" t="s">
        <v>64</v>
      </c>
      <c r="F1395" t="s">
        <v>94</v>
      </c>
      <c r="G1395" t="s">
        <v>277</v>
      </c>
      <c r="H1395" s="12">
        <v>6.1180000000000003</v>
      </c>
      <c r="I1395" s="12">
        <v>-75.445999999999998</v>
      </c>
      <c r="J1395" t="s">
        <v>96</v>
      </c>
      <c r="K1395" t="s">
        <v>1269</v>
      </c>
      <c r="L1395" t="s">
        <v>1270</v>
      </c>
      <c r="P1395" s="13">
        <v>260.60000000000002</v>
      </c>
      <c r="Q1395" s="13">
        <v>43.9</v>
      </c>
      <c r="R1395">
        <v>42</v>
      </c>
      <c r="S1395">
        <v>66</v>
      </c>
      <c r="T1395" s="13">
        <v>55.2</v>
      </c>
      <c r="U1395" s="13">
        <v>56.4</v>
      </c>
      <c r="V1395" t="s">
        <v>268</v>
      </c>
      <c r="W1395" t="s">
        <v>1271</v>
      </c>
      <c r="X1395" s="13"/>
    </row>
    <row r="1396" spans="1:24" x14ac:dyDescent="0.25">
      <c r="A1396" t="s">
        <v>1412</v>
      </c>
      <c r="B1396" t="s">
        <v>64</v>
      </c>
      <c r="C1396" t="s">
        <v>1407</v>
      </c>
      <c r="D1396" t="s">
        <v>1408</v>
      </c>
      <c r="E1396" t="s">
        <v>64</v>
      </c>
      <c r="F1396" t="s">
        <v>94</v>
      </c>
      <c r="G1396" t="s">
        <v>277</v>
      </c>
      <c r="H1396" s="12">
        <v>6.1180000000000003</v>
      </c>
      <c r="I1396" s="12">
        <v>-75.445999999999998</v>
      </c>
      <c r="J1396" t="s">
        <v>96</v>
      </c>
      <c r="K1396" t="s">
        <v>97</v>
      </c>
      <c r="L1396" t="s">
        <v>1273</v>
      </c>
      <c r="P1396" s="13">
        <v>189.8</v>
      </c>
      <c r="Q1396" s="13">
        <v>73.2</v>
      </c>
      <c r="R1396">
        <v>24</v>
      </c>
      <c r="S1396">
        <v>38</v>
      </c>
      <c r="T1396" s="13">
        <v>29.3</v>
      </c>
      <c r="U1396" s="13">
        <v>0</v>
      </c>
      <c r="V1396" t="s">
        <v>99</v>
      </c>
      <c r="X1396" s="13">
        <v>189.8</v>
      </c>
    </row>
    <row r="1397" spans="1:24" x14ac:dyDescent="0.25">
      <c r="A1397" t="s">
        <v>1412</v>
      </c>
      <c r="B1397" t="s">
        <v>64</v>
      </c>
      <c r="C1397" t="s">
        <v>1407</v>
      </c>
      <c r="D1397" t="s">
        <v>1408</v>
      </c>
      <c r="E1397" t="s">
        <v>64</v>
      </c>
      <c r="F1397" t="s">
        <v>94</v>
      </c>
      <c r="G1397" t="s">
        <v>277</v>
      </c>
      <c r="H1397" s="12">
        <v>6.1180000000000003</v>
      </c>
      <c r="I1397" s="12">
        <v>-75.445999999999998</v>
      </c>
      <c r="J1397" t="s">
        <v>96</v>
      </c>
      <c r="K1397" t="s">
        <v>1269</v>
      </c>
      <c r="L1397" t="s">
        <v>1270</v>
      </c>
      <c r="P1397" s="13">
        <v>338.5</v>
      </c>
      <c r="Q1397" s="13">
        <v>65.900000000000006</v>
      </c>
      <c r="R1397">
        <v>52</v>
      </c>
      <c r="S1397">
        <v>86</v>
      </c>
      <c r="T1397" s="13">
        <v>58.6</v>
      </c>
      <c r="U1397" s="13">
        <v>92.7</v>
      </c>
      <c r="V1397" t="s">
        <v>268</v>
      </c>
      <c r="W1397" t="s">
        <v>1271</v>
      </c>
      <c r="X1397" s="13"/>
    </row>
    <row r="1398" spans="1:24" x14ac:dyDescent="0.25">
      <c r="A1398" t="s">
        <v>1413</v>
      </c>
      <c r="B1398" t="s">
        <v>64</v>
      </c>
      <c r="C1398" t="s">
        <v>1407</v>
      </c>
      <c r="D1398" t="s">
        <v>1408</v>
      </c>
      <c r="E1398" t="s">
        <v>64</v>
      </c>
      <c r="F1398" t="s">
        <v>94</v>
      </c>
      <c r="G1398" t="s">
        <v>277</v>
      </c>
      <c r="H1398" s="12">
        <v>6.1180000000000003</v>
      </c>
      <c r="I1398" s="12">
        <v>-75.445999999999998</v>
      </c>
      <c r="J1398" t="s">
        <v>96</v>
      </c>
      <c r="K1398" t="s">
        <v>97</v>
      </c>
      <c r="L1398" t="s">
        <v>1273</v>
      </c>
      <c r="P1398" s="13">
        <v>173.4</v>
      </c>
      <c r="Q1398" s="13">
        <v>65.900000000000006</v>
      </c>
      <c r="R1398">
        <v>26</v>
      </c>
      <c r="S1398">
        <v>36</v>
      </c>
      <c r="T1398" s="13">
        <v>22.4</v>
      </c>
      <c r="U1398" s="13">
        <v>0</v>
      </c>
      <c r="V1398" t="s">
        <v>99</v>
      </c>
      <c r="X1398" s="13">
        <v>173.4</v>
      </c>
    </row>
    <row r="1399" spans="1:24" x14ac:dyDescent="0.25">
      <c r="A1399" t="s">
        <v>1413</v>
      </c>
      <c r="B1399" t="s">
        <v>64</v>
      </c>
      <c r="C1399" t="s">
        <v>1407</v>
      </c>
      <c r="D1399" t="s">
        <v>1408</v>
      </c>
      <c r="E1399" t="s">
        <v>64</v>
      </c>
      <c r="F1399" t="s">
        <v>94</v>
      </c>
      <c r="G1399" t="s">
        <v>277</v>
      </c>
      <c r="H1399" s="12">
        <v>6.1180000000000003</v>
      </c>
      <c r="I1399" s="12">
        <v>-75.445999999999998</v>
      </c>
      <c r="J1399" t="s">
        <v>96</v>
      </c>
      <c r="K1399" t="s">
        <v>1269</v>
      </c>
      <c r="L1399" t="s">
        <v>1270</v>
      </c>
      <c r="P1399" s="13">
        <v>319.60000000000002</v>
      </c>
      <c r="Q1399" s="13">
        <v>58.5</v>
      </c>
      <c r="R1399">
        <v>46</v>
      </c>
      <c r="S1399">
        <v>76</v>
      </c>
      <c r="T1399" s="13">
        <v>65.5</v>
      </c>
      <c r="U1399" s="13">
        <v>92.7</v>
      </c>
      <c r="V1399" t="s">
        <v>268</v>
      </c>
      <c r="W1399" t="s">
        <v>1271</v>
      </c>
      <c r="X1399" s="13"/>
    </row>
    <row r="1400" spans="1:24" x14ac:dyDescent="0.25">
      <c r="A1400" t="s">
        <v>1414</v>
      </c>
      <c r="B1400" t="s">
        <v>64</v>
      </c>
      <c r="C1400" t="s">
        <v>1407</v>
      </c>
      <c r="D1400" t="s">
        <v>1408</v>
      </c>
      <c r="E1400" t="s">
        <v>64</v>
      </c>
      <c r="F1400" t="s">
        <v>94</v>
      </c>
      <c r="G1400" t="s">
        <v>277</v>
      </c>
      <c r="H1400" s="12">
        <v>6.1180000000000003</v>
      </c>
      <c r="I1400" s="12">
        <v>-75.445999999999998</v>
      </c>
      <c r="J1400" t="s">
        <v>96</v>
      </c>
      <c r="K1400" t="s">
        <v>97</v>
      </c>
      <c r="L1400" t="s">
        <v>1273</v>
      </c>
      <c r="P1400" s="13">
        <v>157.69999999999999</v>
      </c>
      <c r="Q1400" s="13">
        <v>73.2</v>
      </c>
      <c r="R1400">
        <v>24</v>
      </c>
      <c r="S1400">
        <v>24</v>
      </c>
      <c r="T1400" s="13">
        <v>15.5</v>
      </c>
      <c r="U1400" s="13">
        <v>0</v>
      </c>
      <c r="V1400" t="s">
        <v>99</v>
      </c>
      <c r="X1400" s="13">
        <v>157.69999999999999</v>
      </c>
    </row>
    <row r="1401" spans="1:24" x14ac:dyDescent="0.25">
      <c r="A1401" t="s">
        <v>1414</v>
      </c>
      <c r="B1401" t="s">
        <v>64</v>
      </c>
      <c r="C1401" t="s">
        <v>1407</v>
      </c>
      <c r="D1401" t="s">
        <v>1408</v>
      </c>
      <c r="E1401" t="s">
        <v>64</v>
      </c>
      <c r="F1401" t="s">
        <v>94</v>
      </c>
      <c r="G1401" t="s">
        <v>277</v>
      </c>
      <c r="H1401" s="12">
        <v>6.1180000000000003</v>
      </c>
      <c r="I1401" s="12">
        <v>-75.445999999999998</v>
      </c>
      <c r="J1401" t="s">
        <v>96</v>
      </c>
      <c r="K1401" t="s">
        <v>1269</v>
      </c>
      <c r="L1401" t="s">
        <v>1270</v>
      </c>
      <c r="P1401" s="13">
        <v>264.5</v>
      </c>
      <c r="Q1401" s="13">
        <v>56.1</v>
      </c>
      <c r="R1401">
        <v>54</v>
      </c>
      <c r="S1401">
        <v>60</v>
      </c>
      <c r="T1401" s="13">
        <v>27.6</v>
      </c>
      <c r="U1401" s="13">
        <v>94.5</v>
      </c>
      <c r="V1401" t="s">
        <v>268</v>
      </c>
      <c r="W1401" t="s">
        <v>1271</v>
      </c>
      <c r="X1401" s="13"/>
    </row>
    <row r="1402" spans="1:24" x14ac:dyDescent="0.25">
      <c r="A1402" t="s">
        <v>1415</v>
      </c>
      <c r="B1402" t="s">
        <v>64</v>
      </c>
      <c r="C1402" t="s">
        <v>1407</v>
      </c>
      <c r="D1402" t="s">
        <v>1408</v>
      </c>
      <c r="E1402" t="s">
        <v>64</v>
      </c>
      <c r="F1402" t="s">
        <v>94</v>
      </c>
      <c r="G1402" t="s">
        <v>277</v>
      </c>
      <c r="H1402" s="12">
        <v>6.1180000000000003</v>
      </c>
      <c r="I1402" s="12">
        <v>-75.445999999999998</v>
      </c>
      <c r="J1402" t="s">
        <v>96</v>
      </c>
      <c r="K1402" t="s">
        <v>97</v>
      </c>
      <c r="L1402" t="s">
        <v>1273</v>
      </c>
      <c r="P1402" s="13">
        <v>133.6</v>
      </c>
      <c r="Q1402" s="13">
        <v>63.4</v>
      </c>
      <c r="R1402">
        <v>16</v>
      </c>
      <c r="S1402">
        <v>14</v>
      </c>
      <c r="T1402" s="13">
        <v>22.4</v>
      </c>
      <c r="U1402" s="13">
        <v>0</v>
      </c>
      <c r="V1402" t="s">
        <v>99</v>
      </c>
      <c r="X1402" s="13">
        <v>133.6</v>
      </c>
    </row>
    <row r="1403" spans="1:24" x14ac:dyDescent="0.25">
      <c r="A1403" t="s">
        <v>1415</v>
      </c>
      <c r="B1403" t="s">
        <v>64</v>
      </c>
      <c r="C1403" t="s">
        <v>1407</v>
      </c>
      <c r="D1403" t="s">
        <v>1408</v>
      </c>
      <c r="E1403" t="s">
        <v>64</v>
      </c>
      <c r="F1403" t="s">
        <v>94</v>
      </c>
      <c r="G1403" t="s">
        <v>277</v>
      </c>
      <c r="H1403" s="12">
        <v>6.1180000000000003</v>
      </c>
      <c r="I1403" s="12">
        <v>-75.445999999999998</v>
      </c>
      <c r="J1403" t="s">
        <v>96</v>
      </c>
      <c r="K1403" t="s">
        <v>1269</v>
      </c>
      <c r="L1403" t="s">
        <v>1270</v>
      </c>
      <c r="P1403" s="13">
        <v>219.9</v>
      </c>
      <c r="Q1403" s="13">
        <v>43.9</v>
      </c>
      <c r="R1403">
        <v>40</v>
      </c>
      <c r="S1403">
        <v>48</v>
      </c>
      <c r="T1403" s="13">
        <v>46.6</v>
      </c>
      <c r="U1403" s="13">
        <v>36.4</v>
      </c>
      <c r="V1403" t="s">
        <v>268</v>
      </c>
      <c r="W1403" t="s">
        <v>1271</v>
      </c>
      <c r="X1403" s="13"/>
    </row>
    <row r="1404" spans="1:24" x14ac:dyDescent="0.25">
      <c r="A1404" t="s">
        <v>1416</v>
      </c>
      <c r="B1404" t="s">
        <v>64</v>
      </c>
      <c r="C1404" t="s">
        <v>1407</v>
      </c>
      <c r="D1404" t="s">
        <v>1408</v>
      </c>
      <c r="E1404" t="s">
        <v>64</v>
      </c>
      <c r="F1404" t="s">
        <v>94</v>
      </c>
      <c r="G1404" t="s">
        <v>277</v>
      </c>
      <c r="H1404" s="12">
        <v>6.1180000000000003</v>
      </c>
      <c r="I1404" s="12">
        <v>-75.445999999999998</v>
      </c>
      <c r="J1404" t="s">
        <v>96</v>
      </c>
      <c r="K1404" t="s">
        <v>97</v>
      </c>
      <c r="L1404" t="s">
        <v>1273</v>
      </c>
      <c r="P1404" s="13">
        <v>126.1</v>
      </c>
      <c r="Q1404" s="13">
        <v>41.5</v>
      </c>
      <c r="R1404">
        <v>20</v>
      </c>
      <c r="S1404">
        <v>22</v>
      </c>
      <c r="T1404" s="13">
        <v>25.9</v>
      </c>
      <c r="U1404" s="13">
        <v>0</v>
      </c>
      <c r="V1404" t="s">
        <v>99</v>
      </c>
      <c r="X1404" s="13">
        <v>126.1</v>
      </c>
    </row>
    <row r="1405" spans="1:24" x14ac:dyDescent="0.25">
      <c r="A1405" t="s">
        <v>1416</v>
      </c>
      <c r="B1405" t="s">
        <v>64</v>
      </c>
      <c r="C1405" t="s">
        <v>1407</v>
      </c>
      <c r="D1405" t="s">
        <v>1408</v>
      </c>
      <c r="E1405" t="s">
        <v>64</v>
      </c>
      <c r="F1405" t="s">
        <v>94</v>
      </c>
      <c r="G1405" t="s">
        <v>277</v>
      </c>
      <c r="H1405" s="12">
        <v>6.1180000000000003</v>
      </c>
      <c r="I1405" s="12">
        <v>-75.445999999999998</v>
      </c>
      <c r="J1405" t="s">
        <v>96</v>
      </c>
      <c r="K1405" t="s">
        <v>1269</v>
      </c>
      <c r="L1405" t="s">
        <v>1270</v>
      </c>
      <c r="P1405" s="13">
        <v>241.2</v>
      </c>
      <c r="Q1405" s="13">
        <v>51.2</v>
      </c>
      <c r="R1405">
        <v>48</v>
      </c>
      <c r="S1405">
        <v>50</v>
      </c>
      <c r="T1405" s="13">
        <v>48.3</v>
      </c>
      <c r="U1405" s="13">
        <v>34.5</v>
      </c>
      <c r="V1405" t="s">
        <v>268</v>
      </c>
      <c r="W1405" t="s">
        <v>1271</v>
      </c>
      <c r="X1405" s="13"/>
    </row>
    <row r="1406" spans="1:24" x14ac:dyDescent="0.25">
      <c r="A1406" t="s">
        <v>1417</v>
      </c>
      <c r="B1406" t="s">
        <v>64</v>
      </c>
      <c r="C1406" t="s">
        <v>1407</v>
      </c>
      <c r="D1406" t="s">
        <v>1408</v>
      </c>
      <c r="E1406" t="s">
        <v>64</v>
      </c>
      <c r="F1406" t="s">
        <v>94</v>
      </c>
      <c r="G1406" t="s">
        <v>277</v>
      </c>
      <c r="H1406" s="12">
        <v>6.1180000000000003</v>
      </c>
      <c r="I1406" s="12">
        <v>-75.445999999999998</v>
      </c>
      <c r="J1406" t="s">
        <v>96</v>
      </c>
      <c r="K1406" t="s">
        <v>97</v>
      </c>
      <c r="L1406" t="s">
        <v>1273</v>
      </c>
      <c r="P1406" s="13">
        <v>169.9</v>
      </c>
      <c r="Q1406" s="13">
        <v>63.4</v>
      </c>
      <c r="R1406">
        <v>26</v>
      </c>
      <c r="S1406">
        <v>32</v>
      </c>
      <c r="T1406" s="13">
        <v>25.9</v>
      </c>
      <c r="U1406" s="13">
        <v>0</v>
      </c>
      <c r="V1406" t="s">
        <v>99</v>
      </c>
      <c r="X1406" s="13">
        <v>169.9</v>
      </c>
    </row>
    <row r="1407" spans="1:24" x14ac:dyDescent="0.25">
      <c r="A1407" t="s">
        <v>1417</v>
      </c>
      <c r="B1407" t="s">
        <v>64</v>
      </c>
      <c r="C1407" t="s">
        <v>1407</v>
      </c>
      <c r="D1407" t="s">
        <v>1408</v>
      </c>
      <c r="E1407" t="s">
        <v>64</v>
      </c>
      <c r="F1407" t="s">
        <v>94</v>
      </c>
      <c r="G1407" t="s">
        <v>277</v>
      </c>
      <c r="H1407" s="12">
        <v>6.1180000000000003</v>
      </c>
      <c r="I1407" s="12">
        <v>-75.445999999999998</v>
      </c>
      <c r="J1407" t="s">
        <v>96</v>
      </c>
      <c r="K1407" t="s">
        <v>1269</v>
      </c>
      <c r="L1407" t="s">
        <v>1270</v>
      </c>
      <c r="P1407" s="13">
        <v>290.89999999999998</v>
      </c>
      <c r="Q1407" s="13">
        <v>58.5</v>
      </c>
      <c r="R1407">
        <v>52</v>
      </c>
      <c r="S1407">
        <v>64</v>
      </c>
      <c r="T1407" s="13">
        <v>55.2</v>
      </c>
      <c r="U1407" s="13">
        <v>67.3</v>
      </c>
      <c r="V1407" t="s">
        <v>268</v>
      </c>
      <c r="W1407" t="s">
        <v>1271</v>
      </c>
      <c r="X1407" s="13"/>
    </row>
    <row r="1408" spans="1:24" x14ac:dyDescent="0.25">
      <c r="A1408" t="s">
        <v>1418</v>
      </c>
      <c r="B1408" t="s">
        <v>64</v>
      </c>
      <c r="C1408" t="s">
        <v>1407</v>
      </c>
      <c r="D1408" t="s">
        <v>1408</v>
      </c>
      <c r="E1408" t="s">
        <v>64</v>
      </c>
      <c r="F1408" t="s">
        <v>94</v>
      </c>
      <c r="G1408" t="s">
        <v>277</v>
      </c>
      <c r="H1408" s="12">
        <v>6.1180000000000003</v>
      </c>
      <c r="I1408" s="12">
        <v>-75.445999999999998</v>
      </c>
      <c r="J1408" t="s">
        <v>96</v>
      </c>
      <c r="K1408" t="s">
        <v>97</v>
      </c>
      <c r="L1408" t="s">
        <v>1273</v>
      </c>
      <c r="P1408" s="13">
        <v>83.6</v>
      </c>
      <c r="Q1408" s="13">
        <v>41.5</v>
      </c>
      <c r="R1408">
        <v>10</v>
      </c>
      <c r="S1408">
        <v>2</v>
      </c>
      <c r="T1408" s="13">
        <v>19</v>
      </c>
      <c r="U1408" s="13">
        <v>0</v>
      </c>
      <c r="V1408" t="s">
        <v>99</v>
      </c>
      <c r="X1408" s="13">
        <v>83.6</v>
      </c>
    </row>
    <row r="1409" spans="1:24" x14ac:dyDescent="0.25">
      <c r="A1409" t="s">
        <v>1418</v>
      </c>
      <c r="B1409" t="s">
        <v>64</v>
      </c>
      <c r="C1409" t="s">
        <v>1407</v>
      </c>
      <c r="D1409" t="s">
        <v>1408</v>
      </c>
      <c r="E1409" t="s">
        <v>64</v>
      </c>
      <c r="F1409" t="s">
        <v>94</v>
      </c>
      <c r="G1409" t="s">
        <v>277</v>
      </c>
      <c r="H1409" s="12">
        <v>6.1180000000000003</v>
      </c>
      <c r="I1409" s="12">
        <v>-75.445999999999998</v>
      </c>
      <c r="J1409" t="s">
        <v>96</v>
      </c>
      <c r="K1409" t="s">
        <v>1269</v>
      </c>
      <c r="L1409" t="s">
        <v>1270</v>
      </c>
      <c r="P1409" s="13">
        <v>146.5</v>
      </c>
      <c r="Q1409" s="13">
        <v>46.3</v>
      </c>
      <c r="R1409">
        <v>24</v>
      </c>
      <c r="S1409">
        <v>38</v>
      </c>
      <c r="T1409" s="13">
        <v>3.4</v>
      </c>
      <c r="U1409" s="13">
        <v>45.5</v>
      </c>
      <c r="V1409" t="s">
        <v>268</v>
      </c>
      <c r="W1409" t="s">
        <v>1271</v>
      </c>
      <c r="X1409" s="13"/>
    </row>
    <row r="1410" spans="1:24" x14ac:dyDescent="0.25">
      <c r="A1410" t="s">
        <v>1419</v>
      </c>
      <c r="B1410" t="s">
        <v>64</v>
      </c>
      <c r="C1410" t="s">
        <v>1407</v>
      </c>
      <c r="D1410" t="s">
        <v>1408</v>
      </c>
      <c r="E1410" t="s">
        <v>64</v>
      </c>
      <c r="F1410" t="s">
        <v>94</v>
      </c>
      <c r="G1410" t="s">
        <v>277</v>
      </c>
      <c r="H1410" s="12">
        <v>6.1180000000000003</v>
      </c>
      <c r="I1410" s="12">
        <v>-75.445999999999998</v>
      </c>
      <c r="J1410" t="s">
        <v>96</v>
      </c>
      <c r="K1410" t="s">
        <v>97</v>
      </c>
      <c r="L1410" t="s">
        <v>1273</v>
      </c>
      <c r="P1410" s="13">
        <v>123.7</v>
      </c>
      <c r="Q1410" s="13">
        <v>48.8</v>
      </c>
      <c r="R1410">
        <v>12</v>
      </c>
      <c r="S1410">
        <v>24</v>
      </c>
      <c r="T1410" s="13">
        <v>22.4</v>
      </c>
      <c r="U1410" s="13">
        <v>0</v>
      </c>
      <c r="V1410" t="s">
        <v>99</v>
      </c>
      <c r="X1410" s="13">
        <v>123.7</v>
      </c>
    </row>
    <row r="1411" spans="1:24" x14ac:dyDescent="0.25">
      <c r="A1411" t="s">
        <v>1419</v>
      </c>
      <c r="B1411" t="s">
        <v>64</v>
      </c>
      <c r="C1411" t="s">
        <v>1407</v>
      </c>
      <c r="D1411" t="s">
        <v>1408</v>
      </c>
      <c r="E1411" t="s">
        <v>64</v>
      </c>
      <c r="F1411" t="s">
        <v>94</v>
      </c>
      <c r="G1411" t="s">
        <v>277</v>
      </c>
      <c r="H1411" s="12">
        <v>6.1180000000000003</v>
      </c>
      <c r="I1411" s="12">
        <v>-75.445999999999998</v>
      </c>
      <c r="J1411" t="s">
        <v>96</v>
      </c>
      <c r="K1411" t="s">
        <v>1269</v>
      </c>
      <c r="L1411" t="s">
        <v>1270</v>
      </c>
      <c r="P1411" s="13">
        <v>261.7</v>
      </c>
      <c r="Q1411" s="13">
        <v>56.1</v>
      </c>
      <c r="R1411">
        <v>32</v>
      </c>
      <c r="S1411">
        <v>60</v>
      </c>
      <c r="T1411" s="13">
        <v>56.9</v>
      </c>
      <c r="U1411" s="13">
        <v>65.5</v>
      </c>
      <c r="V1411" t="s">
        <v>268</v>
      </c>
      <c r="W1411" t="s">
        <v>1271</v>
      </c>
      <c r="X1411" s="13"/>
    </row>
    <row r="1412" spans="1:24" x14ac:dyDescent="0.25">
      <c r="A1412" t="s">
        <v>1420</v>
      </c>
      <c r="B1412" t="s">
        <v>64</v>
      </c>
      <c r="C1412" t="s">
        <v>1407</v>
      </c>
      <c r="D1412" t="s">
        <v>1408</v>
      </c>
      <c r="E1412" t="s">
        <v>64</v>
      </c>
      <c r="F1412" t="s">
        <v>94</v>
      </c>
      <c r="G1412" t="s">
        <v>277</v>
      </c>
      <c r="H1412" s="12">
        <v>6.1180000000000003</v>
      </c>
      <c r="I1412" s="12">
        <v>-75.445999999999998</v>
      </c>
      <c r="J1412" t="s">
        <v>96</v>
      </c>
      <c r="K1412" t="s">
        <v>97</v>
      </c>
      <c r="L1412" t="s">
        <v>1273</v>
      </c>
      <c r="P1412" s="13">
        <v>134.4</v>
      </c>
      <c r="Q1412" s="13">
        <v>56.1</v>
      </c>
      <c r="R1412">
        <v>16</v>
      </c>
      <c r="S1412">
        <v>22</v>
      </c>
      <c r="T1412" s="13">
        <v>22.4</v>
      </c>
      <c r="U1412" s="13">
        <v>0</v>
      </c>
      <c r="V1412" t="s">
        <v>99</v>
      </c>
      <c r="X1412" s="13">
        <v>134.4</v>
      </c>
    </row>
    <row r="1413" spans="1:24" x14ac:dyDescent="0.25">
      <c r="A1413" t="s">
        <v>1420</v>
      </c>
      <c r="B1413" t="s">
        <v>64</v>
      </c>
      <c r="C1413" t="s">
        <v>1407</v>
      </c>
      <c r="D1413" t="s">
        <v>1408</v>
      </c>
      <c r="E1413" t="s">
        <v>64</v>
      </c>
      <c r="F1413" t="s">
        <v>94</v>
      </c>
      <c r="G1413" t="s">
        <v>277</v>
      </c>
      <c r="H1413" s="12">
        <v>6.1180000000000003</v>
      </c>
      <c r="I1413" s="12">
        <v>-75.445999999999998</v>
      </c>
      <c r="J1413" t="s">
        <v>96</v>
      </c>
      <c r="K1413" t="s">
        <v>1269</v>
      </c>
      <c r="L1413" t="s">
        <v>1270</v>
      </c>
      <c r="P1413" s="13">
        <v>266.10000000000002</v>
      </c>
      <c r="Q1413" s="13">
        <v>63.4</v>
      </c>
      <c r="R1413">
        <v>48</v>
      </c>
      <c r="S1413">
        <v>34</v>
      </c>
      <c r="T1413" s="13">
        <v>60.3</v>
      </c>
      <c r="U1413" s="13">
        <v>74.5</v>
      </c>
      <c r="V1413" t="s">
        <v>268</v>
      </c>
      <c r="W1413" t="s">
        <v>1271</v>
      </c>
      <c r="X1413" s="13"/>
    </row>
    <row r="1414" spans="1:24" x14ac:dyDescent="0.25">
      <c r="A1414" t="s">
        <v>1421</v>
      </c>
      <c r="B1414" t="s">
        <v>64</v>
      </c>
      <c r="C1414" t="s">
        <v>1407</v>
      </c>
      <c r="D1414" t="s">
        <v>1408</v>
      </c>
      <c r="E1414" t="s">
        <v>64</v>
      </c>
      <c r="F1414" t="s">
        <v>94</v>
      </c>
      <c r="G1414" t="s">
        <v>277</v>
      </c>
      <c r="H1414" s="12">
        <v>6.1180000000000003</v>
      </c>
      <c r="I1414" s="12">
        <v>-75.445999999999998</v>
      </c>
      <c r="J1414" t="s">
        <v>96</v>
      </c>
      <c r="K1414" t="s">
        <v>97</v>
      </c>
      <c r="L1414" t="s">
        <v>1273</v>
      </c>
      <c r="P1414" s="13">
        <v>145.30000000000001</v>
      </c>
      <c r="Q1414" s="13">
        <v>56.1</v>
      </c>
      <c r="R1414">
        <v>14</v>
      </c>
      <c r="S1414">
        <v>30</v>
      </c>
      <c r="T1414" s="13">
        <v>25.9</v>
      </c>
      <c r="U1414" s="13">
        <v>0</v>
      </c>
      <c r="V1414" t="s">
        <v>99</v>
      </c>
      <c r="X1414" s="13">
        <v>145.30000000000001</v>
      </c>
    </row>
    <row r="1415" spans="1:24" x14ac:dyDescent="0.25">
      <c r="A1415" t="s">
        <v>1421</v>
      </c>
      <c r="B1415" t="s">
        <v>64</v>
      </c>
      <c r="C1415" t="s">
        <v>1407</v>
      </c>
      <c r="D1415" t="s">
        <v>1408</v>
      </c>
      <c r="E1415" t="s">
        <v>64</v>
      </c>
      <c r="F1415" t="s">
        <v>94</v>
      </c>
      <c r="G1415" t="s">
        <v>277</v>
      </c>
      <c r="H1415" s="12">
        <v>6.1180000000000003</v>
      </c>
      <c r="I1415" s="12">
        <v>-75.445999999999998</v>
      </c>
      <c r="J1415" t="s">
        <v>96</v>
      </c>
      <c r="K1415" t="s">
        <v>1269</v>
      </c>
      <c r="L1415" t="s">
        <v>1270</v>
      </c>
      <c r="P1415" s="13">
        <v>262.89999999999998</v>
      </c>
      <c r="Q1415" s="13">
        <v>53.7</v>
      </c>
      <c r="R1415">
        <v>32</v>
      </c>
      <c r="S1415">
        <v>74</v>
      </c>
      <c r="T1415" s="13">
        <v>50</v>
      </c>
      <c r="U1415" s="13">
        <v>54.5</v>
      </c>
      <c r="V1415" t="s">
        <v>268</v>
      </c>
      <c r="W1415" t="s">
        <v>1271</v>
      </c>
      <c r="X1415" s="13"/>
    </row>
    <row r="1416" spans="1:24" x14ac:dyDescent="0.25">
      <c r="A1416" t="s">
        <v>1422</v>
      </c>
      <c r="B1416" t="s">
        <v>64</v>
      </c>
      <c r="C1416" t="s">
        <v>1407</v>
      </c>
      <c r="D1416" t="s">
        <v>1408</v>
      </c>
      <c r="E1416" t="s">
        <v>64</v>
      </c>
      <c r="F1416" t="s">
        <v>94</v>
      </c>
      <c r="G1416" t="s">
        <v>277</v>
      </c>
      <c r="H1416" s="12">
        <v>6.1180000000000003</v>
      </c>
      <c r="I1416" s="12">
        <v>-75.445999999999998</v>
      </c>
      <c r="J1416" t="s">
        <v>96</v>
      </c>
      <c r="K1416" t="s">
        <v>97</v>
      </c>
      <c r="L1416" t="s">
        <v>1273</v>
      </c>
      <c r="P1416" s="13">
        <v>138.5</v>
      </c>
      <c r="Q1416" s="13">
        <v>53.7</v>
      </c>
      <c r="R1416">
        <v>18</v>
      </c>
      <c r="S1416">
        <v>26</v>
      </c>
      <c r="T1416" s="13">
        <v>22.4</v>
      </c>
      <c r="U1416" s="13">
        <v>0</v>
      </c>
      <c r="V1416" t="s">
        <v>99</v>
      </c>
      <c r="X1416" s="13">
        <v>138.5</v>
      </c>
    </row>
    <row r="1417" spans="1:24" x14ac:dyDescent="0.25">
      <c r="A1417" t="s">
        <v>1422</v>
      </c>
      <c r="B1417" t="s">
        <v>64</v>
      </c>
      <c r="C1417" t="s">
        <v>1407</v>
      </c>
      <c r="D1417" t="s">
        <v>1408</v>
      </c>
      <c r="E1417" t="s">
        <v>64</v>
      </c>
      <c r="F1417" t="s">
        <v>94</v>
      </c>
      <c r="G1417" t="s">
        <v>277</v>
      </c>
      <c r="H1417" s="12">
        <v>6.1180000000000003</v>
      </c>
      <c r="I1417" s="12">
        <v>-75.445999999999998</v>
      </c>
      <c r="J1417" t="s">
        <v>96</v>
      </c>
      <c r="K1417" t="s">
        <v>1269</v>
      </c>
      <c r="L1417" t="s">
        <v>1270</v>
      </c>
      <c r="P1417" s="13">
        <v>239.2</v>
      </c>
      <c r="Q1417" s="13">
        <v>46.3</v>
      </c>
      <c r="R1417">
        <v>54</v>
      </c>
      <c r="S1417">
        <v>40</v>
      </c>
      <c r="T1417" s="13">
        <v>50</v>
      </c>
      <c r="U1417" s="13">
        <v>50.9</v>
      </c>
      <c r="V1417" t="s">
        <v>268</v>
      </c>
      <c r="W1417" t="s">
        <v>1271</v>
      </c>
      <c r="X1417" s="13"/>
    </row>
    <row r="1418" spans="1:24" x14ac:dyDescent="0.25">
      <c r="A1418" t="s">
        <v>1423</v>
      </c>
      <c r="B1418" t="s">
        <v>64</v>
      </c>
      <c r="C1418" t="s">
        <v>1407</v>
      </c>
      <c r="D1418" t="s">
        <v>1408</v>
      </c>
      <c r="E1418" t="s">
        <v>64</v>
      </c>
      <c r="F1418" t="s">
        <v>94</v>
      </c>
      <c r="G1418" t="s">
        <v>277</v>
      </c>
      <c r="H1418" s="12">
        <v>6.1180000000000003</v>
      </c>
      <c r="I1418" s="12">
        <v>-75.445999999999998</v>
      </c>
      <c r="J1418" t="s">
        <v>96</v>
      </c>
      <c r="K1418" t="s">
        <v>97</v>
      </c>
      <c r="L1418" t="s">
        <v>1273</v>
      </c>
      <c r="P1418" s="13">
        <v>149.5</v>
      </c>
      <c r="Q1418" s="13">
        <v>58.5</v>
      </c>
      <c r="R1418">
        <v>14</v>
      </c>
      <c r="S1418">
        <v>26</v>
      </c>
      <c r="T1418" s="13">
        <v>31</v>
      </c>
      <c r="U1418" s="13">
        <v>0</v>
      </c>
      <c r="V1418" t="s">
        <v>99</v>
      </c>
      <c r="X1418" s="13">
        <v>149.5</v>
      </c>
    </row>
    <row r="1419" spans="1:24" x14ac:dyDescent="0.25">
      <c r="A1419" t="s">
        <v>1423</v>
      </c>
      <c r="B1419" t="s">
        <v>64</v>
      </c>
      <c r="C1419" t="s">
        <v>1407</v>
      </c>
      <c r="D1419" t="s">
        <v>1408</v>
      </c>
      <c r="E1419" t="s">
        <v>64</v>
      </c>
      <c r="F1419" t="s">
        <v>94</v>
      </c>
      <c r="G1419" t="s">
        <v>277</v>
      </c>
      <c r="H1419" s="12">
        <v>6.1180000000000003</v>
      </c>
      <c r="I1419" s="12">
        <v>-75.445999999999998</v>
      </c>
      <c r="J1419" t="s">
        <v>96</v>
      </c>
      <c r="K1419" t="s">
        <v>1269</v>
      </c>
      <c r="L1419" t="s">
        <v>1270</v>
      </c>
      <c r="P1419" s="13">
        <v>253.6</v>
      </c>
      <c r="Q1419" s="13">
        <v>48.8</v>
      </c>
      <c r="R1419">
        <v>48</v>
      </c>
      <c r="S1419">
        <v>48</v>
      </c>
      <c r="T1419" s="13">
        <v>58.6</v>
      </c>
      <c r="U1419" s="13">
        <v>49.1</v>
      </c>
      <c r="V1419" t="s">
        <v>268</v>
      </c>
      <c r="W1419" t="s">
        <v>1271</v>
      </c>
      <c r="X1419" s="13"/>
    </row>
    <row r="1420" spans="1:24" x14ac:dyDescent="0.25">
      <c r="A1420" t="s">
        <v>1424</v>
      </c>
      <c r="B1420" t="s">
        <v>64</v>
      </c>
      <c r="C1420" t="s">
        <v>1407</v>
      </c>
      <c r="D1420" t="s">
        <v>1408</v>
      </c>
      <c r="E1420" t="s">
        <v>64</v>
      </c>
      <c r="F1420" t="s">
        <v>94</v>
      </c>
      <c r="G1420" t="s">
        <v>277</v>
      </c>
      <c r="H1420" s="12">
        <v>6.1180000000000003</v>
      </c>
      <c r="I1420" s="12">
        <v>-75.445999999999998</v>
      </c>
      <c r="J1420" t="s">
        <v>96</v>
      </c>
      <c r="K1420" t="s">
        <v>97</v>
      </c>
      <c r="L1420" t="s">
        <v>1273</v>
      </c>
      <c r="P1420" s="13">
        <v>154.30000000000001</v>
      </c>
      <c r="Q1420" s="13">
        <v>56.1</v>
      </c>
      <c r="R1420">
        <v>14</v>
      </c>
      <c r="S1420">
        <v>36</v>
      </c>
      <c r="T1420" s="13">
        <v>27.6</v>
      </c>
      <c r="U1420" s="13">
        <v>0</v>
      </c>
      <c r="V1420" t="s">
        <v>99</v>
      </c>
      <c r="X1420" s="13">
        <v>154.30000000000001</v>
      </c>
    </row>
    <row r="1421" spans="1:24" x14ac:dyDescent="0.25">
      <c r="A1421" t="s">
        <v>1424</v>
      </c>
      <c r="B1421" t="s">
        <v>64</v>
      </c>
      <c r="C1421" t="s">
        <v>1407</v>
      </c>
      <c r="D1421" t="s">
        <v>1408</v>
      </c>
      <c r="E1421" t="s">
        <v>64</v>
      </c>
      <c r="F1421" t="s">
        <v>94</v>
      </c>
      <c r="G1421" t="s">
        <v>277</v>
      </c>
      <c r="H1421" s="12">
        <v>6.1180000000000003</v>
      </c>
      <c r="I1421" s="12">
        <v>-75.445999999999998</v>
      </c>
      <c r="J1421" t="s">
        <v>96</v>
      </c>
      <c r="K1421" t="s">
        <v>1269</v>
      </c>
      <c r="L1421" t="s">
        <v>1270</v>
      </c>
      <c r="P1421" s="13">
        <v>272.5</v>
      </c>
      <c r="Q1421" s="13">
        <v>39</v>
      </c>
      <c r="R1421">
        <v>48</v>
      </c>
      <c r="S1421">
        <v>74</v>
      </c>
      <c r="T1421" s="13">
        <v>55.2</v>
      </c>
      <c r="U1421" s="13">
        <v>60</v>
      </c>
      <c r="V1421" t="s">
        <v>268</v>
      </c>
      <c r="W1421" t="s">
        <v>1271</v>
      </c>
      <c r="X1421" s="13"/>
    </row>
    <row r="1422" spans="1:24" x14ac:dyDescent="0.25">
      <c r="A1422" t="s">
        <v>1425</v>
      </c>
      <c r="B1422" t="s">
        <v>64</v>
      </c>
      <c r="C1422" t="s">
        <v>1407</v>
      </c>
      <c r="D1422" t="s">
        <v>1408</v>
      </c>
      <c r="E1422" t="s">
        <v>64</v>
      </c>
      <c r="F1422" t="s">
        <v>94</v>
      </c>
      <c r="G1422" t="s">
        <v>277</v>
      </c>
      <c r="H1422" s="12">
        <v>6.1180000000000003</v>
      </c>
      <c r="I1422" s="12">
        <v>-75.445999999999998</v>
      </c>
      <c r="J1422" t="s">
        <v>96</v>
      </c>
      <c r="K1422" t="s">
        <v>97</v>
      </c>
      <c r="L1422" t="s">
        <v>1273</v>
      </c>
      <c r="P1422" s="13">
        <v>152.19999999999999</v>
      </c>
      <c r="Q1422" s="13">
        <v>53.7</v>
      </c>
      <c r="R1422">
        <v>26</v>
      </c>
      <c r="S1422">
        <v>16</v>
      </c>
      <c r="T1422" s="13">
        <v>36.200000000000003</v>
      </c>
      <c r="U1422" s="13">
        <v>0</v>
      </c>
      <c r="V1422" t="s">
        <v>99</v>
      </c>
      <c r="X1422" s="13">
        <v>152.19999999999999</v>
      </c>
    </row>
    <row r="1423" spans="1:24" x14ac:dyDescent="0.25">
      <c r="A1423" t="s">
        <v>1425</v>
      </c>
      <c r="B1423" t="s">
        <v>64</v>
      </c>
      <c r="C1423" t="s">
        <v>1407</v>
      </c>
      <c r="D1423" t="s">
        <v>1408</v>
      </c>
      <c r="E1423" t="s">
        <v>64</v>
      </c>
      <c r="F1423" t="s">
        <v>94</v>
      </c>
      <c r="G1423" t="s">
        <v>277</v>
      </c>
      <c r="H1423" s="12">
        <v>6.1180000000000003</v>
      </c>
      <c r="I1423" s="12">
        <v>-75.445999999999998</v>
      </c>
      <c r="J1423" t="s">
        <v>96</v>
      </c>
      <c r="K1423" t="s">
        <v>1269</v>
      </c>
      <c r="L1423" t="s">
        <v>1270</v>
      </c>
      <c r="P1423" s="13">
        <v>249.4</v>
      </c>
      <c r="Q1423" s="13">
        <v>53.7</v>
      </c>
      <c r="R1423">
        <v>46</v>
      </c>
      <c r="S1423">
        <v>68</v>
      </c>
      <c r="T1423" s="13">
        <v>32.799999999999997</v>
      </c>
      <c r="U1423" s="13">
        <v>47.3</v>
      </c>
      <c r="V1423" t="s">
        <v>268</v>
      </c>
      <c r="W1423" t="s">
        <v>1271</v>
      </c>
      <c r="X1423" s="13"/>
    </row>
    <row r="1424" spans="1:24" x14ac:dyDescent="0.25">
      <c r="A1424" t="s">
        <v>1426</v>
      </c>
      <c r="B1424" t="s">
        <v>64</v>
      </c>
      <c r="C1424" t="s">
        <v>1407</v>
      </c>
      <c r="D1424" t="s">
        <v>1408</v>
      </c>
      <c r="E1424" t="s">
        <v>64</v>
      </c>
      <c r="F1424" t="s">
        <v>94</v>
      </c>
      <c r="G1424" t="s">
        <v>277</v>
      </c>
      <c r="H1424" s="12">
        <v>6.1180000000000003</v>
      </c>
      <c r="I1424" s="12">
        <v>-75.445999999999998</v>
      </c>
      <c r="J1424" t="s">
        <v>96</v>
      </c>
      <c r="K1424" t="s">
        <v>97</v>
      </c>
      <c r="L1424" t="s">
        <v>1273</v>
      </c>
      <c r="P1424" s="13">
        <v>105.8</v>
      </c>
      <c r="Q1424" s="13">
        <v>53.7</v>
      </c>
      <c r="R1424">
        <v>14</v>
      </c>
      <c r="S1424">
        <v>12</v>
      </c>
      <c r="T1424" s="13">
        <v>12.1</v>
      </c>
      <c r="U1424" s="13">
        <v>0</v>
      </c>
      <c r="V1424" t="s">
        <v>99</v>
      </c>
      <c r="X1424" s="13">
        <v>105.8</v>
      </c>
    </row>
    <row r="1425" spans="1:24" x14ac:dyDescent="0.25">
      <c r="A1425" t="s">
        <v>1426</v>
      </c>
      <c r="B1425" t="s">
        <v>64</v>
      </c>
      <c r="C1425" t="s">
        <v>1407</v>
      </c>
      <c r="D1425" t="s">
        <v>1408</v>
      </c>
      <c r="E1425" t="s">
        <v>64</v>
      </c>
      <c r="F1425" t="s">
        <v>94</v>
      </c>
      <c r="G1425" t="s">
        <v>277</v>
      </c>
      <c r="H1425" s="12">
        <v>6.1180000000000003</v>
      </c>
      <c r="I1425" s="12">
        <v>-75.445999999999998</v>
      </c>
      <c r="J1425" t="s">
        <v>96</v>
      </c>
      <c r="K1425" t="s">
        <v>1269</v>
      </c>
      <c r="L1425" t="s">
        <v>1270</v>
      </c>
      <c r="P1425" s="13">
        <v>197.7</v>
      </c>
      <c r="Q1425" s="13">
        <v>53.7</v>
      </c>
      <c r="R1425">
        <v>32</v>
      </c>
      <c r="S1425">
        <v>32</v>
      </c>
      <c r="T1425" s="13">
        <v>37.9</v>
      </c>
      <c r="U1425" s="13">
        <v>47.3</v>
      </c>
      <c r="V1425" t="s">
        <v>268</v>
      </c>
      <c r="W1425" t="s">
        <v>1271</v>
      </c>
      <c r="X1425" s="13"/>
    </row>
    <row r="1426" spans="1:24" x14ac:dyDescent="0.25">
      <c r="A1426" t="s">
        <v>1427</v>
      </c>
      <c r="B1426" t="s">
        <v>64</v>
      </c>
      <c r="C1426" t="s">
        <v>1407</v>
      </c>
      <c r="D1426" t="s">
        <v>1408</v>
      </c>
      <c r="E1426" t="s">
        <v>64</v>
      </c>
      <c r="F1426" t="s">
        <v>94</v>
      </c>
      <c r="G1426" t="s">
        <v>277</v>
      </c>
      <c r="H1426" s="12">
        <v>6.1180000000000003</v>
      </c>
      <c r="I1426" s="12">
        <v>-75.445999999999998</v>
      </c>
      <c r="J1426" t="s">
        <v>96</v>
      </c>
      <c r="K1426" t="s">
        <v>97</v>
      </c>
      <c r="L1426" t="s">
        <v>1273</v>
      </c>
      <c r="P1426" s="13">
        <v>136.4</v>
      </c>
      <c r="Q1426" s="13">
        <v>36.6</v>
      </c>
      <c r="R1426">
        <v>22</v>
      </c>
      <c r="S1426">
        <v>32</v>
      </c>
      <c r="T1426" s="13">
        <v>27.6</v>
      </c>
      <c r="U1426" s="13">
        <v>0</v>
      </c>
      <c r="V1426" t="s">
        <v>99</v>
      </c>
      <c r="X1426" s="13">
        <v>136.4</v>
      </c>
    </row>
    <row r="1427" spans="1:24" x14ac:dyDescent="0.25">
      <c r="A1427" t="s">
        <v>1427</v>
      </c>
      <c r="B1427" t="s">
        <v>64</v>
      </c>
      <c r="C1427" t="s">
        <v>1407</v>
      </c>
      <c r="D1427" t="s">
        <v>1408</v>
      </c>
      <c r="E1427" t="s">
        <v>64</v>
      </c>
      <c r="F1427" t="s">
        <v>94</v>
      </c>
      <c r="G1427" t="s">
        <v>277</v>
      </c>
      <c r="H1427" s="12">
        <v>6.1180000000000003</v>
      </c>
      <c r="I1427" s="12">
        <v>-75.445999999999998</v>
      </c>
      <c r="J1427" t="s">
        <v>96</v>
      </c>
      <c r="K1427" t="s">
        <v>1269</v>
      </c>
      <c r="L1427" t="s">
        <v>1270</v>
      </c>
      <c r="P1427" s="13">
        <v>224.5</v>
      </c>
      <c r="Q1427" s="13">
        <v>51.2</v>
      </c>
      <c r="R1427">
        <v>44</v>
      </c>
      <c r="S1427">
        <v>42</v>
      </c>
      <c r="T1427" s="13">
        <v>37.9</v>
      </c>
      <c r="U1427" s="13">
        <v>58.2</v>
      </c>
      <c r="V1427" t="s">
        <v>268</v>
      </c>
      <c r="W1427" t="s">
        <v>1271</v>
      </c>
      <c r="X1427" s="13"/>
    </row>
    <row r="1428" spans="1:24" x14ac:dyDescent="0.25">
      <c r="A1428" t="s">
        <v>1428</v>
      </c>
      <c r="B1428" t="s">
        <v>64</v>
      </c>
      <c r="C1428" t="s">
        <v>1407</v>
      </c>
      <c r="D1428" t="s">
        <v>1408</v>
      </c>
      <c r="E1428" t="s">
        <v>64</v>
      </c>
      <c r="F1428" t="s">
        <v>94</v>
      </c>
      <c r="G1428" t="s">
        <v>277</v>
      </c>
      <c r="H1428" s="12">
        <v>6.1180000000000003</v>
      </c>
      <c r="I1428" s="12">
        <v>-75.445999999999998</v>
      </c>
      <c r="J1428" t="s">
        <v>96</v>
      </c>
      <c r="K1428" t="s">
        <v>97</v>
      </c>
      <c r="L1428" t="s">
        <v>1273</v>
      </c>
      <c r="P1428" s="13">
        <v>117.4</v>
      </c>
      <c r="Q1428" s="13">
        <v>39</v>
      </c>
      <c r="R1428">
        <v>22</v>
      </c>
      <c r="S1428">
        <v>20</v>
      </c>
      <c r="T1428" s="13">
        <v>20.7</v>
      </c>
      <c r="U1428" s="13">
        <v>0</v>
      </c>
      <c r="V1428" t="s">
        <v>99</v>
      </c>
      <c r="X1428" s="13">
        <v>117.4</v>
      </c>
    </row>
    <row r="1429" spans="1:24" x14ac:dyDescent="0.25">
      <c r="A1429" t="s">
        <v>1428</v>
      </c>
      <c r="B1429" t="s">
        <v>64</v>
      </c>
      <c r="C1429" t="s">
        <v>1407</v>
      </c>
      <c r="D1429" t="s">
        <v>1408</v>
      </c>
      <c r="E1429" t="s">
        <v>64</v>
      </c>
      <c r="F1429" t="s">
        <v>94</v>
      </c>
      <c r="G1429" t="s">
        <v>277</v>
      </c>
      <c r="H1429" s="12">
        <v>6.1180000000000003</v>
      </c>
      <c r="I1429" s="12">
        <v>-75.445999999999998</v>
      </c>
      <c r="J1429" t="s">
        <v>96</v>
      </c>
      <c r="K1429" t="s">
        <v>1269</v>
      </c>
      <c r="L1429" t="s">
        <v>1270</v>
      </c>
      <c r="P1429" s="13">
        <v>203.1</v>
      </c>
      <c r="Q1429" s="13">
        <v>46.3</v>
      </c>
      <c r="R1429">
        <v>28</v>
      </c>
      <c r="S1429">
        <v>48</v>
      </c>
      <c r="T1429" s="13">
        <v>37.9</v>
      </c>
      <c r="U1429" s="13">
        <v>47.3</v>
      </c>
      <c r="V1429" t="s">
        <v>268</v>
      </c>
      <c r="W1429" t="s">
        <v>1271</v>
      </c>
      <c r="X1429" s="13"/>
    </row>
    <row r="1430" spans="1:24" x14ac:dyDescent="0.25">
      <c r="A1430" t="s">
        <v>1429</v>
      </c>
      <c r="B1430" t="s">
        <v>64</v>
      </c>
      <c r="C1430" t="s">
        <v>1407</v>
      </c>
      <c r="D1430" t="s">
        <v>1408</v>
      </c>
      <c r="E1430" t="s">
        <v>64</v>
      </c>
      <c r="F1430" t="s">
        <v>94</v>
      </c>
      <c r="G1430" t="s">
        <v>277</v>
      </c>
      <c r="H1430" s="12">
        <v>6.1180000000000003</v>
      </c>
      <c r="I1430" s="12">
        <v>-75.445999999999998</v>
      </c>
      <c r="J1430" t="s">
        <v>96</v>
      </c>
      <c r="K1430" t="s">
        <v>97</v>
      </c>
      <c r="L1430" t="s">
        <v>1273</v>
      </c>
      <c r="P1430" s="13">
        <v>181</v>
      </c>
      <c r="Q1430" s="13">
        <v>51.2</v>
      </c>
      <c r="R1430">
        <v>32</v>
      </c>
      <c r="S1430">
        <v>34</v>
      </c>
      <c r="T1430" s="13">
        <v>39.700000000000003</v>
      </c>
      <c r="U1430" s="13">
        <v>0</v>
      </c>
      <c r="V1430" t="s">
        <v>99</v>
      </c>
      <c r="X1430" s="13">
        <v>181</v>
      </c>
    </row>
    <row r="1431" spans="1:24" x14ac:dyDescent="0.25">
      <c r="A1431" t="s">
        <v>1429</v>
      </c>
      <c r="B1431" t="s">
        <v>64</v>
      </c>
      <c r="C1431" t="s">
        <v>1407</v>
      </c>
      <c r="D1431" t="s">
        <v>1408</v>
      </c>
      <c r="E1431" t="s">
        <v>64</v>
      </c>
      <c r="F1431" t="s">
        <v>94</v>
      </c>
      <c r="G1431" t="s">
        <v>277</v>
      </c>
      <c r="H1431" s="12">
        <v>6.1180000000000003</v>
      </c>
      <c r="I1431" s="12">
        <v>-75.445999999999998</v>
      </c>
      <c r="J1431" t="s">
        <v>96</v>
      </c>
      <c r="K1431" t="s">
        <v>1269</v>
      </c>
      <c r="L1431" t="s">
        <v>1270</v>
      </c>
      <c r="P1431" s="13">
        <v>292.60000000000002</v>
      </c>
      <c r="Q1431" s="13">
        <v>39</v>
      </c>
      <c r="R1431">
        <v>72</v>
      </c>
      <c r="S1431">
        <v>62</v>
      </c>
      <c r="T1431" s="13">
        <v>56.9</v>
      </c>
      <c r="U1431" s="13">
        <v>70.900000000000006</v>
      </c>
      <c r="V1431" t="s">
        <v>268</v>
      </c>
      <c r="W1431" t="s">
        <v>1271</v>
      </c>
      <c r="X1431" s="13"/>
    </row>
    <row r="1432" spans="1:24" x14ac:dyDescent="0.25">
      <c r="A1432" t="s">
        <v>1430</v>
      </c>
      <c r="B1432" t="s">
        <v>64</v>
      </c>
      <c r="C1432" t="s">
        <v>1407</v>
      </c>
      <c r="D1432" t="s">
        <v>1408</v>
      </c>
      <c r="E1432" t="s">
        <v>64</v>
      </c>
      <c r="F1432" t="s">
        <v>94</v>
      </c>
      <c r="G1432" t="s">
        <v>277</v>
      </c>
      <c r="H1432" s="12">
        <v>6.1180000000000003</v>
      </c>
      <c r="I1432" s="12">
        <v>-75.445999999999998</v>
      </c>
      <c r="J1432" t="s">
        <v>96</v>
      </c>
      <c r="K1432" t="s">
        <v>97</v>
      </c>
      <c r="L1432" t="s">
        <v>1273</v>
      </c>
      <c r="P1432" s="13">
        <v>188.8</v>
      </c>
      <c r="Q1432" s="13">
        <v>68.3</v>
      </c>
      <c r="R1432">
        <v>30</v>
      </c>
      <c r="S1432">
        <v>36</v>
      </c>
      <c r="T1432" s="13">
        <v>29.3</v>
      </c>
      <c r="U1432" s="13">
        <v>0</v>
      </c>
      <c r="V1432" t="s">
        <v>99</v>
      </c>
      <c r="X1432" s="13">
        <v>188.8</v>
      </c>
    </row>
    <row r="1433" spans="1:24" x14ac:dyDescent="0.25">
      <c r="A1433" t="s">
        <v>1430</v>
      </c>
      <c r="B1433" t="s">
        <v>64</v>
      </c>
      <c r="C1433" t="s">
        <v>1407</v>
      </c>
      <c r="D1433" t="s">
        <v>1408</v>
      </c>
      <c r="E1433" t="s">
        <v>64</v>
      </c>
      <c r="F1433" t="s">
        <v>94</v>
      </c>
      <c r="G1433" t="s">
        <v>277</v>
      </c>
      <c r="H1433" s="12">
        <v>6.1180000000000003</v>
      </c>
      <c r="I1433" s="12">
        <v>-75.445999999999998</v>
      </c>
      <c r="J1433" t="s">
        <v>96</v>
      </c>
      <c r="K1433" t="s">
        <v>1269</v>
      </c>
      <c r="L1433" t="s">
        <v>1270</v>
      </c>
      <c r="P1433" s="13">
        <v>303</v>
      </c>
      <c r="Q1433" s="13">
        <v>53.7</v>
      </c>
      <c r="R1433">
        <v>46</v>
      </c>
      <c r="S1433">
        <v>78</v>
      </c>
      <c r="T1433" s="13">
        <v>53.4</v>
      </c>
      <c r="U1433" s="13">
        <v>94.5</v>
      </c>
      <c r="V1433" t="s">
        <v>268</v>
      </c>
      <c r="W1433" t="s">
        <v>1271</v>
      </c>
      <c r="X1433" s="13"/>
    </row>
    <row r="1434" spans="1:24" x14ac:dyDescent="0.25">
      <c r="A1434" t="s">
        <v>1431</v>
      </c>
      <c r="B1434" t="s">
        <v>64</v>
      </c>
      <c r="C1434" t="s">
        <v>1432</v>
      </c>
      <c r="D1434" t="s">
        <v>1433</v>
      </c>
      <c r="E1434" t="s">
        <v>64</v>
      </c>
      <c r="F1434" t="s">
        <v>94</v>
      </c>
      <c r="G1434" t="s">
        <v>277</v>
      </c>
      <c r="H1434" s="12">
        <v>6.1079999999999997</v>
      </c>
      <c r="I1434" s="12">
        <v>-75.421999999999997</v>
      </c>
      <c r="J1434" t="s">
        <v>129</v>
      </c>
      <c r="K1434" t="s">
        <v>97</v>
      </c>
      <c r="L1434" t="s">
        <v>1273</v>
      </c>
      <c r="P1434" s="13">
        <v>256.10000000000002</v>
      </c>
      <c r="Q1434" s="13">
        <v>73.2</v>
      </c>
      <c r="R1434">
        <v>22</v>
      </c>
      <c r="S1434">
        <v>68</v>
      </c>
      <c r="T1434" s="13">
        <v>44.8</v>
      </c>
      <c r="U1434" s="13">
        <v>41.8</v>
      </c>
      <c r="V1434" t="s">
        <v>99</v>
      </c>
      <c r="X1434" s="13">
        <v>256.10000000000002</v>
      </c>
    </row>
    <row r="1435" spans="1:24" x14ac:dyDescent="0.25">
      <c r="A1435" t="s">
        <v>1431</v>
      </c>
      <c r="B1435" t="s">
        <v>64</v>
      </c>
      <c r="C1435" t="s">
        <v>1432</v>
      </c>
      <c r="D1435" t="s">
        <v>1433</v>
      </c>
      <c r="E1435" t="s">
        <v>64</v>
      </c>
      <c r="F1435" t="s">
        <v>94</v>
      </c>
      <c r="G1435" t="s">
        <v>277</v>
      </c>
      <c r="H1435" s="12">
        <v>6.1079999999999997</v>
      </c>
      <c r="I1435" s="12">
        <v>-75.421999999999997</v>
      </c>
      <c r="J1435" t="s">
        <v>129</v>
      </c>
      <c r="K1435" t="s">
        <v>1269</v>
      </c>
      <c r="L1435" t="s">
        <v>1270</v>
      </c>
      <c r="P1435" s="13">
        <v>269.7</v>
      </c>
      <c r="Q1435" s="13">
        <v>63.4</v>
      </c>
      <c r="R1435">
        <v>20</v>
      </c>
      <c r="S1435">
        <v>76</v>
      </c>
      <c r="T1435" s="13">
        <v>60.3</v>
      </c>
      <c r="U1435" s="13">
        <v>41.8</v>
      </c>
      <c r="V1435" t="s">
        <v>268</v>
      </c>
      <c r="W1435" t="s">
        <v>1271</v>
      </c>
      <c r="X1435" s="13"/>
    </row>
    <row r="1436" spans="1:24" x14ac:dyDescent="0.25">
      <c r="A1436" t="s">
        <v>1434</v>
      </c>
      <c r="B1436" t="s">
        <v>64</v>
      </c>
      <c r="C1436" t="s">
        <v>1432</v>
      </c>
      <c r="D1436" t="s">
        <v>1433</v>
      </c>
      <c r="E1436" t="s">
        <v>64</v>
      </c>
      <c r="F1436" t="s">
        <v>94</v>
      </c>
      <c r="G1436" t="s">
        <v>277</v>
      </c>
      <c r="H1436" s="12">
        <v>6.1079999999999997</v>
      </c>
      <c r="I1436" s="12">
        <v>-75.421999999999997</v>
      </c>
      <c r="J1436" t="s">
        <v>129</v>
      </c>
      <c r="K1436" t="s">
        <v>97</v>
      </c>
      <c r="L1436" t="s">
        <v>1273</v>
      </c>
      <c r="P1436" s="13">
        <v>314.7</v>
      </c>
      <c r="Q1436" s="13">
        <v>85.4</v>
      </c>
      <c r="R1436">
        <v>30</v>
      </c>
      <c r="S1436">
        <v>74</v>
      </c>
      <c r="T1436" s="13">
        <v>60.3</v>
      </c>
      <c r="U1436" s="13">
        <v>69.099999999999994</v>
      </c>
      <c r="V1436" t="s">
        <v>99</v>
      </c>
      <c r="X1436" s="13">
        <v>314.7</v>
      </c>
    </row>
    <row r="1437" spans="1:24" x14ac:dyDescent="0.25">
      <c r="A1437" t="s">
        <v>1434</v>
      </c>
      <c r="B1437" t="s">
        <v>64</v>
      </c>
      <c r="C1437" t="s">
        <v>1432</v>
      </c>
      <c r="D1437" t="s">
        <v>1433</v>
      </c>
      <c r="E1437" t="s">
        <v>64</v>
      </c>
      <c r="F1437" t="s">
        <v>94</v>
      </c>
      <c r="G1437" t="s">
        <v>277</v>
      </c>
      <c r="H1437" s="12">
        <v>6.1079999999999997</v>
      </c>
      <c r="I1437" s="12">
        <v>-75.421999999999997</v>
      </c>
      <c r="J1437" t="s">
        <v>129</v>
      </c>
      <c r="K1437" t="s">
        <v>1269</v>
      </c>
      <c r="L1437" t="s">
        <v>1270</v>
      </c>
      <c r="P1437" s="13">
        <v>311.7</v>
      </c>
      <c r="Q1437" s="13">
        <v>56.1</v>
      </c>
      <c r="R1437">
        <v>46</v>
      </c>
      <c r="S1437">
        <v>84</v>
      </c>
      <c r="T1437" s="13">
        <v>58.6</v>
      </c>
      <c r="U1437" s="13">
        <v>76.400000000000006</v>
      </c>
      <c r="V1437" t="s">
        <v>268</v>
      </c>
      <c r="W1437" t="s">
        <v>1271</v>
      </c>
      <c r="X1437" s="13"/>
    </row>
    <row r="1438" spans="1:24" x14ac:dyDescent="0.25">
      <c r="A1438" t="s">
        <v>1435</v>
      </c>
      <c r="B1438" t="s">
        <v>64</v>
      </c>
      <c r="C1438" t="s">
        <v>1432</v>
      </c>
      <c r="D1438" t="s">
        <v>1433</v>
      </c>
      <c r="E1438" t="s">
        <v>64</v>
      </c>
      <c r="F1438" t="s">
        <v>94</v>
      </c>
      <c r="G1438" t="s">
        <v>277</v>
      </c>
      <c r="H1438" s="12">
        <v>6.1079999999999997</v>
      </c>
      <c r="I1438" s="12">
        <v>-75.421999999999997</v>
      </c>
      <c r="J1438" t="s">
        <v>129</v>
      </c>
      <c r="K1438" t="s">
        <v>97</v>
      </c>
      <c r="L1438" t="s">
        <v>1273</v>
      </c>
      <c r="P1438" s="13">
        <v>187.2</v>
      </c>
      <c r="Q1438" s="13">
        <v>46.3</v>
      </c>
      <c r="R1438">
        <v>38</v>
      </c>
      <c r="S1438">
        <v>24</v>
      </c>
      <c r="T1438" s="13">
        <v>34.5</v>
      </c>
      <c r="U1438" s="13">
        <v>58.2</v>
      </c>
      <c r="V1438" t="s">
        <v>99</v>
      </c>
      <c r="X1438" s="13">
        <v>187.2</v>
      </c>
    </row>
    <row r="1439" spans="1:24" x14ac:dyDescent="0.25">
      <c r="A1439" t="s">
        <v>1435</v>
      </c>
      <c r="B1439" t="s">
        <v>64</v>
      </c>
      <c r="C1439" t="s">
        <v>1432</v>
      </c>
      <c r="D1439" t="s">
        <v>1433</v>
      </c>
      <c r="E1439" t="s">
        <v>64</v>
      </c>
      <c r="F1439" t="s">
        <v>94</v>
      </c>
      <c r="G1439" t="s">
        <v>277</v>
      </c>
      <c r="H1439" s="12">
        <v>6.1079999999999997</v>
      </c>
      <c r="I1439" s="12">
        <v>-75.421999999999997</v>
      </c>
      <c r="J1439" t="s">
        <v>129</v>
      </c>
      <c r="K1439" t="s">
        <v>1269</v>
      </c>
      <c r="L1439" t="s">
        <v>1270</v>
      </c>
      <c r="P1439" s="13">
        <v>236.1</v>
      </c>
      <c r="Q1439" s="13">
        <v>56.1</v>
      </c>
      <c r="R1439">
        <v>52</v>
      </c>
      <c r="S1439">
        <v>36</v>
      </c>
      <c r="T1439" s="13">
        <v>46.6</v>
      </c>
      <c r="U1439" s="13">
        <v>41.8</v>
      </c>
      <c r="V1439" t="s">
        <v>268</v>
      </c>
      <c r="W1439" t="s">
        <v>1271</v>
      </c>
      <c r="X1439" s="13"/>
    </row>
    <row r="1440" spans="1:24" x14ac:dyDescent="0.25">
      <c r="A1440" t="s">
        <v>1436</v>
      </c>
      <c r="B1440" t="s">
        <v>64</v>
      </c>
      <c r="C1440" t="s">
        <v>1432</v>
      </c>
      <c r="D1440" t="s">
        <v>1433</v>
      </c>
      <c r="E1440" t="s">
        <v>64</v>
      </c>
      <c r="F1440" t="s">
        <v>94</v>
      </c>
      <c r="G1440" t="s">
        <v>277</v>
      </c>
      <c r="H1440" s="12">
        <v>6.1079999999999997</v>
      </c>
      <c r="I1440" s="12">
        <v>-75.421999999999997</v>
      </c>
      <c r="J1440" t="s">
        <v>129</v>
      </c>
      <c r="K1440" t="s">
        <v>97</v>
      </c>
      <c r="L1440" t="s">
        <v>1273</v>
      </c>
      <c r="P1440" s="13">
        <v>241.4</v>
      </c>
      <c r="Q1440" s="13">
        <v>61</v>
      </c>
      <c r="R1440">
        <v>42</v>
      </c>
      <c r="S1440">
        <v>50</v>
      </c>
      <c r="T1440" s="13">
        <v>36.200000000000003</v>
      </c>
      <c r="U1440" s="13">
        <v>60</v>
      </c>
      <c r="V1440" t="s">
        <v>99</v>
      </c>
      <c r="X1440" s="13">
        <v>241.4</v>
      </c>
    </row>
    <row r="1441" spans="1:24" x14ac:dyDescent="0.25">
      <c r="A1441" t="s">
        <v>1436</v>
      </c>
      <c r="B1441" t="s">
        <v>64</v>
      </c>
      <c r="C1441" t="s">
        <v>1432</v>
      </c>
      <c r="D1441" t="s">
        <v>1433</v>
      </c>
      <c r="E1441" t="s">
        <v>64</v>
      </c>
      <c r="F1441" t="s">
        <v>94</v>
      </c>
      <c r="G1441" t="s">
        <v>277</v>
      </c>
      <c r="H1441" s="12">
        <v>6.1079999999999997</v>
      </c>
      <c r="I1441" s="12">
        <v>-75.421999999999997</v>
      </c>
      <c r="J1441" t="s">
        <v>129</v>
      </c>
      <c r="K1441" t="s">
        <v>1269</v>
      </c>
      <c r="L1441" t="s">
        <v>1270</v>
      </c>
      <c r="P1441" s="13">
        <v>238.8</v>
      </c>
      <c r="Q1441" s="13">
        <v>53.7</v>
      </c>
      <c r="R1441">
        <v>42</v>
      </c>
      <c r="S1441">
        <v>48</v>
      </c>
      <c r="T1441" s="13">
        <v>50</v>
      </c>
      <c r="U1441" s="13">
        <v>40</v>
      </c>
      <c r="V1441" t="s">
        <v>268</v>
      </c>
      <c r="W1441" t="s">
        <v>1271</v>
      </c>
      <c r="X1441" s="13"/>
    </row>
    <row r="1442" spans="1:24" x14ac:dyDescent="0.25">
      <c r="A1442" t="s">
        <v>1437</v>
      </c>
      <c r="B1442" t="s">
        <v>64</v>
      </c>
      <c r="C1442" t="s">
        <v>1432</v>
      </c>
      <c r="D1442" t="s">
        <v>1433</v>
      </c>
      <c r="E1442" t="s">
        <v>64</v>
      </c>
      <c r="F1442" t="s">
        <v>94</v>
      </c>
      <c r="G1442" t="s">
        <v>277</v>
      </c>
      <c r="H1442" s="12">
        <v>6.1079999999999997</v>
      </c>
      <c r="I1442" s="12">
        <v>-75.421999999999997</v>
      </c>
      <c r="J1442" t="s">
        <v>129</v>
      </c>
      <c r="K1442" t="s">
        <v>97</v>
      </c>
      <c r="L1442" t="s">
        <v>1273</v>
      </c>
      <c r="P1442" s="13">
        <v>321.8</v>
      </c>
      <c r="Q1442" s="13">
        <v>73.2</v>
      </c>
      <c r="R1442">
        <v>46</v>
      </c>
      <c r="S1442">
        <v>70</v>
      </c>
      <c r="T1442" s="13">
        <v>65.5</v>
      </c>
      <c r="U1442" s="13">
        <v>72.7</v>
      </c>
      <c r="V1442" t="s">
        <v>99</v>
      </c>
      <c r="X1442" s="13">
        <v>321.8</v>
      </c>
    </row>
    <row r="1443" spans="1:24" x14ac:dyDescent="0.25">
      <c r="A1443" t="s">
        <v>1437</v>
      </c>
      <c r="B1443" t="s">
        <v>64</v>
      </c>
      <c r="C1443" t="s">
        <v>1432</v>
      </c>
      <c r="D1443" t="s">
        <v>1433</v>
      </c>
      <c r="E1443" t="s">
        <v>64</v>
      </c>
      <c r="F1443" t="s">
        <v>94</v>
      </c>
      <c r="G1443" t="s">
        <v>277</v>
      </c>
      <c r="H1443" s="12">
        <v>6.1079999999999997</v>
      </c>
      <c r="I1443" s="12">
        <v>-75.421999999999997</v>
      </c>
      <c r="J1443" t="s">
        <v>129</v>
      </c>
      <c r="K1443" t="s">
        <v>1269</v>
      </c>
      <c r="L1443" t="s">
        <v>1270</v>
      </c>
      <c r="P1443" s="13">
        <v>351.9</v>
      </c>
      <c r="Q1443" s="13">
        <v>58.5</v>
      </c>
      <c r="R1443">
        <v>66</v>
      </c>
      <c r="S1443">
        <v>86</v>
      </c>
      <c r="T1443" s="13">
        <v>69</v>
      </c>
      <c r="U1443" s="13">
        <v>76.400000000000006</v>
      </c>
      <c r="V1443" t="s">
        <v>268</v>
      </c>
      <c r="W1443" t="s">
        <v>1271</v>
      </c>
      <c r="X1443" s="13"/>
    </row>
    <row r="1444" spans="1:24" x14ac:dyDescent="0.25">
      <c r="A1444" t="s">
        <v>1438</v>
      </c>
      <c r="B1444" t="s">
        <v>64</v>
      </c>
      <c r="C1444" t="s">
        <v>1432</v>
      </c>
      <c r="D1444" t="s">
        <v>1433</v>
      </c>
      <c r="E1444" t="s">
        <v>64</v>
      </c>
      <c r="F1444" t="s">
        <v>94</v>
      </c>
      <c r="G1444" t="s">
        <v>277</v>
      </c>
      <c r="H1444" s="12">
        <v>6.1079999999999997</v>
      </c>
      <c r="I1444" s="12">
        <v>-75.421999999999997</v>
      </c>
      <c r="J1444" t="s">
        <v>129</v>
      </c>
      <c r="K1444" t="s">
        <v>97</v>
      </c>
      <c r="L1444" t="s">
        <v>1273</v>
      </c>
      <c r="P1444" s="13">
        <v>204.2</v>
      </c>
      <c r="Q1444" s="13">
        <v>46.3</v>
      </c>
      <c r="R1444">
        <v>26</v>
      </c>
      <c r="S1444">
        <v>40</v>
      </c>
      <c r="T1444" s="13">
        <v>48.3</v>
      </c>
      <c r="U1444" s="13">
        <v>49.1</v>
      </c>
      <c r="V1444" t="s">
        <v>99</v>
      </c>
      <c r="X1444" s="13">
        <v>204.2</v>
      </c>
    </row>
    <row r="1445" spans="1:24" x14ac:dyDescent="0.25">
      <c r="A1445" t="s">
        <v>1438</v>
      </c>
      <c r="B1445" t="s">
        <v>64</v>
      </c>
      <c r="C1445" t="s">
        <v>1432</v>
      </c>
      <c r="D1445" t="s">
        <v>1433</v>
      </c>
      <c r="E1445" t="s">
        <v>64</v>
      </c>
      <c r="F1445" t="s">
        <v>94</v>
      </c>
      <c r="G1445" t="s">
        <v>277</v>
      </c>
      <c r="H1445" s="12">
        <v>6.1079999999999997</v>
      </c>
      <c r="I1445" s="12">
        <v>-75.421999999999997</v>
      </c>
      <c r="J1445" t="s">
        <v>129</v>
      </c>
      <c r="K1445" t="s">
        <v>1269</v>
      </c>
      <c r="L1445" t="s">
        <v>1270</v>
      </c>
      <c r="P1445" s="13">
        <v>242.4</v>
      </c>
      <c r="Q1445" s="13">
        <v>41.5</v>
      </c>
      <c r="R1445">
        <v>48</v>
      </c>
      <c r="S1445">
        <v>50</v>
      </c>
      <c r="T1445" s="13">
        <v>60.3</v>
      </c>
      <c r="U1445" s="13">
        <v>30.9</v>
      </c>
      <c r="V1445" t="s">
        <v>268</v>
      </c>
      <c r="W1445" t="s">
        <v>1271</v>
      </c>
      <c r="X1445" s="13"/>
    </row>
    <row r="1446" spans="1:24" x14ac:dyDescent="0.25">
      <c r="A1446" t="s">
        <v>1439</v>
      </c>
      <c r="B1446" t="s">
        <v>64</v>
      </c>
      <c r="C1446" t="s">
        <v>1432</v>
      </c>
      <c r="D1446" t="s">
        <v>1433</v>
      </c>
      <c r="E1446" t="s">
        <v>64</v>
      </c>
      <c r="F1446" t="s">
        <v>94</v>
      </c>
      <c r="G1446" t="s">
        <v>277</v>
      </c>
      <c r="H1446" s="12">
        <v>6.1079999999999997</v>
      </c>
      <c r="I1446" s="12">
        <v>-75.421999999999997</v>
      </c>
      <c r="J1446" t="s">
        <v>129</v>
      </c>
      <c r="K1446" t="s">
        <v>97</v>
      </c>
      <c r="L1446" t="s">
        <v>1273</v>
      </c>
      <c r="P1446" s="13">
        <v>159.6</v>
      </c>
      <c r="Q1446" s="13">
        <v>22</v>
      </c>
      <c r="R1446">
        <v>22</v>
      </c>
      <c r="S1446">
        <v>50</v>
      </c>
      <c r="T1446" s="13">
        <v>31</v>
      </c>
      <c r="U1446" s="13">
        <v>40</v>
      </c>
      <c r="V1446" t="s">
        <v>99</v>
      </c>
      <c r="X1446" s="13">
        <v>159.6</v>
      </c>
    </row>
    <row r="1447" spans="1:24" x14ac:dyDescent="0.25">
      <c r="A1447" t="s">
        <v>1439</v>
      </c>
      <c r="B1447" t="s">
        <v>64</v>
      </c>
      <c r="C1447" t="s">
        <v>1432</v>
      </c>
      <c r="D1447" t="s">
        <v>1433</v>
      </c>
      <c r="E1447" t="s">
        <v>64</v>
      </c>
      <c r="F1447" t="s">
        <v>94</v>
      </c>
      <c r="G1447" t="s">
        <v>277</v>
      </c>
      <c r="H1447" s="12">
        <v>6.1079999999999997</v>
      </c>
      <c r="I1447" s="12">
        <v>-75.421999999999997</v>
      </c>
      <c r="J1447" t="s">
        <v>129</v>
      </c>
      <c r="K1447" t="s">
        <v>1269</v>
      </c>
      <c r="L1447" t="s">
        <v>1270</v>
      </c>
      <c r="P1447" s="13">
        <v>210.9</v>
      </c>
      <c r="Q1447" s="13">
        <v>48.8</v>
      </c>
      <c r="R1447">
        <v>46</v>
      </c>
      <c r="S1447">
        <v>42</v>
      </c>
      <c r="T1447" s="13">
        <v>34.5</v>
      </c>
      <c r="U1447" s="13">
        <v>34.5</v>
      </c>
      <c r="V1447" t="s">
        <v>268</v>
      </c>
      <c r="W1447" t="s">
        <v>1271</v>
      </c>
      <c r="X1447" s="13"/>
    </row>
    <row r="1448" spans="1:24" x14ac:dyDescent="0.25">
      <c r="A1448" t="s">
        <v>1440</v>
      </c>
      <c r="B1448" t="s">
        <v>64</v>
      </c>
      <c r="C1448" t="s">
        <v>1432</v>
      </c>
      <c r="D1448" t="s">
        <v>1433</v>
      </c>
      <c r="E1448" t="s">
        <v>64</v>
      </c>
      <c r="F1448" t="s">
        <v>94</v>
      </c>
      <c r="G1448" t="s">
        <v>277</v>
      </c>
      <c r="H1448" s="12">
        <v>6.1079999999999997</v>
      </c>
      <c r="I1448" s="12">
        <v>-75.421999999999997</v>
      </c>
      <c r="J1448" t="s">
        <v>129</v>
      </c>
      <c r="K1448" t="s">
        <v>97</v>
      </c>
      <c r="L1448" t="s">
        <v>1273</v>
      </c>
      <c r="P1448" s="13">
        <v>198.1</v>
      </c>
      <c r="Q1448" s="13">
        <v>43.9</v>
      </c>
      <c r="R1448">
        <v>38</v>
      </c>
      <c r="S1448">
        <v>38</v>
      </c>
      <c r="T1448" s="13">
        <v>39.700000000000003</v>
      </c>
      <c r="U1448" s="13">
        <v>36.4</v>
      </c>
      <c r="V1448" t="s">
        <v>99</v>
      </c>
      <c r="X1448" s="13">
        <v>198.1</v>
      </c>
    </row>
    <row r="1449" spans="1:24" x14ac:dyDescent="0.25">
      <c r="A1449" t="s">
        <v>1440</v>
      </c>
      <c r="B1449" t="s">
        <v>64</v>
      </c>
      <c r="C1449" t="s">
        <v>1432</v>
      </c>
      <c r="D1449" t="s">
        <v>1433</v>
      </c>
      <c r="E1449" t="s">
        <v>64</v>
      </c>
      <c r="F1449" t="s">
        <v>94</v>
      </c>
      <c r="G1449" t="s">
        <v>277</v>
      </c>
      <c r="H1449" s="12">
        <v>6.1079999999999997</v>
      </c>
      <c r="I1449" s="12">
        <v>-75.421999999999997</v>
      </c>
      <c r="J1449" t="s">
        <v>129</v>
      </c>
      <c r="K1449" t="s">
        <v>1269</v>
      </c>
      <c r="L1449" t="s">
        <v>1270</v>
      </c>
      <c r="P1449" s="13">
        <v>231.1</v>
      </c>
      <c r="Q1449" s="13">
        <v>51.2</v>
      </c>
      <c r="R1449">
        <v>44</v>
      </c>
      <c r="S1449">
        <v>48</v>
      </c>
      <c r="T1449" s="13">
        <v>43.1</v>
      </c>
      <c r="U1449" s="13">
        <v>41.8</v>
      </c>
      <c r="V1449" t="s">
        <v>268</v>
      </c>
      <c r="W1449" t="s">
        <v>1271</v>
      </c>
      <c r="X1449" s="13"/>
    </row>
    <row r="1450" spans="1:24" x14ac:dyDescent="0.25">
      <c r="A1450" t="s">
        <v>1441</v>
      </c>
      <c r="B1450" t="s">
        <v>64</v>
      </c>
      <c r="C1450" t="s">
        <v>1432</v>
      </c>
      <c r="D1450" t="s">
        <v>1433</v>
      </c>
      <c r="E1450" t="s">
        <v>64</v>
      </c>
      <c r="F1450" t="s">
        <v>94</v>
      </c>
      <c r="G1450" t="s">
        <v>277</v>
      </c>
      <c r="H1450" s="12">
        <v>6.1079999999999997</v>
      </c>
      <c r="I1450" s="12">
        <v>-75.421999999999997</v>
      </c>
      <c r="J1450" t="s">
        <v>129</v>
      </c>
      <c r="K1450" t="s">
        <v>97</v>
      </c>
      <c r="L1450" t="s">
        <v>1273</v>
      </c>
      <c r="P1450" s="13">
        <v>215.2</v>
      </c>
      <c r="Q1450" s="13">
        <v>53.7</v>
      </c>
      <c r="R1450">
        <v>28</v>
      </c>
      <c r="S1450">
        <v>50</v>
      </c>
      <c r="T1450" s="13">
        <v>39.700000000000003</v>
      </c>
      <c r="U1450" s="13">
        <v>45.5</v>
      </c>
      <c r="V1450" t="s">
        <v>99</v>
      </c>
      <c r="X1450" s="13">
        <v>215.2</v>
      </c>
    </row>
    <row r="1451" spans="1:24" x14ac:dyDescent="0.25">
      <c r="A1451" t="s">
        <v>1441</v>
      </c>
      <c r="B1451" t="s">
        <v>64</v>
      </c>
      <c r="C1451" t="s">
        <v>1432</v>
      </c>
      <c r="D1451" t="s">
        <v>1433</v>
      </c>
      <c r="E1451" t="s">
        <v>64</v>
      </c>
      <c r="F1451" t="s">
        <v>94</v>
      </c>
      <c r="G1451" t="s">
        <v>277</v>
      </c>
      <c r="H1451" s="12">
        <v>6.1079999999999997</v>
      </c>
      <c r="I1451" s="12">
        <v>-75.421999999999997</v>
      </c>
      <c r="J1451" t="s">
        <v>129</v>
      </c>
      <c r="K1451" t="s">
        <v>1269</v>
      </c>
      <c r="L1451" t="s">
        <v>1270</v>
      </c>
      <c r="P1451" s="13">
        <v>253.4</v>
      </c>
      <c r="Q1451" s="13">
        <v>58.5</v>
      </c>
      <c r="R1451">
        <v>30</v>
      </c>
      <c r="S1451">
        <v>70</v>
      </c>
      <c r="T1451" s="13">
        <v>46.6</v>
      </c>
      <c r="U1451" s="13">
        <v>43.6</v>
      </c>
      <c r="V1451" t="s">
        <v>268</v>
      </c>
      <c r="W1451" t="s">
        <v>1271</v>
      </c>
      <c r="X1451" s="13"/>
    </row>
    <row r="1452" spans="1:24" x14ac:dyDescent="0.25">
      <c r="A1452" t="s">
        <v>1442</v>
      </c>
      <c r="B1452" t="s">
        <v>64</v>
      </c>
      <c r="C1452" t="s">
        <v>1432</v>
      </c>
      <c r="D1452" t="s">
        <v>1433</v>
      </c>
      <c r="E1452" t="s">
        <v>64</v>
      </c>
      <c r="F1452" t="s">
        <v>94</v>
      </c>
      <c r="G1452" t="s">
        <v>277</v>
      </c>
      <c r="H1452" s="12">
        <v>6.1079999999999997</v>
      </c>
      <c r="I1452" s="12">
        <v>-75.421999999999997</v>
      </c>
      <c r="J1452" t="s">
        <v>129</v>
      </c>
      <c r="K1452" t="s">
        <v>97</v>
      </c>
      <c r="L1452" t="s">
        <v>1273</v>
      </c>
      <c r="P1452" s="13">
        <v>235.9</v>
      </c>
      <c r="Q1452" s="13">
        <v>51.2</v>
      </c>
      <c r="R1452">
        <v>38</v>
      </c>
      <c r="S1452">
        <v>46</v>
      </c>
      <c r="T1452" s="13">
        <v>53.4</v>
      </c>
      <c r="U1452" s="13">
        <v>47.3</v>
      </c>
      <c r="V1452" t="s">
        <v>99</v>
      </c>
      <c r="X1452" s="13">
        <v>235.9</v>
      </c>
    </row>
    <row r="1453" spans="1:24" x14ac:dyDescent="0.25">
      <c r="A1453" t="s">
        <v>1442</v>
      </c>
      <c r="B1453" t="s">
        <v>64</v>
      </c>
      <c r="C1453" t="s">
        <v>1432</v>
      </c>
      <c r="D1453" t="s">
        <v>1433</v>
      </c>
      <c r="E1453" t="s">
        <v>64</v>
      </c>
      <c r="F1453" t="s">
        <v>94</v>
      </c>
      <c r="G1453" t="s">
        <v>277</v>
      </c>
      <c r="H1453" s="12">
        <v>6.1079999999999997</v>
      </c>
      <c r="I1453" s="12">
        <v>-75.421999999999997</v>
      </c>
      <c r="J1453" t="s">
        <v>129</v>
      </c>
      <c r="K1453" t="s">
        <v>1269</v>
      </c>
      <c r="L1453" t="s">
        <v>1270</v>
      </c>
      <c r="P1453" s="13">
        <v>270.89999999999998</v>
      </c>
      <c r="Q1453" s="13">
        <v>43.9</v>
      </c>
      <c r="R1453">
        <v>48</v>
      </c>
      <c r="S1453">
        <v>72</v>
      </c>
      <c r="T1453" s="13">
        <v>56.9</v>
      </c>
      <c r="U1453" s="13">
        <v>41.8</v>
      </c>
      <c r="V1453" t="s">
        <v>268</v>
      </c>
      <c r="W1453" t="s">
        <v>1271</v>
      </c>
      <c r="X1453" s="13"/>
    </row>
    <row r="1454" spans="1:24" x14ac:dyDescent="0.25">
      <c r="A1454" t="s">
        <v>1443</v>
      </c>
      <c r="B1454" t="s">
        <v>64</v>
      </c>
      <c r="C1454" t="s">
        <v>1432</v>
      </c>
      <c r="D1454" t="s">
        <v>1433</v>
      </c>
      <c r="E1454" t="s">
        <v>64</v>
      </c>
      <c r="F1454" t="s">
        <v>94</v>
      </c>
      <c r="G1454" t="s">
        <v>277</v>
      </c>
      <c r="H1454" s="12">
        <v>6.1079999999999997</v>
      </c>
      <c r="I1454" s="12">
        <v>-75.421999999999997</v>
      </c>
      <c r="J1454" t="s">
        <v>129</v>
      </c>
      <c r="K1454" t="s">
        <v>97</v>
      </c>
      <c r="L1454" t="s">
        <v>1273</v>
      </c>
      <c r="P1454" s="13">
        <v>216</v>
      </c>
      <c r="Q1454" s="13">
        <v>56.1</v>
      </c>
      <c r="R1454">
        <v>32</v>
      </c>
      <c r="S1454">
        <v>46</v>
      </c>
      <c r="T1454" s="13">
        <v>37.9</v>
      </c>
      <c r="U1454" s="13">
        <v>45.5</v>
      </c>
      <c r="V1454" t="s">
        <v>99</v>
      </c>
      <c r="X1454" s="13">
        <v>216</v>
      </c>
    </row>
    <row r="1455" spans="1:24" x14ac:dyDescent="0.25">
      <c r="A1455" t="s">
        <v>1443</v>
      </c>
      <c r="B1455" t="s">
        <v>64</v>
      </c>
      <c r="C1455" t="s">
        <v>1432</v>
      </c>
      <c r="D1455" t="s">
        <v>1433</v>
      </c>
      <c r="E1455" t="s">
        <v>64</v>
      </c>
      <c r="F1455" t="s">
        <v>94</v>
      </c>
      <c r="G1455" t="s">
        <v>277</v>
      </c>
      <c r="H1455" s="12">
        <v>6.1079999999999997</v>
      </c>
      <c r="I1455" s="12">
        <v>-75.421999999999997</v>
      </c>
      <c r="J1455" t="s">
        <v>129</v>
      </c>
      <c r="K1455" t="s">
        <v>1269</v>
      </c>
      <c r="L1455" t="s">
        <v>1270</v>
      </c>
      <c r="P1455" s="13">
        <v>234.1</v>
      </c>
      <c r="Q1455" s="13">
        <v>51.2</v>
      </c>
      <c r="R1455">
        <v>26</v>
      </c>
      <c r="S1455">
        <v>68</v>
      </c>
      <c r="T1455" s="13">
        <v>43.1</v>
      </c>
      <c r="U1455" s="13">
        <v>43.6</v>
      </c>
      <c r="V1455" t="s">
        <v>268</v>
      </c>
      <c r="W1455" t="s">
        <v>1271</v>
      </c>
      <c r="X1455" s="13"/>
    </row>
    <row r="1456" spans="1:24" x14ac:dyDescent="0.25">
      <c r="A1456" t="s">
        <v>1444</v>
      </c>
      <c r="B1456" t="s">
        <v>64</v>
      </c>
      <c r="C1456" t="s">
        <v>1432</v>
      </c>
      <c r="D1456" t="s">
        <v>1433</v>
      </c>
      <c r="E1456" t="s">
        <v>64</v>
      </c>
      <c r="F1456" t="s">
        <v>94</v>
      </c>
      <c r="G1456" t="s">
        <v>277</v>
      </c>
      <c r="H1456" s="12">
        <v>6.1079999999999997</v>
      </c>
      <c r="I1456" s="12">
        <v>-75.421999999999997</v>
      </c>
      <c r="J1456" t="s">
        <v>129</v>
      </c>
      <c r="K1456" t="s">
        <v>97</v>
      </c>
      <c r="L1456" t="s">
        <v>1273</v>
      </c>
      <c r="P1456" s="13">
        <v>132.69999999999999</v>
      </c>
      <c r="Q1456" s="13">
        <v>26.8</v>
      </c>
      <c r="R1456">
        <v>30</v>
      </c>
      <c r="S1456">
        <v>26</v>
      </c>
      <c r="T1456" s="13">
        <v>20.7</v>
      </c>
      <c r="U1456" s="13">
        <v>34.5</v>
      </c>
      <c r="V1456" t="s">
        <v>99</v>
      </c>
      <c r="X1456" s="13">
        <v>132.69999999999999</v>
      </c>
    </row>
    <row r="1457" spans="1:24" x14ac:dyDescent="0.25">
      <c r="A1457" t="s">
        <v>1444</v>
      </c>
      <c r="B1457" t="s">
        <v>64</v>
      </c>
      <c r="C1457" t="s">
        <v>1432</v>
      </c>
      <c r="D1457" t="s">
        <v>1433</v>
      </c>
      <c r="E1457" t="s">
        <v>64</v>
      </c>
      <c r="F1457" t="s">
        <v>94</v>
      </c>
      <c r="G1457" t="s">
        <v>277</v>
      </c>
      <c r="H1457" s="12">
        <v>6.1079999999999997</v>
      </c>
      <c r="I1457" s="12">
        <v>-75.421999999999997</v>
      </c>
      <c r="J1457" t="s">
        <v>129</v>
      </c>
      <c r="K1457" t="s">
        <v>1269</v>
      </c>
      <c r="L1457" t="s">
        <v>1270</v>
      </c>
      <c r="P1457" s="13">
        <v>166.6</v>
      </c>
      <c r="Q1457" s="13">
        <v>34.1</v>
      </c>
      <c r="R1457">
        <v>26</v>
      </c>
      <c r="S1457">
        <v>30</v>
      </c>
      <c r="T1457" s="13">
        <v>39.700000000000003</v>
      </c>
      <c r="U1457" s="13">
        <v>43.6</v>
      </c>
      <c r="V1457" t="s">
        <v>268</v>
      </c>
      <c r="W1457" t="s">
        <v>1271</v>
      </c>
      <c r="X1457" s="13"/>
    </row>
    <row r="1458" spans="1:24" x14ac:dyDescent="0.25">
      <c r="A1458" t="s">
        <v>1445</v>
      </c>
      <c r="B1458" t="s">
        <v>64</v>
      </c>
      <c r="C1458" t="s">
        <v>1432</v>
      </c>
      <c r="D1458" t="s">
        <v>1433</v>
      </c>
      <c r="E1458" t="s">
        <v>64</v>
      </c>
      <c r="F1458" t="s">
        <v>94</v>
      </c>
      <c r="G1458" t="s">
        <v>277</v>
      </c>
      <c r="H1458" s="12">
        <v>6.1079999999999997</v>
      </c>
      <c r="I1458" s="12">
        <v>-75.421999999999997</v>
      </c>
      <c r="J1458" t="s">
        <v>129</v>
      </c>
      <c r="K1458" t="s">
        <v>97</v>
      </c>
      <c r="L1458" t="s">
        <v>1273</v>
      </c>
      <c r="P1458" s="13">
        <v>225.9</v>
      </c>
      <c r="Q1458" s="13">
        <v>61</v>
      </c>
      <c r="R1458">
        <v>24</v>
      </c>
      <c r="S1458">
        <v>54</v>
      </c>
      <c r="T1458" s="13">
        <v>36.200000000000003</v>
      </c>
      <c r="U1458" s="13">
        <v>61.8</v>
      </c>
      <c r="V1458" t="s">
        <v>99</v>
      </c>
      <c r="X1458" s="13">
        <v>225.9</v>
      </c>
    </row>
    <row r="1459" spans="1:24" x14ac:dyDescent="0.25">
      <c r="A1459" t="s">
        <v>1445</v>
      </c>
      <c r="B1459" t="s">
        <v>64</v>
      </c>
      <c r="C1459" t="s">
        <v>1432</v>
      </c>
      <c r="D1459" t="s">
        <v>1433</v>
      </c>
      <c r="E1459" t="s">
        <v>64</v>
      </c>
      <c r="F1459" t="s">
        <v>94</v>
      </c>
      <c r="G1459" t="s">
        <v>277</v>
      </c>
      <c r="H1459" s="12">
        <v>6.1079999999999997</v>
      </c>
      <c r="I1459" s="12">
        <v>-75.421999999999997</v>
      </c>
      <c r="J1459" t="s">
        <v>129</v>
      </c>
      <c r="K1459" t="s">
        <v>1269</v>
      </c>
      <c r="L1459" t="s">
        <v>1270</v>
      </c>
      <c r="P1459" s="13">
        <v>309.7</v>
      </c>
      <c r="Q1459" s="13">
        <v>63.4</v>
      </c>
      <c r="R1459">
        <v>44</v>
      </c>
      <c r="S1459">
        <v>76</v>
      </c>
      <c r="T1459" s="13">
        <v>63.8</v>
      </c>
      <c r="U1459" s="13">
        <v>63.6</v>
      </c>
      <c r="V1459" t="s">
        <v>268</v>
      </c>
      <c r="W1459" t="s">
        <v>1271</v>
      </c>
      <c r="X1459" s="13"/>
    </row>
    <row r="1460" spans="1:24" x14ac:dyDescent="0.25">
      <c r="A1460" t="s">
        <v>1446</v>
      </c>
      <c r="B1460" t="s">
        <v>64</v>
      </c>
      <c r="C1460" t="s">
        <v>1432</v>
      </c>
      <c r="D1460" t="s">
        <v>1433</v>
      </c>
      <c r="E1460" t="s">
        <v>64</v>
      </c>
      <c r="F1460" t="s">
        <v>94</v>
      </c>
      <c r="G1460" t="s">
        <v>277</v>
      </c>
      <c r="H1460" s="12">
        <v>6.1079999999999997</v>
      </c>
      <c r="I1460" s="12">
        <v>-75.421999999999997</v>
      </c>
      <c r="J1460" t="s">
        <v>129</v>
      </c>
      <c r="K1460" t="s">
        <v>97</v>
      </c>
      <c r="L1460" t="s">
        <v>1273</v>
      </c>
      <c r="P1460" s="13">
        <v>221.2</v>
      </c>
      <c r="Q1460" s="13">
        <v>43.9</v>
      </c>
      <c r="R1460">
        <v>40</v>
      </c>
      <c r="S1460">
        <v>60</v>
      </c>
      <c r="T1460" s="13">
        <v>34.5</v>
      </c>
      <c r="U1460" s="13">
        <v>40</v>
      </c>
      <c r="V1460" t="s">
        <v>99</v>
      </c>
      <c r="X1460" s="13">
        <v>221.2</v>
      </c>
    </row>
    <row r="1461" spans="1:24" x14ac:dyDescent="0.25">
      <c r="A1461" t="s">
        <v>1446</v>
      </c>
      <c r="B1461" t="s">
        <v>64</v>
      </c>
      <c r="C1461" t="s">
        <v>1432</v>
      </c>
      <c r="D1461" t="s">
        <v>1433</v>
      </c>
      <c r="E1461" t="s">
        <v>64</v>
      </c>
      <c r="F1461" t="s">
        <v>94</v>
      </c>
      <c r="G1461" t="s">
        <v>277</v>
      </c>
      <c r="H1461" s="12">
        <v>6.1079999999999997</v>
      </c>
      <c r="I1461" s="12">
        <v>-75.421999999999997</v>
      </c>
      <c r="J1461" t="s">
        <v>129</v>
      </c>
      <c r="K1461" t="s">
        <v>1269</v>
      </c>
      <c r="L1461" t="s">
        <v>1270</v>
      </c>
      <c r="P1461" s="13">
        <v>256.5</v>
      </c>
      <c r="Q1461" s="13">
        <v>56.1</v>
      </c>
      <c r="R1461">
        <v>58</v>
      </c>
      <c r="S1461">
        <v>46</v>
      </c>
      <c r="T1461" s="13">
        <v>48.3</v>
      </c>
      <c r="U1461" s="13">
        <v>41.8</v>
      </c>
      <c r="V1461" t="s">
        <v>268</v>
      </c>
      <c r="W1461" t="s">
        <v>1271</v>
      </c>
      <c r="X1461" s="13"/>
    </row>
    <row r="1462" spans="1:24" x14ac:dyDescent="0.25">
      <c r="A1462" t="s">
        <v>1447</v>
      </c>
      <c r="B1462" t="s">
        <v>64</v>
      </c>
      <c r="C1462" t="s">
        <v>1432</v>
      </c>
      <c r="D1462" t="s">
        <v>1433</v>
      </c>
      <c r="E1462" t="s">
        <v>64</v>
      </c>
      <c r="F1462" t="s">
        <v>94</v>
      </c>
      <c r="G1462" t="s">
        <v>277</v>
      </c>
      <c r="H1462" s="12">
        <v>6.1079999999999997</v>
      </c>
      <c r="I1462" s="12">
        <v>-75.421999999999997</v>
      </c>
      <c r="J1462" t="s">
        <v>129</v>
      </c>
      <c r="K1462" t="s">
        <v>97</v>
      </c>
      <c r="L1462" t="s">
        <v>1273</v>
      </c>
      <c r="P1462" s="13">
        <v>244.1</v>
      </c>
      <c r="Q1462" s="13">
        <v>61</v>
      </c>
      <c r="R1462">
        <v>52</v>
      </c>
      <c r="S1462">
        <v>50</v>
      </c>
      <c r="T1462" s="13">
        <v>31</v>
      </c>
      <c r="U1462" s="13">
        <v>52.7</v>
      </c>
      <c r="V1462" t="s">
        <v>99</v>
      </c>
      <c r="X1462" s="13">
        <v>244.1</v>
      </c>
    </row>
    <row r="1463" spans="1:24" x14ac:dyDescent="0.25">
      <c r="A1463" t="s">
        <v>1447</v>
      </c>
      <c r="B1463" t="s">
        <v>64</v>
      </c>
      <c r="C1463" t="s">
        <v>1432</v>
      </c>
      <c r="D1463" t="s">
        <v>1433</v>
      </c>
      <c r="E1463" t="s">
        <v>64</v>
      </c>
      <c r="F1463" t="s">
        <v>94</v>
      </c>
      <c r="G1463" t="s">
        <v>277</v>
      </c>
      <c r="H1463" s="12">
        <v>6.1079999999999997</v>
      </c>
      <c r="I1463" s="12">
        <v>-75.421999999999997</v>
      </c>
      <c r="J1463" t="s">
        <v>129</v>
      </c>
      <c r="K1463" t="s">
        <v>1269</v>
      </c>
      <c r="L1463" t="s">
        <v>1270</v>
      </c>
      <c r="P1463" s="13">
        <v>238</v>
      </c>
      <c r="Q1463" s="13">
        <v>48.8</v>
      </c>
      <c r="R1463">
        <v>44</v>
      </c>
      <c r="S1463">
        <v>64</v>
      </c>
      <c r="T1463" s="13">
        <v>37.9</v>
      </c>
      <c r="U1463" s="13">
        <v>34.5</v>
      </c>
      <c r="V1463" t="s">
        <v>268</v>
      </c>
      <c r="W1463" t="s">
        <v>1271</v>
      </c>
      <c r="X1463" s="13"/>
    </row>
    <row r="1464" spans="1:24" x14ac:dyDescent="0.25">
      <c r="A1464" t="s">
        <v>1448</v>
      </c>
      <c r="B1464" t="s">
        <v>64</v>
      </c>
      <c r="C1464" t="s">
        <v>1432</v>
      </c>
      <c r="D1464" t="s">
        <v>1433</v>
      </c>
      <c r="E1464" t="s">
        <v>64</v>
      </c>
      <c r="F1464" t="s">
        <v>94</v>
      </c>
      <c r="G1464" t="s">
        <v>277</v>
      </c>
      <c r="H1464" s="12">
        <v>6.1079999999999997</v>
      </c>
      <c r="I1464" s="12">
        <v>-75.421999999999997</v>
      </c>
      <c r="J1464" t="s">
        <v>129</v>
      </c>
      <c r="K1464" t="s">
        <v>97</v>
      </c>
      <c r="L1464" t="s">
        <v>1273</v>
      </c>
      <c r="P1464" s="13">
        <v>176</v>
      </c>
      <c r="Q1464" s="13">
        <v>36.6</v>
      </c>
      <c r="R1464">
        <v>32</v>
      </c>
      <c r="S1464">
        <v>34</v>
      </c>
      <c r="T1464" s="13">
        <v>29.3</v>
      </c>
      <c r="U1464" s="13">
        <v>61.8</v>
      </c>
      <c r="V1464" t="s">
        <v>99</v>
      </c>
      <c r="X1464" s="13">
        <v>176</v>
      </c>
    </row>
    <row r="1465" spans="1:24" x14ac:dyDescent="0.25">
      <c r="A1465" t="s">
        <v>1448</v>
      </c>
      <c r="B1465" t="s">
        <v>64</v>
      </c>
      <c r="C1465" t="s">
        <v>1432</v>
      </c>
      <c r="D1465" t="s">
        <v>1433</v>
      </c>
      <c r="E1465" t="s">
        <v>64</v>
      </c>
      <c r="F1465" t="s">
        <v>94</v>
      </c>
      <c r="G1465" t="s">
        <v>277</v>
      </c>
      <c r="H1465" s="12">
        <v>6.1079999999999997</v>
      </c>
      <c r="I1465" s="12">
        <v>-75.421999999999997</v>
      </c>
      <c r="J1465" t="s">
        <v>129</v>
      </c>
      <c r="K1465" t="s">
        <v>1269</v>
      </c>
      <c r="L1465" t="s">
        <v>1270</v>
      </c>
      <c r="P1465" s="13">
        <v>135.30000000000001</v>
      </c>
      <c r="Q1465" s="13">
        <v>29.3</v>
      </c>
      <c r="R1465">
        <v>28</v>
      </c>
      <c r="S1465">
        <v>22</v>
      </c>
      <c r="T1465" s="13">
        <v>25.9</v>
      </c>
      <c r="U1465" s="13">
        <v>36.4</v>
      </c>
      <c r="V1465" t="s">
        <v>268</v>
      </c>
      <c r="W1465" t="s">
        <v>1271</v>
      </c>
      <c r="X1465" s="13"/>
    </row>
    <row r="1466" spans="1:24" x14ac:dyDescent="0.25">
      <c r="A1466" t="s">
        <v>1449</v>
      </c>
      <c r="B1466" t="s">
        <v>64</v>
      </c>
      <c r="C1466" t="s">
        <v>1432</v>
      </c>
      <c r="D1466" t="s">
        <v>1433</v>
      </c>
      <c r="E1466" t="s">
        <v>64</v>
      </c>
      <c r="F1466" t="s">
        <v>94</v>
      </c>
      <c r="G1466" t="s">
        <v>277</v>
      </c>
      <c r="H1466" s="12">
        <v>6.1079999999999997</v>
      </c>
      <c r="I1466" s="12">
        <v>-75.421999999999997</v>
      </c>
      <c r="J1466" t="s">
        <v>129</v>
      </c>
      <c r="K1466" t="s">
        <v>97</v>
      </c>
      <c r="L1466" t="s">
        <v>1273</v>
      </c>
      <c r="P1466" s="13">
        <v>219.7</v>
      </c>
      <c r="Q1466" s="13">
        <v>65.900000000000006</v>
      </c>
      <c r="R1466">
        <v>34</v>
      </c>
      <c r="S1466">
        <v>38</v>
      </c>
      <c r="T1466" s="13">
        <v>36.200000000000003</v>
      </c>
      <c r="U1466" s="13">
        <v>49.1</v>
      </c>
      <c r="V1466" t="s">
        <v>99</v>
      </c>
      <c r="X1466" s="13">
        <v>219.7</v>
      </c>
    </row>
    <row r="1467" spans="1:24" x14ac:dyDescent="0.25">
      <c r="A1467" t="s">
        <v>1449</v>
      </c>
      <c r="B1467" t="s">
        <v>64</v>
      </c>
      <c r="C1467" t="s">
        <v>1432</v>
      </c>
      <c r="D1467" t="s">
        <v>1433</v>
      </c>
      <c r="E1467" t="s">
        <v>64</v>
      </c>
      <c r="F1467" t="s">
        <v>94</v>
      </c>
      <c r="G1467" t="s">
        <v>277</v>
      </c>
      <c r="H1467" s="12">
        <v>6.1079999999999997</v>
      </c>
      <c r="I1467" s="12">
        <v>-75.421999999999997</v>
      </c>
      <c r="J1467" t="s">
        <v>129</v>
      </c>
      <c r="K1467" t="s">
        <v>1269</v>
      </c>
      <c r="L1467" t="s">
        <v>1270</v>
      </c>
      <c r="P1467" s="13">
        <v>235.3</v>
      </c>
      <c r="Q1467" s="13">
        <v>53.7</v>
      </c>
      <c r="R1467">
        <v>40</v>
      </c>
      <c r="S1467">
        <v>56</v>
      </c>
      <c r="T1467" s="13">
        <v>37.9</v>
      </c>
      <c r="U1467" s="13">
        <v>49.1</v>
      </c>
      <c r="V1467" t="s">
        <v>268</v>
      </c>
      <c r="W1467" t="s">
        <v>1271</v>
      </c>
      <c r="X1467" s="13"/>
    </row>
    <row r="1468" spans="1:24" x14ac:dyDescent="0.25">
      <c r="A1468" t="s">
        <v>1450</v>
      </c>
      <c r="B1468" t="s">
        <v>64</v>
      </c>
      <c r="C1468" t="s">
        <v>1432</v>
      </c>
      <c r="D1468" t="s">
        <v>1433</v>
      </c>
      <c r="E1468" t="s">
        <v>64</v>
      </c>
      <c r="F1468" t="s">
        <v>94</v>
      </c>
      <c r="G1468" t="s">
        <v>277</v>
      </c>
      <c r="H1468" s="12">
        <v>6.1079999999999997</v>
      </c>
      <c r="I1468" s="12">
        <v>-75.421999999999997</v>
      </c>
      <c r="J1468" t="s">
        <v>129</v>
      </c>
      <c r="K1468" t="s">
        <v>97</v>
      </c>
      <c r="L1468" t="s">
        <v>1273</v>
      </c>
      <c r="P1468" s="13">
        <v>205.3</v>
      </c>
      <c r="Q1468" s="13">
        <v>43.9</v>
      </c>
      <c r="R1468">
        <v>40</v>
      </c>
      <c r="S1468">
        <v>34</v>
      </c>
      <c r="T1468" s="13">
        <v>32.799999999999997</v>
      </c>
      <c r="U1468" s="13">
        <v>81.8</v>
      </c>
      <c r="V1468" t="s">
        <v>99</v>
      </c>
      <c r="X1468" s="13">
        <v>205.3</v>
      </c>
    </row>
    <row r="1469" spans="1:24" x14ac:dyDescent="0.25">
      <c r="A1469" t="s">
        <v>1450</v>
      </c>
      <c r="B1469" t="s">
        <v>64</v>
      </c>
      <c r="C1469" t="s">
        <v>1432</v>
      </c>
      <c r="D1469" t="s">
        <v>1433</v>
      </c>
      <c r="E1469" t="s">
        <v>64</v>
      </c>
      <c r="F1469" t="s">
        <v>94</v>
      </c>
      <c r="G1469" t="s">
        <v>277</v>
      </c>
      <c r="H1469" s="12">
        <v>6.1079999999999997</v>
      </c>
      <c r="I1469" s="12">
        <v>-75.421999999999997</v>
      </c>
      <c r="J1469" t="s">
        <v>129</v>
      </c>
      <c r="K1469" t="s">
        <v>1269</v>
      </c>
      <c r="L1469" t="s">
        <v>1270</v>
      </c>
      <c r="P1469" s="13">
        <v>204.9</v>
      </c>
      <c r="Q1469" s="13">
        <v>43.9</v>
      </c>
      <c r="R1469">
        <v>42</v>
      </c>
      <c r="S1469">
        <v>44</v>
      </c>
      <c r="T1469" s="13">
        <v>25.9</v>
      </c>
      <c r="U1469" s="13">
        <v>65.5</v>
      </c>
      <c r="V1469" t="s">
        <v>268</v>
      </c>
      <c r="W1469" t="s">
        <v>1271</v>
      </c>
      <c r="X1469" s="13"/>
    </row>
    <row r="1470" spans="1:24" x14ac:dyDescent="0.25">
      <c r="A1470" t="s">
        <v>1451</v>
      </c>
      <c r="B1470" t="s">
        <v>64</v>
      </c>
      <c r="C1470" t="s">
        <v>1432</v>
      </c>
      <c r="D1470" t="s">
        <v>1433</v>
      </c>
      <c r="E1470" t="s">
        <v>64</v>
      </c>
      <c r="F1470" t="s">
        <v>94</v>
      </c>
      <c r="G1470" t="s">
        <v>277</v>
      </c>
      <c r="H1470" s="12">
        <v>6.1079999999999997</v>
      </c>
      <c r="I1470" s="12">
        <v>-75.421999999999997</v>
      </c>
      <c r="J1470" t="s">
        <v>129</v>
      </c>
      <c r="K1470" t="s">
        <v>97</v>
      </c>
      <c r="L1470" t="s">
        <v>1273</v>
      </c>
      <c r="P1470" s="13">
        <v>228.2</v>
      </c>
      <c r="Q1470" s="13">
        <v>61</v>
      </c>
      <c r="R1470">
        <v>26</v>
      </c>
      <c r="S1470">
        <v>52</v>
      </c>
      <c r="T1470" s="13">
        <v>44.8</v>
      </c>
      <c r="U1470" s="13">
        <v>41.8</v>
      </c>
      <c r="V1470" t="s">
        <v>99</v>
      </c>
      <c r="X1470" s="13">
        <v>228.2</v>
      </c>
    </row>
    <row r="1471" spans="1:24" x14ac:dyDescent="0.25">
      <c r="A1471" t="s">
        <v>1451</v>
      </c>
      <c r="B1471" t="s">
        <v>64</v>
      </c>
      <c r="C1471" t="s">
        <v>1432</v>
      </c>
      <c r="D1471" t="s">
        <v>1433</v>
      </c>
      <c r="E1471" t="s">
        <v>64</v>
      </c>
      <c r="F1471" t="s">
        <v>94</v>
      </c>
      <c r="G1471" t="s">
        <v>277</v>
      </c>
      <c r="H1471" s="12">
        <v>6.1079999999999997</v>
      </c>
      <c r="I1471" s="12">
        <v>-75.421999999999997</v>
      </c>
      <c r="J1471" t="s">
        <v>129</v>
      </c>
      <c r="K1471" t="s">
        <v>1269</v>
      </c>
      <c r="L1471" t="s">
        <v>1270</v>
      </c>
      <c r="P1471" s="13">
        <v>294.7</v>
      </c>
      <c r="Q1471" s="13">
        <v>58.5</v>
      </c>
      <c r="R1471">
        <v>44</v>
      </c>
      <c r="S1471">
        <v>76</v>
      </c>
      <c r="T1471" s="13">
        <v>56.9</v>
      </c>
      <c r="U1471" s="13">
        <v>60</v>
      </c>
      <c r="V1471" t="s">
        <v>268</v>
      </c>
      <c r="W1471" t="s">
        <v>1271</v>
      </c>
      <c r="X1471" s="13"/>
    </row>
    <row r="1472" spans="1:24" x14ac:dyDescent="0.25">
      <c r="A1472" t="s">
        <v>1452</v>
      </c>
      <c r="B1472" t="s">
        <v>64</v>
      </c>
      <c r="C1472" t="s">
        <v>1432</v>
      </c>
      <c r="D1472" t="s">
        <v>1433</v>
      </c>
      <c r="E1472" t="s">
        <v>64</v>
      </c>
      <c r="F1472" t="s">
        <v>94</v>
      </c>
      <c r="G1472" t="s">
        <v>277</v>
      </c>
      <c r="H1472" s="12">
        <v>6.1079999999999997</v>
      </c>
      <c r="I1472" s="12">
        <v>-75.421999999999997</v>
      </c>
      <c r="J1472" t="s">
        <v>129</v>
      </c>
      <c r="K1472" t="s">
        <v>97</v>
      </c>
      <c r="L1472" t="s">
        <v>1273</v>
      </c>
      <c r="P1472" s="13">
        <v>178</v>
      </c>
      <c r="Q1472" s="13">
        <v>53.7</v>
      </c>
      <c r="R1472">
        <v>28</v>
      </c>
      <c r="S1472">
        <v>34</v>
      </c>
      <c r="T1472" s="13">
        <v>25.9</v>
      </c>
      <c r="U1472" s="13">
        <v>38.200000000000003</v>
      </c>
      <c r="V1472" t="s">
        <v>99</v>
      </c>
      <c r="X1472" s="13">
        <v>178</v>
      </c>
    </row>
    <row r="1473" spans="1:24" x14ac:dyDescent="0.25">
      <c r="A1473" t="s">
        <v>1452</v>
      </c>
      <c r="B1473" t="s">
        <v>64</v>
      </c>
      <c r="C1473" t="s">
        <v>1432</v>
      </c>
      <c r="D1473" t="s">
        <v>1433</v>
      </c>
      <c r="E1473" t="s">
        <v>64</v>
      </c>
      <c r="F1473" t="s">
        <v>94</v>
      </c>
      <c r="G1473" t="s">
        <v>277</v>
      </c>
      <c r="H1473" s="12">
        <v>6.1079999999999997</v>
      </c>
      <c r="I1473" s="12">
        <v>-75.421999999999997</v>
      </c>
      <c r="J1473" t="s">
        <v>129</v>
      </c>
      <c r="K1473" t="s">
        <v>1269</v>
      </c>
      <c r="L1473" t="s">
        <v>1270</v>
      </c>
      <c r="P1473" s="13">
        <v>259.39999999999998</v>
      </c>
      <c r="Q1473" s="13">
        <v>58.5</v>
      </c>
      <c r="R1473">
        <v>68</v>
      </c>
      <c r="S1473">
        <v>40</v>
      </c>
      <c r="T1473" s="13">
        <v>31</v>
      </c>
      <c r="U1473" s="13">
        <v>81.8</v>
      </c>
      <c r="V1473" t="s">
        <v>268</v>
      </c>
      <c r="W1473" t="s">
        <v>1271</v>
      </c>
      <c r="X1473" s="13"/>
    </row>
    <row r="1474" spans="1:24" x14ac:dyDescent="0.25">
      <c r="A1474" t="s">
        <v>1453</v>
      </c>
      <c r="B1474" t="s">
        <v>64</v>
      </c>
      <c r="C1474" t="s">
        <v>1432</v>
      </c>
      <c r="D1474" t="s">
        <v>1433</v>
      </c>
      <c r="E1474" t="s">
        <v>64</v>
      </c>
      <c r="F1474" t="s">
        <v>94</v>
      </c>
      <c r="G1474" t="s">
        <v>277</v>
      </c>
      <c r="H1474" s="12">
        <v>6.1079999999999997</v>
      </c>
      <c r="I1474" s="12">
        <v>-75.421999999999997</v>
      </c>
      <c r="J1474" t="s">
        <v>129</v>
      </c>
      <c r="K1474" t="s">
        <v>97</v>
      </c>
      <c r="L1474" t="s">
        <v>1273</v>
      </c>
      <c r="P1474" s="13">
        <v>322.7</v>
      </c>
      <c r="Q1474" s="13">
        <v>80.5</v>
      </c>
      <c r="R1474">
        <v>38</v>
      </c>
      <c r="S1474">
        <v>76</v>
      </c>
      <c r="T1474" s="13">
        <v>60.3</v>
      </c>
      <c r="U1474" s="13">
        <v>74.5</v>
      </c>
      <c r="V1474" t="s">
        <v>99</v>
      </c>
      <c r="X1474" s="13">
        <v>322.7</v>
      </c>
    </row>
    <row r="1475" spans="1:24" x14ac:dyDescent="0.25">
      <c r="A1475" t="s">
        <v>1453</v>
      </c>
      <c r="B1475" t="s">
        <v>64</v>
      </c>
      <c r="C1475" t="s">
        <v>1432</v>
      </c>
      <c r="D1475" t="s">
        <v>1433</v>
      </c>
      <c r="E1475" t="s">
        <v>64</v>
      </c>
      <c r="F1475" t="s">
        <v>94</v>
      </c>
      <c r="G1475" t="s">
        <v>277</v>
      </c>
      <c r="H1475" s="12">
        <v>6.1079999999999997</v>
      </c>
      <c r="I1475" s="12">
        <v>-75.421999999999997</v>
      </c>
      <c r="J1475" t="s">
        <v>129</v>
      </c>
      <c r="K1475" t="s">
        <v>1269</v>
      </c>
      <c r="L1475" t="s">
        <v>1270</v>
      </c>
      <c r="P1475" s="13">
        <v>321.3</v>
      </c>
      <c r="Q1475" s="13">
        <v>61</v>
      </c>
      <c r="R1475">
        <v>50</v>
      </c>
      <c r="S1475">
        <v>90</v>
      </c>
      <c r="T1475" s="13">
        <v>56.9</v>
      </c>
      <c r="U1475" s="13">
        <v>61.8</v>
      </c>
      <c r="V1475" t="s">
        <v>268</v>
      </c>
      <c r="W1475" t="s">
        <v>1271</v>
      </c>
      <c r="X1475" s="13"/>
    </row>
    <row r="1476" spans="1:24" x14ac:dyDescent="0.25">
      <c r="A1476" t="s">
        <v>1454</v>
      </c>
      <c r="B1476" t="s">
        <v>64</v>
      </c>
      <c r="C1476" t="s">
        <v>1432</v>
      </c>
      <c r="D1476" t="s">
        <v>1433</v>
      </c>
      <c r="E1476" t="s">
        <v>64</v>
      </c>
      <c r="F1476" t="s">
        <v>94</v>
      </c>
      <c r="G1476" t="s">
        <v>277</v>
      </c>
      <c r="H1476" s="12">
        <v>6.1079999999999997</v>
      </c>
      <c r="I1476" s="12">
        <v>-75.421999999999997</v>
      </c>
      <c r="J1476" t="s">
        <v>96</v>
      </c>
      <c r="K1476" t="s">
        <v>97</v>
      </c>
      <c r="L1476" t="s">
        <v>1273</v>
      </c>
      <c r="P1476" s="13">
        <v>170.6</v>
      </c>
      <c r="Q1476" s="13">
        <v>39</v>
      </c>
      <c r="R1476">
        <v>26</v>
      </c>
      <c r="S1476">
        <v>38</v>
      </c>
      <c r="T1476" s="13">
        <v>34.5</v>
      </c>
      <c r="U1476" s="13">
        <v>30.9</v>
      </c>
      <c r="V1476" t="s">
        <v>99</v>
      </c>
      <c r="X1476" s="13">
        <v>170.6</v>
      </c>
    </row>
    <row r="1477" spans="1:24" x14ac:dyDescent="0.25">
      <c r="A1477" t="s">
        <v>1454</v>
      </c>
      <c r="B1477" t="s">
        <v>64</v>
      </c>
      <c r="C1477" t="s">
        <v>1432</v>
      </c>
      <c r="D1477" t="s">
        <v>1433</v>
      </c>
      <c r="E1477" t="s">
        <v>64</v>
      </c>
      <c r="F1477" t="s">
        <v>94</v>
      </c>
      <c r="G1477" t="s">
        <v>277</v>
      </c>
      <c r="H1477" s="12">
        <v>6.1079999999999997</v>
      </c>
      <c r="I1477" s="12">
        <v>-75.421999999999997</v>
      </c>
      <c r="J1477" t="s">
        <v>96</v>
      </c>
      <c r="K1477" t="s">
        <v>1269</v>
      </c>
      <c r="L1477" t="s">
        <v>1270</v>
      </c>
      <c r="P1477" s="13">
        <v>225.4</v>
      </c>
      <c r="Q1477" s="13">
        <v>43.9</v>
      </c>
      <c r="R1477">
        <v>40</v>
      </c>
      <c r="S1477">
        <v>56</v>
      </c>
      <c r="T1477" s="13">
        <v>39.700000000000003</v>
      </c>
      <c r="U1477" s="13">
        <v>47.3</v>
      </c>
      <c r="V1477" t="s">
        <v>268</v>
      </c>
      <c r="W1477" t="s">
        <v>1271</v>
      </c>
      <c r="X1477" s="13"/>
    </row>
    <row r="1478" spans="1:24" x14ac:dyDescent="0.25">
      <c r="A1478" t="s">
        <v>1455</v>
      </c>
      <c r="B1478" t="s">
        <v>64</v>
      </c>
      <c r="C1478" t="s">
        <v>1432</v>
      </c>
      <c r="D1478" t="s">
        <v>1433</v>
      </c>
      <c r="E1478" t="s">
        <v>64</v>
      </c>
      <c r="F1478" t="s">
        <v>94</v>
      </c>
      <c r="G1478" t="s">
        <v>277</v>
      </c>
      <c r="H1478" s="12">
        <v>6.1079999999999997</v>
      </c>
      <c r="I1478" s="12">
        <v>-75.421999999999997</v>
      </c>
      <c r="J1478" t="s">
        <v>129</v>
      </c>
      <c r="K1478" t="s">
        <v>97</v>
      </c>
      <c r="L1478" t="s">
        <v>1273</v>
      </c>
      <c r="P1478" s="13">
        <v>185.7</v>
      </c>
      <c r="Q1478" s="13">
        <v>39</v>
      </c>
      <c r="R1478">
        <v>28</v>
      </c>
      <c r="S1478">
        <v>34</v>
      </c>
      <c r="T1478" s="13">
        <v>46.6</v>
      </c>
      <c r="U1478" s="13">
        <v>40</v>
      </c>
      <c r="V1478" t="s">
        <v>99</v>
      </c>
      <c r="X1478" s="13">
        <v>185.7</v>
      </c>
    </row>
    <row r="1479" spans="1:24" x14ac:dyDescent="0.25">
      <c r="A1479" t="s">
        <v>1455</v>
      </c>
      <c r="B1479" t="s">
        <v>64</v>
      </c>
      <c r="C1479" t="s">
        <v>1432</v>
      </c>
      <c r="D1479" t="s">
        <v>1433</v>
      </c>
      <c r="E1479" t="s">
        <v>64</v>
      </c>
      <c r="F1479" t="s">
        <v>94</v>
      </c>
      <c r="G1479" t="s">
        <v>277</v>
      </c>
      <c r="H1479" s="12">
        <v>6.1079999999999997</v>
      </c>
      <c r="I1479" s="12">
        <v>-75.421999999999997</v>
      </c>
      <c r="J1479" t="s">
        <v>129</v>
      </c>
      <c r="K1479" t="s">
        <v>1269</v>
      </c>
      <c r="L1479" t="s">
        <v>1270</v>
      </c>
      <c r="P1479" s="13">
        <v>259.60000000000002</v>
      </c>
      <c r="Q1479" s="13">
        <v>53.7</v>
      </c>
      <c r="R1479">
        <v>48</v>
      </c>
      <c r="S1479">
        <v>56</v>
      </c>
      <c r="T1479" s="13">
        <v>43.1</v>
      </c>
      <c r="U1479" s="13">
        <v>72.7</v>
      </c>
      <c r="V1479" t="s">
        <v>268</v>
      </c>
      <c r="W1479" t="s">
        <v>1271</v>
      </c>
      <c r="X1479" s="13"/>
    </row>
    <row r="1480" spans="1:24" x14ac:dyDescent="0.25">
      <c r="A1480" t="s">
        <v>1456</v>
      </c>
      <c r="B1480" t="s">
        <v>64</v>
      </c>
      <c r="C1480" t="s">
        <v>1432</v>
      </c>
      <c r="D1480" t="s">
        <v>1433</v>
      </c>
      <c r="E1480" t="s">
        <v>64</v>
      </c>
      <c r="F1480" t="s">
        <v>94</v>
      </c>
      <c r="G1480" t="s">
        <v>277</v>
      </c>
      <c r="H1480" s="12">
        <v>6.1079999999999997</v>
      </c>
      <c r="I1480" s="12">
        <v>-75.421999999999997</v>
      </c>
      <c r="J1480" t="s">
        <v>96</v>
      </c>
      <c r="K1480" t="s">
        <v>97</v>
      </c>
      <c r="L1480" t="s">
        <v>1273</v>
      </c>
      <c r="P1480" s="13">
        <v>262.2</v>
      </c>
      <c r="Q1480" s="13">
        <v>63.4</v>
      </c>
      <c r="R1480">
        <v>38</v>
      </c>
      <c r="S1480">
        <v>56</v>
      </c>
      <c r="T1480" s="13">
        <v>41.4</v>
      </c>
      <c r="U1480" s="13">
        <v>85.5</v>
      </c>
      <c r="V1480" t="s">
        <v>99</v>
      </c>
      <c r="X1480" s="13">
        <v>262.2</v>
      </c>
    </row>
    <row r="1481" spans="1:24" x14ac:dyDescent="0.25">
      <c r="A1481" t="s">
        <v>1456</v>
      </c>
      <c r="B1481" t="s">
        <v>64</v>
      </c>
      <c r="C1481" t="s">
        <v>1432</v>
      </c>
      <c r="D1481" t="s">
        <v>1433</v>
      </c>
      <c r="E1481" t="s">
        <v>64</v>
      </c>
      <c r="F1481" t="s">
        <v>94</v>
      </c>
      <c r="G1481" t="s">
        <v>277</v>
      </c>
      <c r="H1481" s="12">
        <v>6.1079999999999997</v>
      </c>
      <c r="I1481" s="12">
        <v>-75.421999999999997</v>
      </c>
      <c r="J1481" t="s">
        <v>96</v>
      </c>
      <c r="K1481" t="s">
        <v>1269</v>
      </c>
      <c r="L1481" t="s">
        <v>1270</v>
      </c>
      <c r="P1481" s="13">
        <v>317.60000000000002</v>
      </c>
      <c r="Q1481" s="13">
        <v>56.1</v>
      </c>
      <c r="R1481">
        <v>48</v>
      </c>
      <c r="S1481">
        <v>80</v>
      </c>
      <c r="T1481" s="13">
        <v>62.1</v>
      </c>
      <c r="U1481" s="13">
        <v>87.3</v>
      </c>
      <c r="V1481" t="s">
        <v>268</v>
      </c>
      <c r="W1481" t="s">
        <v>1271</v>
      </c>
      <c r="X1481" s="13"/>
    </row>
    <row r="1482" spans="1:24" x14ac:dyDescent="0.25">
      <c r="A1482" t="s">
        <v>1457</v>
      </c>
      <c r="B1482" t="s">
        <v>64</v>
      </c>
      <c r="C1482" t="s">
        <v>1432</v>
      </c>
      <c r="D1482" t="s">
        <v>1433</v>
      </c>
      <c r="E1482" t="s">
        <v>64</v>
      </c>
      <c r="F1482" t="s">
        <v>94</v>
      </c>
      <c r="G1482" t="s">
        <v>277</v>
      </c>
      <c r="H1482" s="12">
        <v>6.1079999999999997</v>
      </c>
      <c r="I1482" s="12">
        <v>-75.421999999999997</v>
      </c>
      <c r="J1482" t="s">
        <v>96</v>
      </c>
      <c r="K1482" t="s">
        <v>97</v>
      </c>
      <c r="L1482" t="s">
        <v>1273</v>
      </c>
      <c r="P1482" s="13">
        <v>186.6</v>
      </c>
      <c r="Q1482" s="13">
        <v>48.8</v>
      </c>
      <c r="R1482">
        <v>38</v>
      </c>
      <c r="S1482">
        <v>16</v>
      </c>
      <c r="T1482" s="13">
        <v>41.4</v>
      </c>
      <c r="U1482" s="13">
        <v>52.7</v>
      </c>
      <c r="V1482" t="s">
        <v>99</v>
      </c>
      <c r="X1482" s="13">
        <v>186.6</v>
      </c>
    </row>
    <row r="1483" spans="1:24" x14ac:dyDescent="0.25">
      <c r="A1483" t="s">
        <v>1457</v>
      </c>
      <c r="B1483" t="s">
        <v>64</v>
      </c>
      <c r="C1483" t="s">
        <v>1432</v>
      </c>
      <c r="D1483" t="s">
        <v>1433</v>
      </c>
      <c r="E1483" t="s">
        <v>64</v>
      </c>
      <c r="F1483" t="s">
        <v>94</v>
      </c>
      <c r="G1483" t="s">
        <v>277</v>
      </c>
      <c r="H1483" s="12">
        <v>6.1079999999999997</v>
      </c>
      <c r="I1483" s="12">
        <v>-75.421999999999997</v>
      </c>
      <c r="J1483" t="s">
        <v>96</v>
      </c>
      <c r="K1483" t="s">
        <v>1269</v>
      </c>
      <c r="L1483" t="s">
        <v>1270</v>
      </c>
      <c r="P1483" s="13">
        <v>178.9</v>
      </c>
      <c r="Q1483" s="13">
        <v>26.8</v>
      </c>
      <c r="R1483">
        <v>30</v>
      </c>
      <c r="S1483">
        <v>40</v>
      </c>
      <c r="T1483" s="13">
        <v>43.1</v>
      </c>
      <c r="U1483" s="13">
        <v>45.5</v>
      </c>
      <c r="V1483" t="s">
        <v>268</v>
      </c>
      <c r="W1483" t="s">
        <v>1271</v>
      </c>
      <c r="X1483" s="13"/>
    </row>
    <row r="1484" spans="1:24" x14ac:dyDescent="0.25">
      <c r="A1484" t="s">
        <v>1458</v>
      </c>
      <c r="B1484" t="s">
        <v>64</v>
      </c>
      <c r="C1484" t="s">
        <v>1432</v>
      </c>
      <c r="D1484" t="s">
        <v>1433</v>
      </c>
      <c r="E1484" t="s">
        <v>64</v>
      </c>
      <c r="F1484" t="s">
        <v>94</v>
      </c>
      <c r="G1484" t="s">
        <v>277</v>
      </c>
      <c r="H1484" s="12">
        <v>6.1079999999999997</v>
      </c>
      <c r="I1484" s="12">
        <v>-75.421999999999997</v>
      </c>
      <c r="J1484" t="s">
        <v>96</v>
      </c>
      <c r="K1484" t="s">
        <v>97</v>
      </c>
      <c r="L1484" t="s">
        <v>1273</v>
      </c>
      <c r="P1484" s="13">
        <v>201</v>
      </c>
      <c r="Q1484" s="13">
        <v>63.4</v>
      </c>
      <c r="R1484">
        <v>30</v>
      </c>
      <c r="S1484">
        <v>52</v>
      </c>
      <c r="T1484" s="13">
        <v>17.2</v>
      </c>
      <c r="U1484" s="13">
        <v>34.5</v>
      </c>
      <c r="V1484" t="s">
        <v>99</v>
      </c>
      <c r="X1484" s="13">
        <v>201</v>
      </c>
    </row>
    <row r="1485" spans="1:24" x14ac:dyDescent="0.25">
      <c r="A1485" t="s">
        <v>1458</v>
      </c>
      <c r="B1485" t="s">
        <v>64</v>
      </c>
      <c r="C1485" t="s">
        <v>1432</v>
      </c>
      <c r="D1485" t="s">
        <v>1433</v>
      </c>
      <c r="E1485" t="s">
        <v>64</v>
      </c>
      <c r="F1485" t="s">
        <v>94</v>
      </c>
      <c r="G1485" t="s">
        <v>277</v>
      </c>
      <c r="H1485" s="12">
        <v>6.1079999999999997</v>
      </c>
      <c r="I1485" s="12">
        <v>-75.421999999999997</v>
      </c>
      <c r="J1485" t="s">
        <v>96</v>
      </c>
      <c r="K1485" t="s">
        <v>1269</v>
      </c>
      <c r="L1485" t="s">
        <v>1270</v>
      </c>
      <c r="P1485" s="13">
        <v>212.7</v>
      </c>
      <c r="Q1485" s="13">
        <v>63.4</v>
      </c>
      <c r="R1485">
        <v>36</v>
      </c>
      <c r="S1485">
        <v>46</v>
      </c>
      <c r="T1485" s="13">
        <v>31</v>
      </c>
      <c r="U1485" s="13">
        <v>23.6</v>
      </c>
      <c r="V1485" t="s">
        <v>268</v>
      </c>
      <c r="W1485" t="s">
        <v>1271</v>
      </c>
      <c r="X1485" s="13"/>
    </row>
    <row r="1486" spans="1:24" x14ac:dyDescent="0.25">
      <c r="A1486" t="s">
        <v>1459</v>
      </c>
      <c r="B1486" t="s">
        <v>64</v>
      </c>
      <c r="C1486" t="s">
        <v>1432</v>
      </c>
      <c r="D1486" t="s">
        <v>1433</v>
      </c>
      <c r="E1486" t="s">
        <v>64</v>
      </c>
      <c r="F1486" t="s">
        <v>94</v>
      </c>
      <c r="G1486" t="s">
        <v>277</v>
      </c>
      <c r="H1486" s="12">
        <v>6.1079999999999997</v>
      </c>
      <c r="I1486" s="12">
        <v>-75.421999999999997</v>
      </c>
      <c r="J1486" t="s">
        <v>96</v>
      </c>
      <c r="K1486" t="s">
        <v>97</v>
      </c>
      <c r="L1486" t="s">
        <v>1273</v>
      </c>
      <c r="P1486" s="13">
        <v>169.2</v>
      </c>
      <c r="Q1486" s="13">
        <v>51.2</v>
      </c>
      <c r="R1486">
        <v>28</v>
      </c>
      <c r="S1486">
        <v>22</v>
      </c>
      <c r="T1486" s="13">
        <v>34.5</v>
      </c>
      <c r="U1486" s="13">
        <v>32.700000000000003</v>
      </c>
      <c r="V1486" t="s">
        <v>99</v>
      </c>
      <c r="X1486" s="13">
        <v>169.2</v>
      </c>
    </row>
    <row r="1487" spans="1:24" x14ac:dyDescent="0.25">
      <c r="A1487" t="s">
        <v>1459</v>
      </c>
      <c r="B1487" t="s">
        <v>64</v>
      </c>
      <c r="C1487" t="s">
        <v>1432</v>
      </c>
      <c r="D1487" t="s">
        <v>1433</v>
      </c>
      <c r="E1487" t="s">
        <v>64</v>
      </c>
      <c r="F1487" t="s">
        <v>94</v>
      </c>
      <c r="G1487" t="s">
        <v>277</v>
      </c>
      <c r="H1487" s="12">
        <v>6.1079999999999997</v>
      </c>
      <c r="I1487" s="12">
        <v>-75.421999999999997</v>
      </c>
      <c r="J1487" t="s">
        <v>96</v>
      </c>
      <c r="K1487" t="s">
        <v>1269</v>
      </c>
      <c r="L1487" t="s">
        <v>1270</v>
      </c>
      <c r="P1487" s="13">
        <v>225.3</v>
      </c>
      <c r="Q1487" s="13">
        <v>53.7</v>
      </c>
      <c r="R1487">
        <v>42</v>
      </c>
      <c r="S1487">
        <v>44</v>
      </c>
      <c r="T1487" s="13">
        <v>46.6</v>
      </c>
      <c r="U1487" s="13">
        <v>27.3</v>
      </c>
      <c r="V1487" t="s">
        <v>268</v>
      </c>
      <c r="W1487" t="s">
        <v>1271</v>
      </c>
      <c r="X1487" s="13"/>
    </row>
    <row r="1488" spans="1:24" x14ac:dyDescent="0.25">
      <c r="A1488" t="s">
        <v>1460</v>
      </c>
      <c r="B1488" t="s">
        <v>64</v>
      </c>
      <c r="C1488" t="s">
        <v>1432</v>
      </c>
      <c r="D1488" t="s">
        <v>1433</v>
      </c>
      <c r="E1488" t="s">
        <v>64</v>
      </c>
      <c r="F1488" t="s">
        <v>94</v>
      </c>
      <c r="G1488" t="s">
        <v>277</v>
      </c>
      <c r="H1488" s="12">
        <v>6.1079999999999997</v>
      </c>
      <c r="I1488" s="12">
        <v>-75.421999999999997</v>
      </c>
      <c r="J1488" t="s">
        <v>96</v>
      </c>
      <c r="K1488" t="s">
        <v>97</v>
      </c>
      <c r="L1488" t="s">
        <v>1273</v>
      </c>
      <c r="P1488" s="13">
        <v>179.4</v>
      </c>
      <c r="Q1488" s="13">
        <v>70.7</v>
      </c>
      <c r="R1488">
        <v>16</v>
      </c>
      <c r="S1488">
        <v>36</v>
      </c>
      <c r="T1488" s="13">
        <v>32.799999999999997</v>
      </c>
      <c r="U1488" s="13">
        <v>0</v>
      </c>
      <c r="V1488" t="s">
        <v>99</v>
      </c>
      <c r="X1488" s="13">
        <v>179.4</v>
      </c>
    </row>
    <row r="1489" spans="1:24" x14ac:dyDescent="0.25">
      <c r="A1489" t="s">
        <v>1460</v>
      </c>
      <c r="B1489" t="s">
        <v>64</v>
      </c>
      <c r="C1489" t="s">
        <v>1432</v>
      </c>
      <c r="D1489" t="s">
        <v>1433</v>
      </c>
      <c r="E1489" t="s">
        <v>64</v>
      </c>
      <c r="F1489" t="s">
        <v>94</v>
      </c>
      <c r="G1489" t="s">
        <v>277</v>
      </c>
      <c r="H1489" s="12">
        <v>6.1079999999999997</v>
      </c>
      <c r="I1489" s="12">
        <v>-75.421999999999997</v>
      </c>
      <c r="J1489" t="s">
        <v>96</v>
      </c>
      <c r="K1489" t="s">
        <v>1269</v>
      </c>
      <c r="L1489" t="s">
        <v>1270</v>
      </c>
      <c r="P1489" s="13">
        <v>315.10000000000002</v>
      </c>
      <c r="Q1489" s="13">
        <v>61</v>
      </c>
      <c r="R1489">
        <v>44</v>
      </c>
      <c r="S1489">
        <v>84</v>
      </c>
      <c r="T1489" s="13">
        <v>69</v>
      </c>
      <c r="U1489" s="13">
        <v>45.5</v>
      </c>
      <c r="V1489" t="s">
        <v>268</v>
      </c>
      <c r="W1489" t="s">
        <v>1271</v>
      </c>
      <c r="X1489" s="13"/>
    </row>
    <row r="1490" spans="1:24" x14ac:dyDescent="0.25">
      <c r="A1490" t="s">
        <v>1461</v>
      </c>
      <c r="B1490" t="s">
        <v>64</v>
      </c>
      <c r="C1490" t="s">
        <v>1432</v>
      </c>
      <c r="D1490" t="s">
        <v>1433</v>
      </c>
      <c r="E1490" t="s">
        <v>64</v>
      </c>
      <c r="F1490" t="s">
        <v>94</v>
      </c>
      <c r="G1490" t="s">
        <v>277</v>
      </c>
      <c r="H1490" s="12">
        <v>6.1079999999999997</v>
      </c>
      <c r="I1490" s="12">
        <v>-75.421999999999997</v>
      </c>
      <c r="J1490" t="s">
        <v>96</v>
      </c>
      <c r="K1490" t="s">
        <v>97</v>
      </c>
      <c r="L1490" t="s">
        <v>1273</v>
      </c>
      <c r="P1490" s="13">
        <v>230.6</v>
      </c>
      <c r="Q1490" s="13">
        <v>51.2</v>
      </c>
      <c r="R1490">
        <v>38</v>
      </c>
      <c r="S1490">
        <v>36</v>
      </c>
      <c r="T1490" s="13">
        <v>53.4</v>
      </c>
      <c r="U1490" s="13">
        <v>63.6</v>
      </c>
      <c r="V1490" t="s">
        <v>99</v>
      </c>
      <c r="X1490" s="13">
        <v>230.6</v>
      </c>
    </row>
    <row r="1491" spans="1:24" x14ac:dyDescent="0.25">
      <c r="A1491" t="s">
        <v>1461</v>
      </c>
      <c r="B1491" t="s">
        <v>64</v>
      </c>
      <c r="C1491" t="s">
        <v>1432</v>
      </c>
      <c r="D1491" t="s">
        <v>1433</v>
      </c>
      <c r="E1491" t="s">
        <v>64</v>
      </c>
      <c r="F1491" t="s">
        <v>94</v>
      </c>
      <c r="G1491" t="s">
        <v>277</v>
      </c>
      <c r="H1491" s="12">
        <v>6.1079999999999997</v>
      </c>
      <c r="I1491" s="12">
        <v>-75.421999999999997</v>
      </c>
      <c r="J1491" t="s">
        <v>96</v>
      </c>
      <c r="K1491" t="s">
        <v>1269</v>
      </c>
      <c r="L1491" t="s">
        <v>1270</v>
      </c>
      <c r="P1491" s="13">
        <v>252.2</v>
      </c>
      <c r="Q1491" s="13">
        <v>46.3</v>
      </c>
      <c r="R1491">
        <v>34</v>
      </c>
      <c r="S1491">
        <v>48</v>
      </c>
      <c r="T1491" s="13">
        <v>67.2</v>
      </c>
      <c r="U1491" s="13">
        <v>69.099999999999994</v>
      </c>
      <c r="V1491" t="s">
        <v>268</v>
      </c>
      <c r="W1491" t="s">
        <v>1271</v>
      </c>
      <c r="X1491" s="13"/>
    </row>
    <row r="1492" spans="1:24" x14ac:dyDescent="0.25">
      <c r="A1492" t="s">
        <v>1462</v>
      </c>
      <c r="B1492" t="s">
        <v>64</v>
      </c>
      <c r="C1492" t="s">
        <v>1432</v>
      </c>
      <c r="D1492" t="s">
        <v>1433</v>
      </c>
      <c r="E1492" t="s">
        <v>64</v>
      </c>
      <c r="F1492" t="s">
        <v>94</v>
      </c>
      <c r="G1492" t="s">
        <v>277</v>
      </c>
      <c r="H1492" s="12">
        <v>6.1079999999999997</v>
      </c>
      <c r="I1492" s="12">
        <v>-75.421999999999997</v>
      </c>
      <c r="J1492" t="s">
        <v>96</v>
      </c>
      <c r="K1492" t="s">
        <v>97</v>
      </c>
      <c r="L1492" t="s">
        <v>1273</v>
      </c>
      <c r="P1492" s="13">
        <v>219.1</v>
      </c>
      <c r="Q1492" s="13">
        <v>46.3</v>
      </c>
      <c r="R1492">
        <v>40</v>
      </c>
      <c r="S1492">
        <v>36</v>
      </c>
      <c r="T1492" s="13">
        <v>50</v>
      </c>
      <c r="U1492" s="13">
        <v>52.7</v>
      </c>
      <c r="V1492" t="s">
        <v>99</v>
      </c>
      <c r="X1492" s="13">
        <v>219.1</v>
      </c>
    </row>
    <row r="1493" spans="1:24" x14ac:dyDescent="0.25">
      <c r="A1493" t="s">
        <v>1462</v>
      </c>
      <c r="B1493" t="s">
        <v>64</v>
      </c>
      <c r="C1493" t="s">
        <v>1432</v>
      </c>
      <c r="D1493" t="s">
        <v>1433</v>
      </c>
      <c r="E1493" t="s">
        <v>64</v>
      </c>
      <c r="F1493" t="s">
        <v>94</v>
      </c>
      <c r="G1493" t="s">
        <v>277</v>
      </c>
      <c r="H1493" s="12">
        <v>6.1079999999999997</v>
      </c>
      <c r="I1493" s="12">
        <v>-75.421999999999997</v>
      </c>
      <c r="J1493" t="s">
        <v>96</v>
      </c>
      <c r="K1493" t="s">
        <v>1269</v>
      </c>
      <c r="L1493" t="s">
        <v>1270</v>
      </c>
      <c r="P1493" s="13">
        <v>272.8</v>
      </c>
      <c r="Q1493" s="13">
        <v>48.8</v>
      </c>
      <c r="R1493">
        <v>54</v>
      </c>
      <c r="S1493">
        <v>52</v>
      </c>
      <c r="T1493" s="13">
        <v>58.6</v>
      </c>
      <c r="U1493" s="13">
        <v>69.099999999999994</v>
      </c>
      <c r="V1493" t="s">
        <v>268</v>
      </c>
      <c r="W1493" t="s">
        <v>1271</v>
      </c>
      <c r="X1493" s="13"/>
    </row>
    <row r="1494" spans="1:24" x14ac:dyDescent="0.25">
      <c r="A1494" t="s">
        <v>1463</v>
      </c>
      <c r="B1494" t="s">
        <v>64</v>
      </c>
      <c r="C1494" t="s">
        <v>1432</v>
      </c>
      <c r="D1494" t="s">
        <v>1433</v>
      </c>
      <c r="E1494" t="s">
        <v>64</v>
      </c>
      <c r="F1494" t="s">
        <v>94</v>
      </c>
      <c r="G1494" t="s">
        <v>277</v>
      </c>
      <c r="H1494" s="12">
        <v>6.1079999999999997</v>
      </c>
      <c r="I1494" s="12">
        <v>-75.421999999999997</v>
      </c>
      <c r="J1494" t="s">
        <v>96</v>
      </c>
      <c r="K1494" t="s">
        <v>97</v>
      </c>
      <c r="L1494" t="s">
        <v>1273</v>
      </c>
      <c r="P1494" s="13">
        <v>136.19999999999999</v>
      </c>
      <c r="Q1494" s="13">
        <v>41.5</v>
      </c>
      <c r="R1494">
        <v>16</v>
      </c>
      <c r="S1494">
        <v>26</v>
      </c>
      <c r="T1494" s="13">
        <v>22.4</v>
      </c>
      <c r="U1494" s="13">
        <v>36.4</v>
      </c>
      <c r="V1494" t="s">
        <v>99</v>
      </c>
      <c r="X1494" s="13">
        <v>136.19999999999999</v>
      </c>
    </row>
    <row r="1495" spans="1:24" x14ac:dyDescent="0.25">
      <c r="A1495" t="s">
        <v>1463</v>
      </c>
      <c r="B1495" t="s">
        <v>64</v>
      </c>
      <c r="C1495" t="s">
        <v>1432</v>
      </c>
      <c r="D1495" t="s">
        <v>1433</v>
      </c>
      <c r="E1495" t="s">
        <v>64</v>
      </c>
      <c r="F1495" t="s">
        <v>94</v>
      </c>
      <c r="G1495" t="s">
        <v>277</v>
      </c>
      <c r="H1495" s="12">
        <v>6.1079999999999997</v>
      </c>
      <c r="I1495" s="12">
        <v>-75.421999999999997</v>
      </c>
      <c r="J1495" t="s">
        <v>96</v>
      </c>
      <c r="K1495" t="s">
        <v>1269</v>
      </c>
      <c r="L1495" t="s">
        <v>1270</v>
      </c>
      <c r="P1495" s="13">
        <v>169.8</v>
      </c>
      <c r="Q1495" s="13">
        <v>46.3</v>
      </c>
      <c r="R1495">
        <v>30</v>
      </c>
      <c r="S1495">
        <v>28</v>
      </c>
      <c r="T1495" s="13">
        <v>25.9</v>
      </c>
      <c r="U1495" s="13">
        <v>50.9</v>
      </c>
      <c r="V1495" t="s">
        <v>268</v>
      </c>
      <c r="W1495" t="s">
        <v>1271</v>
      </c>
      <c r="X1495" s="13"/>
    </row>
    <row r="1496" spans="1:24" x14ac:dyDescent="0.25">
      <c r="A1496" t="s">
        <v>1464</v>
      </c>
      <c r="B1496" t="s">
        <v>64</v>
      </c>
      <c r="C1496" t="s">
        <v>1432</v>
      </c>
      <c r="D1496" t="s">
        <v>1433</v>
      </c>
      <c r="E1496" t="s">
        <v>64</v>
      </c>
      <c r="F1496" t="s">
        <v>94</v>
      </c>
      <c r="G1496" t="s">
        <v>277</v>
      </c>
      <c r="H1496" s="12">
        <v>6.1079999999999997</v>
      </c>
      <c r="I1496" s="12">
        <v>-75.421999999999997</v>
      </c>
      <c r="J1496" t="s">
        <v>96</v>
      </c>
      <c r="K1496" t="s">
        <v>97</v>
      </c>
      <c r="L1496" t="s">
        <v>1273</v>
      </c>
      <c r="P1496" s="13">
        <v>186.1</v>
      </c>
      <c r="Q1496" s="13">
        <v>41.5</v>
      </c>
      <c r="R1496">
        <v>36</v>
      </c>
      <c r="S1496">
        <v>30</v>
      </c>
      <c r="T1496" s="13">
        <v>36.200000000000003</v>
      </c>
      <c r="U1496" s="13">
        <v>52.7</v>
      </c>
      <c r="V1496" t="s">
        <v>99</v>
      </c>
      <c r="X1496" s="13">
        <v>186.1</v>
      </c>
    </row>
    <row r="1497" spans="1:24" x14ac:dyDescent="0.25">
      <c r="A1497" t="s">
        <v>1464</v>
      </c>
      <c r="B1497" t="s">
        <v>64</v>
      </c>
      <c r="C1497" t="s">
        <v>1432</v>
      </c>
      <c r="D1497" t="s">
        <v>1433</v>
      </c>
      <c r="E1497" t="s">
        <v>64</v>
      </c>
      <c r="F1497" t="s">
        <v>94</v>
      </c>
      <c r="G1497" t="s">
        <v>277</v>
      </c>
      <c r="H1497" s="12">
        <v>6.1079999999999997</v>
      </c>
      <c r="I1497" s="12">
        <v>-75.421999999999997</v>
      </c>
      <c r="J1497" t="s">
        <v>96</v>
      </c>
      <c r="K1497" t="s">
        <v>1269</v>
      </c>
      <c r="L1497" t="s">
        <v>1270</v>
      </c>
      <c r="P1497" s="13">
        <v>239.6</v>
      </c>
      <c r="Q1497" s="13">
        <v>61</v>
      </c>
      <c r="R1497">
        <v>46</v>
      </c>
      <c r="S1497">
        <v>54</v>
      </c>
      <c r="T1497" s="13">
        <v>32.799999999999997</v>
      </c>
      <c r="U1497" s="13">
        <v>41.8</v>
      </c>
      <c r="V1497" t="s">
        <v>268</v>
      </c>
      <c r="W1497" t="s">
        <v>1271</v>
      </c>
      <c r="X1497" s="13"/>
    </row>
    <row r="1498" spans="1:24" x14ac:dyDescent="0.25">
      <c r="A1498" t="s">
        <v>1465</v>
      </c>
      <c r="B1498" t="s">
        <v>64</v>
      </c>
      <c r="C1498" t="s">
        <v>1432</v>
      </c>
      <c r="D1498" t="s">
        <v>1433</v>
      </c>
      <c r="E1498" t="s">
        <v>64</v>
      </c>
      <c r="F1498" t="s">
        <v>94</v>
      </c>
      <c r="G1498" t="s">
        <v>277</v>
      </c>
      <c r="H1498" s="12">
        <v>6.1079999999999997</v>
      </c>
      <c r="I1498" s="12">
        <v>-75.421999999999997</v>
      </c>
      <c r="J1498" t="s">
        <v>96</v>
      </c>
      <c r="K1498" t="s">
        <v>97</v>
      </c>
      <c r="L1498" t="s">
        <v>1273</v>
      </c>
      <c r="P1498" s="13">
        <v>177.8</v>
      </c>
      <c r="Q1498" s="13">
        <v>58.5</v>
      </c>
      <c r="R1498">
        <v>30</v>
      </c>
      <c r="S1498">
        <v>24</v>
      </c>
      <c r="T1498" s="13">
        <v>27.6</v>
      </c>
      <c r="U1498" s="13">
        <v>41.8</v>
      </c>
      <c r="V1498" t="s">
        <v>99</v>
      </c>
      <c r="X1498" s="13">
        <v>177.8</v>
      </c>
    </row>
    <row r="1499" spans="1:24" x14ac:dyDescent="0.25">
      <c r="A1499" t="s">
        <v>1465</v>
      </c>
      <c r="B1499" t="s">
        <v>64</v>
      </c>
      <c r="C1499" t="s">
        <v>1432</v>
      </c>
      <c r="D1499" t="s">
        <v>1433</v>
      </c>
      <c r="E1499" t="s">
        <v>64</v>
      </c>
      <c r="F1499" t="s">
        <v>94</v>
      </c>
      <c r="G1499" t="s">
        <v>277</v>
      </c>
      <c r="H1499" s="12">
        <v>6.1079999999999997</v>
      </c>
      <c r="I1499" s="12">
        <v>-75.421999999999997</v>
      </c>
      <c r="J1499" t="s">
        <v>96</v>
      </c>
      <c r="K1499" t="s">
        <v>1269</v>
      </c>
      <c r="L1499" t="s">
        <v>1270</v>
      </c>
      <c r="P1499" s="13">
        <v>190.8</v>
      </c>
      <c r="Q1499" s="13">
        <v>51.2</v>
      </c>
      <c r="R1499">
        <v>24</v>
      </c>
      <c r="S1499">
        <v>38</v>
      </c>
      <c r="T1499" s="13">
        <v>44.8</v>
      </c>
      <c r="U1499" s="13">
        <v>21.8</v>
      </c>
      <c r="V1499" t="s">
        <v>268</v>
      </c>
      <c r="W1499" t="s">
        <v>1271</v>
      </c>
      <c r="X1499" s="13"/>
    </row>
    <row r="1500" spans="1:24" x14ac:dyDescent="0.25">
      <c r="A1500" t="s">
        <v>1466</v>
      </c>
      <c r="B1500" t="s">
        <v>64</v>
      </c>
      <c r="C1500" t="s">
        <v>1432</v>
      </c>
      <c r="D1500" t="s">
        <v>1433</v>
      </c>
      <c r="E1500" t="s">
        <v>64</v>
      </c>
      <c r="F1500" t="s">
        <v>94</v>
      </c>
      <c r="G1500" t="s">
        <v>277</v>
      </c>
      <c r="H1500" s="12">
        <v>6.1079999999999997</v>
      </c>
      <c r="I1500" s="12">
        <v>-75.421999999999997</v>
      </c>
      <c r="J1500" t="s">
        <v>129</v>
      </c>
      <c r="K1500" t="s">
        <v>97</v>
      </c>
      <c r="L1500" t="s">
        <v>1273</v>
      </c>
      <c r="P1500" s="13">
        <v>208.8</v>
      </c>
      <c r="Q1500" s="13">
        <v>51.2</v>
      </c>
      <c r="R1500">
        <v>28</v>
      </c>
      <c r="S1500">
        <v>44</v>
      </c>
      <c r="T1500" s="13">
        <v>41.4</v>
      </c>
      <c r="U1500" s="13">
        <v>49.1</v>
      </c>
      <c r="V1500" t="s">
        <v>99</v>
      </c>
      <c r="X1500" s="13">
        <v>208.8</v>
      </c>
    </row>
    <row r="1501" spans="1:24" x14ac:dyDescent="0.25">
      <c r="A1501" t="s">
        <v>1466</v>
      </c>
      <c r="B1501" t="s">
        <v>64</v>
      </c>
      <c r="C1501" t="s">
        <v>1432</v>
      </c>
      <c r="D1501" t="s">
        <v>1433</v>
      </c>
      <c r="E1501" t="s">
        <v>64</v>
      </c>
      <c r="F1501" t="s">
        <v>94</v>
      </c>
      <c r="G1501" t="s">
        <v>277</v>
      </c>
      <c r="H1501" s="12">
        <v>6.1079999999999997</v>
      </c>
      <c r="I1501" s="12">
        <v>-75.421999999999997</v>
      </c>
      <c r="J1501" t="s">
        <v>129</v>
      </c>
      <c r="K1501" t="s">
        <v>1269</v>
      </c>
      <c r="L1501" t="s">
        <v>1270</v>
      </c>
      <c r="P1501" s="13">
        <v>212.1</v>
      </c>
      <c r="Q1501" s="13">
        <v>34.1</v>
      </c>
      <c r="R1501">
        <v>52</v>
      </c>
      <c r="S1501">
        <v>52</v>
      </c>
      <c r="T1501" s="13">
        <v>29.3</v>
      </c>
      <c r="U1501" s="13">
        <v>49.1</v>
      </c>
      <c r="V1501" t="s">
        <v>268</v>
      </c>
      <c r="W1501" t="s">
        <v>1271</v>
      </c>
      <c r="X1501" s="13"/>
    </row>
    <row r="1502" spans="1:24" x14ac:dyDescent="0.25">
      <c r="A1502" t="s">
        <v>1467</v>
      </c>
      <c r="B1502" t="s">
        <v>64</v>
      </c>
      <c r="C1502" t="s">
        <v>1432</v>
      </c>
      <c r="D1502" t="s">
        <v>1433</v>
      </c>
      <c r="E1502" t="s">
        <v>64</v>
      </c>
      <c r="F1502" t="s">
        <v>94</v>
      </c>
      <c r="G1502" t="s">
        <v>277</v>
      </c>
      <c r="H1502" s="12">
        <v>6.1079999999999997</v>
      </c>
      <c r="I1502" s="12">
        <v>-75.421999999999997</v>
      </c>
      <c r="J1502" t="s">
        <v>96</v>
      </c>
      <c r="K1502" t="s">
        <v>97</v>
      </c>
      <c r="L1502" t="s">
        <v>1273</v>
      </c>
      <c r="P1502" s="13">
        <v>244.9</v>
      </c>
      <c r="Q1502" s="13">
        <v>73.2</v>
      </c>
      <c r="R1502">
        <v>30</v>
      </c>
      <c r="S1502">
        <v>54</v>
      </c>
      <c r="T1502" s="13">
        <v>34.5</v>
      </c>
      <c r="U1502" s="13">
        <v>61.8</v>
      </c>
      <c r="V1502" t="s">
        <v>99</v>
      </c>
      <c r="X1502" s="13">
        <v>244.9</v>
      </c>
    </row>
    <row r="1503" spans="1:24" x14ac:dyDescent="0.25">
      <c r="A1503" t="s">
        <v>1467</v>
      </c>
      <c r="B1503" t="s">
        <v>64</v>
      </c>
      <c r="C1503" t="s">
        <v>1432</v>
      </c>
      <c r="D1503" t="s">
        <v>1433</v>
      </c>
      <c r="E1503" t="s">
        <v>64</v>
      </c>
      <c r="F1503" t="s">
        <v>94</v>
      </c>
      <c r="G1503" t="s">
        <v>277</v>
      </c>
      <c r="H1503" s="12">
        <v>6.1079999999999997</v>
      </c>
      <c r="I1503" s="12">
        <v>-75.421999999999997</v>
      </c>
      <c r="J1503" t="s">
        <v>96</v>
      </c>
      <c r="K1503" t="s">
        <v>1269</v>
      </c>
      <c r="L1503" t="s">
        <v>1270</v>
      </c>
      <c r="P1503" s="13">
        <v>258.7</v>
      </c>
      <c r="Q1503" s="13">
        <v>53.7</v>
      </c>
      <c r="R1503">
        <v>34</v>
      </c>
      <c r="S1503">
        <v>68</v>
      </c>
      <c r="T1503" s="13">
        <v>55.2</v>
      </c>
      <c r="U1503" s="13">
        <v>40</v>
      </c>
      <c r="V1503" t="s">
        <v>268</v>
      </c>
      <c r="W1503" t="s">
        <v>1271</v>
      </c>
      <c r="X1503" s="13"/>
    </row>
    <row r="1504" spans="1:24" x14ac:dyDescent="0.25">
      <c r="A1504" t="s">
        <v>1468</v>
      </c>
      <c r="B1504" t="s">
        <v>64</v>
      </c>
      <c r="C1504" t="s">
        <v>1432</v>
      </c>
      <c r="D1504" t="s">
        <v>1433</v>
      </c>
      <c r="E1504" t="s">
        <v>64</v>
      </c>
      <c r="F1504" t="s">
        <v>94</v>
      </c>
      <c r="G1504" t="s">
        <v>277</v>
      </c>
      <c r="H1504" s="12">
        <v>6.1079999999999997</v>
      </c>
      <c r="I1504" s="12">
        <v>-75.421999999999997</v>
      </c>
      <c r="J1504" t="s">
        <v>96</v>
      </c>
      <c r="K1504" t="s">
        <v>97</v>
      </c>
      <c r="L1504" t="s">
        <v>1273</v>
      </c>
      <c r="P1504" s="13">
        <v>233.2</v>
      </c>
      <c r="Q1504" s="13">
        <v>43.9</v>
      </c>
      <c r="R1504">
        <v>36</v>
      </c>
      <c r="S1504">
        <v>64</v>
      </c>
      <c r="T1504" s="13">
        <v>44.8</v>
      </c>
      <c r="U1504" s="13">
        <v>40</v>
      </c>
      <c r="V1504" t="s">
        <v>99</v>
      </c>
      <c r="X1504" s="13">
        <v>233.2</v>
      </c>
    </row>
    <row r="1505" spans="1:24" x14ac:dyDescent="0.25">
      <c r="A1505" t="s">
        <v>1468</v>
      </c>
      <c r="B1505" t="s">
        <v>64</v>
      </c>
      <c r="C1505" t="s">
        <v>1432</v>
      </c>
      <c r="D1505" t="s">
        <v>1433</v>
      </c>
      <c r="E1505" t="s">
        <v>64</v>
      </c>
      <c r="F1505" t="s">
        <v>94</v>
      </c>
      <c r="G1505" t="s">
        <v>277</v>
      </c>
      <c r="H1505" s="12">
        <v>6.1079999999999997</v>
      </c>
      <c r="I1505" s="12">
        <v>-75.421999999999997</v>
      </c>
      <c r="J1505" t="s">
        <v>96</v>
      </c>
      <c r="K1505" t="s">
        <v>1269</v>
      </c>
      <c r="L1505" t="s">
        <v>1270</v>
      </c>
      <c r="P1505" s="13">
        <v>283</v>
      </c>
      <c r="Q1505" s="13">
        <v>51.2</v>
      </c>
      <c r="R1505">
        <v>54</v>
      </c>
      <c r="S1505">
        <v>72</v>
      </c>
      <c r="T1505" s="13">
        <v>51.7</v>
      </c>
      <c r="U1505" s="13">
        <v>49.1</v>
      </c>
      <c r="V1505" t="s">
        <v>268</v>
      </c>
      <c r="W1505" t="s">
        <v>1271</v>
      </c>
      <c r="X1505" s="13"/>
    </row>
    <row r="1506" spans="1:24" x14ac:dyDescent="0.25">
      <c r="A1506" t="s">
        <v>1469</v>
      </c>
      <c r="B1506" t="s">
        <v>64</v>
      </c>
      <c r="C1506" t="s">
        <v>1432</v>
      </c>
      <c r="D1506" t="s">
        <v>1433</v>
      </c>
      <c r="E1506" t="s">
        <v>64</v>
      </c>
      <c r="F1506" t="s">
        <v>94</v>
      </c>
      <c r="G1506" t="s">
        <v>277</v>
      </c>
      <c r="H1506" s="12">
        <v>6.1079999999999997</v>
      </c>
      <c r="I1506" s="12">
        <v>-75.421999999999997</v>
      </c>
      <c r="J1506" t="s">
        <v>96</v>
      </c>
      <c r="K1506" t="s">
        <v>97</v>
      </c>
      <c r="L1506" t="s">
        <v>1273</v>
      </c>
      <c r="P1506" s="13">
        <v>297.8</v>
      </c>
      <c r="Q1506" s="13">
        <v>70.7</v>
      </c>
      <c r="R1506">
        <v>44</v>
      </c>
      <c r="S1506">
        <v>62</v>
      </c>
      <c r="T1506" s="13">
        <v>53.4</v>
      </c>
      <c r="U1506" s="13">
        <v>83.6</v>
      </c>
      <c r="V1506" t="s">
        <v>99</v>
      </c>
      <c r="X1506" s="13">
        <v>297.8</v>
      </c>
    </row>
    <row r="1507" spans="1:24" x14ac:dyDescent="0.25">
      <c r="A1507" t="s">
        <v>1469</v>
      </c>
      <c r="B1507" t="s">
        <v>64</v>
      </c>
      <c r="C1507" t="s">
        <v>1432</v>
      </c>
      <c r="D1507" t="s">
        <v>1433</v>
      </c>
      <c r="E1507" t="s">
        <v>64</v>
      </c>
      <c r="F1507" t="s">
        <v>94</v>
      </c>
      <c r="G1507" t="s">
        <v>277</v>
      </c>
      <c r="H1507" s="12">
        <v>6.1079999999999997</v>
      </c>
      <c r="I1507" s="12">
        <v>-75.421999999999997</v>
      </c>
      <c r="J1507" t="s">
        <v>96</v>
      </c>
      <c r="K1507" t="s">
        <v>1269</v>
      </c>
      <c r="L1507" t="s">
        <v>1270</v>
      </c>
      <c r="P1507" s="13">
        <v>328.5</v>
      </c>
      <c r="Q1507" s="13">
        <v>56.1</v>
      </c>
      <c r="R1507">
        <v>58</v>
      </c>
      <c r="S1507">
        <v>84</v>
      </c>
      <c r="T1507" s="13">
        <v>56.9</v>
      </c>
      <c r="U1507" s="13">
        <v>89.1</v>
      </c>
      <c r="V1507" t="s">
        <v>268</v>
      </c>
      <c r="W1507" t="s">
        <v>1271</v>
      </c>
      <c r="X1507" s="13"/>
    </row>
    <row r="1508" spans="1:24" x14ac:dyDescent="0.25">
      <c r="A1508" t="s">
        <v>1470</v>
      </c>
      <c r="B1508" t="s">
        <v>64</v>
      </c>
      <c r="C1508" t="s">
        <v>1432</v>
      </c>
      <c r="D1508" t="s">
        <v>1433</v>
      </c>
      <c r="E1508" t="s">
        <v>64</v>
      </c>
      <c r="F1508" t="s">
        <v>94</v>
      </c>
      <c r="G1508" t="s">
        <v>277</v>
      </c>
      <c r="H1508" s="12">
        <v>6.1079999999999997</v>
      </c>
      <c r="I1508" s="12">
        <v>-75.421999999999997</v>
      </c>
      <c r="J1508" t="s">
        <v>96</v>
      </c>
      <c r="K1508" t="s">
        <v>97</v>
      </c>
      <c r="L1508" t="s">
        <v>1273</v>
      </c>
      <c r="P1508" s="13">
        <v>269.8</v>
      </c>
      <c r="Q1508" s="13">
        <v>58.5</v>
      </c>
      <c r="R1508">
        <v>42</v>
      </c>
      <c r="S1508">
        <v>60</v>
      </c>
      <c r="T1508" s="13">
        <v>56.9</v>
      </c>
      <c r="U1508" s="13">
        <v>49.1</v>
      </c>
      <c r="V1508" t="s">
        <v>99</v>
      </c>
      <c r="X1508" s="13">
        <v>269.8</v>
      </c>
    </row>
    <row r="1509" spans="1:24" x14ac:dyDescent="0.25">
      <c r="A1509" t="s">
        <v>1470</v>
      </c>
      <c r="B1509" t="s">
        <v>64</v>
      </c>
      <c r="C1509" t="s">
        <v>1432</v>
      </c>
      <c r="D1509" t="s">
        <v>1433</v>
      </c>
      <c r="E1509" t="s">
        <v>64</v>
      </c>
      <c r="F1509" t="s">
        <v>94</v>
      </c>
      <c r="G1509" t="s">
        <v>277</v>
      </c>
      <c r="H1509" s="12">
        <v>6.1079999999999997</v>
      </c>
      <c r="I1509" s="12">
        <v>-75.421999999999997</v>
      </c>
      <c r="J1509" t="s">
        <v>96</v>
      </c>
      <c r="K1509" t="s">
        <v>1269</v>
      </c>
      <c r="L1509" t="s">
        <v>1270</v>
      </c>
      <c r="P1509" s="13">
        <v>286.10000000000002</v>
      </c>
      <c r="Q1509" s="13">
        <v>58.5</v>
      </c>
      <c r="R1509">
        <v>50</v>
      </c>
      <c r="S1509">
        <v>78</v>
      </c>
      <c r="T1509" s="13">
        <v>51.7</v>
      </c>
      <c r="U1509" s="13">
        <v>29.1</v>
      </c>
      <c r="V1509" t="s">
        <v>268</v>
      </c>
      <c r="W1509" t="s">
        <v>1271</v>
      </c>
      <c r="X1509" s="13"/>
    </row>
    <row r="1510" spans="1:24" x14ac:dyDescent="0.25">
      <c r="A1510" t="s">
        <v>1471</v>
      </c>
      <c r="B1510" t="s">
        <v>64</v>
      </c>
      <c r="C1510" t="s">
        <v>1432</v>
      </c>
      <c r="D1510" t="s">
        <v>1433</v>
      </c>
      <c r="E1510" t="s">
        <v>64</v>
      </c>
      <c r="F1510" t="s">
        <v>94</v>
      </c>
      <c r="G1510" t="s">
        <v>277</v>
      </c>
      <c r="H1510" s="12">
        <v>6.1079999999999997</v>
      </c>
      <c r="I1510" s="12">
        <v>-75.421999999999997</v>
      </c>
      <c r="J1510" t="s">
        <v>96</v>
      </c>
      <c r="K1510" t="s">
        <v>97</v>
      </c>
      <c r="L1510" t="s">
        <v>1273</v>
      </c>
      <c r="P1510" s="13">
        <v>191.9</v>
      </c>
      <c r="Q1510" s="13">
        <v>31.7</v>
      </c>
      <c r="R1510">
        <v>22</v>
      </c>
      <c r="S1510">
        <v>56</v>
      </c>
      <c r="T1510" s="13">
        <v>29.3</v>
      </c>
      <c r="U1510" s="13">
        <v>81.8</v>
      </c>
      <c r="V1510" t="s">
        <v>99</v>
      </c>
      <c r="X1510" s="13">
        <v>191.9</v>
      </c>
    </row>
    <row r="1511" spans="1:24" x14ac:dyDescent="0.25">
      <c r="A1511" t="s">
        <v>1471</v>
      </c>
      <c r="B1511" t="s">
        <v>64</v>
      </c>
      <c r="C1511" t="s">
        <v>1432</v>
      </c>
      <c r="D1511" t="s">
        <v>1433</v>
      </c>
      <c r="E1511" t="s">
        <v>64</v>
      </c>
      <c r="F1511" t="s">
        <v>94</v>
      </c>
      <c r="G1511" t="s">
        <v>277</v>
      </c>
      <c r="H1511" s="12">
        <v>6.1079999999999997</v>
      </c>
      <c r="I1511" s="12">
        <v>-75.421999999999997</v>
      </c>
      <c r="J1511" t="s">
        <v>96</v>
      </c>
      <c r="K1511" t="s">
        <v>1269</v>
      </c>
      <c r="L1511" t="s">
        <v>1270</v>
      </c>
      <c r="P1511" s="13">
        <v>264</v>
      </c>
      <c r="Q1511" s="13">
        <v>51.2</v>
      </c>
      <c r="R1511">
        <v>48</v>
      </c>
      <c r="S1511">
        <v>64</v>
      </c>
      <c r="T1511" s="13">
        <v>41.4</v>
      </c>
      <c r="U1511" s="13">
        <v>72.7</v>
      </c>
      <c r="V1511" t="s">
        <v>268</v>
      </c>
      <c r="W1511" t="s">
        <v>1271</v>
      </c>
      <c r="X1511" s="13"/>
    </row>
    <row r="1512" spans="1:24" x14ac:dyDescent="0.25">
      <c r="A1512" t="s">
        <v>1472</v>
      </c>
      <c r="B1512" t="s">
        <v>64</v>
      </c>
      <c r="C1512" t="s">
        <v>1432</v>
      </c>
      <c r="D1512" t="s">
        <v>1433</v>
      </c>
      <c r="E1512" t="s">
        <v>64</v>
      </c>
      <c r="F1512" t="s">
        <v>94</v>
      </c>
      <c r="G1512" t="s">
        <v>277</v>
      </c>
      <c r="H1512" s="12">
        <v>6.1079999999999997</v>
      </c>
      <c r="I1512" s="12">
        <v>-75.421999999999997</v>
      </c>
      <c r="J1512" t="s">
        <v>96</v>
      </c>
      <c r="K1512" t="s">
        <v>97</v>
      </c>
      <c r="L1512" t="s">
        <v>1273</v>
      </c>
      <c r="P1512" s="13">
        <v>187.1</v>
      </c>
      <c r="Q1512" s="13">
        <v>53.7</v>
      </c>
      <c r="R1512">
        <v>18</v>
      </c>
      <c r="S1512">
        <v>38</v>
      </c>
      <c r="T1512" s="13">
        <v>37.9</v>
      </c>
      <c r="U1512" s="13">
        <v>43.6</v>
      </c>
      <c r="V1512" t="s">
        <v>99</v>
      </c>
      <c r="X1512" s="13">
        <v>187.1</v>
      </c>
    </row>
    <row r="1513" spans="1:24" x14ac:dyDescent="0.25">
      <c r="A1513" t="s">
        <v>1472</v>
      </c>
      <c r="B1513" t="s">
        <v>64</v>
      </c>
      <c r="C1513" t="s">
        <v>1432</v>
      </c>
      <c r="D1513" t="s">
        <v>1433</v>
      </c>
      <c r="E1513" t="s">
        <v>64</v>
      </c>
      <c r="F1513" t="s">
        <v>94</v>
      </c>
      <c r="G1513" t="s">
        <v>277</v>
      </c>
      <c r="H1513" s="12">
        <v>6.1079999999999997</v>
      </c>
      <c r="I1513" s="12">
        <v>-75.421999999999997</v>
      </c>
      <c r="J1513" t="s">
        <v>96</v>
      </c>
      <c r="K1513" t="s">
        <v>1269</v>
      </c>
      <c r="L1513" t="s">
        <v>1270</v>
      </c>
      <c r="P1513" s="13">
        <v>197.6</v>
      </c>
      <c r="Q1513" s="13">
        <v>36.6</v>
      </c>
      <c r="R1513">
        <v>32</v>
      </c>
      <c r="S1513">
        <v>44</v>
      </c>
      <c r="T1513" s="13">
        <v>46.6</v>
      </c>
      <c r="U1513" s="13">
        <v>36.4</v>
      </c>
      <c r="V1513" t="s">
        <v>268</v>
      </c>
      <c r="W1513" t="s">
        <v>1271</v>
      </c>
      <c r="X1513" s="13"/>
    </row>
    <row r="1514" spans="1:24" x14ac:dyDescent="0.25">
      <c r="A1514" t="s">
        <v>1473</v>
      </c>
      <c r="B1514" t="s">
        <v>64</v>
      </c>
      <c r="C1514" t="s">
        <v>1432</v>
      </c>
      <c r="D1514" t="s">
        <v>1433</v>
      </c>
      <c r="E1514" t="s">
        <v>64</v>
      </c>
      <c r="F1514" t="s">
        <v>94</v>
      </c>
      <c r="G1514" t="s">
        <v>277</v>
      </c>
      <c r="H1514" s="12">
        <v>6.1079999999999997</v>
      </c>
      <c r="I1514" s="12">
        <v>-75.421999999999997</v>
      </c>
      <c r="J1514" t="s">
        <v>96</v>
      </c>
      <c r="K1514" t="s">
        <v>97</v>
      </c>
      <c r="L1514" t="s">
        <v>1273</v>
      </c>
      <c r="P1514" s="13">
        <v>163.30000000000001</v>
      </c>
      <c r="Q1514" s="13">
        <v>34.1</v>
      </c>
      <c r="R1514">
        <v>22</v>
      </c>
      <c r="S1514">
        <v>30</v>
      </c>
      <c r="T1514" s="13">
        <v>39.700000000000003</v>
      </c>
      <c r="U1514" s="13">
        <v>47.3</v>
      </c>
      <c r="V1514" t="s">
        <v>99</v>
      </c>
      <c r="X1514" s="13">
        <v>163.30000000000001</v>
      </c>
    </row>
    <row r="1515" spans="1:24" x14ac:dyDescent="0.25">
      <c r="A1515" t="s">
        <v>1473</v>
      </c>
      <c r="B1515" t="s">
        <v>64</v>
      </c>
      <c r="C1515" t="s">
        <v>1432</v>
      </c>
      <c r="D1515" t="s">
        <v>1433</v>
      </c>
      <c r="E1515" t="s">
        <v>64</v>
      </c>
      <c r="F1515" t="s">
        <v>94</v>
      </c>
      <c r="G1515" t="s">
        <v>277</v>
      </c>
      <c r="H1515" s="12">
        <v>6.1079999999999997</v>
      </c>
      <c r="I1515" s="12">
        <v>-75.421999999999997</v>
      </c>
      <c r="J1515" t="s">
        <v>96</v>
      </c>
      <c r="K1515" t="s">
        <v>1269</v>
      </c>
      <c r="L1515" t="s">
        <v>1270</v>
      </c>
      <c r="P1515" s="13">
        <v>201.7</v>
      </c>
      <c r="Q1515" s="13">
        <v>53.7</v>
      </c>
      <c r="R1515">
        <v>38</v>
      </c>
      <c r="S1515">
        <v>32</v>
      </c>
      <c r="T1515" s="13">
        <v>39.700000000000003</v>
      </c>
      <c r="U1515" s="13">
        <v>34.5</v>
      </c>
      <c r="V1515" t="s">
        <v>268</v>
      </c>
      <c r="W1515" t="s">
        <v>1271</v>
      </c>
      <c r="X1515" s="13"/>
    </row>
    <row r="1516" spans="1:24" x14ac:dyDescent="0.25">
      <c r="A1516" t="s">
        <v>1474</v>
      </c>
      <c r="B1516" t="s">
        <v>64</v>
      </c>
      <c r="C1516" t="s">
        <v>1432</v>
      </c>
      <c r="D1516" t="s">
        <v>1433</v>
      </c>
      <c r="E1516" t="s">
        <v>64</v>
      </c>
      <c r="F1516" t="s">
        <v>94</v>
      </c>
      <c r="G1516" t="s">
        <v>277</v>
      </c>
      <c r="H1516" s="12">
        <v>6.1079999999999997</v>
      </c>
      <c r="I1516" s="12">
        <v>-75.421999999999997</v>
      </c>
      <c r="J1516" t="s">
        <v>96</v>
      </c>
      <c r="K1516" t="s">
        <v>97</v>
      </c>
      <c r="L1516" t="s">
        <v>1273</v>
      </c>
      <c r="P1516" s="13">
        <v>225</v>
      </c>
      <c r="Q1516" s="13">
        <v>51.2</v>
      </c>
      <c r="R1516">
        <v>42</v>
      </c>
      <c r="S1516">
        <v>44</v>
      </c>
      <c r="T1516" s="13">
        <v>41.4</v>
      </c>
      <c r="U1516" s="13">
        <v>49.1</v>
      </c>
      <c r="V1516" t="s">
        <v>99</v>
      </c>
      <c r="X1516" s="13">
        <v>225</v>
      </c>
    </row>
    <row r="1517" spans="1:24" x14ac:dyDescent="0.25">
      <c r="A1517" t="s">
        <v>1474</v>
      </c>
      <c r="B1517" t="s">
        <v>64</v>
      </c>
      <c r="C1517" t="s">
        <v>1432</v>
      </c>
      <c r="D1517" t="s">
        <v>1433</v>
      </c>
      <c r="E1517" t="s">
        <v>64</v>
      </c>
      <c r="F1517" t="s">
        <v>94</v>
      </c>
      <c r="G1517" t="s">
        <v>277</v>
      </c>
      <c r="H1517" s="12">
        <v>6.1079999999999997</v>
      </c>
      <c r="I1517" s="12">
        <v>-75.421999999999997</v>
      </c>
      <c r="J1517" t="s">
        <v>96</v>
      </c>
      <c r="K1517" t="s">
        <v>1269</v>
      </c>
      <c r="L1517" t="s">
        <v>1270</v>
      </c>
      <c r="P1517" s="13">
        <v>265.8</v>
      </c>
      <c r="Q1517" s="13">
        <v>48.8</v>
      </c>
      <c r="R1517">
        <v>64</v>
      </c>
      <c r="S1517">
        <v>56</v>
      </c>
      <c r="T1517" s="13">
        <v>48.3</v>
      </c>
      <c r="U1517" s="13">
        <v>40</v>
      </c>
      <c r="V1517" t="s">
        <v>268</v>
      </c>
      <c r="W1517" t="s">
        <v>1271</v>
      </c>
      <c r="X1517" s="13"/>
    </row>
    <row r="1518" spans="1:24" x14ac:dyDescent="0.25">
      <c r="A1518" t="s">
        <v>1475</v>
      </c>
      <c r="B1518" t="s">
        <v>64</v>
      </c>
      <c r="C1518" t="s">
        <v>1432</v>
      </c>
      <c r="D1518" t="s">
        <v>1433</v>
      </c>
      <c r="E1518" t="s">
        <v>64</v>
      </c>
      <c r="F1518" t="s">
        <v>94</v>
      </c>
      <c r="G1518" t="s">
        <v>277</v>
      </c>
      <c r="H1518" s="12">
        <v>6.1079999999999997</v>
      </c>
      <c r="I1518" s="12">
        <v>-75.421999999999997</v>
      </c>
      <c r="J1518" t="s">
        <v>96</v>
      </c>
      <c r="K1518" t="s">
        <v>97</v>
      </c>
      <c r="L1518" t="s">
        <v>1273</v>
      </c>
      <c r="P1518" s="13">
        <v>320.2</v>
      </c>
      <c r="Q1518" s="13">
        <v>65.900000000000006</v>
      </c>
      <c r="R1518">
        <v>50</v>
      </c>
      <c r="S1518">
        <v>70</v>
      </c>
      <c r="T1518" s="13">
        <v>63.8</v>
      </c>
      <c r="U1518" s="13">
        <v>83.6</v>
      </c>
      <c r="V1518" t="s">
        <v>99</v>
      </c>
      <c r="X1518" s="13">
        <v>320.2</v>
      </c>
    </row>
    <row r="1519" spans="1:24" x14ac:dyDescent="0.25">
      <c r="A1519" t="s">
        <v>1475</v>
      </c>
      <c r="B1519" t="s">
        <v>64</v>
      </c>
      <c r="C1519" t="s">
        <v>1432</v>
      </c>
      <c r="D1519" t="s">
        <v>1433</v>
      </c>
      <c r="E1519" t="s">
        <v>64</v>
      </c>
      <c r="F1519" t="s">
        <v>94</v>
      </c>
      <c r="G1519" t="s">
        <v>277</v>
      </c>
      <c r="H1519" s="12">
        <v>6.1079999999999997</v>
      </c>
      <c r="I1519" s="12">
        <v>-75.421999999999997</v>
      </c>
      <c r="J1519" t="s">
        <v>96</v>
      </c>
      <c r="K1519" t="s">
        <v>1269</v>
      </c>
      <c r="L1519" t="s">
        <v>1270</v>
      </c>
      <c r="P1519" s="13">
        <v>311.60000000000002</v>
      </c>
      <c r="Q1519" s="13">
        <v>53.7</v>
      </c>
      <c r="R1519">
        <v>58</v>
      </c>
      <c r="S1519">
        <v>64</v>
      </c>
      <c r="T1519" s="13">
        <v>69</v>
      </c>
      <c r="U1519" s="13">
        <v>76.400000000000006</v>
      </c>
      <c r="V1519" t="s">
        <v>268</v>
      </c>
      <c r="W1519" t="s">
        <v>1271</v>
      </c>
      <c r="X1519" s="13"/>
    </row>
    <row r="1520" spans="1:24" x14ac:dyDescent="0.25">
      <c r="A1520" t="s">
        <v>1476</v>
      </c>
      <c r="B1520" t="s">
        <v>64</v>
      </c>
      <c r="C1520" t="s">
        <v>1432</v>
      </c>
      <c r="D1520" t="s">
        <v>1433</v>
      </c>
      <c r="E1520" t="s">
        <v>64</v>
      </c>
      <c r="F1520" t="s">
        <v>94</v>
      </c>
      <c r="G1520" t="s">
        <v>277</v>
      </c>
      <c r="H1520" s="12">
        <v>6.1079999999999997</v>
      </c>
      <c r="I1520" s="12">
        <v>-75.421999999999997</v>
      </c>
      <c r="J1520" t="s">
        <v>96</v>
      </c>
      <c r="K1520" t="s">
        <v>97</v>
      </c>
      <c r="L1520" t="s">
        <v>1273</v>
      </c>
      <c r="P1520" s="13">
        <v>206.7</v>
      </c>
      <c r="Q1520" s="13">
        <v>39</v>
      </c>
      <c r="R1520">
        <v>32</v>
      </c>
      <c r="S1520">
        <v>48</v>
      </c>
      <c r="T1520" s="13">
        <v>43.1</v>
      </c>
      <c r="U1520" s="13">
        <v>50.9</v>
      </c>
      <c r="V1520" t="s">
        <v>99</v>
      </c>
      <c r="X1520" s="13">
        <v>206.7</v>
      </c>
    </row>
    <row r="1521" spans="1:24" x14ac:dyDescent="0.25">
      <c r="A1521" t="s">
        <v>1476</v>
      </c>
      <c r="B1521" t="s">
        <v>64</v>
      </c>
      <c r="C1521" t="s">
        <v>1432</v>
      </c>
      <c r="D1521" t="s">
        <v>1433</v>
      </c>
      <c r="E1521" t="s">
        <v>64</v>
      </c>
      <c r="F1521" t="s">
        <v>94</v>
      </c>
      <c r="G1521" t="s">
        <v>277</v>
      </c>
      <c r="H1521" s="12">
        <v>6.1079999999999997</v>
      </c>
      <c r="I1521" s="12">
        <v>-75.421999999999997</v>
      </c>
      <c r="J1521" t="s">
        <v>96</v>
      </c>
      <c r="K1521" t="s">
        <v>1269</v>
      </c>
      <c r="L1521" t="s">
        <v>1270</v>
      </c>
      <c r="P1521" s="13">
        <v>249.6</v>
      </c>
      <c r="Q1521" s="13">
        <v>56.1</v>
      </c>
      <c r="R1521">
        <v>30</v>
      </c>
      <c r="S1521">
        <v>62</v>
      </c>
      <c r="T1521" s="13">
        <v>50</v>
      </c>
      <c r="U1521" s="13">
        <v>54.5</v>
      </c>
      <c r="V1521" t="s">
        <v>268</v>
      </c>
      <c r="W1521" t="s">
        <v>1271</v>
      </c>
      <c r="X1521" s="13"/>
    </row>
    <row r="1522" spans="1:24" x14ac:dyDescent="0.25">
      <c r="A1522" t="s">
        <v>1477</v>
      </c>
      <c r="B1522" t="s">
        <v>64</v>
      </c>
      <c r="C1522" t="s">
        <v>1432</v>
      </c>
      <c r="D1522" t="s">
        <v>1433</v>
      </c>
      <c r="E1522" t="s">
        <v>64</v>
      </c>
      <c r="F1522" t="s">
        <v>94</v>
      </c>
      <c r="G1522" t="s">
        <v>277</v>
      </c>
      <c r="H1522" s="12">
        <v>6.1079999999999997</v>
      </c>
      <c r="I1522" s="12">
        <v>-75.421999999999997</v>
      </c>
      <c r="J1522" t="s">
        <v>129</v>
      </c>
      <c r="K1522" t="s">
        <v>97</v>
      </c>
      <c r="L1522" t="s">
        <v>1273</v>
      </c>
      <c r="P1522" s="13">
        <v>164.9</v>
      </c>
      <c r="Q1522" s="13">
        <v>36.6</v>
      </c>
      <c r="R1522">
        <v>30</v>
      </c>
      <c r="S1522">
        <v>32</v>
      </c>
      <c r="T1522" s="13">
        <v>31</v>
      </c>
      <c r="U1522" s="13">
        <v>40</v>
      </c>
      <c r="V1522" t="s">
        <v>99</v>
      </c>
      <c r="X1522" s="13">
        <v>164.9</v>
      </c>
    </row>
    <row r="1523" spans="1:24" x14ac:dyDescent="0.25">
      <c r="A1523" t="s">
        <v>1477</v>
      </c>
      <c r="B1523" t="s">
        <v>64</v>
      </c>
      <c r="C1523" t="s">
        <v>1432</v>
      </c>
      <c r="D1523" t="s">
        <v>1433</v>
      </c>
      <c r="E1523" t="s">
        <v>64</v>
      </c>
      <c r="F1523" t="s">
        <v>94</v>
      </c>
      <c r="G1523" t="s">
        <v>277</v>
      </c>
      <c r="H1523" s="12">
        <v>6.1079999999999997</v>
      </c>
      <c r="I1523" s="12">
        <v>-75.421999999999997</v>
      </c>
      <c r="J1523" t="s">
        <v>129</v>
      </c>
      <c r="K1523" t="s">
        <v>1269</v>
      </c>
      <c r="L1523" t="s">
        <v>1270</v>
      </c>
      <c r="P1523" s="13">
        <v>180.2</v>
      </c>
      <c r="Q1523" s="13">
        <v>46.3</v>
      </c>
      <c r="R1523">
        <v>36</v>
      </c>
      <c r="S1523">
        <v>26</v>
      </c>
      <c r="T1523" s="13">
        <v>34.5</v>
      </c>
      <c r="U1523" s="13">
        <v>40</v>
      </c>
      <c r="V1523" t="s">
        <v>268</v>
      </c>
      <c r="W1523" t="s">
        <v>1271</v>
      </c>
      <c r="X1523" s="13"/>
    </row>
    <row r="1524" spans="1:24" x14ac:dyDescent="0.25">
      <c r="A1524" t="s">
        <v>1478</v>
      </c>
      <c r="B1524" t="s">
        <v>64</v>
      </c>
      <c r="C1524" t="s">
        <v>1432</v>
      </c>
      <c r="D1524" t="s">
        <v>1433</v>
      </c>
      <c r="E1524" t="s">
        <v>64</v>
      </c>
      <c r="F1524" t="s">
        <v>94</v>
      </c>
      <c r="G1524" t="s">
        <v>277</v>
      </c>
      <c r="H1524" s="12">
        <v>6.1079999999999997</v>
      </c>
      <c r="I1524" s="12">
        <v>-75.421999999999997</v>
      </c>
      <c r="J1524" t="s">
        <v>96</v>
      </c>
      <c r="K1524" t="s">
        <v>97</v>
      </c>
      <c r="L1524" t="s">
        <v>1273</v>
      </c>
      <c r="P1524" s="13">
        <v>288.89999999999998</v>
      </c>
      <c r="Q1524" s="13">
        <v>63.4</v>
      </c>
      <c r="R1524">
        <v>36</v>
      </c>
      <c r="S1524">
        <v>72</v>
      </c>
      <c r="T1524" s="13">
        <v>51.7</v>
      </c>
      <c r="U1524" s="13">
        <v>81.8</v>
      </c>
      <c r="V1524" t="s">
        <v>99</v>
      </c>
      <c r="X1524" s="13">
        <v>288.89999999999998</v>
      </c>
    </row>
    <row r="1525" spans="1:24" x14ac:dyDescent="0.25">
      <c r="A1525" t="s">
        <v>1478</v>
      </c>
      <c r="B1525" t="s">
        <v>64</v>
      </c>
      <c r="C1525" t="s">
        <v>1432</v>
      </c>
      <c r="D1525" t="s">
        <v>1433</v>
      </c>
      <c r="E1525" t="s">
        <v>64</v>
      </c>
      <c r="F1525" t="s">
        <v>94</v>
      </c>
      <c r="G1525" t="s">
        <v>277</v>
      </c>
      <c r="H1525" s="12">
        <v>6.1079999999999997</v>
      </c>
      <c r="I1525" s="12">
        <v>-75.421999999999997</v>
      </c>
      <c r="J1525" t="s">
        <v>96</v>
      </c>
      <c r="K1525" t="s">
        <v>1269</v>
      </c>
      <c r="L1525" t="s">
        <v>1270</v>
      </c>
      <c r="P1525" s="13">
        <v>314.2</v>
      </c>
      <c r="Q1525" s="13">
        <v>65.900000000000006</v>
      </c>
      <c r="R1525">
        <v>56</v>
      </c>
      <c r="S1525">
        <v>82</v>
      </c>
      <c r="T1525" s="13">
        <v>44.8</v>
      </c>
      <c r="U1525" s="13">
        <v>70.900000000000006</v>
      </c>
      <c r="V1525" t="s">
        <v>268</v>
      </c>
      <c r="W1525" t="s">
        <v>1271</v>
      </c>
      <c r="X1525" s="13"/>
    </row>
    <row r="1526" spans="1:24" x14ac:dyDescent="0.25">
      <c r="A1526" t="s">
        <v>1479</v>
      </c>
      <c r="B1526" t="s">
        <v>64</v>
      </c>
      <c r="C1526" t="s">
        <v>1432</v>
      </c>
      <c r="D1526" t="s">
        <v>1433</v>
      </c>
      <c r="E1526" t="s">
        <v>64</v>
      </c>
      <c r="F1526" t="s">
        <v>94</v>
      </c>
      <c r="G1526" t="s">
        <v>277</v>
      </c>
      <c r="H1526" s="12">
        <v>6.1079999999999997</v>
      </c>
      <c r="I1526" s="12">
        <v>-75.421999999999997</v>
      </c>
      <c r="J1526" t="s">
        <v>96</v>
      </c>
      <c r="K1526" t="s">
        <v>97</v>
      </c>
      <c r="L1526" t="s">
        <v>1273</v>
      </c>
      <c r="P1526" s="13">
        <v>171.5</v>
      </c>
      <c r="Q1526" s="13">
        <v>41.5</v>
      </c>
      <c r="R1526">
        <v>26</v>
      </c>
      <c r="S1526">
        <v>50</v>
      </c>
      <c r="T1526" s="13">
        <v>17.2</v>
      </c>
      <c r="U1526" s="13">
        <v>41.8</v>
      </c>
      <c r="V1526" t="s">
        <v>99</v>
      </c>
      <c r="X1526" s="13">
        <v>171.5</v>
      </c>
    </row>
    <row r="1527" spans="1:24" x14ac:dyDescent="0.25">
      <c r="A1527" t="s">
        <v>1479</v>
      </c>
      <c r="B1527" t="s">
        <v>64</v>
      </c>
      <c r="C1527" t="s">
        <v>1432</v>
      </c>
      <c r="D1527" t="s">
        <v>1433</v>
      </c>
      <c r="E1527" t="s">
        <v>64</v>
      </c>
      <c r="F1527" t="s">
        <v>94</v>
      </c>
      <c r="G1527" t="s">
        <v>277</v>
      </c>
      <c r="H1527" s="12">
        <v>6.1079999999999997</v>
      </c>
      <c r="I1527" s="12">
        <v>-75.421999999999997</v>
      </c>
      <c r="J1527" t="s">
        <v>96</v>
      </c>
      <c r="K1527" t="s">
        <v>1269</v>
      </c>
      <c r="L1527" t="s">
        <v>1270</v>
      </c>
      <c r="P1527" s="13">
        <v>232</v>
      </c>
      <c r="Q1527" s="13">
        <v>48.8</v>
      </c>
      <c r="R1527">
        <v>56</v>
      </c>
      <c r="S1527">
        <v>48</v>
      </c>
      <c r="T1527" s="13">
        <v>36.200000000000003</v>
      </c>
      <c r="U1527" s="13">
        <v>36.4</v>
      </c>
      <c r="V1527" t="s">
        <v>268</v>
      </c>
      <c r="W1527" t="s">
        <v>1271</v>
      </c>
      <c r="X1527" s="13"/>
    </row>
    <row r="1528" spans="1:24" x14ac:dyDescent="0.25">
      <c r="A1528" t="s">
        <v>1480</v>
      </c>
      <c r="B1528" t="s">
        <v>64</v>
      </c>
      <c r="C1528" t="s">
        <v>1432</v>
      </c>
      <c r="D1528" t="s">
        <v>1433</v>
      </c>
      <c r="E1528" t="s">
        <v>64</v>
      </c>
      <c r="F1528" t="s">
        <v>94</v>
      </c>
      <c r="G1528" t="s">
        <v>277</v>
      </c>
      <c r="H1528" s="12">
        <v>6.1079999999999997</v>
      </c>
      <c r="I1528" s="12">
        <v>-75.421999999999997</v>
      </c>
      <c r="J1528" t="s">
        <v>96</v>
      </c>
      <c r="K1528" t="s">
        <v>97</v>
      </c>
      <c r="L1528" t="s">
        <v>1273</v>
      </c>
      <c r="P1528" s="13">
        <v>249.6</v>
      </c>
      <c r="Q1528" s="13">
        <v>65.900000000000006</v>
      </c>
      <c r="R1528">
        <v>34</v>
      </c>
      <c r="S1528">
        <v>64</v>
      </c>
      <c r="T1528" s="13">
        <v>37.9</v>
      </c>
      <c r="U1528" s="13">
        <v>43.6</v>
      </c>
      <c r="V1528" t="s">
        <v>99</v>
      </c>
      <c r="X1528" s="13">
        <v>249.6</v>
      </c>
    </row>
    <row r="1529" spans="1:24" x14ac:dyDescent="0.25">
      <c r="A1529" t="s">
        <v>1480</v>
      </c>
      <c r="B1529" t="s">
        <v>64</v>
      </c>
      <c r="C1529" t="s">
        <v>1432</v>
      </c>
      <c r="D1529" t="s">
        <v>1433</v>
      </c>
      <c r="E1529" t="s">
        <v>64</v>
      </c>
      <c r="F1529" t="s">
        <v>94</v>
      </c>
      <c r="G1529" t="s">
        <v>277</v>
      </c>
      <c r="H1529" s="12">
        <v>6.1079999999999997</v>
      </c>
      <c r="I1529" s="12">
        <v>-75.421999999999997</v>
      </c>
      <c r="J1529" t="s">
        <v>96</v>
      </c>
      <c r="K1529" t="s">
        <v>1269</v>
      </c>
      <c r="L1529" t="s">
        <v>1270</v>
      </c>
      <c r="P1529" s="13">
        <v>249</v>
      </c>
      <c r="Q1529" s="13">
        <v>53.7</v>
      </c>
      <c r="R1529">
        <v>38</v>
      </c>
      <c r="S1529">
        <v>60</v>
      </c>
      <c r="T1529" s="13">
        <v>46.6</v>
      </c>
      <c r="U1529" s="13">
        <v>52.7</v>
      </c>
      <c r="V1529" t="s">
        <v>268</v>
      </c>
      <c r="W1529" t="s">
        <v>1271</v>
      </c>
      <c r="X1529" s="13"/>
    </row>
    <row r="1530" spans="1:24" x14ac:dyDescent="0.25">
      <c r="A1530" t="s">
        <v>1481</v>
      </c>
      <c r="B1530" t="s">
        <v>64</v>
      </c>
      <c r="C1530" t="s">
        <v>1432</v>
      </c>
      <c r="D1530" t="s">
        <v>1433</v>
      </c>
      <c r="E1530" t="s">
        <v>64</v>
      </c>
      <c r="F1530" t="s">
        <v>94</v>
      </c>
      <c r="G1530" t="s">
        <v>277</v>
      </c>
      <c r="H1530" s="12">
        <v>6.1079999999999997</v>
      </c>
      <c r="I1530" s="12">
        <v>-75.421999999999997</v>
      </c>
      <c r="J1530" t="s">
        <v>96</v>
      </c>
      <c r="K1530" t="s">
        <v>97</v>
      </c>
      <c r="L1530" t="s">
        <v>1273</v>
      </c>
      <c r="P1530" s="13">
        <v>171</v>
      </c>
      <c r="Q1530" s="13">
        <v>43.9</v>
      </c>
      <c r="R1530">
        <v>12</v>
      </c>
      <c r="S1530">
        <v>38</v>
      </c>
      <c r="T1530" s="13">
        <v>37.9</v>
      </c>
      <c r="U1530" s="13">
        <v>49.1</v>
      </c>
      <c r="V1530" t="s">
        <v>99</v>
      </c>
      <c r="X1530" s="13">
        <v>171</v>
      </c>
    </row>
    <row r="1531" spans="1:24" x14ac:dyDescent="0.25">
      <c r="A1531" t="s">
        <v>1481</v>
      </c>
      <c r="B1531" t="s">
        <v>64</v>
      </c>
      <c r="C1531" t="s">
        <v>1432</v>
      </c>
      <c r="D1531" t="s">
        <v>1433</v>
      </c>
      <c r="E1531" t="s">
        <v>64</v>
      </c>
      <c r="F1531" t="s">
        <v>94</v>
      </c>
      <c r="G1531" t="s">
        <v>277</v>
      </c>
      <c r="H1531" s="12">
        <v>6.1079999999999997</v>
      </c>
      <c r="I1531" s="12">
        <v>-75.421999999999997</v>
      </c>
      <c r="J1531" t="s">
        <v>96</v>
      </c>
      <c r="K1531" t="s">
        <v>1269</v>
      </c>
      <c r="L1531" t="s">
        <v>1270</v>
      </c>
      <c r="P1531" s="13">
        <v>220.7</v>
      </c>
      <c r="Q1531" s="13">
        <v>46.3</v>
      </c>
      <c r="R1531">
        <v>44</v>
      </c>
      <c r="S1531">
        <v>46</v>
      </c>
      <c r="T1531" s="13">
        <v>37.9</v>
      </c>
      <c r="U1531" s="13">
        <v>50.9</v>
      </c>
      <c r="V1531" t="s">
        <v>268</v>
      </c>
      <c r="W1531" t="s">
        <v>1271</v>
      </c>
      <c r="X1531" s="13"/>
    </row>
    <row r="1532" spans="1:24" x14ac:dyDescent="0.25">
      <c r="A1532" t="s">
        <v>1482</v>
      </c>
      <c r="B1532" t="s">
        <v>64</v>
      </c>
      <c r="C1532" t="s">
        <v>1432</v>
      </c>
      <c r="D1532" t="s">
        <v>1433</v>
      </c>
      <c r="E1532" t="s">
        <v>64</v>
      </c>
      <c r="F1532" t="s">
        <v>94</v>
      </c>
      <c r="G1532" t="s">
        <v>277</v>
      </c>
      <c r="H1532" s="12">
        <v>6.1079999999999997</v>
      </c>
      <c r="I1532" s="12">
        <v>-75.421999999999997</v>
      </c>
      <c r="J1532" t="s">
        <v>96</v>
      </c>
      <c r="K1532" t="s">
        <v>97</v>
      </c>
      <c r="L1532" t="s">
        <v>1273</v>
      </c>
      <c r="P1532" s="13">
        <v>170.3</v>
      </c>
      <c r="Q1532" s="13">
        <v>26.8</v>
      </c>
      <c r="R1532">
        <v>32</v>
      </c>
      <c r="S1532">
        <v>38</v>
      </c>
      <c r="T1532" s="13">
        <v>36.200000000000003</v>
      </c>
      <c r="U1532" s="13">
        <v>43.6</v>
      </c>
      <c r="V1532" t="s">
        <v>99</v>
      </c>
      <c r="X1532" s="13">
        <v>170.3</v>
      </c>
    </row>
    <row r="1533" spans="1:24" x14ac:dyDescent="0.25">
      <c r="A1533" t="s">
        <v>1482</v>
      </c>
      <c r="B1533" t="s">
        <v>64</v>
      </c>
      <c r="C1533" t="s">
        <v>1432</v>
      </c>
      <c r="D1533" t="s">
        <v>1433</v>
      </c>
      <c r="E1533" t="s">
        <v>64</v>
      </c>
      <c r="F1533" t="s">
        <v>94</v>
      </c>
      <c r="G1533" t="s">
        <v>277</v>
      </c>
      <c r="H1533" s="12">
        <v>6.1079999999999997</v>
      </c>
      <c r="I1533" s="12">
        <v>-75.421999999999997</v>
      </c>
      <c r="J1533" t="s">
        <v>96</v>
      </c>
      <c r="K1533" t="s">
        <v>1269</v>
      </c>
      <c r="L1533" t="s">
        <v>1270</v>
      </c>
      <c r="P1533" s="13">
        <v>191.3</v>
      </c>
      <c r="Q1533" s="13">
        <v>53.7</v>
      </c>
      <c r="R1533">
        <v>36</v>
      </c>
      <c r="S1533">
        <v>30</v>
      </c>
      <c r="T1533" s="13">
        <v>32.799999999999997</v>
      </c>
      <c r="U1533" s="13">
        <v>40</v>
      </c>
      <c r="V1533" t="s">
        <v>268</v>
      </c>
      <c r="W1533" t="s">
        <v>1271</v>
      </c>
      <c r="X1533" s="13"/>
    </row>
    <row r="1534" spans="1:24" x14ac:dyDescent="0.25">
      <c r="A1534" t="s">
        <v>1483</v>
      </c>
      <c r="B1534" t="s">
        <v>64</v>
      </c>
      <c r="C1534" t="s">
        <v>1432</v>
      </c>
      <c r="D1534" t="s">
        <v>1433</v>
      </c>
      <c r="E1534" t="s">
        <v>64</v>
      </c>
      <c r="F1534" t="s">
        <v>94</v>
      </c>
      <c r="G1534" t="s">
        <v>277</v>
      </c>
      <c r="H1534" s="12">
        <v>6.1079999999999997</v>
      </c>
      <c r="I1534" s="12">
        <v>-75.421999999999997</v>
      </c>
      <c r="J1534" t="s">
        <v>96</v>
      </c>
      <c r="K1534" t="s">
        <v>97</v>
      </c>
      <c r="L1534" t="s">
        <v>1273</v>
      </c>
      <c r="P1534" s="13">
        <v>155.19999999999999</v>
      </c>
      <c r="Q1534" s="13">
        <v>24.4</v>
      </c>
      <c r="R1534">
        <v>28</v>
      </c>
      <c r="S1534">
        <v>34</v>
      </c>
      <c r="T1534" s="13">
        <v>29.3</v>
      </c>
      <c r="U1534" s="13">
        <v>56.4</v>
      </c>
      <c r="V1534" t="s">
        <v>99</v>
      </c>
      <c r="X1534" s="13">
        <v>155.19999999999999</v>
      </c>
    </row>
    <row r="1535" spans="1:24" x14ac:dyDescent="0.25">
      <c r="A1535" t="s">
        <v>1483</v>
      </c>
      <c r="B1535" t="s">
        <v>64</v>
      </c>
      <c r="C1535" t="s">
        <v>1432</v>
      </c>
      <c r="D1535" t="s">
        <v>1433</v>
      </c>
      <c r="E1535" t="s">
        <v>64</v>
      </c>
      <c r="F1535" t="s">
        <v>94</v>
      </c>
      <c r="G1535" t="s">
        <v>277</v>
      </c>
      <c r="H1535" s="12">
        <v>6.1079999999999997</v>
      </c>
      <c r="I1535" s="12">
        <v>-75.421999999999997</v>
      </c>
      <c r="J1535" t="s">
        <v>96</v>
      </c>
      <c r="K1535" t="s">
        <v>1269</v>
      </c>
      <c r="L1535" t="s">
        <v>1270</v>
      </c>
      <c r="P1535" s="13">
        <v>223.5</v>
      </c>
      <c r="Q1535" s="13">
        <v>41.5</v>
      </c>
      <c r="R1535">
        <v>48</v>
      </c>
      <c r="S1535">
        <v>44</v>
      </c>
      <c r="T1535" s="13">
        <v>39.700000000000003</v>
      </c>
      <c r="U1535" s="13">
        <v>61.8</v>
      </c>
      <c r="V1535" t="s">
        <v>268</v>
      </c>
      <c r="W1535" t="s">
        <v>1271</v>
      </c>
      <c r="X1535" s="13"/>
    </row>
    <row r="1536" spans="1:24" x14ac:dyDescent="0.25">
      <c r="A1536" t="s">
        <v>1484</v>
      </c>
      <c r="B1536" t="s">
        <v>64</v>
      </c>
      <c r="C1536" t="s">
        <v>1432</v>
      </c>
      <c r="D1536" t="s">
        <v>1433</v>
      </c>
      <c r="E1536" t="s">
        <v>64</v>
      </c>
      <c r="F1536" t="s">
        <v>94</v>
      </c>
      <c r="G1536" t="s">
        <v>277</v>
      </c>
      <c r="H1536" s="12">
        <v>6.1079999999999997</v>
      </c>
      <c r="I1536" s="12">
        <v>-75.421999999999997</v>
      </c>
      <c r="J1536" t="s">
        <v>129</v>
      </c>
      <c r="K1536" t="s">
        <v>97</v>
      </c>
      <c r="L1536" t="s">
        <v>1273</v>
      </c>
      <c r="P1536" s="13">
        <v>207.5</v>
      </c>
      <c r="Q1536" s="13">
        <v>43.9</v>
      </c>
      <c r="R1536">
        <v>38</v>
      </c>
      <c r="S1536">
        <v>46</v>
      </c>
      <c r="T1536" s="13">
        <v>36.200000000000003</v>
      </c>
      <c r="U1536" s="13">
        <v>47.3</v>
      </c>
      <c r="V1536" t="s">
        <v>99</v>
      </c>
      <c r="X1536" s="13">
        <v>207.5</v>
      </c>
    </row>
    <row r="1537" spans="1:24" x14ac:dyDescent="0.25">
      <c r="A1537" t="s">
        <v>1484</v>
      </c>
      <c r="B1537" t="s">
        <v>64</v>
      </c>
      <c r="C1537" t="s">
        <v>1432</v>
      </c>
      <c r="D1537" t="s">
        <v>1433</v>
      </c>
      <c r="E1537" t="s">
        <v>64</v>
      </c>
      <c r="F1537" t="s">
        <v>94</v>
      </c>
      <c r="G1537" t="s">
        <v>277</v>
      </c>
      <c r="H1537" s="12">
        <v>6.1079999999999997</v>
      </c>
      <c r="I1537" s="12">
        <v>-75.421999999999997</v>
      </c>
      <c r="J1537" t="s">
        <v>129</v>
      </c>
      <c r="K1537" t="s">
        <v>1269</v>
      </c>
      <c r="L1537" t="s">
        <v>1270</v>
      </c>
      <c r="P1537" s="13">
        <v>224.3</v>
      </c>
      <c r="Q1537" s="13">
        <v>53.7</v>
      </c>
      <c r="R1537">
        <v>40</v>
      </c>
      <c r="S1537">
        <v>44</v>
      </c>
      <c r="T1537" s="13">
        <v>48.3</v>
      </c>
      <c r="U1537" s="13">
        <v>25.5</v>
      </c>
      <c r="V1537" t="s">
        <v>268</v>
      </c>
      <c r="W1537" t="s">
        <v>1271</v>
      </c>
      <c r="X1537" s="13"/>
    </row>
    <row r="1538" spans="1:24" x14ac:dyDescent="0.25">
      <c r="A1538" t="s">
        <v>1485</v>
      </c>
      <c r="B1538" t="s">
        <v>64</v>
      </c>
      <c r="C1538" t="s">
        <v>1432</v>
      </c>
      <c r="D1538" t="s">
        <v>1433</v>
      </c>
      <c r="E1538" t="s">
        <v>64</v>
      </c>
      <c r="F1538" t="s">
        <v>94</v>
      </c>
      <c r="G1538" t="s">
        <v>277</v>
      </c>
      <c r="H1538" s="12">
        <v>6.1079999999999997</v>
      </c>
      <c r="I1538" s="12">
        <v>-75.421999999999997</v>
      </c>
      <c r="J1538" t="s">
        <v>129</v>
      </c>
      <c r="K1538" t="s">
        <v>97</v>
      </c>
      <c r="L1538" t="s">
        <v>1273</v>
      </c>
      <c r="P1538" s="13">
        <v>294.2</v>
      </c>
      <c r="Q1538" s="13">
        <v>68.3</v>
      </c>
      <c r="R1538">
        <v>34</v>
      </c>
      <c r="S1538">
        <v>72</v>
      </c>
      <c r="T1538" s="13">
        <v>53.4</v>
      </c>
      <c r="U1538" s="13">
        <v>81.8</v>
      </c>
      <c r="V1538" t="s">
        <v>99</v>
      </c>
      <c r="X1538" s="13">
        <v>294.2</v>
      </c>
    </row>
    <row r="1539" spans="1:24" x14ac:dyDescent="0.25">
      <c r="A1539" t="s">
        <v>1485</v>
      </c>
      <c r="B1539" t="s">
        <v>64</v>
      </c>
      <c r="C1539" t="s">
        <v>1432</v>
      </c>
      <c r="D1539" t="s">
        <v>1433</v>
      </c>
      <c r="E1539" t="s">
        <v>64</v>
      </c>
      <c r="F1539" t="s">
        <v>94</v>
      </c>
      <c r="G1539" t="s">
        <v>277</v>
      </c>
      <c r="H1539" s="12">
        <v>6.1079999999999997</v>
      </c>
      <c r="I1539" s="12">
        <v>-75.421999999999997</v>
      </c>
      <c r="J1539" t="s">
        <v>129</v>
      </c>
      <c r="K1539" t="s">
        <v>1269</v>
      </c>
      <c r="L1539" t="s">
        <v>1270</v>
      </c>
      <c r="P1539" s="13">
        <v>306.39999999999998</v>
      </c>
      <c r="Q1539" s="13">
        <v>58.5</v>
      </c>
      <c r="R1539">
        <v>50</v>
      </c>
      <c r="S1539">
        <v>74</v>
      </c>
      <c r="T1539" s="13">
        <v>55.2</v>
      </c>
      <c r="U1539" s="13">
        <v>83.6</v>
      </c>
      <c r="V1539" t="s">
        <v>268</v>
      </c>
      <c r="W1539" t="s">
        <v>1271</v>
      </c>
      <c r="X1539" s="13"/>
    </row>
    <row r="1540" spans="1:24" x14ac:dyDescent="0.25">
      <c r="A1540" t="s">
        <v>1486</v>
      </c>
      <c r="B1540" t="s">
        <v>64</v>
      </c>
      <c r="C1540" t="s">
        <v>1432</v>
      </c>
      <c r="D1540" t="s">
        <v>1433</v>
      </c>
      <c r="E1540" t="s">
        <v>64</v>
      </c>
      <c r="F1540" t="s">
        <v>94</v>
      </c>
      <c r="G1540" t="s">
        <v>277</v>
      </c>
      <c r="H1540" s="12">
        <v>6.1079999999999997</v>
      </c>
      <c r="I1540" s="12">
        <v>-75.421999999999997</v>
      </c>
      <c r="J1540" t="s">
        <v>129</v>
      </c>
      <c r="K1540" t="s">
        <v>97</v>
      </c>
      <c r="L1540" t="s">
        <v>1273</v>
      </c>
      <c r="P1540" s="13">
        <v>324.5</v>
      </c>
      <c r="Q1540" s="13">
        <v>73.2</v>
      </c>
      <c r="R1540">
        <v>48</v>
      </c>
      <c r="S1540">
        <v>70</v>
      </c>
      <c r="T1540" s="13">
        <v>60.3</v>
      </c>
      <c r="U1540" s="13">
        <v>89.1</v>
      </c>
      <c r="V1540" t="s">
        <v>99</v>
      </c>
      <c r="X1540" s="13">
        <v>324.5</v>
      </c>
    </row>
    <row r="1541" spans="1:24" x14ac:dyDescent="0.25">
      <c r="A1541" t="s">
        <v>1486</v>
      </c>
      <c r="B1541" t="s">
        <v>64</v>
      </c>
      <c r="C1541" t="s">
        <v>1432</v>
      </c>
      <c r="D1541" t="s">
        <v>1433</v>
      </c>
      <c r="E1541" t="s">
        <v>64</v>
      </c>
      <c r="F1541" t="s">
        <v>94</v>
      </c>
      <c r="G1541" t="s">
        <v>277</v>
      </c>
      <c r="H1541" s="12">
        <v>6.1079999999999997</v>
      </c>
      <c r="I1541" s="12">
        <v>-75.421999999999997</v>
      </c>
      <c r="J1541" t="s">
        <v>129</v>
      </c>
      <c r="K1541" t="s">
        <v>1269</v>
      </c>
      <c r="L1541" t="s">
        <v>1270</v>
      </c>
      <c r="P1541" s="13">
        <v>322.10000000000002</v>
      </c>
      <c r="Q1541" s="13">
        <v>58.5</v>
      </c>
      <c r="R1541">
        <v>68</v>
      </c>
      <c r="S1541">
        <v>66</v>
      </c>
      <c r="T1541" s="13">
        <v>56.9</v>
      </c>
      <c r="U1541" s="13">
        <v>89.1</v>
      </c>
      <c r="V1541" t="s">
        <v>268</v>
      </c>
      <c r="W1541" t="s">
        <v>1271</v>
      </c>
      <c r="X1541" s="13"/>
    </row>
    <row r="1542" spans="1:24" x14ac:dyDescent="0.25">
      <c r="A1542" t="s">
        <v>1487</v>
      </c>
      <c r="B1542" t="s">
        <v>64</v>
      </c>
      <c r="C1542" t="s">
        <v>1432</v>
      </c>
      <c r="D1542" t="s">
        <v>1433</v>
      </c>
      <c r="E1542" t="s">
        <v>64</v>
      </c>
      <c r="F1542" t="s">
        <v>94</v>
      </c>
      <c r="G1542" t="s">
        <v>277</v>
      </c>
      <c r="H1542" s="12">
        <v>6.1079999999999997</v>
      </c>
      <c r="I1542" s="12">
        <v>-75.421999999999997</v>
      </c>
      <c r="J1542" t="s">
        <v>129</v>
      </c>
      <c r="K1542" t="s">
        <v>97</v>
      </c>
      <c r="L1542" t="s">
        <v>1273</v>
      </c>
      <c r="P1542" s="13">
        <v>382</v>
      </c>
      <c r="Q1542" s="13">
        <v>82.9</v>
      </c>
      <c r="R1542">
        <v>56</v>
      </c>
      <c r="S1542">
        <v>86</v>
      </c>
      <c r="T1542" s="13">
        <v>75.900000000000006</v>
      </c>
      <c r="U1542" s="13">
        <v>90.9</v>
      </c>
      <c r="V1542" t="s">
        <v>99</v>
      </c>
      <c r="X1542" s="13">
        <v>382</v>
      </c>
    </row>
    <row r="1543" spans="1:24" x14ac:dyDescent="0.25">
      <c r="A1543" t="s">
        <v>1487</v>
      </c>
      <c r="B1543" t="s">
        <v>64</v>
      </c>
      <c r="C1543" t="s">
        <v>1432</v>
      </c>
      <c r="D1543" t="s">
        <v>1433</v>
      </c>
      <c r="E1543" t="s">
        <v>64</v>
      </c>
      <c r="F1543" t="s">
        <v>94</v>
      </c>
      <c r="G1543" t="s">
        <v>277</v>
      </c>
      <c r="H1543" s="12">
        <v>6.1079999999999997</v>
      </c>
      <c r="I1543" s="12">
        <v>-75.421999999999997</v>
      </c>
      <c r="J1543" t="s">
        <v>129</v>
      </c>
      <c r="K1543" t="s">
        <v>1269</v>
      </c>
      <c r="L1543" t="s">
        <v>1270</v>
      </c>
      <c r="P1543" s="13">
        <v>366.3</v>
      </c>
      <c r="Q1543" s="13">
        <v>65.900000000000006</v>
      </c>
      <c r="R1543">
        <v>60</v>
      </c>
      <c r="S1543">
        <v>90</v>
      </c>
      <c r="T1543" s="13">
        <v>70.7</v>
      </c>
      <c r="U1543" s="13">
        <v>92.7</v>
      </c>
      <c r="V1543" t="s">
        <v>268</v>
      </c>
      <c r="W1543" t="s">
        <v>1271</v>
      </c>
      <c r="X1543" s="13"/>
    </row>
    <row r="1544" spans="1:24" x14ac:dyDescent="0.25">
      <c r="A1544" t="s">
        <v>1488</v>
      </c>
      <c r="B1544" t="s">
        <v>64</v>
      </c>
      <c r="C1544" t="s">
        <v>1489</v>
      </c>
      <c r="D1544" t="s">
        <v>1490</v>
      </c>
      <c r="E1544" t="s">
        <v>64</v>
      </c>
      <c r="F1544" t="s">
        <v>94</v>
      </c>
      <c r="G1544" t="s">
        <v>277</v>
      </c>
      <c r="H1544" s="12">
        <v>6.173</v>
      </c>
      <c r="I1544" s="12">
        <v>-75.454999999999998</v>
      </c>
      <c r="J1544" t="s">
        <v>96</v>
      </c>
      <c r="K1544" t="s">
        <v>97</v>
      </c>
      <c r="L1544" t="s">
        <v>1273</v>
      </c>
      <c r="P1544" s="13">
        <v>237.9</v>
      </c>
      <c r="Q1544" s="13">
        <v>56.1</v>
      </c>
      <c r="R1544">
        <v>30</v>
      </c>
      <c r="S1544">
        <v>60</v>
      </c>
      <c r="T1544" s="13">
        <v>43.1</v>
      </c>
      <c r="U1544" s="13">
        <v>50.9</v>
      </c>
      <c r="V1544" t="s">
        <v>99</v>
      </c>
      <c r="X1544" s="13">
        <v>237.9</v>
      </c>
    </row>
    <row r="1545" spans="1:24" x14ac:dyDescent="0.25">
      <c r="A1545" t="s">
        <v>1488</v>
      </c>
      <c r="B1545" t="s">
        <v>64</v>
      </c>
      <c r="C1545" t="s">
        <v>1489</v>
      </c>
      <c r="D1545" t="s">
        <v>1490</v>
      </c>
      <c r="E1545" t="s">
        <v>64</v>
      </c>
      <c r="F1545" t="s">
        <v>94</v>
      </c>
      <c r="G1545" t="s">
        <v>277</v>
      </c>
      <c r="H1545" s="12">
        <v>6.173</v>
      </c>
      <c r="I1545" s="12">
        <v>-75.454999999999998</v>
      </c>
      <c r="J1545" t="s">
        <v>96</v>
      </c>
      <c r="K1545" t="s">
        <v>1269</v>
      </c>
      <c r="L1545" t="s">
        <v>1270</v>
      </c>
      <c r="P1545" s="13">
        <v>256.8</v>
      </c>
      <c r="Q1545" s="13">
        <v>58.5</v>
      </c>
      <c r="R1545">
        <v>38</v>
      </c>
      <c r="S1545">
        <v>64</v>
      </c>
      <c r="T1545" s="13">
        <v>51.7</v>
      </c>
      <c r="U1545" s="13">
        <v>30.9</v>
      </c>
      <c r="V1545" t="s">
        <v>268</v>
      </c>
      <c r="W1545" t="s">
        <v>1271</v>
      </c>
      <c r="X1545" s="13"/>
    </row>
    <row r="1546" spans="1:24" x14ac:dyDescent="0.25">
      <c r="A1546" t="s">
        <v>1491</v>
      </c>
      <c r="B1546" t="s">
        <v>64</v>
      </c>
      <c r="C1546" t="s">
        <v>1489</v>
      </c>
      <c r="D1546" t="s">
        <v>1490</v>
      </c>
      <c r="E1546" t="s">
        <v>64</v>
      </c>
      <c r="F1546" t="s">
        <v>94</v>
      </c>
      <c r="G1546" t="s">
        <v>277</v>
      </c>
      <c r="H1546" s="12">
        <v>6.173</v>
      </c>
      <c r="I1546" s="12">
        <v>-75.454999999999998</v>
      </c>
      <c r="J1546" t="s">
        <v>96</v>
      </c>
      <c r="K1546" t="s">
        <v>97</v>
      </c>
      <c r="L1546" t="s">
        <v>1273</v>
      </c>
      <c r="P1546" s="13">
        <v>286.7</v>
      </c>
      <c r="Q1546" s="13">
        <v>61</v>
      </c>
      <c r="R1546">
        <v>34</v>
      </c>
      <c r="S1546">
        <v>76</v>
      </c>
      <c r="T1546" s="13">
        <v>56.9</v>
      </c>
      <c r="U1546" s="13">
        <v>61.8</v>
      </c>
      <c r="V1546" t="s">
        <v>99</v>
      </c>
      <c r="X1546" s="13">
        <v>286.7</v>
      </c>
    </row>
    <row r="1547" spans="1:24" x14ac:dyDescent="0.25">
      <c r="A1547" t="s">
        <v>1491</v>
      </c>
      <c r="B1547" t="s">
        <v>64</v>
      </c>
      <c r="C1547" t="s">
        <v>1489</v>
      </c>
      <c r="D1547" t="s">
        <v>1490</v>
      </c>
      <c r="E1547" t="s">
        <v>64</v>
      </c>
      <c r="F1547" t="s">
        <v>94</v>
      </c>
      <c r="G1547" t="s">
        <v>277</v>
      </c>
      <c r="H1547" s="12">
        <v>6.173</v>
      </c>
      <c r="I1547" s="12">
        <v>-75.454999999999998</v>
      </c>
      <c r="J1547" t="s">
        <v>96</v>
      </c>
      <c r="K1547" t="s">
        <v>1269</v>
      </c>
      <c r="L1547" t="s">
        <v>1270</v>
      </c>
      <c r="P1547" s="13">
        <v>303.2</v>
      </c>
      <c r="Q1547" s="13">
        <v>63.4</v>
      </c>
      <c r="R1547">
        <v>40</v>
      </c>
      <c r="S1547">
        <v>84</v>
      </c>
      <c r="T1547" s="13">
        <v>51.7</v>
      </c>
      <c r="U1547" s="13">
        <v>70.900000000000006</v>
      </c>
      <c r="V1547" t="s">
        <v>268</v>
      </c>
      <c r="W1547" t="s">
        <v>1271</v>
      </c>
      <c r="X1547" s="13"/>
    </row>
    <row r="1548" spans="1:24" x14ac:dyDescent="0.25">
      <c r="A1548" t="s">
        <v>1492</v>
      </c>
      <c r="B1548" t="s">
        <v>64</v>
      </c>
      <c r="C1548" t="s">
        <v>1489</v>
      </c>
      <c r="D1548" t="s">
        <v>1490</v>
      </c>
      <c r="E1548" t="s">
        <v>64</v>
      </c>
      <c r="F1548" t="s">
        <v>94</v>
      </c>
      <c r="G1548" t="s">
        <v>277</v>
      </c>
      <c r="H1548" s="12">
        <v>6.173</v>
      </c>
      <c r="I1548" s="12">
        <v>-75.454999999999998</v>
      </c>
      <c r="J1548" t="s">
        <v>96</v>
      </c>
      <c r="K1548" t="s">
        <v>97</v>
      </c>
      <c r="L1548" t="s">
        <v>1273</v>
      </c>
      <c r="P1548" s="13">
        <v>202.8</v>
      </c>
      <c r="Q1548" s="13">
        <v>46.3</v>
      </c>
      <c r="R1548">
        <v>34</v>
      </c>
      <c r="S1548">
        <v>32</v>
      </c>
      <c r="T1548" s="13">
        <v>48.3</v>
      </c>
      <c r="U1548" s="13">
        <v>45.5</v>
      </c>
      <c r="V1548" t="s">
        <v>99</v>
      </c>
      <c r="X1548" s="13">
        <v>202.8</v>
      </c>
    </row>
    <row r="1549" spans="1:24" x14ac:dyDescent="0.25">
      <c r="A1549" t="s">
        <v>1492</v>
      </c>
      <c r="B1549" t="s">
        <v>64</v>
      </c>
      <c r="C1549" t="s">
        <v>1489</v>
      </c>
      <c r="D1549" t="s">
        <v>1490</v>
      </c>
      <c r="E1549" t="s">
        <v>64</v>
      </c>
      <c r="F1549" t="s">
        <v>94</v>
      </c>
      <c r="G1549" t="s">
        <v>277</v>
      </c>
      <c r="H1549" s="12">
        <v>6.173</v>
      </c>
      <c r="I1549" s="12">
        <v>-75.454999999999998</v>
      </c>
      <c r="J1549" t="s">
        <v>96</v>
      </c>
      <c r="K1549" t="s">
        <v>1269</v>
      </c>
      <c r="L1549" t="s">
        <v>1270</v>
      </c>
      <c r="P1549" s="13">
        <v>184</v>
      </c>
      <c r="Q1549" s="13">
        <v>34.1</v>
      </c>
      <c r="R1549">
        <v>38</v>
      </c>
      <c r="S1549">
        <v>38</v>
      </c>
      <c r="T1549" s="13">
        <v>39.700000000000003</v>
      </c>
      <c r="U1549" s="13">
        <v>29.1</v>
      </c>
      <c r="V1549" t="s">
        <v>268</v>
      </c>
      <c r="W1549" t="s">
        <v>1271</v>
      </c>
      <c r="X1549" s="13"/>
    </row>
    <row r="1550" spans="1:24" x14ac:dyDescent="0.25">
      <c r="A1550" t="s">
        <v>1493</v>
      </c>
      <c r="B1550" t="s">
        <v>64</v>
      </c>
      <c r="C1550" t="s">
        <v>1489</v>
      </c>
      <c r="D1550" t="s">
        <v>1490</v>
      </c>
      <c r="E1550" t="s">
        <v>64</v>
      </c>
      <c r="F1550" t="s">
        <v>94</v>
      </c>
      <c r="G1550" t="s">
        <v>277</v>
      </c>
      <c r="H1550" s="12">
        <v>6.173</v>
      </c>
      <c r="I1550" s="12">
        <v>-75.454999999999998</v>
      </c>
      <c r="J1550" t="s">
        <v>96</v>
      </c>
      <c r="K1550" t="s">
        <v>97</v>
      </c>
      <c r="L1550" t="s">
        <v>1273</v>
      </c>
      <c r="P1550" s="13">
        <v>274.89999999999998</v>
      </c>
      <c r="Q1550" s="13">
        <v>63.4</v>
      </c>
      <c r="R1550">
        <v>42</v>
      </c>
      <c r="S1550">
        <v>62</v>
      </c>
      <c r="T1550" s="13">
        <v>56.9</v>
      </c>
      <c r="U1550" s="13">
        <v>41.8</v>
      </c>
      <c r="V1550" t="s">
        <v>99</v>
      </c>
      <c r="X1550" s="13">
        <v>274.89999999999998</v>
      </c>
    </row>
    <row r="1551" spans="1:24" x14ac:dyDescent="0.25">
      <c r="A1551" t="s">
        <v>1493</v>
      </c>
      <c r="B1551" t="s">
        <v>64</v>
      </c>
      <c r="C1551" t="s">
        <v>1489</v>
      </c>
      <c r="D1551" t="s">
        <v>1490</v>
      </c>
      <c r="E1551" t="s">
        <v>64</v>
      </c>
      <c r="F1551" t="s">
        <v>94</v>
      </c>
      <c r="G1551" t="s">
        <v>277</v>
      </c>
      <c r="H1551" s="12">
        <v>6.173</v>
      </c>
      <c r="I1551" s="12">
        <v>-75.454999999999998</v>
      </c>
      <c r="J1551" t="s">
        <v>96</v>
      </c>
      <c r="K1551" t="s">
        <v>1269</v>
      </c>
      <c r="L1551" t="s">
        <v>1270</v>
      </c>
      <c r="P1551" s="13">
        <v>292.10000000000002</v>
      </c>
      <c r="Q1551" s="13">
        <v>61</v>
      </c>
      <c r="R1551">
        <v>48</v>
      </c>
      <c r="S1551">
        <v>78</v>
      </c>
      <c r="T1551" s="13">
        <v>53.4</v>
      </c>
      <c r="U1551" s="13">
        <v>38.200000000000003</v>
      </c>
      <c r="V1551" t="s">
        <v>268</v>
      </c>
      <c r="W1551" t="s">
        <v>1271</v>
      </c>
      <c r="X1551" s="13"/>
    </row>
    <row r="1552" spans="1:24" x14ac:dyDescent="0.25">
      <c r="A1552" t="s">
        <v>1494</v>
      </c>
      <c r="B1552" t="s">
        <v>64</v>
      </c>
      <c r="C1552" t="s">
        <v>1489</v>
      </c>
      <c r="D1552" t="s">
        <v>1490</v>
      </c>
      <c r="E1552" t="s">
        <v>64</v>
      </c>
      <c r="F1552" t="s">
        <v>94</v>
      </c>
      <c r="G1552" t="s">
        <v>277</v>
      </c>
      <c r="H1552" s="12">
        <v>6.173</v>
      </c>
      <c r="I1552" s="12">
        <v>-75.454999999999998</v>
      </c>
      <c r="J1552" t="s">
        <v>96</v>
      </c>
      <c r="K1552" t="s">
        <v>97</v>
      </c>
      <c r="L1552" t="s">
        <v>1273</v>
      </c>
      <c r="P1552" s="13">
        <v>237.2</v>
      </c>
      <c r="Q1552" s="13">
        <v>61</v>
      </c>
      <c r="R1552">
        <v>34</v>
      </c>
      <c r="S1552">
        <v>54</v>
      </c>
      <c r="T1552" s="13">
        <v>39.700000000000003</v>
      </c>
      <c r="U1552" s="13">
        <v>50.9</v>
      </c>
      <c r="V1552" t="s">
        <v>99</v>
      </c>
      <c r="X1552" s="13">
        <v>237.2</v>
      </c>
    </row>
    <row r="1553" spans="1:24" x14ac:dyDescent="0.25">
      <c r="A1553" t="s">
        <v>1494</v>
      </c>
      <c r="B1553" t="s">
        <v>64</v>
      </c>
      <c r="C1553" t="s">
        <v>1489</v>
      </c>
      <c r="D1553" t="s">
        <v>1490</v>
      </c>
      <c r="E1553" t="s">
        <v>64</v>
      </c>
      <c r="F1553" t="s">
        <v>94</v>
      </c>
      <c r="G1553" t="s">
        <v>277</v>
      </c>
      <c r="H1553" s="12">
        <v>6.173</v>
      </c>
      <c r="I1553" s="12">
        <v>-75.454999999999998</v>
      </c>
      <c r="J1553" t="s">
        <v>96</v>
      </c>
      <c r="K1553" t="s">
        <v>1269</v>
      </c>
      <c r="L1553" t="s">
        <v>1270</v>
      </c>
      <c r="P1553" s="13">
        <v>256.3</v>
      </c>
      <c r="Q1553" s="13">
        <v>58.5</v>
      </c>
      <c r="R1553">
        <v>32</v>
      </c>
      <c r="S1553">
        <v>68</v>
      </c>
      <c r="T1553" s="13">
        <v>44.8</v>
      </c>
      <c r="U1553" s="13">
        <v>56.4</v>
      </c>
      <c r="V1553" t="s">
        <v>268</v>
      </c>
      <c r="W1553" t="s">
        <v>1271</v>
      </c>
      <c r="X1553" s="13"/>
    </row>
    <row r="1554" spans="1:24" x14ac:dyDescent="0.25">
      <c r="A1554" t="s">
        <v>1495</v>
      </c>
      <c r="B1554" t="s">
        <v>64</v>
      </c>
      <c r="C1554" t="s">
        <v>1489</v>
      </c>
      <c r="D1554" t="s">
        <v>1490</v>
      </c>
      <c r="E1554" t="s">
        <v>64</v>
      </c>
      <c r="F1554" t="s">
        <v>94</v>
      </c>
      <c r="G1554" t="s">
        <v>277</v>
      </c>
      <c r="H1554" s="12">
        <v>6.173</v>
      </c>
      <c r="I1554" s="12">
        <v>-75.454999999999998</v>
      </c>
      <c r="J1554" t="s">
        <v>96</v>
      </c>
      <c r="K1554" t="s">
        <v>97</v>
      </c>
      <c r="L1554" t="s">
        <v>1273</v>
      </c>
      <c r="P1554" s="13">
        <v>158</v>
      </c>
      <c r="Q1554" s="13">
        <v>43.9</v>
      </c>
      <c r="R1554">
        <v>24</v>
      </c>
      <c r="S1554">
        <v>34</v>
      </c>
      <c r="T1554" s="13">
        <v>24.1</v>
      </c>
      <c r="U1554" s="13">
        <v>32.700000000000003</v>
      </c>
      <c r="V1554" t="s">
        <v>99</v>
      </c>
      <c r="X1554" s="13">
        <v>158</v>
      </c>
    </row>
    <row r="1555" spans="1:24" x14ac:dyDescent="0.25">
      <c r="A1555" t="s">
        <v>1495</v>
      </c>
      <c r="B1555" t="s">
        <v>64</v>
      </c>
      <c r="C1555" t="s">
        <v>1489</v>
      </c>
      <c r="D1555" t="s">
        <v>1490</v>
      </c>
      <c r="E1555" t="s">
        <v>64</v>
      </c>
      <c r="F1555" t="s">
        <v>94</v>
      </c>
      <c r="G1555" t="s">
        <v>277</v>
      </c>
      <c r="H1555" s="12">
        <v>6.173</v>
      </c>
      <c r="I1555" s="12">
        <v>-75.454999999999998</v>
      </c>
      <c r="J1555" t="s">
        <v>96</v>
      </c>
      <c r="K1555" t="s">
        <v>1269</v>
      </c>
      <c r="L1555" t="s">
        <v>1270</v>
      </c>
      <c r="P1555" s="13">
        <v>160.4</v>
      </c>
      <c r="Q1555" s="13">
        <v>36.6</v>
      </c>
      <c r="R1555">
        <v>34</v>
      </c>
      <c r="S1555">
        <v>22</v>
      </c>
      <c r="T1555" s="13">
        <v>37.9</v>
      </c>
      <c r="U1555" s="13">
        <v>25.5</v>
      </c>
      <c r="V1555" t="s">
        <v>268</v>
      </c>
      <c r="W1555" t="s">
        <v>1271</v>
      </c>
      <c r="X1555" s="13"/>
    </row>
    <row r="1556" spans="1:24" x14ac:dyDescent="0.25">
      <c r="A1556" t="s">
        <v>1496</v>
      </c>
      <c r="B1556" t="s">
        <v>64</v>
      </c>
      <c r="C1556" t="s">
        <v>1489</v>
      </c>
      <c r="D1556" t="s">
        <v>1490</v>
      </c>
      <c r="E1556" t="s">
        <v>64</v>
      </c>
      <c r="F1556" t="s">
        <v>94</v>
      </c>
      <c r="G1556" t="s">
        <v>277</v>
      </c>
      <c r="H1556" s="12">
        <v>6.173</v>
      </c>
      <c r="I1556" s="12">
        <v>-75.454999999999998</v>
      </c>
      <c r="J1556" t="s">
        <v>96</v>
      </c>
      <c r="K1556" t="s">
        <v>97</v>
      </c>
      <c r="L1556" t="s">
        <v>1273</v>
      </c>
      <c r="P1556" s="13">
        <v>206.2</v>
      </c>
      <c r="Q1556" s="13">
        <v>48.8</v>
      </c>
      <c r="R1556">
        <v>28</v>
      </c>
      <c r="S1556">
        <v>48</v>
      </c>
      <c r="T1556" s="13">
        <v>44.8</v>
      </c>
      <c r="U1556" s="13">
        <v>27.3</v>
      </c>
      <c r="V1556" t="s">
        <v>99</v>
      </c>
      <c r="X1556" s="13">
        <v>206.2</v>
      </c>
    </row>
    <row r="1557" spans="1:24" x14ac:dyDescent="0.25">
      <c r="A1557" t="s">
        <v>1496</v>
      </c>
      <c r="B1557" t="s">
        <v>64</v>
      </c>
      <c r="C1557" t="s">
        <v>1489</v>
      </c>
      <c r="D1557" t="s">
        <v>1490</v>
      </c>
      <c r="E1557" t="s">
        <v>64</v>
      </c>
      <c r="F1557" t="s">
        <v>94</v>
      </c>
      <c r="G1557" t="s">
        <v>277</v>
      </c>
      <c r="H1557" s="12">
        <v>6.173</v>
      </c>
      <c r="I1557" s="12">
        <v>-75.454999999999998</v>
      </c>
      <c r="J1557" t="s">
        <v>96</v>
      </c>
      <c r="K1557" t="s">
        <v>1269</v>
      </c>
      <c r="L1557" t="s">
        <v>1270</v>
      </c>
      <c r="P1557" s="13">
        <v>221.5</v>
      </c>
      <c r="Q1557" s="13">
        <v>53.7</v>
      </c>
      <c r="R1557">
        <v>34</v>
      </c>
      <c r="S1557">
        <v>48</v>
      </c>
      <c r="T1557" s="13">
        <v>44.8</v>
      </c>
      <c r="U1557" s="13">
        <v>34.5</v>
      </c>
      <c r="V1557" t="s">
        <v>268</v>
      </c>
      <c r="W1557" t="s">
        <v>1271</v>
      </c>
      <c r="X1557" s="13"/>
    </row>
    <row r="1558" spans="1:24" x14ac:dyDescent="0.25">
      <c r="A1558" t="s">
        <v>1497</v>
      </c>
      <c r="B1558" t="s">
        <v>64</v>
      </c>
      <c r="C1558" t="s">
        <v>1489</v>
      </c>
      <c r="D1558" t="s">
        <v>1490</v>
      </c>
      <c r="E1558" t="s">
        <v>64</v>
      </c>
      <c r="F1558" t="s">
        <v>94</v>
      </c>
      <c r="G1558" t="s">
        <v>277</v>
      </c>
      <c r="H1558" s="12">
        <v>6.173</v>
      </c>
      <c r="I1558" s="12">
        <v>-75.454999999999998</v>
      </c>
      <c r="J1558" t="s">
        <v>96</v>
      </c>
      <c r="K1558" t="s">
        <v>97</v>
      </c>
      <c r="L1558" t="s">
        <v>1273</v>
      </c>
      <c r="P1558" s="13">
        <v>129.30000000000001</v>
      </c>
      <c r="Q1558" s="13">
        <v>53.7</v>
      </c>
      <c r="R1558">
        <v>16</v>
      </c>
      <c r="S1558">
        <v>20</v>
      </c>
      <c r="T1558" s="13">
        <v>22.4</v>
      </c>
      <c r="U1558" s="13">
        <v>0</v>
      </c>
      <c r="V1558" t="s">
        <v>99</v>
      </c>
      <c r="X1558" s="13">
        <v>129.30000000000001</v>
      </c>
    </row>
    <row r="1559" spans="1:24" x14ac:dyDescent="0.25">
      <c r="A1559" t="s">
        <v>1497</v>
      </c>
      <c r="B1559" t="s">
        <v>64</v>
      </c>
      <c r="C1559" t="s">
        <v>1489</v>
      </c>
      <c r="D1559" t="s">
        <v>1490</v>
      </c>
      <c r="E1559" t="s">
        <v>64</v>
      </c>
      <c r="F1559" t="s">
        <v>94</v>
      </c>
      <c r="G1559" t="s">
        <v>277</v>
      </c>
      <c r="H1559" s="12">
        <v>6.173</v>
      </c>
      <c r="I1559" s="12">
        <v>-75.454999999999998</v>
      </c>
      <c r="J1559" t="s">
        <v>96</v>
      </c>
      <c r="K1559" t="s">
        <v>1269</v>
      </c>
      <c r="L1559" t="s">
        <v>1270</v>
      </c>
      <c r="P1559" s="13">
        <v>256.39999999999998</v>
      </c>
      <c r="Q1559" s="13">
        <v>58.5</v>
      </c>
      <c r="R1559">
        <v>46</v>
      </c>
      <c r="S1559">
        <v>50</v>
      </c>
      <c r="T1559" s="13">
        <v>58.6</v>
      </c>
      <c r="U1559" s="13">
        <v>27.3</v>
      </c>
      <c r="V1559" t="s">
        <v>268</v>
      </c>
      <c r="W1559" t="s">
        <v>1271</v>
      </c>
      <c r="X1559" s="13"/>
    </row>
    <row r="1560" spans="1:24" x14ac:dyDescent="0.25">
      <c r="A1560" t="s">
        <v>1498</v>
      </c>
      <c r="B1560" t="s">
        <v>64</v>
      </c>
      <c r="C1560" t="s">
        <v>1489</v>
      </c>
      <c r="D1560" t="s">
        <v>1490</v>
      </c>
      <c r="E1560" t="s">
        <v>64</v>
      </c>
      <c r="F1560" t="s">
        <v>94</v>
      </c>
      <c r="G1560" t="s">
        <v>277</v>
      </c>
      <c r="H1560" s="12">
        <v>6.173</v>
      </c>
      <c r="I1560" s="12">
        <v>-75.454999999999998</v>
      </c>
      <c r="J1560" t="s">
        <v>96</v>
      </c>
      <c r="K1560" t="s">
        <v>97</v>
      </c>
      <c r="L1560" t="s">
        <v>1273</v>
      </c>
      <c r="P1560" s="13">
        <v>229.5</v>
      </c>
      <c r="Q1560" s="13">
        <v>56.1</v>
      </c>
      <c r="R1560">
        <v>28</v>
      </c>
      <c r="S1560">
        <v>52</v>
      </c>
      <c r="T1560" s="13">
        <v>48.3</v>
      </c>
      <c r="U1560" s="13">
        <v>43.6</v>
      </c>
      <c r="V1560" t="s">
        <v>99</v>
      </c>
      <c r="X1560" s="13">
        <v>229.5</v>
      </c>
    </row>
    <row r="1561" spans="1:24" x14ac:dyDescent="0.25">
      <c r="A1561" t="s">
        <v>1498</v>
      </c>
      <c r="B1561" t="s">
        <v>64</v>
      </c>
      <c r="C1561" t="s">
        <v>1489</v>
      </c>
      <c r="D1561" t="s">
        <v>1490</v>
      </c>
      <c r="E1561" t="s">
        <v>64</v>
      </c>
      <c r="F1561" t="s">
        <v>94</v>
      </c>
      <c r="G1561" t="s">
        <v>277</v>
      </c>
      <c r="H1561" s="12">
        <v>6.173</v>
      </c>
      <c r="I1561" s="12">
        <v>-75.454999999999998</v>
      </c>
      <c r="J1561" t="s">
        <v>96</v>
      </c>
      <c r="K1561" t="s">
        <v>1269</v>
      </c>
      <c r="L1561" t="s">
        <v>1270</v>
      </c>
      <c r="P1561" s="13">
        <v>269.39999999999998</v>
      </c>
      <c r="Q1561" s="13">
        <v>48.8</v>
      </c>
      <c r="R1561">
        <v>44</v>
      </c>
      <c r="S1561">
        <v>64</v>
      </c>
      <c r="T1561" s="13">
        <v>60.3</v>
      </c>
      <c r="U1561" s="13">
        <v>49.1</v>
      </c>
      <c r="V1561" t="s">
        <v>268</v>
      </c>
      <c r="W1561" t="s">
        <v>1271</v>
      </c>
      <c r="X1561" s="13"/>
    </row>
    <row r="1562" spans="1:24" x14ac:dyDescent="0.25">
      <c r="A1562" t="s">
        <v>1499</v>
      </c>
      <c r="B1562" t="s">
        <v>64</v>
      </c>
      <c r="C1562" t="s">
        <v>1489</v>
      </c>
      <c r="D1562" t="s">
        <v>1490</v>
      </c>
      <c r="E1562" t="s">
        <v>64</v>
      </c>
      <c r="F1562" t="s">
        <v>94</v>
      </c>
      <c r="G1562" t="s">
        <v>277</v>
      </c>
      <c r="H1562" s="12">
        <v>6.173</v>
      </c>
      <c r="I1562" s="12">
        <v>-75.454999999999998</v>
      </c>
      <c r="J1562" t="s">
        <v>96</v>
      </c>
      <c r="K1562" t="s">
        <v>97</v>
      </c>
      <c r="L1562" t="s">
        <v>1273</v>
      </c>
      <c r="P1562" s="13">
        <v>242</v>
      </c>
      <c r="Q1562" s="13">
        <v>65.900000000000006</v>
      </c>
      <c r="R1562">
        <v>48</v>
      </c>
      <c r="S1562">
        <v>44</v>
      </c>
      <c r="T1562" s="13">
        <v>37.9</v>
      </c>
      <c r="U1562" s="13">
        <v>41.8</v>
      </c>
      <c r="V1562" t="s">
        <v>99</v>
      </c>
      <c r="X1562" s="13">
        <v>242</v>
      </c>
    </row>
    <row r="1563" spans="1:24" x14ac:dyDescent="0.25">
      <c r="A1563" t="s">
        <v>1499</v>
      </c>
      <c r="B1563" t="s">
        <v>64</v>
      </c>
      <c r="C1563" t="s">
        <v>1489</v>
      </c>
      <c r="D1563" t="s">
        <v>1490</v>
      </c>
      <c r="E1563" t="s">
        <v>64</v>
      </c>
      <c r="F1563" t="s">
        <v>94</v>
      </c>
      <c r="G1563" t="s">
        <v>277</v>
      </c>
      <c r="H1563" s="12">
        <v>6.173</v>
      </c>
      <c r="I1563" s="12">
        <v>-75.454999999999998</v>
      </c>
      <c r="J1563" t="s">
        <v>96</v>
      </c>
      <c r="K1563" t="s">
        <v>1269</v>
      </c>
      <c r="L1563" t="s">
        <v>1270</v>
      </c>
      <c r="P1563" s="13">
        <v>220.8</v>
      </c>
      <c r="Q1563" s="13">
        <v>46.3</v>
      </c>
      <c r="R1563">
        <v>36</v>
      </c>
      <c r="S1563">
        <v>48</v>
      </c>
      <c r="T1563" s="13">
        <v>48.3</v>
      </c>
      <c r="U1563" s="13">
        <v>38.200000000000003</v>
      </c>
      <c r="V1563" t="s">
        <v>268</v>
      </c>
      <c r="W1563" t="s">
        <v>1271</v>
      </c>
      <c r="X1563" s="13"/>
    </row>
    <row r="1564" spans="1:24" x14ac:dyDescent="0.25">
      <c r="A1564" t="s">
        <v>1500</v>
      </c>
      <c r="B1564" t="s">
        <v>64</v>
      </c>
      <c r="C1564" t="s">
        <v>1489</v>
      </c>
      <c r="D1564" t="s">
        <v>1490</v>
      </c>
      <c r="E1564" t="s">
        <v>64</v>
      </c>
      <c r="F1564" t="s">
        <v>94</v>
      </c>
      <c r="G1564" t="s">
        <v>277</v>
      </c>
      <c r="H1564" s="12">
        <v>6.173</v>
      </c>
      <c r="I1564" s="12">
        <v>-75.454999999999998</v>
      </c>
      <c r="J1564" t="s">
        <v>96</v>
      </c>
      <c r="K1564" t="s">
        <v>97</v>
      </c>
      <c r="L1564" t="s">
        <v>1273</v>
      </c>
      <c r="P1564" s="13">
        <v>193.4</v>
      </c>
      <c r="Q1564" s="13">
        <v>58.5</v>
      </c>
      <c r="R1564">
        <v>28</v>
      </c>
      <c r="S1564">
        <v>38</v>
      </c>
      <c r="T1564" s="13">
        <v>32.799999999999997</v>
      </c>
      <c r="U1564" s="13">
        <v>30.9</v>
      </c>
      <c r="V1564" t="s">
        <v>99</v>
      </c>
      <c r="X1564" s="13">
        <v>193.4</v>
      </c>
    </row>
    <row r="1565" spans="1:24" x14ac:dyDescent="0.25">
      <c r="A1565" t="s">
        <v>1500</v>
      </c>
      <c r="B1565" t="s">
        <v>64</v>
      </c>
      <c r="C1565" t="s">
        <v>1489</v>
      </c>
      <c r="D1565" t="s">
        <v>1490</v>
      </c>
      <c r="E1565" t="s">
        <v>64</v>
      </c>
      <c r="F1565" t="s">
        <v>94</v>
      </c>
      <c r="G1565" t="s">
        <v>277</v>
      </c>
      <c r="H1565" s="12">
        <v>6.173</v>
      </c>
      <c r="I1565" s="12">
        <v>-75.454999999999998</v>
      </c>
      <c r="J1565" t="s">
        <v>96</v>
      </c>
      <c r="K1565" t="s">
        <v>1269</v>
      </c>
      <c r="L1565" t="s">
        <v>1270</v>
      </c>
      <c r="P1565" s="13">
        <v>234.2</v>
      </c>
      <c r="Q1565" s="13">
        <v>48.8</v>
      </c>
      <c r="R1565">
        <v>46</v>
      </c>
      <c r="S1565">
        <v>52</v>
      </c>
      <c r="T1565" s="13">
        <v>48.3</v>
      </c>
      <c r="U1565" s="13">
        <v>23.6</v>
      </c>
      <c r="V1565" t="s">
        <v>268</v>
      </c>
      <c r="W1565" t="s">
        <v>1271</v>
      </c>
      <c r="X1565" s="13"/>
    </row>
    <row r="1566" spans="1:24" x14ac:dyDescent="0.25">
      <c r="A1566" t="s">
        <v>1501</v>
      </c>
      <c r="B1566" t="s">
        <v>64</v>
      </c>
      <c r="C1566" t="s">
        <v>1489</v>
      </c>
      <c r="D1566" t="s">
        <v>1490</v>
      </c>
      <c r="E1566" t="s">
        <v>64</v>
      </c>
      <c r="F1566" t="s">
        <v>94</v>
      </c>
      <c r="G1566" t="s">
        <v>277</v>
      </c>
      <c r="H1566" s="12">
        <v>6.173</v>
      </c>
      <c r="I1566" s="12">
        <v>-75.454999999999998</v>
      </c>
      <c r="J1566" t="s">
        <v>96</v>
      </c>
      <c r="K1566" t="s">
        <v>97</v>
      </c>
      <c r="L1566" t="s">
        <v>1273</v>
      </c>
      <c r="P1566" s="13">
        <v>250.1</v>
      </c>
      <c r="Q1566" s="13">
        <v>56.1</v>
      </c>
      <c r="R1566">
        <v>32</v>
      </c>
      <c r="S1566">
        <v>52</v>
      </c>
      <c r="T1566" s="13">
        <v>50</v>
      </c>
      <c r="U1566" s="13">
        <v>80</v>
      </c>
      <c r="V1566" t="s">
        <v>99</v>
      </c>
      <c r="X1566" s="13">
        <v>250.1</v>
      </c>
    </row>
    <row r="1567" spans="1:24" x14ac:dyDescent="0.25">
      <c r="A1567" t="s">
        <v>1501</v>
      </c>
      <c r="B1567" t="s">
        <v>64</v>
      </c>
      <c r="C1567" t="s">
        <v>1489</v>
      </c>
      <c r="D1567" t="s">
        <v>1490</v>
      </c>
      <c r="E1567" t="s">
        <v>64</v>
      </c>
      <c r="F1567" t="s">
        <v>94</v>
      </c>
      <c r="G1567" t="s">
        <v>277</v>
      </c>
      <c r="H1567" s="12">
        <v>6.173</v>
      </c>
      <c r="I1567" s="12">
        <v>-75.454999999999998</v>
      </c>
      <c r="J1567" t="s">
        <v>96</v>
      </c>
      <c r="K1567" t="s">
        <v>1269</v>
      </c>
      <c r="L1567" t="s">
        <v>1270</v>
      </c>
      <c r="P1567" s="13">
        <v>316.3</v>
      </c>
      <c r="Q1567" s="13">
        <v>63.4</v>
      </c>
      <c r="R1567">
        <v>66</v>
      </c>
      <c r="S1567">
        <v>64</v>
      </c>
      <c r="T1567" s="13">
        <v>53.4</v>
      </c>
      <c r="U1567" s="13">
        <v>81.8</v>
      </c>
      <c r="V1567" t="s">
        <v>268</v>
      </c>
      <c r="W1567" t="s">
        <v>1271</v>
      </c>
      <c r="X1567" s="13"/>
    </row>
    <row r="1568" spans="1:24" x14ac:dyDescent="0.25">
      <c r="A1568" t="s">
        <v>1502</v>
      </c>
      <c r="B1568" t="s">
        <v>64</v>
      </c>
      <c r="C1568" t="s">
        <v>1489</v>
      </c>
      <c r="D1568" t="s">
        <v>1490</v>
      </c>
      <c r="E1568" t="s">
        <v>64</v>
      </c>
      <c r="F1568" t="s">
        <v>94</v>
      </c>
      <c r="G1568" t="s">
        <v>277</v>
      </c>
      <c r="H1568" s="12">
        <v>6.173</v>
      </c>
      <c r="I1568" s="12">
        <v>-75.454999999999998</v>
      </c>
      <c r="J1568" t="s">
        <v>96</v>
      </c>
      <c r="K1568" t="s">
        <v>97</v>
      </c>
      <c r="L1568" t="s">
        <v>1273</v>
      </c>
      <c r="P1568" s="13">
        <v>216.6</v>
      </c>
      <c r="Q1568" s="13">
        <v>58.5</v>
      </c>
      <c r="R1568">
        <v>28</v>
      </c>
      <c r="S1568">
        <v>46</v>
      </c>
      <c r="T1568" s="13">
        <v>43.1</v>
      </c>
      <c r="U1568" s="13">
        <v>36.4</v>
      </c>
      <c r="V1568" t="s">
        <v>99</v>
      </c>
      <c r="X1568" s="13">
        <v>216.6</v>
      </c>
    </row>
    <row r="1569" spans="1:24" x14ac:dyDescent="0.25">
      <c r="A1569" t="s">
        <v>1502</v>
      </c>
      <c r="B1569" t="s">
        <v>64</v>
      </c>
      <c r="C1569" t="s">
        <v>1489</v>
      </c>
      <c r="D1569" t="s">
        <v>1490</v>
      </c>
      <c r="E1569" t="s">
        <v>64</v>
      </c>
      <c r="F1569" t="s">
        <v>94</v>
      </c>
      <c r="G1569" t="s">
        <v>277</v>
      </c>
      <c r="H1569" s="12">
        <v>6.173</v>
      </c>
      <c r="I1569" s="12">
        <v>-75.454999999999998</v>
      </c>
      <c r="J1569" t="s">
        <v>96</v>
      </c>
      <c r="K1569" t="s">
        <v>1269</v>
      </c>
      <c r="L1569" t="s">
        <v>1270</v>
      </c>
      <c r="P1569" s="13">
        <v>230</v>
      </c>
      <c r="Q1569" s="13">
        <v>51.2</v>
      </c>
      <c r="R1569">
        <v>34</v>
      </c>
      <c r="S1569">
        <v>58</v>
      </c>
      <c r="T1569" s="13">
        <v>48.3</v>
      </c>
      <c r="U1569" s="13">
        <v>23.6</v>
      </c>
      <c r="V1569" t="s">
        <v>268</v>
      </c>
      <c r="W1569" t="s">
        <v>1271</v>
      </c>
      <c r="X1569" s="13"/>
    </row>
    <row r="1570" spans="1:24" x14ac:dyDescent="0.25">
      <c r="A1570" t="s">
        <v>1503</v>
      </c>
      <c r="B1570" t="s">
        <v>64</v>
      </c>
      <c r="C1570" t="s">
        <v>1504</v>
      </c>
      <c r="D1570" t="s">
        <v>1505</v>
      </c>
      <c r="E1570" t="s">
        <v>64</v>
      </c>
      <c r="F1570" t="s">
        <v>94</v>
      </c>
      <c r="G1570" t="s">
        <v>277</v>
      </c>
      <c r="H1570" s="12">
        <v>6.2460000000000004</v>
      </c>
      <c r="I1570" s="12">
        <v>-75.561000000000007</v>
      </c>
      <c r="J1570" t="s">
        <v>129</v>
      </c>
      <c r="K1570" t="s">
        <v>97</v>
      </c>
      <c r="L1570" t="s">
        <v>1273</v>
      </c>
      <c r="P1570" s="13">
        <v>170.9</v>
      </c>
      <c r="Q1570" s="13">
        <v>46.3</v>
      </c>
      <c r="R1570">
        <v>34</v>
      </c>
      <c r="S1570">
        <v>30</v>
      </c>
      <c r="T1570" s="13">
        <v>29.3</v>
      </c>
      <c r="U1570" s="13">
        <v>25.5</v>
      </c>
      <c r="V1570" t="s">
        <v>99</v>
      </c>
      <c r="X1570" s="13">
        <v>170.9</v>
      </c>
    </row>
    <row r="1571" spans="1:24" x14ac:dyDescent="0.25">
      <c r="A1571" t="s">
        <v>1503</v>
      </c>
      <c r="B1571" t="s">
        <v>64</v>
      </c>
      <c r="C1571" t="s">
        <v>1504</v>
      </c>
      <c r="D1571" t="s">
        <v>1505</v>
      </c>
      <c r="E1571" t="s">
        <v>64</v>
      </c>
      <c r="F1571" t="s">
        <v>94</v>
      </c>
      <c r="G1571" t="s">
        <v>277</v>
      </c>
      <c r="H1571" s="12">
        <v>6.2460000000000004</v>
      </c>
      <c r="I1571" s="12">
        <v>-75.561000000000007</v>
      </c>
      <c r="J1571" t="s">
        <v>129</v>
      </c>
      <c r="K1571" t="s">
        <v>1269</v>
      </c>
      <c r="L1571" t="s">
        <v>1270</v>
      </c>
      <c r="P1571" s="13">
        <v>112.2</v>
      </c>
      <c r="Q1571" s="13">
        <v>39</v>
      </c>
      <c r="R1571">
        <v>12</v>
      </c>
      <c r="S1571">
        <v>10</v>
      </c>
      <c r="T1571" s="13">
        <v>36.200000000000003</v>
      </c>
      <c r="U1571" s="13">
        <v>0</v>
      </c>
      <c r="V1571" t="s">
        <v>268</v>
      </c>
      <c r="W1571" t="s">
        <v>1271</v>
      </c>
      <c r="X1571" s="13"/>
    </row>
    <row r="1572" spans="1:24" x14ac:dyDescent="0.25">
      <c r="A1572" t="s">
        <v>1506</v>
      </c>
      <c r="B1572" t="s">
        <v>64</v>
      </c>
      <c r="C1572" t="s">
        <v>1504</v>
      </c>
      <c r="D1572" t="s">
        <v>1505</v>
      </c>
      <c r="E1572" t="s">
        <v>64</v>
      </c>
      <c r="F1572" t="s">
        <v>94</v>
      </c>
      <c r="G1572" t="s">
        <v>277</v>
      </c>
      <c r="H1572" s="12">
        <v>6.2460000000000004</v>
      </c>
      <c r="I1572" s="12">
        <v>-75.561000000000007</v>
      </c>
      <c r="J1572" t="s">
        <v>129</v>
      </c>
      <c r="K1572" t="s">
        <v>97</v>
      </c>
      <c r="L1572" t="s">
        <v>1273</v>
      </c>
      <c r="P1572" s="13">
        <v>161.1</v>
      </c>
      <c r="Q1572" s="13">
        <v>48.8</v>
      </c>
      <c r="R1572">
        <v>24</v>
      </c>
      <c r="S1572">
        <v>26</v>
      </c>
      <c r="T1572" s="13">
        <v>29.3</v>
      </c>
      <c r="U1572" s="13">
        <v>34.5</v>
      </c>
      <c r="V1572" t="s">
        <v>99</v>
      </c>
      <c r="X1572" s="13">
        <v>161.1</v>
      </c>
    </row>
    <row r="1573" spans="1:24" x14ac:dyDescent="0.25">
      <c r="A1573" t="s">
        <v>1506</v>
      </c>
      <c r="B1573" t="s">
        <v>64</v>
      </c>
      <c r="C1573" t="s">
        <v>1504</v>
      </c>
      <c r="D1573" t="s">
        <v>1505</v>
      </c>
      <c r="E1573" t="s">
        <v>64</v>
      </c>
      <c r="F1573" t="s">
        <v>94</v>
      </c>
      <c r="G1573" t="s">
        <v>277</v>
      </c>
      <c r="H1573" s="12">
        <v>6.2460000000000004</v>
      </c>
      <c r="I1573" s="12">
        <v>-75.561000000000007</v>
      </c>
      <c r="J1573" t="s">
        <v>129</v>
      </c>
      <c r="K1573" t="s">
        <v>1269</v>
      </c>
      <c r="L1573" t="s">
        <v>1270</v>
      </c>
      <c r="P1573" s="13">
        <v>171.5</v>
      </c>
      <c r="Q1573" s="13">
        <v>39</v>
      </c>
      <c r="R1573">
        <v>20</v>
      </c>
      <c r="S1573">
        <v>24</v>
      </c>
      <c r="T1573" s="13">
        <v>53.4</v>
      </c>
      <c r="U1573" s="13">
        <v>36.4</v>
      </c>
      <c r="V1573" t="s">
        <v>268</v>
      </c>
      <c r="W1573" t="s">
        <v>1271</v>
      </c>
      <c r="X1573" s="13"/>
    </row>
    <row r="1574" spans="1:24" x14ac:dyDescent="0.25">
      <c r="A1574" t="s">
        <v>1507</v>
      </c>
      <c r="B1574" t="s">
        <v>64</v>
      </c>
      <c r="C1574" t="s">
        <v>1504</v>
      </c>
      <c r="D1574" t="s">
        <v>1505</v>
      </c>
      <c r="E1574" t="s">
        <v>64</v>
      </c>
      <c r="F1574" t="s">
        <v>94</v>
      </c>
      <c r="G1574" t="s">
        <v>277</v>
      </c>
      <c r="H1574" s="12">
        <v>6.2460000000000004</v>
      </c>
      <c r="I1574" s="12">
        <v>-75.561000000000007</v>
      </c>
      <c r="J1574" t="s">
        <v>129</v>
      </c>
      <c r="K1574" t="s">
        <v>97</v>
      </c>
      <c r="L1574" t="s">
        <v>1273</v>
      </c>
      <c r="P1574" s="13">
        <v>239</v>
      </c>
      <c r="Q1574" s="13">
        <v>63.4</v>
      </c>
      <c r="R1574">
        <v>26</v>
      </c>
      <c r="S1574">
        <v>48</v>
      </c>
      <c r="T1574" s="13">
        <v>44.8</v>
      </c>
      <c r="U1574" s="13">
        <v>74.5</v>
      </c>
      <c r="V1574" t="s">
        <v>99</v>
      </c>
      <c r="X1574" s="13">
        <v>239</v>
      </c>
    </row>
    <row r="1575" spans="1:24" x14ac:dyDescent="0.25">
      <c r="A1575" t="s">
        <v>1507</v>
      </c>
      <c r="B1575" t="s">
        <v>64</v>
      </c>
      <c r="C1575" t="s">
        <v>1504</v>
      </c>
      <c r="D1575" t="s">
        <v>1505</v>
      </c>
      <c r="E1575" t="s">
        <v>64</v>
      </c>
      <c r="F1575" t="s">
        <v>94</v>
      </c>
      <c r="G1575" t="s">
        <v>277</v>
      </c>
      <c r="H1575" s="12">
        <v>6.2460000000000004</v>
      </c>
      <c r="I1575" s="12">
        <v>-75.561000000000007</v>
      </c>
      <c r="J1575" t="s">
        <v>129</v>
      </c>
      <c r="K1575" t="s">
        <v>1269</v>
      </c>
      <c r="L1575" t="s">
        <v>1270</v>
      </c>
      <c r="P1575" s="13">
        <v>233.3</v>
      </c>
      <c r="Q1575" s="13">
        <v>46.3</v>
      </c>
      <c r="R1575">
        <v>26</v>
      </c>
      <c r="S1575">
        <v>60</v>
      </c>
      <c r="T1575" s="13">
        <v>41.4</v>
      </c>
      <c r="U1575" s="13">
        <v>85.5</v>
      </c>
      <c r="V1575" t="s">
        <v>268</v>
      </c>
      <c r="W1575" t="s">
        <v>1271</v>
      </c>
      <c r="X1575" s="13"/>
    </row>
    <row r="1576" spans="1:24" x14ac:dyDescent="0.25">
      <c r="A1576" t="s">
        <v>1508</v>
      </c>
      <c r="B1576" t="s">
        <v>64</v>
      </c>
      <c r="C1576" t="s">
        <v>1504</v>
      </c>
      <c r="D1576" t="s">
        <v>1505</v>
      </c>
      <c r="E1576" t="s">
        <v>64</v>
      </c>
      <c r="F1576" t="s">
        <v>94</v>
      </c>
      <c r="G1576" t="s">
        <v>277</v>
      </c>
      <c r="H1576" s="12">
        <v>6.2460000000000004</v>
      </c>
      <c r="I1576" s="12">
        <v>-75.561000000000007</v>
      </c>
      <c r="J1576" t="s">
        <v>129</v>
      </c>
      <c r="K1576" t="s">
        <v>97</v>
      </c>
      <c r="L1576" t="s">
        <v>1273</v>
      </c>
      <c r="P1576" s="13">
        <v>242.3</v>
      </c>
      <c r="Q1576" s="13">
        <v>58.5</v>
      </c>
      <c r="R1576">
        <v>42</v>
      </c>
      <c r="S1576">
        <v>48</v>
      </c>
      <c r="T1576" s="13">
        <v>39.700000000000003</v>
      </c>
      <c r="U1576" s="13">
        <v>65.5</v>
      </c>
      <c r="V1576" t="s">
        <v>99</v>
      </c>
      <c r="X1576" s="13">
        <v>242.3</v>
      </c>
    </row>
    <row r="1577" spans="1:24" x14ac:dyDescent="0.25">
      <c r="A1577" t="s">
        <v>1508</v>
      </c>
      <c r="B1577" t="s">
        <v>64</v>
      </c>
      <c r="C1577" t="s">
        <v>1504</v>
      </c>
      <c r="D1577" t="s">
        <v>1505</v>
      </c>
      <c r="E1577" t="s">
        <v>64</v>
      </c>
      <c r="F1577" t="s">
        <v>94</v>
      </c>
      <c r="G1577" t="s">
        <v>277</v>
      </c>
      <c r="H1577" s="12">
        <v>6.2460000000000004</v>
      </c>
      <c r="I1577" s="12">
        <v>-75.561000000000007</v>
      </c>
      <c r="J1577" t="s">
        <v>129</v>
      </c>
      <c r="K1577" t="s">
        <v>1269</v>
      </c>
      <c r="L1577" t="s">
        <v>1270</v>
      </c>
      <c r="P1577" s="13">
        <v>312.89999999999998</v>
      </c>
      <c r="Q1577" s="13">
        <v>53.7</v>
      </c>
      <c r="R1577">
        <v>74</v>
      </c>
      <c r="S1577">
        <v>66</v>
      </c>
      <c r="T1577" s="13">
        <v>56.9</v>
      </c>
      <c r="U1577" s="13">
        <v>61.8</v>
      </c>
      <c r="V1577" t="s">
        <v>268</v>
      </c>
      <c r="W1577" t="s">
        <v>1271</v>
      </c>
      <c r="X1577" s="13"/>
    </row>
    <row r="1578" spans="1:24" x14ac:dyDescent="0.25">
      <c r="A1578" t="s">
        <v>1509</v>
      </c>
      <c r="B1578" t="s">
        <v>64</v>
      </c>
      <c r="C1578" t="s">
        <v>1504</v>
      </c>
      <c r="D1578" t="s">
        <v>1505</v>
      </c>
      <c r="E1578" t="s">
        <v>64</v>
      </c>
      <c r="F1578" t="s">
        <v>94</v>
      </c>
      <c r="G1578" t="s">
        <v>277</v>
      </c>
      <c r="H1578" s="12">
        <v>6.2460000000000004</v>
      </c>
      <c r="I1578" s="12">
        <v>-75.561000000000007</v>
      </c>
      <c r="J1578" t="s">
        <v>129</v>
      </c>
      <c r="K1578" t="s">
        <v>97</v>
      </c>
      <c r="L1578" t="s">
        <v>1273</v>
      </c>
      <c r="P1578" s="13">
        <v>214.6</v>
      </c>
      <c r="Q1578" s="13">
        <v>34.1</v>
      </c>
      <c r="R1578">
        <v>34</v>
      </c>
      <c r="S1578">
        <v>48</v>
      </c>
      <c r="T1578" s="13">
        <v>53.4</v>
      </c>
      <c r="U1578" s="13">
        <v>49.1</v>
      </c>
      <c r="V1578" t="s">
        <v>99</v>
      </c>
      <c r="X1578" s="13">
        <v>214.6</v>
      </c>
    </row>
    <row r="1579" spans="1:24" x14ac:dyDescent="0.25">
      <c r="A1579" t="s">
        <v>1509</v>
      </c>
      <c r="B1579" t="s">
        <v>64</v>
      </c>
      <c r="C1579" t="s">
        <v>1504</v>
      </c>
      <c r="D1579" t="s">
        <v>1505</v>
      </c>
      <c r="E1579" t="s">
        <v>64</v>
      </c>
      <c r="F1579" t="s">
        <v>94</v>
      </c>
      <c r="G1579" t="s">
        <v>277</v>
      </c>
      <c r="H1579" s="12">
        <v>6.2460000000000004</v>
      </c>
      <c r="I1579" s="12">
        <v>-75.561000000000007</v>
      </c>
      <c r="J1579" t="s">
        <v>129</v>
      </c>
      <c r="K1579" t="s">
        <v>1269</v>
      </c>
      <c r="L1579" t="s">
        <v>1270</v>
      </c>
      <c r="P1579" s="13">
        <v>149.4</v>
      </c>
      <c r="Q1579" s="13">
        <v>48.8</v>
      </c>
      <c r="R1579">
        <v>28</v>
      </c>
      <c r="S1579">
        <v>32</v>
      </c>
      <c r="T1579" s="13">
        <v>20.7</v>
      </c>
      <c r="U1579" s="13">
        <v>0</v>
      </c>
      <c r="V1579" t="s">
        <v>268</v>
      </c>
      <c r="W1579" t="s">
        <v>1271</v>
      </c>
      <c r="X1579" s="13"/>
    </row>
    <row r="1580" spans="1:24" x14ac:dyDescent="0.25">
      <c r="A1580" t="s">
        <v>1510</v>
      </c>
      <c r="B1580" t="s">
        <v>64</v>
      </c>
      <c r="C1580" t="s">
        <v>1504</v>
      </c>
      <c r="D1580" t="s">
        <v>1505</v>
      </c>
      <c r="E1580" t="s">
        <v>64</v>
      </c>
      <c r="F1580" t="s">
        <v>94</v>
      </c>
      <c r="G1580" t="s">
        <v>277</v>
      </c>
      <c r="H1580" s="12">
        <v>6.2460000000000004</v>
      </c>
      <c r="I1580" s="12">
        <v>-75.561000000000007</v>
      </c>
      <c r="J1580" t="s">
        <v>129</v>
      </c>
      <c r="K1580" t="s">
        <v>97</v>
      </c>
      <c r="L1580" t="s">
        <v>1273</v>
      </c>
      <c r="P1580" s="13">
        <v>263.7</v>
      </c>
      <c r="Q1580" s="13">
        <v>68.3</v>
      </c>
      <c r="R1580">
        <v>20</v>
      </c>
      <c r="S1580">
        <v>44</v>
      </c>
      <c r="T1580" s="13">
        <v>69</v>
      </c>
      <c r="U1580" s="13">
        <v>81.8</v>
      </c>
      <c r="V1580" t="s">
        <v>99</v>
      </c>
      <c r="X1580" s="13">
        <v>263.7</v>
      </c>
    </row>
    <row r="1581" spans="1:24" x14ac:dyDescent="0.25">
      <c r="A1581" t="s">
        <v>1510</v>
      </c>
      <c r="B1581" t="s">
        <v>64</v>
      </c>
      <c r="C1581" t="s">
        <v>1504</v>
      </c>
      <c r="D1581" t="s">
        <v>1505</v>
      </c>
      <c r="E1581" t="s">
        <v>64</v>
      </c>
      <c r="F1581" t="s">
        <v>94</v>
      </c>
      <c r="G1581" t="s">
        <v>277</v>
      </c>
      <c r="H1581" s="12">
        <v>6.2460000000000004</v>
      </c>
      <c r="I1581" s="12">
        <v>-75.561000000000007</v>
      </c>
      <c r="J1581" t="s">
        <v>129</v>
      </c>
      <c r="K1581" t="s">
        <v>1269</v>
      </c>
      <c r="L1581" t="s">
        <v>1270</v>
      </c>
      <c r="P1581" s="13">
        <v>332.3</v>
      </c>
      <c r="Q1581" s="13">
        <v>56.1</v>
      </c>
      <c r="R1581">
        <v>54</v>
      </c>
      <c r="S1581">
        <v>76</v>
      </c>
      <c r="T1581" s="13">
        <v>75.900000000000006</v>
      </c>
      <c r="U1581" s="13">
        <v>78.2</v>
      </c>
      <c r="V1581" t="s">
        <v>268</v>
      </c>
      <c r="W1581" t="s">
        <v>1271</v>
      </c>
      <c r="X1581" s="13"/>
    </row>
    <row r="1582" spans="1:24" x14ac:dyDescent="0.25">
      <c r="A1582" t="s">
        <v>1511</v>
      </c>
      <c r="B1582" t="s">
        <v>64</v>
      </c>
      <c r="C1582" t="s">
        <v>1504</v>
      </c>
      <c r="D1582" t="s">
        <v>1505</v>
      </c>
      <c r="E1582" t="s">
        <v>64</v>
      </c>
      <c r="F1582" t="s">
        <v>94</v>
      </c>
      <c r="G1582" t="s">
        <v>277</v>
      </c>
      <c r="H1582" s="12">
        <v>6.2460000000000004</v>
      </c>
      <c r="I1582" s="12">
        <v>-75.561000000000007</v>
      </c>
      <c r="J1582" t="s">
        <v>129</v>
      </c>
      <c r="K1582" t="s">
        <v>97</v>
      </c>
      <c r="L1582" t="s">
        <v>1273</v>
      </c>
      <c r="P1582" s="13">
        <v>221.3</v>
      </c>
      <c r="Q1582" s="13">
        <v>43.9</v>
      </c>
      <c r="R1582">
        <v>32</v>
      </c>
      <c r="S1582">
        <v>32</v>
      </c>
      <c r="T1582" s="13">
        <v>62.1</v>
      </c>
      <c r="U1582" s="13">
        <v>65.5</v>
      </c>
      <c r="V1582" t="s">
        <v>99</v>
      </c>
      <c r="X1582" s="13">
        <v>221.3</v>
      </c>
    </row>
    <row r="1583" spans="1:24" x14ac:dyDescent="0.25">
      <c r="A1583" t="s">
        <v>1511</v>
      </c>
      <c r="B1583" t="s">
        <v>64</v>
      </c>
      <c r="C1583" t="s">
        <v>1504</v>
      </c>
      <c r="D1583" t="s">
        <v>1505</v>
      </c>
      <c r="E1583" t="s">
        <v>64</v>
      </c>
      <c r="F1583" t="s">
        <v>94</v>
      </c>
      <c r="G1583" t="s">
        <v>277</v>
      </c>
      <c r="H1583" s="12">
        <v>6.2460000000000004</v>
      </c>
      <c r="I1583" s="12">
        <v>-75.561000000000007</v>
      </c>
      <c r="J1583" t="s">
        <v>129</v>
      </c>
      <c r="K1583" t="s">
        <v>1269</v>
      </c>
      <c r="L1583" t="s">
        <v>1270</v>
      </c>
      <c r="P1583" s="13">
        <v>170</v>
      </c>
      <c r="Q1583" s="13">
        <v>48.8</v>
      </c>
      <c r="R1583">
        <v>16</v>
      </c>
      <c r="S1583">
        <v>34</v>
      </c>
      <c r="T1583" s="13">
        <v>32.799999999999997</v>
      </c>
      <c r="U1583" s="13">
        <v>47.3</v>
      </c>
      <c r="V1583" t="s">
        <v>268</v>
      </c>
      <c r="W1583" t="s">
        <v>1271</v>
      </c>
      <c r="X1583" s="13"/>
    </row>
    <row r="1584" spans="1:24" x14ac:dyDescent="0.25">
      <c r="A1584" t="s">
        <v>1512</v>
      </c>
      <c r="B1584" t="s">
        <v>64</v>
      </c>
      <c r="C1584" t="s">
        <v>1504</v>
      </c>
      <c r="D1584" t="s">
        <v>1505</v>
      </c>
      <c r="E1584" t="s">
        <v>64</v>
      </c>
      <c r="F1584" t="s">
        <v>94</v>
      </c>
      <c r="G1584" t="s">
        <v>277</v>
      </c>
      <c r="H1584" s="12">
        <v>6.2460000000000004</v>
      </c>
      <c r="I1584" s="12">
        <v>-75.561000000000007</v>
      </c>
      <c r="J1584" t="s">
        <v>129</v>
      </c>
      <c r="K1584" t="s">
        <v>97</v>
      </c>
      <c r="L1584" t="s">
        <v>1273</v>
      </c>
      <c r="P1584" s="13">
        <v>147.9</v>
      </c>
      <c r="Q1584" s="13">
        <v>41.5</v>
      </c>
      <c r="R1584">
        <v>30</v>
      </c>
      <c r="S1584">
        <v>20</v>
      </c>
      <c r="T1584" s="13">
        <v>27.6</v>
      </c>
      <c r="U1584" s="13">
        <v>27.3</v>
      </c>
      <c r="V1584" t="s">
        <v>99</v>
      </c>
      <c r="X1584" s="13">
        <v>147.9</v>
      </c>
    </row>
    <row r="1585" spans="1:24" x14ac:dyDescent="0.25">
      <c r="A1585" t="s">
        <v>1512</v>
      </c>
      <c r="B1585" t="s">
        <v>64</v>
      </c>
      <c r="C1585" t="s">
        <v>1504</v>
      </c>
      <c r="D1585" t="s">
        <v>1505</v>
      </c>
      <c r="E1585" t="s">
        <v>64</v>
      </c>
      <c r="F1585" t="s">
        <v>94</v>
      </c>
      <c r="G1585" t="s">
        <v>277</v>
      </c>
      <c r="H1585" s="12">
        <v>6.2460000000000004</v>
      </c>
      <c r="I1585" s="12">
        <v>-75.561000000000007</v>
      </c>
      <c r="J1585" t="s">
        <v>129</v>
      </c>
      <c r="K1585" t="s">
        <v>1269</v>
      </c>
      <c r="L1585" t="s">
        <v>1270</v>
      </c>
      <c r="P1585" s="13">
        <v>147.1</v>
      </c>
      <c r="Q1585" s="13">
        <v>36.6</v>
      </c>
      <c r="R1585">
        <v>38</v>
      </c>
      <c r="S1585">
        <v>14</v>
      </c>
      <c r="T1585" s="13">
        <v>31</v>
      </c>
      <c r="U1585" s="13">
        <v>23.6</v>
      </c>
      <c r="V1585" t="s">
        <v>268</v>
      </c>
      <c r="W1585" t="s">
        <v>1271</v>
      </c>
      <c r="X1585" s="13"/>
    </row>
    <row r="1586" spans="1:24" x14ac:dyDescent="0.25">
      <c r="A1586" t="s">
        <v>1513</v>
      </c>
      <c r="B1586" t="s">
        <v>64</v>
      </c>
      <c r="C1586" t="s">
        <v>1504</v>
      </c>
      <c r="D1586" t="s">
        <v>1505</v>
      </c>
      <c r="E1586" t="s">
        <v>64</v>
      </c>
      <c r="F1586" t="s">
        <v>94</v>
      </c>
      <c r="G1586" t="s">
        <v>277</v>
      </c>
      <c r="H1586" s="12">
        <v>6.2460000000000004</v>
      </c>
      <c r="I1586" s="12">
        <v>-75.561000000000007</v>
      </c>
      <c r="J1586" t="s">
        <v>129</v>
      </c>
      <c r="K1586" t="s">
        <v>97</v>
      </c>
      <c r="L1586" t="s">
        <v>1273</v>
      </c>
      <c r="P1586" s="13">
        <v>217.6</v>
      </c>
      <c r="Q1586" s="13">
        <v>75.599999999999994</v>
      </c>
      <c r="R1586">
        <v>32</v>
      </c>
      <c r="S1586">
        <v>30</v>
      </c>
      <c r="T1586" s="13">
        <v>32.799999999999997</v>
      </c>
      <c r="U1586" s="13">
        <v>54.5</v>
      </c>
      <c r="V1586" t="s">
        <v>99</v>
      </c>
      <c r="X1586" s="13">
        <v>217.6</v>
      </c>
    </row>
    <row r="1587" spans="1:24" x14ac:dyDescent="0.25">
      <c r="A1587" t="s">
        <v>1513</v>
      </c>
      <c r="B1587" t="s">
        <v>64</v>
      </c>
      <c r="C1587" t="s">
        <v>1504</v>
      </c>
      <c r="D1587" t="s">
        <v>1505</v>
      </c>
      <c r="E1587" t="s">
        <v>64</v>
      </c>
      <c r="F1587" t="s">
        <v>94</v>
      </c>
      <c r="G1587" t="s">
        <v>277</v>
      </c>
      <c r="H1587" s="12">
        <v>6.2460000000000004</v>
      </c>
      <c r="I1587" s="12">
        <v>-75.561000000000007</v>
      </c>
      <c r="J1587" t="s">
        <v>129</v>
      </c>
      <c r="K1587" t="s">
        <v>1269</v>
      </c>
      <c r="L1587" t="s">
        <v>1270</v>
      </c>
      <c r="P1587" s="13">
        <v>215.6</v>
      </c>
      <c r="Q1587" s="13">
        <v>48.8</v>
      </c>
      <c r="R1587">
        <v>26</v>
      </c>
      <c r="S1587">
        <v>48</v>
      </c>
      <c r="T1587" s="13">
        <v>48.3</v>
      </c>
      <c r="U1587" s="13">
        <v>47.3</v>
      </c>
      <c r="V1587" t="s">
        <v>268</v>
      </c>
      <c r="W1587" t="s">
        <v>1271</v>
      </c>
      <c r="X1587" s="13"/>
    </row>
    <row r="1588" spans="1:24" x14ac:dyDescent="0.25">
      <c r="A1588" t="s">
        <v>1514</v>
      </c>
      <c r="B1588" t="s">
        <v>64</v>
      </c>
      <c r="C1588" t="s">
        <v>1504</v>
      </c>
      <c r="D1588" t="s">
        <v>1505</v>
      </c>
      <c r="E1588" t="s">
        <v>64</v>
      </c>
      <c r="F1588" t="s">
        <v>94</v>
      </c>
      <c r="G1588" t="s">
        <v>277</v>
      </c>
      <c r="H1588" s="12">
        <v>6.2460000000000004</v>
      </c>
      <c r="I1588" s="12">
        <v>-75.561000000000007</v>
      </c>
      <c r="J1588" t="s">
        <v>129</v>
      </c>
      <c r="K1588" t="s">
        <v>97</v>
      </c>
      <c r="L1588" t="s">
        <v>1273</v>
      </c>
      <c r="P1588" s="13">
        <v>260.5</v>
      </c>
      <c r="Q1588" s="13">
        <v>63.4</v>
      </c>
      <c r="R1588">
        <v>44</v>
      </c>
      <c r="S1588">
        <v>54</v>
      </c>
      <c r="T1588" s="13">
        <v>43.1</v>
      </c>
      <c r="U1588" s="13">
        <v>63.6</v>
      </c>
      <c r="V1588" t="s">
        <v>99</v>
      </c>
      <c r="X1588" s="13">
        <v>260.5</v>
      </c>
    </row>
    <row r="1589" spans="1:24" x14ac:dyDescent="0.25">
      <c r="A1589" t="s">
        <v>1514</v>
      </c>
      <c r="B1589" t="s">
        <v>64</v>
      </c>
      <c r="C1589" t="s">
        <v>1504</v>
      </c>
      <c r="D1589" t="s">
        <v>1505</v>
      </c>
      <c r="E1589" t="s">
        <v>64</v>
      </c>
      <c r="F1589" t="s">
        <v>94</v>
      </c>
      <c r="G1589" t="s">
        <v>277</v>
      </c>
      <c r="H1589" s="12">
        <v>6.2460000000000004</v>
      </c>
      <c r="I1589" s="12">
        <v>-75.561000000000007</v>
      </c>
      <c r="J1589" t="s">
        <v>129</v>
      </c>
      <c r="K1589" t="s">
        <v>1269</v>
      </c>
      <c r="L1589" t="s">
        <v>1270</v>
      </c>
      <c r="P1589" s="13">
        <v>284.60000000000002</v>
      </c>
      <c r="Q1589" s="13">
        <v>51.2</v>
      </c>
      <c r="R1589">
        <v>56</v>
      </c>
      <c r="S1589">
        <v>62</v>
      </c>
      <c r="T1589" s="13">
        <v>58.6</v>
      </c>
      <c r="U1589" s="13">
        <v>56.4</v>
      </c>
      <c r="V1589" t="s">
        <v>268</v>
      </c>
      <c r="W1589" t="s">
        <v>1271</v>
      </c>
      <c r="X1589" s="13"/>
    </row>
    <row r="1590" spans="1:24" x14ac:dyDescent="0.25">
      <c r="A1590" t="s">
        <v>1515</v>
      </c>
      <c r="B1590" t="s">
        <v>64</v>
      </c>
      <c r="C1590" t="s">
        <v>1504</v>
      </c>
      <c r="D1590" t="s">
        <v>1505</v>
      </c>
      <c r="E1590" t="s">
        <v>64</v>
      </c>
      <c r="F1590" t="s">
        <v>94</v>
      </c>
      <c r="G1590" t="s">
        <v>277</v>
      </c>
      <c r="H1590" s="12">
        <v>6.2460000000000004</v>
      </c>
      <c r="I1590" s="12">
        <v>-75.561000000000007</v>
      </c>
      <c r="J1590" t="s">
        <v>129</v>
      </c>
      <c r="K1590" t="s">
        <v>97</v>
      </c>
      <c r="L1590" t="s">
        <v>1273</v>
      </c>
      <c r="P1590" s="13">
        <v>198.7</v>
      </c>
      <c r="Q1590" s="13">
        <v>53.7</v>
      </c>
      <c r="R1590">
        <v>34</v>
      </c>
      <c r="S1590">
        <v>46</v>
      </c>
      <c r="T1590" s="13">
        <v>25.9</v>
      </c>
      <c r="U1590" s="13">
        <v>38.200000000000003</v>
      </c>
      <c r="V1590" t="s">
        <v>99</v>
      </c>
      <c r="X1590" s="13">
        <v>198.7</v>
      </c>
    </row>
    <row r="1591" spans="1:24" x14ac:dyDescent="0.25">
      <c r="A1591" t="s">
        <v>1515</v>
      </c>
      <c r="B1591" t="s">
        <v>64</v>
      </c>
      <c r="C1591" t="s">
        <v>1504</v>
      </c>
      <c r="D1591" t="s">
        <v>1505</v>
      </c>
      <c r="E1591" t="s">
        <v>64</v>
      </c>
      <c r="F1591" t="s">
        <v>94</v>
      </c>
      <c r="G1591" t="s">
        <v>277</v>
      </c>
      <c r="H1591" s="12">
        <v>6.2460000000000004</v>
      </c>
      <c r="I1591" s="12">
        <v>-75.561000000000007</v>
      </c>
      <c r="J1591" t="s">
        <v>129</v>
      </c>
      <c r="K1591" t="s">
        <v>1269</v>
      </c>
      <c r="L1591" t="s">
        <v>1270</v>
      </c>
      <c r="P1591" s="13">
        <v>254</v>
      </c>
      <c r="Q1591" s="13">
        <v>56.1</v>
      </c>
      <c r="R1591">
        <v>44</v>
      </c>
      <c r="S1591">
        <v>58</v>
      </c>
      <c r="T1591" s="13">
        <v>51.7</v>
      </c>
      <c r="U1591" s="13">
        <v>30.9</v>
      </c>
      <c r="V1591" t="s">
        <v>268</v>
      </c>
      <c r="W1591" t="s">
        <v>1271</v>
      </c>
      <c r="X1591" s="13"/>
    </row>
    <row r="1592" spans="1:24" x14ac:dyDescent="0.25">
      <c r="A1592" t="s">
        <v>1516</v>
      </c>
      <c r="B1592" t="s">
        <v>64</v>
      </c>
      <c r="C1592" t="s">
        <v>1504</v>
      </c>
      <c r="D1592" t="s">
        <v>1505</v>
      </c>
      <c r="E1592" t="s">
        <v>64</v>
      </c>
      <c r="F1592" t="s">
        <v>94</v>
      </c>
      <c r="G1592" t="s">
        <v>277</v>
      </c>
      <c r="H1592" s="12">
        <v>6.2460000000000004</v>
      </c>
      <c r="I1592" s="12">
        <v>-75.561000000000007</v>
      </c>
      <c r="J1592" t="s">
        <v>129</v>
      </c>
      <c r="K1592" t="s">
        <v>97</v>
      </c>
      <c r="L1592" t="s">
        <v>1273</v>
      </c>
      <c r="P1592" s="13">
        <v>189.6</v>
      </c>
      <c r="Q1592" s="13">
        <v>48.8</v>
      </c>
      <c r="R1592">
        <v>46</v>
      </c>
      <c r="S1592">
        <v>32</v>
      </c>
      <c r="T1592" s="13">
        <v>22.4</v>
      </c>
      <c r="U1592" s="13">
        <v>45.5</v>
      </c>
      <c r="V1592" t="s">
        <v>99</v>
      </c>
      <c r="X1592" s="13">
        <v>189.6</v>
      </c>
    </row>
    <row r="1593" spans="1:24" x14ac:dyDescent="0.25">
      <c r="A1593" t="s">
        <v>1516</v>
      </c>
      <c r="B1593" t="s">
        <v>64</v>
      </c>
      <c r="C1593" t="s">
        <v>1504</v>
      </c>
      <c r="D1593" t="s">
        <v>1505</v>
      </c>
      <c r="E1593" t="s">
        <v>64</v>
      </c>
      <c r="F1593" t="s">
        <v>94</v>
      </c>
      <c r="G1593" t="s">
        <v>277</v>
      </c>
      <c r="H1593" s="12">
        <v>6.2460000000000004</v>
      </c>
      <c r="I1593" s="12">
        <v>-75.561000000000007</v>
      </c>
      <c r="J1593" t="s">
        <v>129</v>
      </c>
      <c r="K1593" t="s">
        <v>1269</v>
      </c>
      <c r="L1593" t="s">
        <v>1270</v>
      </c>
      <c r="P1593" s="13">
        <v>112.7</v>
      </c>
      <c r="Q1593" s="13">
        <v>43.9</v>
      </c>
      <c r="R1593">
        <v>20</v>
      </c>
      <c r="S1593">
        <v>20</v>
      </c>
      <c r="T1593" s="13">
        <v>13.8</v>
      </c>
      <c r="U1593" s="13">
        <v>0</v>
      </c>
      <c r="V1593" t="s">
        <v>268</v>
      </c>
      <c r="W1593" t="s">
        <v>1271</v>
      </c>
      <c r="X1593" s="13"/>
    </row>
    <row r="1594" spans="1:24" x14ac:dyDescent="0.25">
      <c r="A1594" t="s">
        <v>1517</v>
      </c>
      <c r="B1594" t="s">
        <v>64</v>
      </c>
      <c r="C1594" t="s">
        <v>1504</v>
      </c>
      <c r="D1594" t="s">
        <v>1505</v>
      </c>
      <c r="E1594" t="s">
        <v>64</v>
      </c>
      <c r="F1594" t="s">
        <v>94</v>
      </c>
      <c r="G1594" t="s">
        <v>277</v>
      </c>
      <c r="H1594" s="12">
        <v>6.2460000000000004</v>
      </c>
      <c r="I1594" s="12">
        <v>-75.561000000000007</v>
      </c>
      <c r="J1594" t="s">
        <v>96</v>
      </c>
      <c r="K1594" t="s">
        <v>97</v>
      </c>
      <c r="L1594" t="s">
        <v>1273</v>
      </c>
      <c r="P1594" s="13">
        <v>203.4</v>
      </c>
      <c r="Q1594" s="13">
        <v>61</v>
      </c>
      <c r="R1594">
        <v>30</v>
      </c>
      <c r="S1594">
        <v>40</v>
      </c>
      <c r="T1594" s="13">
        <v>36.200000000000003</v>
      </c>
      <c r="U1594" s="13">
        <v>27.3</v>
      </c>
      <c r="V1594" t="s">
        <v>99</v>
      </c>
      <c r="X1594" s="13">
        <v>203.4</v>
      </c>
    </row>
    <row r="1595" spans="1:24" x14ac:dyDescent="0.25">
      <c r="A1595" t="s">
        <v>1517</v>
      </c>
      <c r="B1595" t="s">
        <v>64</v>
      </c>
      <c r="C1595" t="s">
        <v>1504</v>
      </c>
      <c r="D1595" t="s">
        <v>1505</v>
      </c>
      <c r="E1595" t="s">
        <v>64</v>
      </c>
      <c r="F1595" t="s">
        <v>94</v>
      </c>
      <c r="G1595" t="s">
        <v>277</v>
      </c>
      <c r="H1595" s="12">
        <v>6.2460000000000004</v>
      </c>
      <c r="I1595" s="12">
        <v>-75.561000000000007</v>
      </c>
      <c r="J1595" t="s">
        <v>96</v>
      </c>
      <c r="K1595" t="s">
        <v>1269</v>
      </c>
      <c r="L1595" t="s">
        <v>1270</v>
      </c>
      <c r="P1595" s="13">
        <v>217.2</v>
      </c>
      <c r="Q1595" s="13">
        <v>46.3</v>
      </c>
      <c r="R1595">
        <v>34</v>
      </c>
      <c r="S1595">
        <v>48</v>
      </c>
      <c r="T1595" s="13">
        <v>46.6</v>
      </c>
      <c r="U1595" s="13">
        <v>40</v>
      </c>
      <c r="V1595" t="s">
        <v>268</v>
      </c>
      <c r="W1595" t="s">
        <v>1271</v>
      </c>
      <c r="X1595" s="13"/>
    </row>
    <row r="1596" spans="1:24" x14ac:dyDescent="0.25">
      <c r="A1596" t="s">
        <v>1518</v>
      </c>
      <c r="B1596" t="s">
        <v>64</v>
      </c>
      <c r="C1596" t="s">
        <v>1504</v>
      </c>
      <c r="D1596" t="s">
        <v>1505</v>
      </c>
      <c r="E1596" t="s">
        <v>64</v>
      </c>
      <c r="F1596" t="s">
        <v>94</v>
      </c>
      <c r="G1596" t="s">
        <v>277</v>
      </c>
      <c r="H1596" s="12">
        <v>6.2460000000000004</v>
      </c>
      <c r="I1596" s="12">
        <v>-75.561000000000007</v>
      </c>
      <c r="J1596" t="s">
        <v>96</v>
      </c>
      <c r="K1596" t="s">
        <v>97</v>
      </c>
      <c r="L1596" t="s">
        <v>1273</v>
      </c>
      <c r="P1596" s="13">
        <v>233.7</v>
      </c>
      <c r="Q1596" s="13">
        <v>68.3</v>
      </c>
      <c r="R1596">
        <v>34</v>
      </c>
      <c r="S1596">
        <v>50</v>
      </c>
      <c r="T1596" s="13">
        <v>34.5</v>
      </c>
      <c r="U1596" s="13">
        <v>47.3</v>
      </c>
      <c r="V1596" t="s">
        <v>99</v>
      </c>
      <c r="X1596" s="13">
        <v>233.7</v>
      </c>
    </row>
    <row r="1597" spans="1:24" x14ac:dyDescent="0.25">
      <c r="A1597" t="s">
        <v>1518</v>
      </c>
      <c r="B1597" t="s">
        <v>64</v>
      </c>
      <c r="C1597" t="s">
        <v>1504</v>
      </c>
      <c r="D1597" t="s">
        <v>1505</v>
      </c>
      <c r="E1597" t="s">
        <v>64</v>
      </c>
      <c r="F1597" t="s">
        <v>94</v>
      </c>
      <c r="G1597" t="s">
        <v>277</v>
      </c>
      <c r="H1597" s="12">
        <v>6.2460000000000004</v>
      </c>
      <c r="I1597" s="12">
        <v>-75.561000000000007</v>
      </c>
      <c r="J1597" t="s">
        <v>96</v>
      </c>
      <c r="K1597" t="s">
        <v>1269</v>
      </c>
      <c r="L1597" t="s">
        <v>1270</v>
      </c>
      <c r="P1597" s="13">
        <v>215.8</v>
      </c>
      <c r="Q1597" s="13">
        <v>48.8</v>
      </c>
      <c r="R1597">
        <v>48</v>
      </c>
      <c r="S1597">
        <v>38</v>
      </c>
      <c r="T1597" s="13">
        <v>41.4</v>
      </c>
      <c r="U1597" s="13">
        <v>32.700000000000003</v>
      </c>
      <c r="V1597" t="s">
        <v>268</v>
      </c>
      <c r="W1597" t="s">
        <v>1271</v>
      </c>
      <c r="X1597" s="13"/>
    </row>
    <row r="1598" spans="1:24" x14ac:dyDescent="0.25">
      <c r="A1598" t="s">
        <v>1519</v>
      </c>
      <c r="B1598" t="s">
        <v>64</v>
      </c>
      <c r="C1598" t="s">
        <v>1504</v>
      </c>
      <c r="D1598" t="s">
        <v>1505</v>
      </c>
      <c r="E1598" t="s">
        <v>64</v>
      </c>
      <c r="F1598" t="s">
        <v>94</v>
      </c>
      <c r="G1598" t="s">
        <v>277</v>
      </c>
      <c r="H1598" s="12">
        <v>6.2460000000000004</v>
      </c>
      <c r="I1598" s="12">
        <v>-75.561000000000007</v>
      </c>
      <c r="J1598" t="s">
        <v>96</v>
      </c>
      <c r="K1598" t="s">
        <v>97</v>
      </c>
      <c r="L1598" t="s">
        <v>1273</v>
      </c>
      <c r="P1598" s="13">
        <v>256.89999999999998</v>
      </c>
      <c r="Q1598" s="13">
        <v>48.8</v>
      </c>
      <c r="R1598">
        <v>26</v>
      </c>
      <c r="S1598">
        <v>82</v>
      </c>
      <c r="T1598" s="13">
        <v>48.3</v>
      </c>
      <c r="U1598" s="13">
        <v>52.7</v>
      </c>
      <c r="V1598" t="s">
        <v>99</v>
      </c>
      <c r="X1598" s="13">
        <v>256.89999999999998</v>
      </c>
    </row>
    <row r="1599" spans="1:24" x14ac:dyDescent="0.25">
      <c r="A1599" t="s">
        <v>1519</v>
      </c>
      <c r="B1599" t="s">
        <v>64</v>
      </c>
      <c r="C1599" t="s">
        <v>1504</v>
      </c>
      <c r="D1599" t="s">
        <v>1505</v>
      </c>
      <c r="E1599" t="s">
        <v>64</v>
      </c>
      <c r="F1599" t="s">
        <v>94</v>
      </c>
      <c r="G1599" t="s">
        <v>277</v>
      </c>
      <c r="H1599" s="12">
        <v>6.2460000000000004</v>
      </c>
      <c r="I1599" s="12">
        <v>-75.561000000000007</v>
      </c>
      <c r="J1599" t="s">
        <v>96</v>
      </c>
      <c r="K1599" t="s">
        <v>1269</v>
      </c>
      <c r="L1599" t="s">
        <v>1270</v>
      </c>
      <c r="P1599" s="13">
        <v>250.6</v>
      </c>
      <c r="Q1599" s="13">
        <v>48.8</v>
      </c>
      <c r="R1599">
        <v>46</v>
      </c>
      <c r="S1599">
        <v>74</v>
      </c>
      <c r="T1599" s="13">
        <v>34.5</v>
      </c>
      <c r="U1599" s="13">
        <v>41.8</v>
      </c>
      <c r="V1599" t="s">
        <v>268</v>
      </c>
      <c r="W1599" t="s">
        <v>1271</v>
      </c>
      <c r="X1599" s="13"/>
    </row>
    <row r="1600" spans="1:24" x14ac:dyDescent="0.25">
      <c r="A1600" t="s">
        <v>1520</v>
      </c>
      <c r="B1600" t="s">
        <v>64</v>
      </c>
      <c r="C1600" t="s">
        <v>1504</v>
      </c>
      <c r="D1600" t="s">
        <v>1505</v>
      </c>
      <c r="E1600" t="s">
        <v>64</v>
      </c>
      <c r="F1600" t="s">
        <v>94</v>
      </c>
      <c r="G1600" t="s">
        <v>277</v>
      </c>
      <c r="H1600" s="12">
        <v>6.2460000000000004</v>
      </c>
      <c r="I1600" s="12">
        <v>-75.561000000000007</v>
      </c>
      <c r="J1600" t="s">
        <v>96</v>
      </c>
      <c r="K1600" t="s">
        <v>97</v>
      </c>
      <c r="L1600" t="s">
        <v>1273</v>
      </c>
      <c r="P1600" s="13">
        <v>310.7</v>
      </c>
      <c r="Q1600" s="13">
        <v>75.599999999999994</v>
      </c>
      <c r="R1600">
        <v>44</v>
      </c>
      <c r="S1600">
        <v>64</v>
      </c>
      <c r="T1600" s="13">
        <v>62.1</v>
      </c>
      <c r="U1600" s="13">
        <v>70.900000000000006</v>
      </c>
      <c r="V1600" t="s">
        <v>99</v>
      </c>
      <c r="X1600" s="13">
        <v>310.7</v>
      </c>
    </row>
    <row r="1601" spans="1:24" x14ac:dyDescent="0.25">
      <c r="A1601" t="s">
        <v>1520</v>
      </c>
      <c r="B1601" t="s">
        <v>64</v>
      </c>
      <c r="C1601" t="s">
        <v>1504</v>
      </c>
      <c r="D1601" t="s">
        <v>1505</v>
      </c>
      <c r="E1601" t="s">
        <v>64</v>
      </c>
      <c r="F1601" t="s">
        <v>94</v>
      </c>
      <c r="G1601" t="s">
        <v>277</v>
      </c>
      <c r="H1601" s="12">
        <v>6.2460000000000004</v>
      </c>
      <c r="I1601" s="12">
        <v>-75.561000000000007</v>
      </c>
      <c r="J1601" t="s">
        <v>96</v>
      </c>
      <c r="K1601" t="s">
        <v>1269</v>
      </c>
      <c r="L1601" t="s">
        <v>1270</v>
      </c>
      <c r="P1601" s="13">
        <v>344.8</v>
      </c>
      <c r="Q1601" s="13">
        <v>61</v>
      </c>
      <c r="R1601">
        <v>62</v>
      </c>
      <c r="S1601">
        <v>82</v>
      </c>
      <c r="T1601" s="13">
        <v>69</v>
      </c>
      <c r="U1601" s="13">
        <v>74.5</v>
      </c>
      <c r="V1601" t="s">
        <v>268</v>
      </c>
      <c r="W1601" t="s">
        <v>1271</v>
      </c>
      <c r="X1601" s="13"/>
    </row>
    <row r="1602" spans="1:24" x14ac:dyDescent="0.25">
      <c r="A1602" t="s">
        <v>1521</v>
      </c>
      <c r="B1602" t="s">
        <v>64</v>
      </c>
      <c r="C1602" t="s">
        <v>1504</v>
      </c>
      <c r="D1602" t="s">
        <v>1505</v>
      </c>
      <c r="E1602" t="s">
        <v>64</v>
      </c>
      <c r="F1602" t="s">
        <v>94</v>
      </c>
      <c r="G1602" t="s">
        <v>277</v>
      </c>
      <c r="H1602" s="12">
        <v>6.2460000000000004</v>
      </c>
      <c r="I1602" s="12">
        <v>-75.561000000000007</v>
      </c>
      <c r="J1602" t="s">
        <v>96</v>
      </c>
      <c r="K1602" t="s">
        <v>97</v>
      </c>
      <c r="L1602" t="s">
        <v>1273</v>
      </c>
      <c r="P1602" s="13">
        <v>152.1</v>
      </c>
      <c r="Q1602" s="13">
        <v>19.5</v>
      </c>
      <c r="R1602">
        <v>36</v>
      </c>
      <c r="S1602">
        <v>20</v>
      </c>
      <c r="T1602" s="13">
        <v>34.5</v>
      </c>
      <c r="U1602" s="13">
        <v>65.5</v>
      </c>
      <c r="V1602" t="s">
        <v>99</v>
      </c>
      <c r="X1602" s="13">
        <v>152.1</v>
      </c>
    </row>
    <row r="1603" spans="1:24" x14ac:dyDescent="0.25">
      <c r="A1603" t="s">
        <v>1521</v>
      </c>
      <c r="B1603" t="s">
        <v>64</v>
      </c>
      <c r="C1603" t="s">
        <v>1504</v>
      </c>
      <c r="D1603" t="s">
        <v>1505</v>
      </c>
      <c r="E1603" t="s">
        <v>64</v>
      </c>
      <c r="F1603" t="s">
        <v>94</v>
      </c>
      <c r="G1603" t="s">
        <v>277</v>
      </c>
      <c r="H1603" s="12">
        <v>6.2460000000000004</v>
      </c>
      <c r="I1603" s="12">
        <v>-75.561000000000007</v>
      </c>
      <c r="J1603" t="s">
        <v>96</v>
      </c>
      <c r="K1603" t="s">
        <v>1269</v>
      </c>
      <c r="L1603" t="s">
        <v>1270</v>
      </c>
      <c r="P1603" s="13">
        <v>196.7</v>
      </c>
      <c r="Q1603" s="13">
        <v>61</v>
      </c>
      <c r="R1603">
        <v>36</v>
      </c>
      <c r="S1603">
        <v>34</v>
      </c>
      <c r="T1603" s="13">
        <v>20.7</v>
      </c>
      <c r="U1603" s="13">
        <v>56.4</v>
      </c>
      <c r="V1603" t="s">
        <v>268</v>
      </c>
      <c r="W1603" t="s">
        <v>1271</v>
      </c>
      <c r="X1603" s="13"/>
    </row>
    <row r="1604" spans="1:24" x14ac:dyDescent="0.25">
      <c r="A1604" t="s">
        <v>1522</v>
      </c>
      <c r="B1604" t="s">
        <v>64</v>
      </c>
      <c r="C1604" t="s">
        <v>1504</v>
      </c>
      <c r="D1604" t="s">
        <v>1505</v>
      </c>
      <c r="E1604" t="s">
        <v>64</v>
      </c>
      <c r="F1604" t="s">
        <v>94</v>
      </c>
      <c r="G1604" t="s">
        <v>277</v>
      </c>
      <c r="H1604" s="12">
        <v>6.2460000000000004</v>
      </c>
      <c r="I1604" s="12">
        <v>-75.561000000000007</v>
      </c>
      <c r="J1604" t="s">
        <v>96</v>
      </c>
      <c r="K1604" t="s">
        <v>97</v>
      </c>
      <c r="L1604" t="s">
        <v>1273</v>
      </c>
      <c r="P1604" s="13">
        <v>272.60000000000002</v>
      </c>
      <c r="Q1604" s="13">
        <v>63.4</v>
      </c>
      <c r="R1604">
        <v>34</v>
      </c>
      <c r="S1604">
        <v>62</v>
      </c>
      <c r="T1604" s="13">
        <v>58.6</v>
      </c>
      <c r="U1604" s="13">
        <v>54.5</v>
      </c>
      <c r="V1604" t="s">
        <v>99</v>
      </c>
      <c r="X1604" s="13">
        <v>272.60000000000002</v>
      </c>
    </row>
    <row r="1605" spans="1:24" x14ac:dyDescent="0.25">
      <c r="A1605" t="s">
        <v>1522</v>
      </c>
      <c r="B1605" t="s">
        <v>64</v>
      </c>
      <c r="C1605" t="s">
        <v>1504</v>
      </c>
      <c r="D1605" t="s">
        <v>1505</v>
      </c>
      <c r="E1605" t="s">
        <v>64</v>
      </c>
      <c r="F1605" t="s">
        <v>94</v>
      </c>
      <c r="G1605" t="s">
        <v>277</v>
      </c>
      <c r="H1605" s="12">
        <v>6.2460000000000004</v>
      </c>
      <c r="I1605" s="12">
        <v>-75.561000000000007</v>
      </c>
      <c r="J1605" t="s">
        <v>96</v>
      </c>
      <c r="K1605" t="s">
        <v>1269</v>
      </c>
      <c r="L1605" t="s">
        <v>1270</v>
      </c>
      <c r="P1605" s="13">
        <v>272.10000000000002</v>
      </c>
      <c r="Q1605" s="13">
        <v>48.8</v>
      </c>
      <c r="R1605">
        <v>36</v>
      </c>
      <c r="S1605">
        <v>70</v>
      </c>
      <c r="T1605" s="13">
        <v>58.6</v>
      </c>
      <c r="U1605" s="13">
        <v>67.3</v>
      </c>
      <c r="V1605" t="s">
        <v>268</v>
      </c>
      <c r="W1605" t="s">
        <v>1271</v>
      </c>
      <c r="X1605" s="13"/>
    </row>
    <row r="1606" spans="1:24" x14ac:dyDescent="0.25">
      <c r="A1606" t="s">
        <v>1523</v>
      </c>
      <c r="B1606" t="s">
        <v>64</v>
      </c>
      <c r="C1606" t="s">
        <v>1504</v>
      </c>
      <c r="D1606" t="s">
        <v>1505</v>
      </c>
      <c r="E1606" t="s">
        <v>64</v>
      </c>
      <c r="F1606" t="s">
        <v>94</v>
      </c>
      <c r="G1606" t="s">
        <v>277</v>
      </c>
      <c r="H1606" s="12">
        <v>6.2460000000000004</v>
      </c>
      <c r="I1606" s="12">
        <v>-75.561000000000007</v>
      </c>
      <c r="J1606" t="s">
        <v>96</v>
      </c>
      <c r="K1606" t="s">
        <v>97</v>
      </c>
      <c r="L1606" t="s">
        <v>1273</v>
      </c>
      <c r="P1606" s="13">
        <v>200.6</v>
      </c>
      <c r="Q1606" s="13">
        <v>31.7</v>
      </c>
      <c r="R1606">
        <v>48</v>
      </c>
      <c r="S1606">
        <v>38</v>
      </c>
      <c r="T1606" s="13">
        <v>37.9</v>
      </c>
      <c r="U1606" s="13">
        <v>54.5</v>
      </c>
      <c r="V1606" t="s">
        <v>99</v>
      </c>
      <c r="X1606" s="13">
        <v>200.6</v>
      </c>
    </row>
    <row r="1607" spans="1:24" x14ac:dyDescent="0.25">
      <c r="A1607" t="s">
        <v>1523</v>
      </c>
      <c r="B1607" t="s">
        <v>64</v>
      </c>
      <c r="C1607" t="s">
        <v>1504</v>
      </c>
      <c r="D1607" t="s">
        <v>1505</v>
      </c>
      <c r="E1607" t="s">
        <v>64</v>
      </c>
      <c r="F1607" t="s">
        <v>94</v>
      </c>
      <c r="G1607" t="s">
        <v>277</v>
      </c>
      <c r="H1607" s="12">
        <v>6.2460000000000004</v>
      </c>
      <c r="I1607" s="12">
        <v>-75.561000000000007</v>
      </c>
      <c r="J1607" t="s">
        <v>96</v>
      </c>
      <c r="K1607" t="s">
        <v>1269</v>
      </c>
      <c r="L1607" t="s">
        <v>1270</v>
      </c>
      <c r="P1607" s="13">
        <v>196.9</v>
      </c>
      <c r="Q1607" s="13">
        <v>43.9</v>
      </c>
      <c r="R1607">
        <v>48</v>
      </c>
      <c r="S1607">
        <v>30</v>
      </c>
      <c r="T1607" s="13">
        <v>39.700000000000003</v>
      </c>
      <c r="U1607" s="13">
        <v>27.3</v>
      </c>
      <c r="V1607" t="s">
        <v>268</v>
      </c>
      <c r="W1607" t="s">
        <v>1271</v>
      </c>
      <c r="X1607" s="13"/>
    </row>
    <row r="1608" spans="1:24" x14ac:dyDescent="0.25">
      <c r="A1608" t="s">
        <v>1524</v>
      </c>
      <c r="B1608" t="s">
        <v>64</v>
      </c>
      <c r="C1608" t="s">
        <v>1504</v>
      </c>
      <c r="D1608" t="s">
        <v>1505</v>
      </c>
      <c r="E1608" t="s">
        <v>64</v>
      </c>
      <c r="F1608" t="s">
        <v>94</v>
      </c>
      <c r="G1608" t="s">
        <v>277</v>
      </c>
      <c r="H1608" s="12">
        <v>6.2460000000000004</v>
      </c>
      <c r="I1608" s="12">
        <v>-75.561000000000007</v>
      </c>
      <c r="J1608" t="s">
        <v>96</v>
      </c>
      <c r="K1608" t="s">
        <v>97</v>
      </c>
      <c r="L1608" t="s">
        <v>1273</v>
      </c>
      <c r="P1608" s="13">
        <v>237.6</v>
      </c>
      <c r="Q1608" s="13">
        <v>70.7</v>
      </c>
      <c r="R1608">
        <v>30</v>
      </c>
      <c r="S1608">
        <v>60</v>
      </c>
      <c r="T1608" s="13">
        <v>27.6</v>
      </c>
      <c r="U1608" s="13">
        <v>52.7</v>
      </c>
      <c r="V1608" t="s">
        <v>99</v>
      </c>
      <c r="X1608" s="13">
        <v>237.6</v>
      </c>
    </row>
    <row r="1609" spans="1:24" x14ac:dyDescent="0.25">
      <c r="A1609" t="s">
        <v>1524</v>
      </c>
      <c r="B1609" t="s">
        <v>64</v>
      </c>
      <c r="C1609" t="s">
        <v>1504</v>
      </c>
      <c r="D1609" t="s">
        <v>1505</v>
      </c>
      <c r="E1609" t="s">
        <v>64</v>
      </c>
      <c r="F1609" t="s">
        <v>94</v>
      </c>
      <c r="G1609" t="s">
        <v>277</v>
      </c>
      <c r="H1609" s="12">
        <v>6.2460000000000004</v>
      </c>
      <c r="I1609" s="12">
        <v>-75.561000000000007</v>
      </c>
      <c r="J1609" t="s">
        <v>96</v>
      </c>
      <c r="K1609" t="s">
        <v>1269</v>
      </c>
      <c r="L1609" t="s">
        <v>1270</v>
      </c>
      <c r="P1609" s="13">
        <v>293.8</v>
      </c>
      <c r="Q1609" s="13">
        <v>63.4</v>
      </c>
      <c r="R1609">
        <v>42</v>
      </c>
      <c r="S1609">
        <v>72</v>
      </c>
      <c r="T1609" s="13">
        <v>62.1</v>
      </c>
      <c r="U1609" s="13">
        <v>45.5</v>
      </c>
      <c r="V1609" t="s">
        <v>268</v>
      </c>
      <c r="W1609" t="s">
        <v>1271</v>
      </c>
      <c r="X1609" s="13"/>
    </row>
    <row r="1610" spans="1:24" x14ac:dyDescent="0.25">
      <c r="A1610" t="s">
        <v>1525</v>
      </c>
      <c r="B1610" t="s">
        <v>64</v>
      </c>
      <c r="C1610" t="s">
        <v>1504</v>
      </c>
      <c r="D1610" t="s">
        <v>1505</v>
      </c>
      <c r="E1610" t="s">
        <v>64</v>
      </c>
      <c r="F1610" t="s">
        <v>94</v>
      </c>
      <c r="G1610" t="s">
        <v>277</v>
      </c>
      <c r="H1610" s="12">
        <v>6.2460000000000004</v>
      </c>
      <c r="I1610" s="12">
        <v>-75.561000000000007</v>
      </c>
      <c r="J1610" t="s">
        <v>96</v>
      </c>
      <c r="K1610" t="s">
        <v>97</v>
      </c>
      <c r="L1610" t="s">
        <v>1273</v>
      </c>
      <c r="P1610" s="13">
        <v>251.6</v>
      </c>
      <c r="Q1610" s="13">
        <v>63.4</v>
      </c>
      <c r="R1610">
        <v>44</v>
      </c>
      <c r="S1610">
        <v>42</v>
      </c>
      <c r="T1610" s="13">
        <v>53.4</v>
      </c>
      <c r="U1610" s="13">
        <v>45.5</v>
      </c>
      <c r="V1610" t="s">
        <v>99</v>
      </c>
      <c r="X1610" s="13">
        <v>251.6</v>
      </c>
    </row>
    <row r="1611" spans="1:24" x14ac:dyDescent="0.25">
      <c r="A1611" t="s">
        <v>1525</v>
      </c>
      <c r="B1611" t="s">
        <v>64</v>
      </c>
      <c r="C1611" t="s">
        <v>1504</v>
      </c>
      <c r="D1611" t="s">
        <v>1505</v>
      </c>
      <c r="E1611" t="s">
        <v>64</v>
      </c>
      <c r="F1611" t="s">
        <v>94</v>
      </c>
      <c r="G1611" t="s">
        <v>277</v>
      </c>
      <c r="H1611" s="12">
        <v>6.2460000000000004</v>
      </c>
      <c r="I1611" s="12">
        <v>-75.561000000000007</v>
      </c>
      <c r="J1611" t="s">
        <v>96</v>
      </c>
      <c r="K1611" t="s">
        <v>1269</v>
      </c>
      <c r="L1611" t="s">
        <v>1270</v>
      </c>
      <c r="P1611" s="13">
        <v>243.4</v>
      </c>
      <c r="Q1611" s="13">
        <v>51.2</v>
      </c>
      <c r="R1611">
        <v>52</v>
      </c>
      <c r="S1611">
        <v>60</v>
      </c>
      <c r="T1611" s="13">
        <v>36.200000000000003</v>
      </c>
      <c r="U1611" s="13">
        <v>34.5</v>
      </c>
      <c r="V1611" t="s">
        <v>268</v>
      </c>
      <c r="W1611" t="s">
        <v>1271</v>
      </c>
      <c r="X1611" s="13"/>
    </row>
    <row r="1612" spans="1:24" x14ac:dyDescent="0.25">
      <c r="A1612" t="s">
        <v>1526</v>
      </c>
      <c r="B1612" t="s">
        <v>64</v>
      </c>
      <c r="C1612" t="s">
        <v>1504</v>
      </c>
      <c r="D1612" t="s">
        <v>1505</v>
      </c>
      <c r="E1612" t="s">
        <v>64</v>
      </c>
      <c r="F1612" t="s">
        <v>94</v>
      </c>
      <c r="G1612" t="s">
        <v>277</v>
      </c>
      <c r="H1612" s="12">
        <v>6.2460000000000004</v>
      </c>
      <c r="I1612" s="12">
        <v>-75.561000000000007</v>
      </c>
      <c r="J1612" t="s">
        <v>96</v>
      </c>
      <c r="K1612" t="s">
        <v>97</v>
      </c>
      <c r="L1612" t="s">
        <v>1273</v>
      </c>
      <c r="P1612" s="13">
        <v>168.9</v>
      </c>
      <c r="Q1612" s="13">
        <v>46.3</v>
      </c>
      <c r="R1612">
        <v>28</v>
      </c>
      <c r="S1612">
        <v>26</v>
      </c>
      <c r="T1612" s="13">
        <v>34.5</v>
      </c>
      <c r="U1612" s="13">
        <v>34.5</v>
      </c>
      <c r="V1612" t="s">
        <v>99</v>
      </c>
      <c r="X1612" s="13">
        <v>168.9</v>
      </c>
    </row>
    <row r="1613" spans="1:24" x14ac:dyDescent="0.25">
      <c r="A1613" t="s">
        <v>1526</v>
      </c>
      <c r="B1613" t="s">
        <v>64</v>
      </c>
      <c r="C1613" t="s">
        <v>1504</v>
      </c>
      <c r="D1613" t="s">
        <v>1505</v>
      </c>
      <c r="E1613" t="s">
        <v>64</v>
      </c>
      <c r="F1613" t="s">
        <v>94</v>
      </c>
      <c r="G1613" t="s">
        <v>277</v>
      </c>
      <c r="H1613" s="12">
        <v>6.2460000000000004</v>
      </c>
      <c r="I1613" s="12">
        <v>-75.561000000000007</v>
      </c>
      <c r="J1613" t="s">
        <v>96</v>
      </c>
      <c r="K1613" t="s">
        <v>1269</v>
      </c>
      <c r="L1613" t="s">
        <v>1270</v>
      </c>
      <c r="P1613" s="13">
        <v>222.2</v>
      </c>
      <c r="Q1613" s="13">
        <v>53.7</v>
      </c>
      <c r="R1613">
        <v>36</v>
      </c>
      <c r="S1613">
        <v>50</v>
      </c>
      <c r="T1613" s="13">
        <v>41.4</v>
      </c>
      <c r="U1613" s="13">
        <v>34.5</v>
      </c>
      <c r="V1613" t="s">
        <v>268</v>
      </c>
      <c r="W1613" t="s">
        <v>1271</v>
      </c>
      <c r="X1613" s="13"/>
    </row>
    <row r="1614" spans="1:24" x14ac:dyDescent="0.25">
      <c r="A1614" t="s">
        <v>1527</v>
      </c>
      <c r="B1614" t="s">
        <v>64</v>
      </c>
      <c r="C1614" t="s">
        <v>1504</v>
      </c>
      <c r="D1614" t="s">
        <v>1505</v>
      </c>
      <c r="E1614" t="s">
        <v>64</v>
      </c>
      <c r="F1614" t="s">
        <v>94</v>
      </c>
      <c r="G1614" t="s">
        <v>277</v>
      </c>
      <c r="H1614" s="12">
        <v>6.2460000000000004</v>
      </c>
      <c r="I1614" s="12">
        <v>-75.561000000000007</v>
      </c>
      <c r="J1614" t="s">
        <v>129</v>
      </c>
      <c r="K1614" t="s">
        <v>1269</v>
      </c>
      <c r="L1614" t="s">
        <v>1270</v>
      </c>
      <c r="P1614" s="13">
        <v>270.7</v>
      </c>
      <c r="Q1614" s="13">
        <v>53.7</v>
      </c>
      <c r="R1614">
        <v>58</v>
      </c>
      <c r="S1614">
        <v>50</v>
      </c>
      <c r="T1614" s="13">
        <v>62.1</v>
      </c>
      <c r="U1614" s="13">
        <v>32.700000000000003</v>
      </c>
      <c r="V1614" t="s">
        <v>268</v>
      </c>
      <c r="W1614" t="s">
        <v>1271</v>
      </c>
      <c r="X1614" s="13"/>
    </row>
    <row r="1615" spans="1:24" x14ac:dyDescent="0.25">
      <c r="A1615" t="s">
        <v>1528</v>
      </c>
      <c r="B1615" t="s">
        <v>64</v>
      </c>
      <c r="C1615" t="s">
        <v>1504</v>
      </c>
      <c r="D1615" t="s">
        <v>1505</v>
      </c>
      <c r="E1615" t="s">
        <v>64</v>
      </c>
      <c r="F1615" t="s">
        <v>94</v>
      </c>
      <c r="G1615" t="s">
        <v>277</v>
      </c>
      <c r="H1615" s="12">
        <v>6.2460000000000004</v>
      </c>
      <c r="I1615" s="12">
        <v>-75.561000000000007</v>
      </c>
      <c r="J1615" t="s">
        <v>96</v>
      </c>
      <c r="K1615" t="s">
        <v>97</v>
      </c>
      <c r="L1615" t="s">
        <v>1273</v>
      </c>
      <c r="P1615" s="13">
        <v>224.7</v>
      </c>
      <c r="Q1615" s="13">
        <v>56.1</v>
      </c>
      <c r="R1615">
        <v>42</v>
      </c>
      <c r="S1615">
        <v>30</v>
      </c>
      <c r="T1615" s="13">
        <v>44.8</v>
      </c>
      <c r="U1615" s="13">
        <v>65.5</v>
      </c>
      <c r="V1615" t="s">
        <v>99</v>
      </c>
      <c r="X1615" s="13">
        <v>224.7</v>
      </c>
    </row>
    <row r="1616" spans="1:24" x14ac:dyDescent="0.25">
      <c r="A1616" t="s">
        <v>1528</v>
      </c>
      <c r="B1616" t="s">
        <v>64</v>
      </c>
      <c r="C1616" t="s">
        <v>1504</v>
      </c>
      <c r="D1616" t="s">
        <v>1505</v>
      </c>
      <c r="E1616" t="s">
        <v>64</v>
      </c>
      <c r="F1616" t="s">
        <v>94</v>
      </c>
      <c r="G1616" t="s">
        <v>277</v>
      </c>
      <c r="H1616" s="12">
        <v>6.2460000000000004</v>
      </c>
      <c r="I1616" s="12">
        <v>-75.561000000000007</v>
      </c>
      <c r="J1616" t="s">
        <v>96</v>
      </c>
      <c r="K1616" t="s">
        <v>1269</v>
      </c>
      <c r="L1616" t="s">
        <v>1270</v>
      </c>
      <c r="P1616" s="13">
        <v>229.2</v>
      </c>
      <c r="Q1616" s="13">
        <v>58.5</v>
      </c>
      <c r="R1616">
        <v>34</v>
      </c>
      <c r="S1616">
        <v>36</v>
      </c>
      <c r="T1616" s="13">
        <v>58.6</v>
      </c>
      <c r="U1616" s="13">
        <v>34.5</v>
      </c>
      <c r="V1616" t="s">
        <v>268</v>
      </c>
      <c r="W1616" t="s">
        <v>1271</v>
      </c>
      <c r="X1616" s="13"/>
    </row>
    <row r="1617" spans="1:24" x14ac:dyDescent="0.25">
      <c r="A1617" t="s">
        <v>1529</v>
      </c>
      <c r="B1617" t="s">
        <v>64</v>
      </c>
      <c r="C1617" t="s">
        <v>1504</v>
      </c>
      <c r="D1617" t="s">
        <v>1505</v>
      </c>
      <c r="E1617" t="s">
        <v>64</v>
      </c>
      <c r="F1617" t="s">
        <v>94</v>
      </c>
      <c r="G1617" t="s">
        <v>277</v>
      </c>
      <c r="H1617" s="12">
        <v>6.2460000000000004</v>
      </c>
      <c r="I1617" s="12">
        <v>-75.561000000000007</v>
      </c>
      <c r="J1617" t="s">
        <v>96</v>
      </c>
      <c r="K1617" t="s">
        <v>97</v>
      </c>
      <c r="L1617" t="s">
        <v>1273</v>
      </c>
      <c r="P1617" s="13">
        <v>304</v>
      </c>
      <c r="Q1617" s="13">
        <v>68.3</v>
      </c>
      <c r="R1617">
        <v>52</v>
      </c>
      <c r="S1617">
        <v>72</v>
      </c>
      <c r="T1617" s="13">
        <v>50</v>
      </c>
      <c r="U1617" s="13">
        <v>63.6</v>
      </c>
      <c r="V1617" t="s">
        <v>99</v>
      </c>
      <c r="X1617" s="13">
        <v>304</v>
      </c>
    </row>
    <row r="1618" spans="1:24" x14ac:dyDescent="0.25">
      <c r="A1618" t="s">
        <v>1529</v>
      </c>
      <c r="B1618" t="s">
        <v>64</v>
      </c>
      <c r="C1618" t="s">
        <v>1504</v>
      </c>
      <c r="D1618" t="s">
        <v>1505</v>
      </c>
      <c r="E1618" t="s">
        <v>64</v>
      </c>
      <c r="F1618" t="s">
        <v>94</v>
      </c>
      <c r="G1618" t="s">
        <v>277</v>
      </c>
      <c r="H1618" s="12">
        <v>6.2460000000000004</v>
      </c>
      <c r="I1618" s="12">
        <v>-75.561000000000007</v>
      </c>
      <c r="J1618" t="s">
        <v>96</v>
      </c>
      <c r="K1618" t="s">
        <v>1269</v>
      </c>
      <c r="L1618" t="s">
        <v>1270</v>
      </c>
      <c r="P1618" s="13">
        <v>353.8</v>
      </c>
      <c r="Q1618" s="13">
        <v>61</v>
      </c>
      <c r="R1618">
        <v>74</v>
      </c>
      <c r="S1618">
        <v>82</v>
      </c>
      <c r="T1618" s="13">
        <v>67.2</v>
      </c>
      <c r="U1618" s="13">
        <v>67.3</v>
      </c>
      <c r="V1618" t="s">
        <v>268</v>
      </c>
      <c r="W1618" t="s">
        <v>1271</v>
      </c>
      <c r="X1618" s="13"/>
    </row>
    <row r="1619" spans="1:24" x14ac:dyDescent="0.25">
      <c r="A1619" t="s">
        <v>1530</v>
      </c>
      <c r="B1619" t="s">
        <v>64</v>
      </c>
      <c r="C1619" t="s">
        <v>1504</v>
      </c>
      <c r="D1619" t="s">
        <v>1505</v>
      </c>
      <c r="E1619" t="s">
        <v>64</v>
      </c>
      <c r="F1619" t="s">
        <v>94</v>
      </c>
      <c r="G1619" t="s">
        <v>277</v>
      </c>
      <c r="H1619" s="12">
        <v>6.2460000000000004</v>
      </c>
      <c r="I1619" s="12">
        <v>-75.561000000000007</v>
      </c>
      <c r="J1619" t="s">
        <v>96</v>
      </c>
      <c r="K1619" t="s">
        <v>97</v>
      </c>
      <c r="L1619" t="s">
        <v>1273</v>
      </c>
      <c r="P1619" s="13">
        <v>260.5</v>
      </c>
      <c r="Q1619" s="13">
        <v>78</v>
      </c>
      <c r="R1619">
        <v>36</v>
      </c>
      <c r="S1619">
        <v>40</v>
      </c>
      <c r="T1619" s="13">
        <v>51.7</v>
      </c>
      <c r="U1619" s="13">
        <v>60</v>
      </c>
      <c r="V1619" t="s">
        <v>99</v>
      </c>
      <c r="X1619" s="13">
        <v>260.5</v>
      </c>
    </row>
    <row r="1620" spans="1:24" x14ac:dyDescent="0.25">
      <c r="A1620" t="s">
        <v>1530</v>
      </c>
      <c r="B1620" t="s">
        <v>64</v>
      </c>
      <c r="C1620" t="s">
        <v>1504</v>
      </c>
      <c r="D1620" t="s">
        <v>1505</v>
      </c>
      <c r="E1620" t="s">
        <v>64</v>
      </c>
      <c r="F1620" t="s">
        <v>94</v>
      </c>
      <c r="G1620" t="s">
        <v>277</v>
      </c>
      <c r="H1620" s="12">
        <v>6.2460000000000004</v>
      </c>
      <c r="I1620" s="12">
        <v>-75.561000000000007</v>
      </c>
      <c r="J1620" t="s">
        <v>96</v>
      </c>
      <c r="K1620" t="s">
        <v>1269</v>
      </c>
      <c r="L1620" t="s">
        <v>1270</v>
      </c>
      <c r="P1620" s="13">
        <v>312.3</v>
      </c>
      <c r="Q1620" s="13">
        <v>65.900000000000006</v>
      </c>
      <c r="R1620">
        <v>72</v>
      </c>
      <c r="S1620">
        <v>70</v>
      </c>
      <c r="T1620" s="13">
        <v>48.3</v>
      </c>
      <c r="U1620" s="13">
        <v>43.6</v>
      </c>
      <c r="V1620" t="s">
        <v>268</v>
      </c>
      <c r="W1620" t="s">
        <v>1271</v>
      </c>
      <c r="X1620" s="13"/>
    </row>
    <row r="1621" spans="1:24" x14ac:dyDescent="0.25">
      <c r="A1621" t="s">
        <v>1531</v>
      </c>
      <c r="B1621" t="s">
        <v>64</v>
      </c>
      <c r="C1621" t="s">
        <v>1504</v>
      </c>
      <c r="D1621" t="s">
        <v>1505</v>
      </c>
      <c r="E1621" t="s">
        <v>64</v>
      </c>
      <c r="F1621" t="s">
        <v>94</v>
      </c>
      <c r="G1621" t="s">
        <v>277</v>
      </c>
      <c r="H1621" s="12">
        <v>6.2460000000000004</v>
      </c>
      <c r="I1621" s="12">
        <v>-75.561000000000007</v>
      </c>
      <c r="J1621" t="s">
        <v>96</v>
      </c>
      <c r="K1621" t="s">
        <v>97</v>
      </c>
      <c r="L1621" t="s">
        <v>1273</v>
      </c>
      <c r="P1621" s="13">
        <v>220.2</v>
      </c>
      <c r="Q1621" s="13">
        <v>51.2</v>
      </c>
      <c r="R1621">
        <v>34</v>
      </c>
      <c r="S1621">
        <v>48</v>
      </c>
      <c r="T1621" s="13">
        <v>43.1</v>
      </c>
      <c r="U1621" s="13">
        <v>43.6</v>
      </c>
      <c r="V1621" t="s">
        <v>99</v>
      </c>
      <c r="X1621" s="13">
        <v>220.2</v>
      </c>
    </row>
    <row r="1622" spans="1:24" x14ac:dyDescent="0.25">
      <c r="A1622" t="s">
        <v>1531</v>
      </c>
      <c r="B1622" t="s">
        <v>64</v>
      </c>
      <c r="C1622" t="s">
        <v>1504</v>
      </c>
      <c r="D1622" t="s">
        <v>1505</v>
      </c>
      <c r="E1622" t="s">
        <v>64</v>
      </c>
      <c r="F1622" t="s">
        <v>94</v>
      </c>
      <c r="G1622" t="s">
        <v>277</v>
      </c>
      <c r="H1622" s="12">
        <v>6.2460000000000004</v>
      </c>
      <c r="I1622" s="12">
        <v>-75.561000000000007</v>
      </c>
      <c r="J1622" t="s">
        <v>96</v>
      </c>
      <c r="K1622" t="s">
        <v>1269</v>
      </c>
      <c r="L1622" t="s">
        <v>1270</v>
      </c>
      <c r="P1622" s="13">
        <v>241.4</v>
      </c>
      <c r="Q1622" s="13">
        <v>48.8</v>
      </c>
      <c r="R1622">
        <v>40</v>
      </c>
      <c r="S1622">
        <v>60</v>
      </c>
      <c r="T1622" s="13">
        <v>48.3</v>
      </c>
      <c r="U1622" s="13">
        <v>36.4</v>
      </c>
      <c r="V1622" t="s">
        <v>268</v>
      </c>
      <c r="W1622" t="s">
        <v>1271</v>
      </c>
      <c r="X1622" s="13"/>
    </row>
    <row r="1623" spans="1:24" x14ac:dyDescent="0.25">
      <c r="A1623" t="s">
        <v>1532</v>
      </c>
      <c r="B1623" t="s">
        <v>64</v>
      </c>
      <c r="C1623" t="s">
        <v>1504</v>
      </c>
      <c r="D1623" t="s">
        <v>1505</v>
      </c>
      <c r="E1623" t="s">
        <v>64</v>
      </c>
      <c r="F1623" t="s">
        <v>94</v>
      </c>
      <c r="G1623" t="s">
        <v>277</v>
      </c>
      <c r="H1623" s="12">
        <v>6.2460000000000004</v>
      </c>
      <c r="I1623" s="12">
        <v>-75.561000000000007</v>
      </c>
      <c r="J1623" t="s">
        <v>96</v>
      </c>
      <c r="K1623" t="s">
        <v>97</v>
      </c>
      <c r="L1623" t="s">
        <v>1273</v>
      </c>
      <c r="P1623" s="13">
        <v>183.8</v>
      </c>
      <c r="Q1623" s="13">
        <v>46.3</v>
      </c>
      <c r="R1623">
        <v>32</v>
      </c>
      <c r="S1623">
        <v>36</v>
      </c>
      <c r="T1623" s="13">
        <v>31</v>
      </c>
      <c r="U1623" s="13">
        <v>41.8</v>
      </c>
      <c r="V1623" t="s">
        <v>99</v>
      </c>
      <c r="X1623" s="13">
        <v>183.8</v>
      </c>
    </row>
    <row r="1624" spans="1:24" x14ac:dyDescent="0.25">
      <c r="A1624" t="s">
        <v>1532</v>
      </c>
      <c r="B1624" t="s">
        <v>64</v>
      </c>
      <c r="C1624" t="s">
        <v>1504</v>
      </c>
      <c r="D1624" t="s">
        <v>1505</v>
      </c>
      <c r="E1624" t="s">
        <v>64</v>
      </c>
      <c r="F1624" t="s">
        <v>94</v>
      </c>
      <c r="G1624" t="s">
        <v>277</v>
      </c>
      <c r="H1624" s="12">
        <v>6.2460000000000004</v>
      </c>
      <c r="I1624" s="12">
        <v>-75.561000000000007</v>
      </c>
      <c r="J1624" t="s">
        <v>96</v>
      </c>
      <c r="K1624" t="s">
        <v>1269</v>
      </c>
      <c r="L1624" t="s">
        <v>1270</v>
      </c>
      <c r="P1624" s="13">
        <v>195.2</v>
      </c>
      <c r="Q1624" s="13">
        <v>41.5</v>
      </c>
      <c r="R1624">
        <v>44</v>
      </c>
      <c r="S1624">
        <v>36</v>
      </c>
      <c r="T1624" s="13">
        <v>36.200000000000003</v>
      </c>
      <c r="U1624" s="13">
        <v>34.5</v>
      </c>
      <c r="V1624" t="s">
        <v>268</v>
      </c>
      <c r="W1624" t="s">
        <v>1271</v>
      </c>
      <c r="X1624" s="13"/>
    </row>
    <row r="1625" spans="1:24" x14ac:dyDescent="0.25">
      <c r="A1625" t="s">
        <v>1533</v>
      </c>
      <c r="B1625" t="s">
        <v>64</v>
      </c>
      <c r="C1625" t="s">
        <v>1504</v>
      </c>
      <c r="D1625" t="s">
        <v>1505</v>
      </c>
      <c r="E1625" t="s">
        <v>64</v>
      </c>
      <c r="F1625" t="s">
        <v>94</v>
      </c>
      <c r="G1625" t="s">
        <v>277</v>
      </c>
      <c r="H1625" s="12">
        <v>6.2460000000000004</v>
      </c>
      <c r="I1625" s="12">
        <v>-75.561000000000007</v>
      </c>
      <c r="J1625" t="s">
        <v>96</v>
      </c>
      <c r="K1625" t="s">
        <v>97</v>
      </c>
      <c r="L1625" t="s">
        <v>1273</v>
      </c>
      <c r="P1625" s="13">
        <v>230.8</v>
      </c>
      <c r="Q1625" s="13">
        <v>56.1</v>
      </c>
      <c r="R1625">
        <v>48</v>
      </c>
      <c r="S1625">
        <v>26</v>
      </c>
      <c r="T1625" s="13">
        <v>39.700000000000003</v>
      </c>
      <c r="U1625" s="13">
        <v>90.9</v>
      </c>
      <c r="V1625" t="s">
        <v>99</v>
      </c>
      <c r="X1625" s="13">
        <v>230.8</v>
      </c>
    </row>
    <row r="1626" spans="1:24" x14ac:dyDescent="0.25">
      <c r="A1626" t="s">
        <v>1533</v>
      </c>
      <c r="B1626" t="s">
        <v>64</v>
      </c>
      <c r="C1626" t="s">
        <v>1504</v>
      </c>
      <c r="D1626" t="s">
        <v>1505</v>
      </c>
      <c r="E1626" t="s">
        <v>64</v>
      </c>
      <c r="F1626" t="s">
        <v>94</v>
      </c>
      <c r="G1626" t="s">
        <v>277</v>
      </c>
      <c r="H1626" s="12">
        <v>6.2460000000000004</v>
      </c>
      <c r="I1626" s="12">
        <v>-75.561000000000007</v>
      </c>
      <c r="J1626" t="s">
        <v>96</v>
      </c>
      <c r="K1626" t="s">
        <v>1269</v>
      </c>
      <c r="L1626" t="s">
        <v>1270</v>
      </c>
      <c r="P1626" s="13">
        <v>237</v>
      </c>
      <c r="Q1626" s="13">
        <v>48.8</v>
      </c>
      <c r="R1626">
        <v>54</v>
      </c>
      <c r="S1626">
        <v>38</v>
      </c>
      <c r="T1626" s="13">
        <v>48.3</v>
      </c>
      <c r="U1626" s="13">
        <v>49.1</v>
      </c>
      <c r="V1626" t="s">
        <v>268</v>
      </c>
      <c r="W1626" t="s">
        <v>1271</v>
      </c>
      <c r="X1626" s="13"/>
    </row>
    <row r="1627" spans="1:24" x14ac:dyDescent="0.25">
      <c r="A1627" t="s">
        <v>1534</v>
      </c>
      <c r="B1627" t="s">
        <v>64</v>
      </c>
      <c r="C1627" t="s">
        <v>1504</v>
      </c>
      <c r="D1627" t="s">
        <v>1505</v>
      </c>
      <c r="E1627" t="s">
        <v>64</v>
      </c>
      <c r="F1627" t="s">
        <v>94</v>
      </c>
      <c r="G1627" t="s">
        <v>277</v>
      </c>
      <c r="H1627" s="12">
        <v>6.2460000000000004</v>
      </c>
      <c r="I1627" s="12">
        <v>-75.561000000000007</v>
      </c>
      <c r="J1627" t="s">
        <v>96</v>
      </c>
      <c r="K1627" t="s">
        <v>97</v>
      </c>
      <c r="L1627" t="s">
        <v>1273</v>
      </c>
      <c r="P1627" s="13">
        <v>199.4</v>
      </c>
      <c r="Q1627" s="13">
        <v>51.2</v>
      </c>
      <c r="R1627">
        <v>36</v>
      </c>
      <c r="S1627">
        <v>46</v>
      </c>
      <c r="T1627" s="13">
        <v>29.3</v>
      </c>
      <c r="U1627" s="13">
        <v>30.9</v>
      </c>
      <c r="V1627" t="s">
        <v>99</v>
      </c>
      <c r="X1627" s="13">
        <v>199.4</v>
      </c>
    </row>
    <row r="1628" spans="1:24" x14ac:dyDescent="0.25">
      <c r="A1628" t="s">
        <v>1534</v>
      </c>
      <c r="B1628" t="s">
        <v>64</v>
      </c>
      <c r="C1628" t="s">
        <v>1504</v>
      </c>
      <c r="D1628" t="s">
        <v>1505</v>
      </c>
      <c r="E1628" t="s">
        <v>64</v>
      </c>
      <c r="F1628" t="s">
        <v>94</v>
      </c>
      <c r="G1628" t="s">
        <v>277</v>
      </c>
      <c r="H1628" s="12">
        <v>6.2460000000000004</v>
      </c>
      <c r="I1628" s="12">
        <v>-75.561000000000007</v>
      </c>
      <c r="J1628" t="s">
        <v>96</v>
      </c>
      <c r="K1628" t="s">
        <v>1269</v>
      </c>
      <c r="L1628" t="s">
        <v>1270</v>
      </c>
      <c r="P1628" s="13">
        <v>200.7</v>
      </c>
      <c r="Q1628" s="13">
        <v>51.2</v>
      </c>
      <c r="R1628">
        <v>24</v>
      </c>
      <c r="S1628">
        <v>50</v>
      </c>
      <c r="T1628" s="13">
        <v>39.700000000000003</v>
      </c>
      <c r="U1628" s="13">
        <v>27.3</v>
      </c>
      <c r="V1628" t="s">
        <v>268</v>
      </c>
      <c r="W1628" t="s">
        <v>1271</v>
      </c>
      <c r="X1628" s="13"/>
    </row>
    <row r="1629" spans="1:24" x14ac:dyDescent="0.25">
      <c r="A1629" t="s">
        <v>1535</v>
      </c>
      <c r="B1629" t="s">
        <v>64</v>
      </c>
      <c r="C1629" t="s">
        <v>1504</v>
      </c>
      <c r="D1629" t="s">
        <v>1505</v>
      </c>
      <c r="E1629" t="s">
        <v>64</v>
      </c>
      <c r="F1629" t="s">
        <v>94</v>
      </c>
      <c r="G1629" t="s">
        <v>277</v>
      </c>
      <c r="H1629" s="12">
        <v>6.2460000000000004</v>
      </c>
      <c r="I1629" s="12">
        <v>-75.561000000000007</v>
      </c>
      <c r="J1629" t="s">
        <v>96</v>
      </c>
      <c r="K1629" t="s">
        <v>97</v>
      </c>
      <c r="L1629" t="s">
        <v>1273</v>
      </c>
      <c r="P1629" s="13">
        <v>301.2</v>
      </c>
      <c r="Q1629" s="13">
        <v>68.3</v>
      </c>
      <c r="R1629">
        <v>38</v>
      </c>
      <c r="S1629">
        <v>70</v>
      </c>
      <c r="T1629" s="13">
        <v>56.9</v>
      </c>
      <c r="U1629" s="13">
        <v>83.6</v>
      </c>
      <c r="V1629" t="s">
        <v>99</v>
      </c>
      <c r="X1629" s="13">
        <v>301.2</v>
      </c>
    </row>
    <row r="1630" spans="1:24" x14ac:dyDescent="0.25">
      <c r="A1630" t="s">
        <v>1535</v>
      </c>
      <c r="B1630" t="s">
        <v>64</v>
      </c>
      <c r="C1630" t="s">
        <v>1504</v>
      </c>
      <c r="D1630" t="s">
        <v>1505</v>
      </c>
      <c r="E1630" t="s">
        <v>64</v>
      </c>
      <c r="F1630" t="s">
        <v>94</v>
      </c>
      <c r="G1630" t="s">
        <v>277</v>
      </c>
      <c r="H1630" s="12">
        <v>6.2460000000000004</v>
      </c>
      <c r="I1630" s="12">
        <v>-75.561000000000007</v>
      </c>
      <c r="J1630" t="s">
        <v>96</v>
      </c>
      <c r="K1630" t="s">
        <v>1269</v>
      </c>
      <c r="L1630" t="s">
        <v>1270</v>
      </c>
      <c r="P1630" s="13">
        <v>290.39999999999998</v>
      </c>
      <c r="Q1630" s="13">
        <v>53.7</v>
      </c>
      <c r="R1630">
        <v>46</v>
      </c>
      <c r="S1630">
        <v>62</v>
      </c>
      <c r="T1630" s="13">
        <v>60.3</v>
      </c>
      <c r="U1630" s="13">
        <v>89.1</v>
      </c>
      <c r="V1630" t="s">
        <v>268</v>
      </c>
      <c r="W1630" t="s">
        <v>1271</v>
      </c>
      <c r="X1630" s="13"/>
    </row>
    <row r="1631" spans="1:24" x14ac:dyDescent="0.25">
      <c r="A1631" t="s">
        <v>1536</v>
      </c>
      <c r="B1631" t="s">
        <v>64</v>
      </c>
      <c r="C1631" t="s">
        <v>1504</v>
      </c>
      <c r="D1631" t="s">
        <v>1505</v>
      </c>
      <c r="E1631" t="s">
        <v>64</v>
      </c>
      <c r="F1631" t="s">
        <v>94</v>
      </c>
      <c r="G1631" t="s">
        <v>277</v>
      </c>
      <c r="H1631" s="12">
        <v>6.2460000000000004</v>
      </c>
      <c r="I1631" s="12">
        <v>-75.561000000000007</v>
      </c>
      <c r="J1631" t="s">
        <v>96</v>
      </c>
      <c r="K1631" t="s">
        <v>97</v>
      </c>
      <c r="L1631" t="s">
        <v>1273</v>
      </c>
      <c r="P1631" s="13">
        <v>209.3</v>
      </c>
      <c r="Q1631" s="13">
        <v>48.8</v>
      </c>
      <c r="R1631">
        <v>34</v>
      </c>
      <c r="S1631">
        <v>44</v>
      </c>
      <c r="T1631" s="13">
        <v>43.1</v>
      </c>
      <c r="U1631" s="13">
        <v>34.5</v>
      </c>
      <c r="V1631" t="s">
        <v>99</v>
      </c>
      <c r="X1631" s="13">
        <v>209.3</v>
      </c>
    </row>
    <row r="1632" spans="1:24" x14ac:dyDescent="0.25">
      <c r="A1632" t="s">
        <v>1536</v>
      </c>
      <c r="B1632" t="s">
        <v>64</v>
      </c>
      <c r="C1632" t="s">
        <v>1504</v>
      </c>
      <c r="D1632" t="s">
        <v>1505</v>
      </c>
      <c r="E1632" t="s">
        <v>64</v>
      </c>
      <c r="F1632" t="s">
        <v>94</v>
      </c>
      <c r="G1632" t="s">
        <v>277</v>
      </c>
      <c r="H1632" s="12">
        <v>6.2460000000000004</v>
      </c>
      <c r="I1632" s="12">
        <v>-75.561000000000007</v>
      </c>
      <c r="J1632" t="s">
        <v>96</v>
      </c>
      <c r="K1632" t="s">
        <v>1269</v>
      </c>
      <c r="L1632" t="s">
        <v>1270</v>
      </c>
      <c r="P1632" s="13">
        <v>197.2</v>
      </c>
      <c r="Q1632" s="13">
        <v>48.8</v>
      </c>
      <c r="R1632">
        <v>34</v>
      </c>
      <c r="S1632">
        <v>44</v>
      </c>
      <c r="T1632" s="13">
        <v>36.200000000000003</v>
      </c>
      <c r="U1632" s="13">
        <v>23.6</v>
      </c>
      <c r="V1632" t="s">
        <v>268</v>
      </c>
      <c r="W1632" t="s">
        <v>1271</v>
      </c>
      <c r="X1632" s="13"/>
    </row>
    <row r="1633" spans="1:24" x14ac:dyDescent="0.25">
      <c r="A1633" t="s">
        <v>1537</v>
      </c>
      <c r="B1633" t="s">
        <v>64</v>
      </c>
      <c r="C1633" t="s">
        <v>1504</v>
      </c>
      <c r="D1633" t="s">
        <v>1505</v>
      </c>
      <c r="E1633" t="s">
        <v>64</v>
      </c>
      <c r="F1633" t="s">
        <v>94</v>
      </c>
      <c r="G1633" t="s">
        <v>277</v>
      </c>
      <c r="H1633" s="12">
        <v>6.2460000000000004</v>
      </c>
      <c r="I1633" s="12">
        <v>-75.561000000000007</v>
      </c>
      <c r="J1633" t="s">
        <v>129</v>
      </c>
      <c r="K1633" t="s">
        <v>97</v>
      </c>
      <c r="L1633" t="s">
        <v>1273</v>
      </c>
      <c r="P1633" s="13">
        <v>212.2</v>
      </c>
      <c r="Q1633" s="13">
        <v>61</v>
      </c>
      <c r="R1633">
        <v>32</v>
      </c>
      <c r="S1633">
        <v>44</v>
      </c>
      <c r="T1633" s="13">
        <v>39.700000000000003</v>
      </c>
      <c r="U1633" s="13">
        <v>21.8</v>
      </c>
      <c r="V1633" t="s">
        <v>99</v>
      </c>
      <c r="X1633" s="13">
        <v>212.2</v>
      </c>
    </row>
    <row r="1634" spans="1:24" x14ac:dyDescent="0.25">
      <c r="A1634" t="s">
        <v>1537</v>
      </c>
      <c r="B1634" t="s">
        <v>64</v>
      </c>
      <c r="C1634" t="s">
        <v>1504</v>
      </c>
      <c r="D1634" t="s">
        <v>1505</v>
      </c>
      <c r="E1634" t="s">
        <v>64</v>
      </c>
      <c r="F1634" t="s">
        <v>94</v>
      </c>
      <c r="G1634" t="s">
        <v>277</v>
      </c>
      <c r="H1634" s="12">
        <v>6.2460000000000004</v>
      </c>
      <c r="I1634" s="12">
        <v>-75.561000000000007</v>
      </c>
      <c r="J1634" t="s">
        <v>129</v>
      </c>
      <c r="K1634" t="s">
        <v>1269</v>
      </c>
      <c r="L1634" t="s">
        <v>1270</v>
      </c>
      <c r="P1634" s="13">
        <v>77.900000000000006</v>
      </c>
      <c r="Q1634" s="13">
        <v>0</v>
      </c>
      <c r="R1634">
        <v>14</v>
      </c>
      <c r="S1634">
        <v>30</v>
      </c>
      <c r="T1634" s="13">
        <v>13.8</v>
      </c>
      <c r="U1634" s="13">
        <v>29.1</v>
      </c>
      <c r="V1634" t="s">
        <v>268</v>
      </c>
      <c r="W1634" t="s">
        <v>1271</v>
      </c>
      <c r="X1634" s="13"/>
    </row>
    <row r="1635" spans="1:24" x14ac:dyDescent="0.25">
      <c r="A1635" t="s">
        <v>1538</v>
      </c>
      <c r="B1635" t="s">
        <v>64</v>
      </c>
      <c r="C1635" t="s">
        <v>1504</v>
      </c>
      <c r="D1635" t="s">
        <v>1505</v>
      </c>
      <c r="E1635" t="s">
        <v>64</v>
      </c>
      <c r="F1635" t="s">
        <v>94</v>
      </c>
      <c r="G1635" t="s">
        <v>277</v>
      </c>
      <c r="H1635" s="12">
        <v>6.2460000000000004</v>
      </c>
      <c r="I1635" s="12">
        <v>-75.561000000000007</v>
      </c>
      <c r="J1635" t="s">
        <v>129</v>
      </c>
      <c r="K1635" t="s">
        <v>97</v>
      </c>
      <c r="L1635" t="s">
        <v>1273</v>
      </c>
      <c r="P1635" s="13">
        <v>190.4</v>
      </c>
      <c r="Q1635" s="13">
        <v>56.1</v>
      </c>
      <c r="R1635">
        <v>34</v>
      </c>
      <c r="S1635">
        <v>34</v>
      </c>
      <c r="T1635" s="13">
        <v>27.6</v>
      </c>
      <c r="U1635" s="13">
        <v>40</v>
      </c>
      <c r="V1635" t="s">
        <v>99</v>
      </c>
      <c r="X1635" s="13">
        <v>190.4</v>
      </c>
    </row>
    <row r="1636" spans="1:24" x14ac:dyDescent="0.25">
      <c r="A1636" t="s">
        <v>1538</v>
      </c>
      <c r="B1636" t="s">
        <v>64</v>
      </c>
      <c r="C1636" t="s">
        <v>1504</v>
      </c>
      <c r="D1636" t="s">
        <v>1505</v>
      </c>
      <c r="E1636" t="s">
        <v>64</v>
      </c>
      <c r="F1636" t="s">
        <v>94</v>
      </c>
      <c r="G1636" t="s">
        <v>277</v>
      </c>
      <c r="H1636" s="12">
        <v>6.2460000000000004</v>
      </c>
      <c r="I1636" s="12">
        <v>-75.561000000000007</v>
      </c>
      <c r="J1636" t="s">
        <v>129</v>
      </c>
      <c r="K1636" t="s">
        <v>1269</v>
      </c>
      <c r="L1636" t="s">
        <v>1270</v>
      </c>
      <c r="P1636" s="13">
        <v>208.4</v>
      </c>
      <c r="Q1636" s="13">
        <v>63.4</v>
      </c>
      <c r="R1636">
        <v>46</v>
      </c>
      <c r="S1636">
        <v>28</v>
      </c>
      <c r="T1636" s="13">
        <v>31</v>
      </c>
      <c r="U1636" s="13">
        <v>36.4</v>
      </c>
      <c r="V1636" t="s">
        <v>268</v>
      </c>
      <c r="W1636" t="s">
        <v>1271</v>
      </c>
      <c r="X1636" s="13"/>
    </row>
    <row r="1637" spans="1:24" x14ac:dyDescent="0.25">
      <c r="A1637" t="s">
        <v>1539</v>
      </c>
      <c r="B1637" t="s">
        <v>64</v>
      </c>
      <c r="C1637" t="s">
        <v>1504</v>
      </c>
      <c r="D1637" t="s">
        <v>1505</v>
      </c>
      <c r="E1637" t="s">
        <v>64</v>
      </c>
      <c r="F1637" t="s">
        <v>94</v>
      </c>
      <c r="G1637" t="s">
        <v>277</v>
      </c>
      <c r="H1637" s="12">
        <v>6.2460000000000004</v>
      </c>
      <c r="I1637" s="12">
        <v>-75.561000000000007</v>
      </c>
      <c r="J1637" t="s">
        <v>129</v>
      </c>
      <c r="K1637" t="s">
        <v>97</v>
      </c>
      <c r="L1637" t="s">
        <v>1273</v>
      </c>
      <c r="P1637" s="13">
        <v>212.2</v>
      </c>
      <c r="Q1637" s="13">
        <v>61</v>
      </c>
      <c r="R1637">
        <v>42</v>
      </c>
      <c r="S1637">
        <v>28</v>
      </c>
      <c r="T1637" s="13">
        <v>41.4</v>
      </c>
      <c r="U1637" s="13">
        <v>34.5</v>
      </c>
      <c r="V1637" t="s">
        <v>99</v>
      </c>
      <c r="X1637" s="13">
        <v>212.2</v>
      </c>
    </row>
    <row r="1638" spans="1:24" x14ac:dyDescent="0.25">
      <c r="A1638" t="s">
        <v>1539</v>
      </c>
      <c r="B1638" t="s">
        <v>64</v>
      </c>
      <c r="C1638" t="s">
        <v>1504</v>
      </c>
      <c r="D1638" t="s">
        <v>1505</v>
      </c>
      <c r="E1638" t="s">
        <v>64</v>
      </c>
      <c r="F1638" t="s">
        <v>94</v>
      </c>
      <c r="G1638" t="s">
        <v>277</v>
      </c>
      <c r="H1638" s="12">
        <v>6.2460000000000004</v>
      </c>
      <c r="I1638" s="12">
        <v>-75.561000000000007</v>
      </c>
      <c r="J1638" t="s">
        <v>129</v>
      </c>
      <c r="K1638" t="s">
        <v>1269</v>
      </c>
      <c r="L1638" t="s">
        <v>1270</v>
      </c>
      <c r="P1638" s="13">
        <v>239</v>
      </c>
      <c r="Q1638" s="13">
        <v>41.5</v>
      </c>
      <c r="R1638">
        <v>46</v>
      </c>
      <c r="S1638">
        <v>54</v>
      </c>
      <c r="T1638" s="13">
        <v>51.7</v>
      </c>
      <c r="U1638" s="13">
        <v>41.8</v>
      </c>
      <c r="V1638" t="s">
        <v>268</v>
      </c>
      <c r="W1638" t="s">
        <v>1271</v>
      </c>
      <c r="X1638" s="13"/>
    </row>
    <row r="1639" spans="1:24" x14ac:dyDescent="0.25">
      <c r="A1639" t="s">
        <v>1540</v>
      </c>
      <c r="B1639" t="s">
        <v>64</v>
      </c>
      <c r="C1639" t="s">
        <v>1504</v>
      </c>
      <c r="D1639" t="s">
        <v>1505</v>
      </c>
      <c r="E1639" t="s">
        <v>64</v>
      </c>
      <c r="F1639" t="s">
        <v>94</v>
      </c>
      <c r="G1639" t="s">
        <v>277</v>
      </c>
      <c r="H1639" s="12">
        <v>6.2460000000000004</v>
      </c>
      <c r="I1639" s="12">
        <v>-75.561000000000007</v>
      </c>
      <c r="J1639" t="s">
        <v>129</v>
      </c>
      <c r="K1639" t="s">
        <v>97</v>
      </c>
      <c r="L1639" t="s">
        <v>1273</v>
      </c>
      <c r="P1639" s="13">
        <v>216.5</v>
      </c>
      <c r="Q1639" s="13">
        <v>75.599999999999994</v>
      </c>
      <c r="R1639">
        <v>40</v>
      </c>
      <c r="S1639">
        <v>24</v>
      </c>
      <c r="T1639" s="13">
        <v>31</v>
      </c>
      <c r="U1639" s="13">
        <v>50.9</v>
      </c>
      <c r="V1639" t="s">
        <v>99</v>
      </c>
      <c r="X1639" s="13">
        <v>216.5</v>
      </c>
    </row>
    <row r="1640" spans="1:24" x14ac:dyDescent="0.25">
      <c r="A1640" t="s">
        <v>1540</v>
      </c>
      <c r="B1640" t="s">
        <v>64</v>
      </c>
      <c r="C1640" t="s">
        <v>1504</v>
      </c>
      <c r="D1640" t="s">
        <v>1505</v>
      </c>
      <c r="E1640" t="s">
        <v>64</v>
      </c>
      <c r="F1640" t="s">
        <v>94</v>
      </c>
      <c r="G1640" t="s">
        <v>277</v>
      </c>
      <c r="H1640" s="12">
        <v>6.2460000000000004</v>
      </c>
      <c r="I1640" s="12">
        <v>-75.561000000000007</v>
      </c>
      <c r="J1640" t="s">
        <v>129</v>
      </c>
      <c r="K1640" t="s">
        <v>1269</v>
      </c>
      <c r="L1640" t="s">
        <v>1270</v>
      </c>
      <c r="P1640" s="13">
        <v>216.6</v>
      </c>
      <c r="Q1640" s="13">
        <v>58.5</v>
      </c>
      <c r="R1640">
        <v>46</v>
      </c>
      <c r="S1640">
        <v>26</v>
      </c>
      <c r="T1640" s="13">
        <v>29.3</v>
      </c>
      <c r="U1640" s="13">
        <v>83.6</v>
      </c>
      <c r="V1640" t="s">
        <v>268</v>
      </c>
      <c r="W1640" t="s">
        <v>1271</v>
      </c>
      <c r="X1640" s="13"/>
    </row>
    <row r="1641" spans="1:24" x14ac:dyDescent="0.25">
      <c r="A1641" t="s">
        <v>1541</v>
      </c>
      <c r="B1641" t="s">
        <v>64</v>
      </c>
      <c r="C1641" t="s">
        <v>1504</v>
      </c>
      <c r="D1641" t="s">
        <v>1505</v>
      </c>
      <c r="E1641" t="s">
        <v>64</v>
      </c>
      <c r="F1641" t="s">
        <v>94</v>
      </c>
      <c r="G1641" t="s">
        <v>277</v>
      </c>
      <c r="H1641" s="12">
        <v>6.2460000000000004</v>
      </c>
      <c r="I1641" s="12">
        <v>-75.561000000000007</v>
      </c>
      <c r="J1641" t="s">
        <v>129</v>
      </c>
      <c r="K1641" t="s">
        <v>97</v>
      </c>
      <c r="L1641" t="s">
        <v>1273</v>
      </c>
      <c r="P1641" s="13">
        <v>196.3</v>
      </c>
      <c r="Q1641" s="13">
        <v>36.6</v>
      </c>
      <c r="R1641">
        <v>36</v>
      </c>
      <c r="S1641">
        <v>30</v>
      </c>
      <c r="T1641" s="13">
        <v>50</v>
      </c>
      <c r="U1641" s="13">
        <v>52.7</v>
      </c>
      <c r="V1641" t="s">
        <v>99</v>
      </c>
      <c r="X1641" s="13">
        <v>196.3</v>
      </c>
    </row>
    <row r="1642" spans="1:24" x14ac:dyDescent="0.25">
      <c r="A1642" t="s">
        <v>1541</v>
      </c>
      <c r="B1642" t="s">
        <v>64</v>
      </c>
      <c r="C1642" t="s">
        <v>1504</v>
      </c>
      <c r="D1642" t="s">
        <v>1505</v>
      </c>
      <c r="E1642" t="s">
        <v>64</v>
      </c>
      <c r="F1642" t="s">
        <v>94</v>
      </c>
      <c r="G1642" t="s">
        <v>277</v>
      </c>
      <c r="H1642" s="12">
        <v>6.2460000000000004</v>
      </c>
      <c r="I1642" s="12">
        <v>-75.561000000000007</v>
      </c>
      <c r="J1642" t="s">
        <v>129</v>
      </c>
      <c r="K1642" t="s">
        <v>1269</v>
      </c>
      <c r="L1642" t="s">
        <v>1270</v>
      </c>
      <c r="P1642" s="13">
        <v>219.2</v>
      </c>
      <c r="Q1642" s="13">
        <v>56.1</v>
      </c>
      <c r="R1642">
        <v>50</v>
      </c>
      <c r="S1642">
        <v>34</v>
      </c>
      <c r="T1642" s="13">
        <v>41.4</v>
      </c>
      <c r="U1642" s="13">
        <v>25.5</v>
      </c>
      <c r="V1642" t="s">
        <v>268</v>
      </c>
      <c r="W1642" t="s">
        <v>1271</v>
      </c>
      <c r="X1642" s="13"/>
    </row>
    <row r="1643" spans="1:24" x14ac:dyDescent="0.25">
      <c r="A1643" t="s">
        <v>1542</v>
      </c>
      <c r="B1643" t="s">
        <v>64</v>
      </c>
      <c r="C1643" t="s">
        <v>1504</v>
      </c>
      <c r="D1643" t="s">
        <v>1505</v>
      </c>
      <c r="E1643" t="s">
        <v>64</v>
      </c>
      <c r="F1643" t="s">
        <v>94</v>
      </c>
      <c r="G1643" t="s">
        <v>277</v>
      </c>
      <c r="H1643" s="12">
        <v>6.2460000000000004</v>
      </c>
      <c r="I1643" s="12">
        <v>-75.561000000000007</v>
      </c>
      <c r="J1643" t="s">
        <v>129</v>
      </c>
      <c r="K1643" t="s">
        <v>97</v>
      </c>
      <c r="L1643" t="s">
        <v>1273</v>
      </c>
      <c r="P1643" s="13">
        <v>178.2</v>
      </c>
      <c r="Q1643" s="13">
        <v>34.1</v>
      </c>
      <c r="R1643">
        <v>44</v>
      </c>
      <c r="S1643">
        <v>30</v>
      </c>
      <c r="T1643" s="13">
        <v>29.3</v>
      </c>
      <c r="U1643" s="13">
        <v>50.9</v>
      </c>
      <c r="V1643" t="s">
        <v>99</v>
      </c>
      <c r="X1643" s="13">
        <v>178.2</v>
      </c>
    </row>
    <row r="1644" spans="1:24" x14ac:dyDescent="0.25">
      <c r="A1644" t="s">
        <v>1542</v>
      </c>
      <c r="B1644" t="s">
        <v>64</v>
      </c>
      <c r="C1644" t="s">
        <v>1504</v>
      </c>
      <c r="D1644" t="s">
        <v>1505</v>
      </c>
      <c r="E1644" t="s">
        <v>64</v>
      </c>
      <c r="F1644" t="s">
        <v>94</v>
      </c>
      <c r="G1644" t="s">
        <v>277</v>
      </c>
      <c r="H1644" s="12">
        <v>6.2460000000000004</v>
      </c>
      <c r="I1644" s="12">
        <v>-75.561000000000007</v>
      </c>
      <c r="J1644" t="s">
        <v>129</v>
      </c>
      <c r="K1644" t="s">
        <v>1269</v>
      </c>
      <c r="L1644" t="s">
        <v>1270</v>
      </c>
      <c r="P1644" s="13">
        <v>185.1</v>
      </c>
      <c r="Q1644" s="13">
        <v>46.3</v>
      </c>
      <c r="R1644">
        <v>46</v>
      </c>
      <c r="S1644">
        <v>22</v>
      </c>
      <c r="T1644" s="13">
        <v>32.799999999999997</v>
      </c>
      <c r="U1644" s="13">
        <v>40</v>
      </c>
      <c r="V1644" t="s">
        <v>268</v>
      </c>
      <c r="W1644" t="s">
        <v>1271</v>
      </c>
      <c r="X1644" s="13"/>
    </row>
    <row r="1645" spans="1:24" x14ac:dyDescent="0.25">
      <c r="A1645" t="s">
        <v>1543</v>
      </c>
      <c r="B1645" t="s">
        <v>64</v>
      </c>
      <c r="C1645" t="s">
        <v>1504</v>
      </c>
      <c r="D1645" t="s">
        <v>1505</v>
      </c>
      <c r="E1645" t="s">
        <v>64</v>
      </c>
      <c r="F1645" t="s">
        <v>94</v>
      </c>
      <c r="G1645" t="s">
        <v>277</v>
      </c>
      <c r="H1645" s="12">
        <v>6.2460000000000004</v>
      </c>
      <c r="I1645" s="12">
        <v>-75.561000000000007</v>
      </c>
      <c r="J1645" t="s">
        <v>129</v>
      </c>
      <c r="K1645" t="s">
        <v>97</v>
      </c>
      <c r="L1645" t="s">
        <v>1273</v>
      </c>
      <c r="P1645" s="13">
        <v>224.9</v>
      </c>
      <c r="Q1645" s="13">
        <v>58.5</v>
      </c>
      <c r="R1645">
        <v>36</v>
      </c>
      <c r="S1645">
        <v>38</v>
      </c>
      <c r="T1645" s="13">
        <v>44.8</v>
      </c>
      <c r="U1645" s="13">
        <v>52.7</v>
      </c>
      <c r="V1645" t="s">
        <v>99</v>
      </c>
      <c r="X1645" s="13">
        <v>224.9</v>
      </c>
    </row>
    <row r="1646" spans="1:24" x14ac:dyDescent="0.25">
      <c r="A1646" t="s">
        <v>1543</v>
      </c>
      <c r="B1646" t="s">
        <v>64</v>
      </c>
      <c r="C1646" t="s">
        <v>1504</v>
      </c>
      <c r="D1646" t="s">
        <v>1505</v>
      </c>
      <c r="E1646" t="s">
        <v>64</v>
      </c>
      <c r="F1646" t="s">
        <v>94</v>
      </c>
      <c r="G1646" t="s">
        <v>277</v>
      </c>
      <c r="H1646" s="12">
        <v>6.2460000000000004</v>
      </c>
      <c r="I1646" s="12">
        <v>-75.561000000000007</v>
      </c>
      <c r="J1646" t="s">
        <v>129</v>
      </c>
      <c r="K1646" t="s">
        <v>1269</v>
      </c>
      <c r="L1646" t="s">
        <v>1270</v>
      </c>
      <c r="P1646" s="13">
        <v>262.10000000000002</v>
      </c>
      <c r="Q1646" s="13">
        <v>48.8</v>
      </c>
      <c r="R1646">
        <v>34</v>
      </c>
      <c r="S1646">
        <v>78</v>
      </c>
      <c r="T1646" s="13">
        <v>50</v>
      </c>
      <c r="U1646" s="13">
        <v>49.1</v>
      </c>
      <c r="V1646" t="s">
        <v>268</v>
      </c>
      <c r="W1646" t="s">
        <v>1271</v>
      </c>
      <c r="X1646" s="13"/>
    </row>
    <row r="1647" spans="1:24" x14ac:dyDescent="0.25">
      <c r="A1647" t="s">
        <v>1544</v>
      </c>
      <c r="B1647" t="s">
        <v>64</v>
      </c>
      <c r="C1647" t="s">
        <v>1545</v>
      </c>
      <c r="D1647" t="s">
        <v>1546</v>
      </c>
      <c r="E1647" t="s">
        <v>64</v>
      </c>
      <c r="F1647" t="s">
        <v>94</v>
      </c>
      <c r="G1647" t="s">
        <v>277</v>
      </c>
      <c r="H1647" s="12">
        <v>6.2069999999999999</v>
      </c>
      <c r="I1647" s="12">
        <v>-75.44</v>
      </c>
      <c r="J1647" t="s">
        <v>96</v>
      </c>
      <c r="K1647" t="s">
        <v>1269</v>
      </c>
      <c r="L1647" t="s">
        <v>1270</v>
      </c>
      <c r="P1647" s="13">
        <v>240.9</v>
      </c>
      <c r="Q1647" s="13">
        <v>61</v>
      </c>
      <c r="R1647">
        <v>32</v>
      </c>
      <c r="S1647">
        <v>52</v>
      </c>
      <c r="T1647" s="13">
        <v>51.7</v>
      </c>
      <c r="U1647" s="13">
        <v>36.4</v>
      </c>
      <c r="V1647" t="s">
        <v>268</v>
      </c>
      <c r="W1647" t="s">
        <v>1271</v>
      </c>
      <c r="X1647" s="13"/>
    </row>
    <row r="1648" spans="1:24" x14ac:dyDescent="0.25">
      <c r="A1648" t="s">
        <v>1547</v>
      </c>
      <c r="B1648" t="s">
        <v>64</v>
      </c>
      <c r="C1648" t="s">
        <v>1545</v>
      </c>
      <c r="D1648" t="s">
        <v>1546</v>
      </c>
      <c r="E1648" t="s">
        <v>64</v>
      </c>
      <c r="F1648" t="s">
        <v>94</v>
      </c>
      <c r="G1648" t="s">
        <v>277</v>
      </c>
      <c r="H1648" s="12">
        <v>6.2069999999999999</v>
      </c>
      <c r="I1648" s="12">
        <v>-75.44</v>
      </c>
      <c r="J1648" t="s">
        <v>96</v>
      </c>
      <c r="K1648" t="s">
        <v>97</v>
      </c>
      <c r="L1648" t="s">
        <v>1273</v>
      </c>
      <c r="P1648" s="13">
        <v>226.6</v>
      </c>
      <c r="Q1648" s="13">
        <v>53.7</v>
      </c>
      <c r="R1648">
        <v>36</v>
      </c>
      <c r="S1648">
        <v>48</v>
      </c>
      <c r="T1648" s="13">
        <v>44.8</v>
      </c>
      <c r="U1648" s="13">
        <v>41.8</v>
      </c>
      <c r="V1648" t="s">
        <v>99</v>
      </c>
      <c r="X1648" s="13">
        <v>226.6</v>
      </c>
    </row>
    <row r="1649" spans="1:24" x14ac:dyDescent="0.25">
      <c r="A1649" t="s">
        <v>1547</v>
      </c>
      <c r="B1649" t="s">
        <v>64</v>
      </c>
      <c r="C1649" t="s">
        <v>1545</v>
      </c>
      <c r="D1649" t="s">
        <v>1546</v>
      </c>
      <c r="E1649" t="s">
        <v>64</v>
      </c>
      <c r="F1649" t="s">
        <v>94</v>
      </c>
      <c r="G1649" t="s">
        <v>277</v>
      </c>
      <c r="H1649" s="12">
        <v>6.2069999999999999</v>
      </c>
      <c r="I1649" s="12">
        <v>-75.44</v>
      </c>
      <c r="J1649" t="s">
        <v>96</v>
      </c>
      <c r="K1649" t="s">
        <v>1269</v>
      </c>
      <c r="L1649" t="s">
        <v>1270</v>
      </c>
      <c r="P1649" s="13">
        <v>277.10000000000002</v>
      </c>
      <c r="Q1649" s="13">
        <v>63.4</v>
      </c>
      <c r="R1649">
        <v>70</v>
      </c>
      <c r="S1649">
        <v>36</v>
      </c>
      <c r="T1649" s="13">
        <v>58.6</v>
      </c>
      <c r="U1649" s="13">
        <v>36.4</v>
      </c>
      <c r="V1649" t="s">
        <v>268</v>
      </c>
      <c r="W1649" t="s">
        <v>1271</v>
      </c>
      <c r="X1649" s="13"/>
    </row>
    <row r="1650" spans="1:24" x14ac:dyDescent="0.25">
      <c r="A1650" t="s">
        <v>1548</v>
      </c>
      <c r="B1650" t="s">
        <v>64</v>
      </c>
      <c r="C1650" t="s">
        <v>1545</v>
      </c>
      <c r="D1650" t="s">
        <v>1546</v>
      </c>
      <c r="E1650" t="s">
        <v>64</v>
      </c>
      <c r="F1650" t="s">
        <v>94</v>
      </c>
      <c r="G1650" t="s">
        <v>277</v>
      </c>
      <c r="H1650" s="12">
        <v>6.2069999999999999</v>
      </c>
      <c r="I1650" s="12">
        <v>-75.44</v>
      </c>
      <c r="J1650" t="s">
        <v>96</v>
      </c>
      <c r="K1650" t="s">
        <v>97</v>
      </c>
      <c r="L1650" t="s">
        <v>1273</v>
      </c>
      <c r="P1650" s="13">
        <v>230.2</v>
      </c>
      <c r="Q1650" s="13">
        <v>73.2</v>
      </c>
      <c r="R1650">
        <v>30</v>
      </c>
      <c r="S1650">
        <v>48</v>
      </c>
      <c r="T1650" s="13">
        <v>36.200000000000003</v>
      </c>
      <c r="U1650" s="13">
        <v>36.4</v>
      </c>
      <c r="V1650" t="s">
        <v>99</v>
      </c>
      <c r="X1650" s="13">
        <v>230.2</v>
      </c>
    </row>
    <row r="1651" spans="1:24" x14ac:dyDescent="0.25">
      <c r="A1651" t="s">
        <v>1548</v>
      </c>
      <c r="B1651" t="s">
        <v>64</v>
      </c>
      <c r="C1651" t="s">
        <v>1545</v>
      </c>
      <c r="D1651" t="s">
        <v>1546</v>
      </c>
      <c r="E1651" t="s">
        <v>64</v>
      </c>
      <c r="F1651" t="s">
        <v>94</v>
      </c>
      <c r="G1651" t="s">
        <v>277</v>
      </c>
      <c r="H1651" s="12">
        <v>6.2069999999999999</v>
      </c>
      <c r="I1651" s="12">
        <v>-75.44</v>
      </c>
      <c r="J1651" t="s">
        <v>96</v>
      </c>
      <c r="K1651" t="s">
        <v>1269</v>
      </c>
      <c r="L1651" t="s">
        <v>1270</v>
      </c>
      <c r="P1651" s="13">
        <v>252.6</v>
      </c>
      <c r="Q1651" s="13">
        <v>51.2</v>
      </c>
      <c r="R1651">
        <v>50</v>
      </c>
      <c r="S1651">
        <v>64</v>
      </c>
      <c r="T1651" s="13">
        <v>48.3</v>
      </c>
      <c r="U1651" s="13">
        <v>16.399999999999999</v>
      </c>
      <c r="V1651" t="s">
        <v>268</v>
      </c>
      <c r="W1651" t="s">
        <v>1271</v>
      </c>
      <c r="X1651" s="13"/>
    </row>
    <row r="1652" spans="1:24" x14ac:dyDescent="0.25">
      <c r="A1652" t="s">
        <v>1549</v>
      </c>
      <c r="B1652" t="s">
        <v>64</v>
      </c>
      <c r="C1652" t="s">
        <v>1545</v>
      </c>
      <c r="D1652" t="s">
        <v>1546</v>
      </c>
      <c r="E1652" t="s">
        <v>64</v>
      </c>
      <c r="F1652" t="s">
        <v>94</v>
      </c>
      <c r="G1652" t="s">
        <v>277</v>
      </c>
      <c r="H1652" s="12">
        <v>6.2069999999999999</v>
      </c>
      <c r="I1652" s="12">
        <v>-75.44</v>
      </c>
      <c r="J1652" t="s">
        <v>96</v>
      </c>
      <c r="K1652" t="s">
        <v>97</v>
      </c>
      <c r="L1652" t="s">
        <v>1273</v>
      </c>
      <c r="P1652" s="13">
        <v>199.5</v>
      </c>
      <c r="Q1652" s="13">
        <v>63.4</v>
      </c>
      <c r="R1652">
        <v>30</v>
      </c>
      <c r="S1652">
        <v>48</v>
      </c>
      <c r="T1652" s="13">
        <v>22.4</v>
      </c>
      <c r="U1652" s="13">
        <v>27.3</v>
      </c>
      <c r="V1652" t="s">
        <v>99</v>
      </c>
      <c r="X1652" s="13">
        <v>199.5</v>
      </c>
    </row>
    <row r="1653" spans="1:24" x14ac:dyDescent="0.25">
      <c r="A1653" t="s">
        <v>1549</v>
      </c>
      <c r="B1653" t="s">
        <v>64</v>
      </c>
      <c r="C1653" t="s">
        <v>1545</v>
      </c>
      <c r="D1653" t="s">
        <v>1546</v>
      </c>
      <c r="E1653" t="s">
        <v>64</v>
      </c>
      <c r="F1653" t="s">
        <v>94</v>
      </c>
      <c r="G1653" t="s">
        <v>277</v>
      </c>
      <c r="H1653" s="12">
        <v>6.2069999999999999</v>
      </c>
      <c r="I1653" s="12">
        <v>-75.44</v>
      </c>
      <c r="J1653" t="s">
        <v>96</v>
      </c>
      <c r="K1653" t="s">
        <v>1269</v>
      </c>
      <c r="L1653" t="s">
        <v>1270</v>
      </c>
      <c r="P1653" s="13">
        <v>220</v>
      </c>
      <c r="Q1653" s="13">
        <v>51.2</v>
      </c>
      <c r="R1653">
        <v>38</v>
      </c>
      <c r="S1653">
        <v>52</v>
      </c>
      <c r="T1653" s="13">
        <v>37.9</v>
      </c>
      <c r="U1653" s="13">
        <v>34.5</v>
      </c>
      <c r="V1653" t="s">
        <v>268</v>
      </c>
      <c r="W1653" t="s">
        <v>1271</v>
      </c>
      <c r="X1653" s="13"/>
    </row>
    <row r="1654" spans="1:24" x14ac:dyDescent="0.25">
      <c r="A1654" t="s">
        <v>1550</v>
      </c>
      <c r="B1654" t="s">
        <v>64</v>
      </c>
      <c r="C1654" t="s">
        <v>1545</v>
      </c>
      <c r="D1654" t="s">
        <v>1546</v>
      </c>
      <c r="E1654" t="s">
        <v>64</v>
      </c>
      <c r="F1654" t="s">
        <v>94</v>
      </c>
      <c r="G1654" t="s">
        <v>277</v>
      </c>
      <c r="H1654" s="12">
        <v>6.2069999999999999</v>
      </c>
      <c r="I1654" s="12">
        <v>-75.44</v>
      </c>
      <c r="J1654" t="s">
        <v>96</v>
      </c>
      <c r="K1654" t="s">
        <v>97</v>
      </c>
      <c r="L1654" t="s">
        <v>1273</v>
      </c>
      <c r="P1654" s="13">
        <v>169</v>
      </c>
      <c r="Q1654" s="13">
        <v>65.900000000000006</v>
      </c>
      <c r="R1654">
        <v>28</v>
      </c>
      <c r="S1654">
        <v>26</v>
      </c>
      <c r="T1654" s="13">
        <v>12.1</v>
      </c>
      <c r="U1654" s="13">
        <v>43.6</v>
      </c>
      <c r="V1654" t="s">
        <v>99</v>
      </c>
      <c r="X1654" s="13">
        <v>169</v>
      </c>
    </row>
    <row r="1655" spans="1:24" x14ac:dyDescent="0.25">
      <c r="A1655" t="s">
        <v>1550</v>
      </c>
      <c r="B1655" t="s">
        <v>64</v>
      </c>
      <c r="C1655" t="s">
        <v>1545</v>
      </c>
      <c r="D1655" t="s">
        <v>1546</v>
      </c>
      <c r="E1655" t="s">
        <v>64</v>
      </c>
      <c r="F1655" t="s">
        <v>94</v>
      </c>
      <c r="G1655" t="s">
        <v>277</v>
      </c>
      <c r="H1655" s="12">
        <v>6.2069999999999999</v>
      </c>
      <c r="I1655" s="12">
        <v>-75.44</v>
      </c>
      <c r="J1655" t="s">
        <v>96</v>
      </c>
      <c r="K1655" t="s">
        <v>1269</v>
      </c>
      <c r="L1655" t="s">
        <v>1270</v>
      </c>
      <c r="P1655" s="13">
        <v>189.2</v>
      </c>
      <c r="Q1655" s="13">
        <v>41.5</v>
      </c>
      <c r="R1655">
        <v>36</v>
      </c>
      <c r="S1655">
        <v>24</v>
      </c>
      <c r="T1655" s="13">
        <v>43.1</v>
      </c>
      <c r="U1655" s="13">
        <v>58.2</v>
      </c>
      <c r="V1655" t="s">
        <v>268</v>
      </c>
      <c r="W1655" t="s">
        <v>1271</v>
      </c>
      <c r="X1655" s="13"/>
    </row>
    <row r="1656" spans="1:24" x14ac:dyDescent="0.25">
      <c r="A1656" t="s">
        <v>1551</v>
      </c>
      <c r="B1656" t="s">
        <v>64</v>
      </c>
      <c r="C1656" t="s">
        <v>1545</v>
      </c>
      <c r="D1656" t="s">
        <v>1546</v>
      </c>
      <c r="E1656" t="s">
        <v>64</v>
      </c>
      <c r="F1656" t="s">
        <v>94</v>
      </c>
      <c r="G1656" t="s">
        <v>277</v>
      </c>
      <c r="H1656" s="12">
        <v>6.2069999999999999</v>
      </c>
      <c r="I1656" s="12">
        <v>-75.44</v>
      </c>
      <c r="J1656" t="s">
        <v>96</v>
      </c>
      <c r="K1656" t="s">
        <v>97</v>
      </c>
      <c r="L1656" t="s">
        <v>1273</v>
      </c>
      <c r="P1656" s="13">
        <v>185.5</v>
      </c>
      <c r="Q1656" s="13">
        <v>48.8</v>
      </c>
      <c r="R1656">
        <v>20</v>
      </c>
      <c r="S1656">
        <v>34</v>
      </c>
      <c r="T1656" s="13">
        <v>48.3</v>
      </c>
      <c r="U1656" s="13">
        <v>29.1</v>
      </c>
      <c r="V1656" t="s">
        <v>99</v>
      </c>
      <c r="X1656" s="13">
        <v>185.5</v>
      </c>
    </row>
    <row r="1657" spans="1:24" x14ac:dyDescent="0.25">
      <c r="A1657" t="s">
        <v>1551</v>
      </c>
      <c r="B1657" t="s">
        <v>64</v>
      </c>
      <c r="C1657" t="s">
        <v>1545</v>
      </c>
      <c r="D1657" t="s">
        <v>1546</v>
      </c>
      <c r="E1657" t="s">
        <v>64</v>
      </c>
      <c r="F1657" t="s">
        <v>94</v>
      </c>
      <c r="G1657" t="s">
        <v>277</v>
      </c>
      <c r="H1657" s="12">
        <v>6.2069999999999999</v>
      </c>
      <c r="I1657" s="12">
        <v>-75.44</v>
      </c>
      <c r="J1657" t="s">
        <v>96</v>
      </c>
      <c r="K1657" t="s">
        <v>1269</v>
      </c>
      <c r="L1657" t="s">
        <v>1270</v>
      </c>
      <c r="P1657" s="13">
        <v>189.6</v>
      </c>
      <c r="Q1657" s="13">
        <v>43.9</v>
      </c>
      <c r="R1657">
        <v>38</v>
      </c>
      <c r="S1657">
        <v>36</v>
      </c>
      <c r="T1657" s="13">
        <v>37.9</v>
      </c>
      <c r="U1657" s="13">
        <v>25.5</v>
      </c>
      <c r="V1657" t="s">
        <v>268</v>
      </c>
      <c r="W1657" t="s">
        <v>1271</v>
      </c>
      <c r="X1657" s="13"/>
    </row>
    <row r="1658" spans="1:24" x14ac:dyDescent="0.25">
      <c r="A1658" t="s">
        <v>1552</v>
      </c>
      <c r="B1658" t="s">
        <v>64</v>
      </c>
      <c r="C1658" t="s">
        <v>1545</v>
      </c>
      <c r="D1658" t="s">
        <v>1546</v>
      </c>
      <c r="E1658" t="s">
        <v>64</v>
      </c>
      <c r="F1658" t="s">
        <v>94</v>
      </c>
      <c r="G1658" t="s">
        <v>277</v>
      </c>
      <c r="H1658" s="12">
        <v>6.2069999999999999</v>
      </c>
      <c r="I1658" s="12">
        <v>-75.44</v>
      </c>
      <c r="J1658" t="s">
        <v>96</v>
      </c>
      <c r="K1658" t="s">
        <v>97</v>
      </c>
      <c r="L1658" t="s">
        <v>1273</v>
      </c>
      <c r="P1658" s="13">
        <v>298.89999999999998</v>
      </c>
      <c r="Q1658" s="13">
        <v>68.3</v>
      </c>
      <c r="R1658">
        <v>32</v>
      </c>
      <c r="S1658">
        <v>80</v>
      </c>
      <c r="T1658" s="13">
        <v>56.9</v>
      </c>
      <c r="U1658" s="13">
        <v>65.5</v>
      </c>
      <c r="V1658" t="s">
        <v>99</v>
      </c>
      <c r="X1658" s="13">
        <v>298.89999999999998</v>
      </c>
    </row>
    <row r="1659" spans="1:24" x14ac:dyDescent="0.25">
      <c r="A1659" t="s">
        <v>1552</v>
      </c>
      <c r="B1659" t="s">
        <v>64</v>
      </c>
      <c r="C1659" t="s">
        <v>1545</v>
      </c>
      <c r="D1659" t="s">
        <v>1546</v>
      </c>
      <c r="E1659" t="s">
        <v>64</v>
      </c>
      <c r="F1659" t="s">
        <v>94</v>
      </c>
      <c r="G1659" t="s">
        <v>277</v>
      </c>
      <c r="H1659" s="12">
        <v>6.2069999999999999</v>
      </c>
      <c r="I1659" s="12">
        <v>-75.44</v>
      </c>
      <c r="J1659" t="s">
        <v>96</v>
      </c>
      <c r="K1659" t="s">
        <v>1269</v>
      </c>
      <c r="L1659" t="s">
        <v>1270</v>
      </c>
      <c r="P1659" s="13">
        <v>286.89999999999998</v>
      </c>
      <c r="Q1659" s="13">
        <v>56.1</v>
      </c>
      <c r="R1659">
        <v>54</v>
      </c>
      <c r="S1659">
        <v>76</v>
      </c>
      <c r="T1659" s="13">
        <v>41.4</v>
      </c>
      <c r="U1659" s="13">
        <v>63.6</v>
      </c>
      <c r="V1659" t="s">
        <v>268</v>
      </c>
      <c r="W1659" t="s">
        <v>1271</v>
      </c>
      <c r="X1659" s="13"/>
    </row>
    <row r="1660" spans="1:24" x14ac:dyDescent="0.25">
      <c r="A1660" t="s">
        <v>1553</v>
      </c>
      <c r="B1660" t="s">
        <v>64</v>
      </c>
      <c r="C1660" t="s">
        <v>1545</v>
      </c>
      <c r="D1660" t="s">
        <v>1546</v>
      </c>
      <c r="E1660" t="s">
        <v>64</v>
      </c>
      <c r="F1660" t="s">
        <v>94</v>
      </c>
      <c r="G1660" t="s">
        <v>277</v>
      </c>
      <c r="H1660" s="12">
        <v>6.2069999999999999</v>
      </c>
      <c r="I1660" s="12">
        <v>-75.44</v>
      </c>
      <c r="J1660" t="s">
        <v>96</v>
      </c>
      <c r="K1660" t="s">
        <v>97</v>
      </c>
      <c r="L1660" t="s">
        <v>1273</v>
      </c>
      <c r="P1660" s="13">
        <v>137.5</v>
      </c>
      <c r="Q1660" s="13">
        <v>29.3</v>
      </c>
      <c r="R1660">
        <v>30</v>
      </c>
      <c r="S1660">
        <v>22</v>
      </c>
      <c r="T1660" s="13">
        <v>27.6</v>
      </c>
      <c r="U1660" s="13">
        <v>30.9</v>
      </c>
      <c r="V1660" t="s">
        <v>99</v>
      </c>
      <c r="X1660" s="13">
        <v>137.5</v>
      </c>
    </row>
    <row r="1661" spans="1:24" x14ac:dyDescent="0.25">
      <c r="A1661" t="s">
        <v>1553</v>
      </c>
      <c r="B1661" t="s">
        <v>64</v>
      </c>
      <c r="C1661" t="s">
        <v>1545</v>
      </c>
      <c r="D1661" t="s">
        <v>1546</v>
      </c>
      <c r="E1661" t="s">
        <v>64</v>
      </c>
      <c r="F1661" t="s">
        <v>94</v>
      </c>
      <c r="G1661" t="s">
        <v>277</v>
      </c>
      <c r="H1661" s="12">
        <v>6.2069999999999999</v>
      </c>
      <c r="I1661" s="12">
        <v>-75.44</v>
      </c>
      <c r="J1661" t="s">
        <v>96</v>
      </c>
      <c r="K1661" t="s">
        <v>1269</v>
      </c>
      <c r="L1661" t="s">
        <v>1270</v>
      </c>
      <c r="P1661" s="13">
        <v>119.6</v>
      </c>
      <c r="Q1661" s="13">
        <v>22</v>
      </c>
      <c r="R1661">
        <v>32</v>
      </c>
      <c r="S1661">
        <v>20</v>
      </c>
      <c r="T1661" s="13">
        <v>22.4</v>
      </c>
      <c r="U1661" s="13">
        <v>21.8</v>
      </c>
      <c r="V1661" t="s">
        <v>268</v>
      </c>
      <c r="W1661" t="s">
        <v>1271</v>
      </c>
      <c r="X1661" s="13"/>
    </row>
    <row r="1662" spans="1:24" x14ac:dyDescent="0.25">
      <c r="A1662" t="s">
        <v>1554</v>
      </c>
      <c r="B1662" t="s">
        <v>64</v>
      </c>
      <c r="C1662" t="s">
        <v>1545</v>
      </c>
      <c r="D1662" t="s">
        <v>1546</v>
      </c>
      <c r="E1662" t="s">
        <v>64</v>
      </c>
      <c r="F1662" t="s">
        <v>94</v>
      </c>
      <c r="G1662" t="s">
        <v>277</v>
      </c>
      <c r="H1662" s="12">
        <v>6.2069999999999999</v>
      </c>
      <c r="I1662" s="12">
        <v>-75.44</v>
      </c>
      <c r="J1662" t="s">
        <v>96</v>
      </c>
      <c r="K1662" t="s">
        <v>97</v>
      </c>
      <c r="L1662" t="s">
        <v>1273</v>
      </c>
      <c r="P1662" s="13">
        <v>213.9</v>
      </c>
      <c r="Q1662" s="13">
        <v>56.1</v>
      </c>
      <c r="R1662">
        <v>28</v>
      </c>
      <c r="S1662">
        <v>38</v>
      </c>
      <c r="T1662" s="13">
        <v>51.7</v>
      </c>
      <c r="U1662" s="13">
        <v>34.5</v>
      </c>
      <c r="V1662" t="s">
        <v>99</v>
      </c>
      <c r="X1662" s="13">
        <v>213.9</v>
      </c>
    </row>
    <row r="1663" spans="1:24" x14ac:dyDescent="0.25">
      <c r="A1663" t="s">
        <v>1554</v>
      </c>
      <c r="B1663" t="s">
        <v>64</v>
      </c>
      <c r="C1663" t="s">
        <v>1545</v>
      </c>
      <c r="D1663" t="s">
        <v>1546</v>
      </c>
      <c r="E1663" t="s">
        <v>64</v>
      </c>
      <c r="F1663" t="s">
        <v>94</v>
      </c>
      <c r="G1663" t="s">
        <v>277</v>
      </c>
      <c r="H1663" s="12">
        <v>6.2069999999999999</v>
      </c>
      <c r="I1663" s="12">
        <v>-75.44</v>
      </c>
      <c r="J1663" t="s">
        <v>96</v>
      </c>
      <c r="K1663" t="s">
        <v>1269</v>
      </c>
      <c r="L1663" t="s">
        <v>1270</v>
      </c>
      <c r="P1663" s="13">
        <v>193</v>
      </c>
      <c r="Q1663" s="13">
        <v>61</v>
      </c>
      <c r="R1663">
        <v>28</v>
      </c>
      <c r="S1663">
        <v>28</v>
      </c>
      <c r="T1663" s="13">
        <v>32.799999999999997</v>
      </c>
      <c r="U1663" s="13">
        <v>52.7</v>
      </c>
      <c r="V1663" t="s">
        <v>268</v>
      </c>
      <c r="W1663" t="s">
        <v>1271</v>
      </c>
      <c r="X1663" s="13"/>
    </row>
    <row r="1664" spans="1:24" x14ac:dyDescent="0.25">
      <c r="A1664" t="s">
        <v>1555</v>
      </c>
      <c r="B1664" t="s">
        <v>64</v>
      </c>
      <c r="C1664" t="s">
        <v>1545</v>
      </c>
      <c r="D1664" t="s">
        <v>1546</v>
      </c>
      <c r="E1664" t="s">
        <v>64</v>
      </c>
      <c r="F1664" t="s">
        <v>94</v>
      </c>
      <c r="G1664" t="s">
        <v>277</v>
      </c>
      <c r="H1664" s="12">
        <v>6.2069999999999999</v>
      </c>
      <c r="I1664" s="12">
        <v>-75.44</v>
      </c>
      <c r="J1664" t="s">
        <v>96</v>
      </c>
      <c r="K1664" t="s">
        <v>97</v>
      </c>
      <c r="L1664" t="s">
        <v>1273</v>
      </c>
      <c r="P1664" s="13">
        <v>152</v>
      </c>
      <c r="Q1664" s="13">
        <v>34.1</v>
      </c>
      <c r="R1664">
        <v>24</v>
      </c>
      <c r="S1664">
        <v>30</v>
      </c>
      <c r="T1664" s="13">
        <v>34.5</v>
      </c>
      <c r="U1664" s="13">
        <v>27.3</v>
      </c>
      <c r="V1664" t="s">
        <v>99</v>
      </c>
      <c r="X1664" s="13">
        <v>152</v>
      </c>
    </row>
    <row r="1665" spans="1:24" x14ac:dyDescent="0.25">
      <c r="A1665" t="s">
        <v>1555</v>
      </c>
      <c r="B1665" t="s">
        <v>64</v>
      </c>
      <c r="C1665" t="s">
        <v>1545</v>
      </c>
      <c r="D1665" t="s">
        <v>1546</v>
      </c>
      <c r="E1665" t="s">
        <v>64</v>
      </c>
      <c r="F1665" t="s">
        <v>94</v>
      </c>
      <c r="G1665" t="s">
        <v>277</v>
      </c>
      <c r="H1665" s="12">
        <v>6.2069999999999999</v>
      </c>
      <c r="I1665" s="12">
        <v>-75.44</v>
      </c>
      <c r="J1665" t="s">
        <v>96</v>
      </c>
      <c r="K1665" t="s">
        <v>1269</v>
      </c>
      <c r="L1665" t="s">
        <v>1270</v>
      </c>
      <c r="P1665" s="13">
        <v>186.9</v>
      </c>
      <c r="Q1665" s="13">
        <v>48.8</v>
      </c>
      <c r="R1665">
        <v>34</v>
      </c>
      <c r="S1665">
        <v>22</v>
      </c>
      <c r="T1665" s="13">
        <v>39.700000000000003</v>
      </c>
      <c r="U1665" s="13">
        <v>52.7</v>
      </c>
      <c r="V1665" t="s">
        <v>268</v>
      </c>
      <c r="W1665" t="s">
        <v>1271</v>
      </c>
      <c r="X1665" s="13"/>
    </row>
    <row r="1666" spans="1:24" x14ac:dyDescent="0.25">
      <c r="A1666" t="s">
        <v>1556</v>
      </c>
      <c r="B1666" t="s">
        <v>64</v>
      </c>
      <c r="C1666" t="s">
        <v>1545</v>
      </c>
      <c r="D1666" t="s">
        <v>1546</v>
      </c>
      <c r="E1666" t="s">
        <v>64</v>
      </c>
      <c r="F1666" t="s">
        <v>94</v>
      </c>
      <c r="G1666" t="s">
        <v>277</v>
      </c>
      <c r="H1666" s="12">
        <v>6.2069999999999999</v>
      </c>
      <c r="I1666" s="12">
        <v>-75.44</v>
      </c>
      <c r="J1666" t="s">
        <v>96</v>
      </c>
      <c r="K1666" t="s">
        <v>97</v>
      </c>
      <c r="L1666" t="s">
        <v>1273</v>
      </c>
      <c r="P1666" s="13">
        <v>120.1</v>
      </c>
      <c r="Q1666" s="13">
        <v>26.8</v>
      </c>
      <c r="R1666">
        <v>16</v>
      </c>
      <c r="S1666">
        <v>18</v>
      </c>
      <c r="T1666" s="13">
        <v>29.3</v>
      </c>
      <c r="U1666" s="13">
        <v>41.8</v>
      </c>
      <c r="V1666" t="s">
        <v>99</v>
      </c>
      <c r="X1666" s="13">
        <v>120.1</v>
      </c>
    </row>
    <row r="1667" spans="1:24" x14ac:dyDescent="0.25">
      <c r="A1667" t="s">
        <v>1556</v>
      </c>
      <c r="B1667" t="s">
        <v>64</v>
      </c>
      <c r="C1667" t="s">
        <v>1545</v>
      </c>
      <c r="D1667" t="s">
        <v>1546</v>
      </c>
      <c r="E1667" t="s">
        <v>64</v>
      </c>
      <c r="F1667" t="s">
        <v>94</v>
      </c>
      <c r="G1667" t="s">
        <v>277</v>
      </c>
      <c r="H1667" s="12">
        <v>6.2069999999999999</v>
      </c>
      <c r="I1667" s="12">
        <v>-75.44</v>
      </c>
      <c r="J1667" t="s">
        <v>96</v>
      </c>
      <c r="K1667" t="s">
        <v>1269</v>
      </c>
      <c r="L1667" t="s">
        <v>1270</v>
      </c>
      <c r="P1667" s="13">
        <v>196</v>
      </c>
      <c r="Q1667" s="13">
        <v>58.5</v>
      </c>
      <c r="R1667">
        <v>30</v>
      </c>
      <c r="S1667">
        <v>60</v>
      </c>
      <c r="T1667" s="13">
        <v>8.6</v>
      </c>
      <c r="U1667" s="13">
        <v>38.200000000000003</v>
      </c>
      <c r="V1667" t="s">
        <v>268</v>
      </c>
      <c r="W1667" t="s">
        <v>1271</v>
      </c>
      <c r="X1667" s="13"/>
    </row>
    <row r="1668" spans="1:24" x14ac:dyDescent="0.25">
      <c r="A1668" t="s">
        <v>1557</v>
      </c>
      <c r="B1668" t="s">
        <v>64</v>
      </c>
      <c r="C1668" t="s">
        <v>1545</v>
      </c>
      <c r="D1668" t="s">
        <v>1546</v>
      </c>
      <c r="E1668" t="s">
        <v>64</v>
      </c>
      <c r="F1668" t="s">
        <v>94</v>
      </c>
      <c r="G1668" t="s">
        <v>277</v>
      </c>
      <c r="H1668" s="12">
        <v>6.2069999999999999</v>
      </c>
      <c r="I1668" s="12">
        <v>-75.44</v>
      </c>
      <c r="J1668" t="s">
        <v>96</v>
      </c>
      <c r="K1668" t="s">
        <v>97</v>
      </c>
      <c r="L1668" t="s">
        <v>1273</v>
      </c>
      <c r="P1668" s="13">
        <v>148</v>
      </c>
      <c r="Q1668" s="13">
        <v>51.2</v>
      </c>
      <c r="R1668">
        <v>28</v>
      </c>
      <c r="S1668">
        <v>22</v>
      </c>
      <c r="T1668" s="13">
        <v>15.5</v>
      </c>
      <c r="U1668" s="13">
        <v>34.5</v>
      </c>
      <c r="V1668" t="s">
        <v>99</v>
      </c>
      <c r="X1668" s="13">
        <v>148</v>
      </c>
    </row>
    <row r="1669" spans="1:24" x14ac:dyDescent="0.25">
      <c r="A1669" t="s">
        <v>1557</v>
      </c>
      <c r="B1669" t="s">
        <v>64</v>
      </c>
      <c r="C1669" t="s">
        <v>1545</v>
      </c>
      <c r="D1669" t="s">
        <v>1546</v>
      </c>
      <c r="E1669" t="s">
        <v>64</v>
      </c>
      <c r="F1669" t="s">
        <v>94</v>
      </c>
      <c r="G1669" t="s">
        <v>277</v>
      </c>
      <c r="H1669" s="12">
        <v>6.2069999999999999</v>
      </c>
      <c r="I1669" s="12">
        <v>-75.44</v>
      </c>
      <c r="J1669" t="s">
        <v>96</v>
      </c>
      <c r="K1669" t="s">
        <v>1269</v>
      </c>
      <c r="L1669" t="s">
        <v>1270</v>
      </c>
      <c r="P1669" s="13">
        <v>154.6</v>
      </c>
      <c r="Q1669" s="13">
        <v>56.1</v>
      </c>
      <c r="R1669">
        <v>24</v>
      </c>
      <c r="S1669">
        <v>20</v>
      </c>
      <c r="T1669" s="13">
        <v>22.4</v>
      </c>
      <c r="U1669" s="13">
        <v>34.5</v>
      </c>
      <c r="V1669" t="s">
        <v>268</v>
      </c>
      <c r="W1669" t="s">
        <v>1271</v>
      </c>
      <c r="X1669" s="13"/>
    </row>
    <row r="1670" spans="1:24" x14ac:dyDescent="0.25">
      <c r="A1670" t="s">
        <v>1558</v>
      </c>
      <c r="B1670" t="s">
        <v>64</v>
      </c>
      <c r="C1670" t="s">
        <v>1545</v>
      </c>
      <c r="D1670" t="s">
        <v>1546</v>
      </c>
      <c r="E1670" t="s">
        <v>64</v>
      </c>
      <c r="F1670" t="s">
        <v>94</v>
      </c>
      <c r="G1670" t="s">
        <v>277</v>
      </c>
      <c r="H1670" s="12">
        <v>6.2069999999999999</v>
      </c>
      <c r="I1670" s="12">
        <v>-75.44</v>
      </c>
      <c r="J1670" t="s">
        <v>96</v>
      </c>
      <c r="K1670" t="s">
        <v>97</v>
      </c>
      <c r="L1670" t="s">
        <v>1273</v>
      </c>
      <c r="P1670" s="13">
        <v>138.9</v>
      </c>
      <c r="Q1670" s="13">
        <v>19.5</v>
      </c>
      <c r="R1670">
        <v>24</v>
      </c>
      <c r="S1670">
        <v>28</v>
      </c>
      <c r="T1670" s="13">
        <v>37.9</v>
      </c>
      <c r="U1670" s="13">
        <v>32.700000000000003</v>
      </c>
      <c r="V1670" t="s">
        <v>99</v>
      </c>
      <c r="X1670" s="13">
        <v>138.9</v>
      </c>
    </row>
    <row r="1671" spans="1:24" x14ac:dyDescent="0.25">
      <c r="A1671" t="s">
        <v>1558</v>
      </c>
      <c r="B1671" t="s">
        <v>64</v>
      </c>
      <c r="C1671" t="s">
        <v>1545</v>
      </c>
      <c r="D1671" t="s">
        <v>1546</v>
      </c>
      <c r="E1671" t="s">
        <v>64</v>
      </c>
      <c r="F1671" t="s">
        <v>94</v>
      </c>
      <c r="G1671" t="s">
        <v>277</v>
      </c>
      <c r="H1671" s="12">
        <v>6.2069999999999999</v>
      </c>
      <c r="I1671" s="12">
        <v>-75.44</v>
      </c>
      <c r="J1671" t="s">
        <v>96</v>
      </c>
      <c r="K1671" t="s">
        <v>1269</v>
      </c>
      <c r="L1671" t="s">
        <v>1270</v>
      </c>
      <c r="P1671" s="13">
        <v>224</v>
      </c>
      <c r="Q1671" s="13">
        <v>51.2</v>
      </c>
      <c r="R1671">
        <v>32</v>
      </c>
      <c r="S1671">
        <v>58</v>
      </c>
      <c r="T1671" s="13">
        <v>41.4</v>
      </c>
      <c r="U1671" s="13">
        <v>34.5</v>
      </c>
      <c r="V1671" t="s">
        <v>268</v>
      </c>
      <c r="W1671" t="s">
        <v>1271</v>
      </c>
      <c r="X1671" s="13"/>
    </row>
    <row r="1672" spans="1:24" x14ac:dyDescent="0.25">
      <c r="A1672" t="s">
        <v>1559</v>
      </c>
      <c r="B1672" t="s">
        <v>64</v>
      </c>
      <c r="C1672" t="s">
        <v>1545</v>
      </c>
      <c r="D1672" t="s">
        <v>1546</v>
      </c>
      <c r="E1672" t="s">
        <v>64</v>
      </c>
      <c r="F1672" t="s">
        <v>94</v>
      </c>
      <c r="G1672" t="s">
        <v>277</v>
      </c>
      <c r="H1672" s="12">
        <v>6.2069999999999999</v>
      </c>
      <c r="I1672" s="12">
        <v>-75.44</v>
      </c>
      <c r="J1672" t="s">
        <v>96</v>
      </c>
      <c r="K1672" t="s">
        <v>97</v>
      </c>
      <c r="L1672" t="s">
        <v>1273</v>
      </c>
      <c r="P1672" s="13">
        <v>197.8</v>
      </c>
      <c r="Q1672" s="13">
        <v>56.1</v>
      </c>
      <c r="R1672">
        <v>26</v>
      </c>
      <c r="S1672">
        <v>38</v>
      </c>
      <c r="T1672" s="13">
        <v>36.200000000000003</v>
      </c>
      <c r="U1672" s="13">
        <v>45.5</v>
      </c>
      <c r="V1672" t="s">
        <v>99</v>
      </c>
      <c r="X1672" s="13">
        <v>197.8</v>
      </c>
    </row>
    <row r="1673" spans="1:24" x14ac:dyDescent="0.25">
      <c r="A1673" t="s">
        <v>1559</v>
      </c>
      <c r="B1673" t="s">
        <v>64</v>
      </c>
      <c r="C1673" t="s">
        <v>1545</v>
      </c>
      <c r="D1673" t="s">
        <v>1546</v>
      </c>
      <c r="E1673" t="s">
        <v>64</v>
      </c>
      <c r="F1673" t="s">
        <v>94</v>
      </c>
      <c r="G1673" t="s">
        <v>277</v>
      </c>
      <c r="H1673" s="12">
        <v>6.2069999999999999</v>
      </c>
      <c r="I1673" s="12">
        <v>-75.44</v>
      </c>
      <c r="J1673" t="s">
        <v>96</v>
      </c>
      <c r="K1673" t="s">
        <v>1269</v>
      </c>
      <c r="L1673" t="s">
        <v>1270</v>
      </c>
      <c r="P1673" s="13">
        <v>163</v>
      </c>
      <c r="Q1673" s="13">
        <v>56.1</v>
      </c>
      <c r="R1673">
        <v>28</v>
      </c>
      <c r="S1673">
        <v>20</v>
      </c>
      <c r="T1673" s="13">
        <v>29.3</v>
      </c>
      <c r="U1673" s="13">
        <v>23.6</v>
      </c>
      <c r="V1673" t="s">
        <v>268</v>
      </c>
      <c r="W1673" t="s">
        <v>1271</v>
      </c>
      <c r="X1673" s="13"/>
    </row>
    <row r="1674" spans="1:24" x14ac:dyDescent="0.25">
      <c r="A1674" t="s">
        <v>1560</v>
      </c>
      <c r="B1674" t="s">
        <v>64</v>
      </c>
      <c r="C1674" t="s">
        <v>1545</v>
      </c>
      <c r="D1674" t="s">
        <v>1546</v>
      </c>
      <c r="E1674" t="s">
        <v>64</v>
      </c>
      <c r="F1674" t="s">
        <v>94</v>
      </c>
      <c r="G1674" t="s">
        <v>277</v>
      </c>
      <c r="H1674" s="12">
        <v>6.2069999999999999</v>
      </c>
      <c r="I1674" s="12">
        <v>-75.44</v>
      </c>
      <c r="J1674" t="s">
        <v>96</v>
      </c>
      <c r="K1674" t="s">
        <v>97</v>
      </c>
      <c r="L1674" t="s">
        <v>1273</v>
      </c>
      <c r="P1674" s="13">
        <v>245.4</v>
      </c>
      <c r="Q1674" s="13">
        <v>53.7</v>
      </c>
      <c r="R1674">
        <v>26</v>
      </c>
      <c r="S1674">
        <v>62</v>
      </c>
      <c r="T1674" s="13">
        <v>53.4</v>
      </c>
      <c r="U1674" s="13">
        <v>52.7</v>
      </c>
      <c r="V1674" t="s">
        <v>99</v>
      </c>
      <c r="X1674" s="13">
        <v>245.4</v>
      </c>
    </row>
    <row r="1675" spans="1:24" x14ac:dyDescent="0.25">
      <c r="A1675" t="s">
        <v>1560</v>
      </c>
      <c r="B1675" t="s">
        <v>64</v>
      </c>
      <c r="C1675" t="s">
        <v>1545</v>
      </c>
      <c r="D1675" t="s">
        <v>1546</v>
      </c>
      <c r="E1675" t="s">
        <v>64</v>
      </c>
      <c r="F1675" t="s">
        <v>94</v>
      </c>
      <c r="G1675" t="s">
        <v>277</v>
      </c>
      <c r="H1675" s="12">
        <v>6.2069999999999999</v>
      </c>
      <c r="I1675" s="12">
        <v>-75.44</v>
      </c>
      <c r="J1675" t="s">
        <v>96</v>
      </c>
      <c r="K1675" t="s">
        <v>1269</v>
      </c>
      <c r="L1675" t="s">
        <v>1270</v>
      </c>
      <c r="P1675" s="13">
        <v>241.8</v>
      </c>
      <c r="Q1675" s="13">
        <v>53.7</v>
      </c>
      <c r="R1675">
        <v>32</v>
      </c>
      <c r="S1675">
        <v>54</v>
      </c>
      <c r="T1675" s="13">
        <v>51.7</v>
      </c>
      <c r="U1675" s="13">
        <v>54.5</v>
      </c>
      <c r="V1675" t="s">
        <v>268</v>
      </c>
      <c r="W1675" t="s">
        <v>1271</v>
      </c>
      <c r="X1675" s="13"/>
    </row>
    <row r="1676" spans="1:24" x14ac:dyDescent="0.25">
      <c r="A1676" t="s">
        <v>1561</v>
      </c>
      <c r="B1676" t="s">
        <v>64</v>
      </c>
      <c r="C1676" t="s">
        <v>1545</v>
      </c>
      <c r="D1676" t="s">
        <v>1546</v>
      </c>
      <c r="E1676" t="s">
        <v>64</v>
      </c>
      <c r="F1676" t="s">
        <v>94</v>
      </c>
      <c r="G1676" t="s">
        <v>277</v>
      </c>
      <c r="H1676" s="12">
        <v>6.2069999999999999</v>
      </c>
      <c r="I1676" s="12">
        <v>-75.44</v>
      </c>
      <c r="J1676" t="s">
        <v>96</v>
      </c>
      <c r="K1676" t="s">
        <v>97</v>
      </c>
      <c r="L1676" t="s">
        <v>1273</v>
      </c>
      <c r="P1676" s="13">
        <v>220.8</v>
      </c>
      <c r="Q1676" s="13">
        <v>63.4</v>
      </c>
      <c r="R1676">
        <v>36</v>
      </c>
      <c r="S1676">
        <v>46</v>
      </c>
      <c r="T1676" s="13">
        <v>36.200000000000003</v>
      </c>
      <c r="U1676" s="13">
        <v>29.1</v>
      </c>
      <c r="V1676" t="s">
        <v>99</v>
      </c>
      <c r="X1676" s="13">
        <v>220.8</v>
      </c>
    </row>
    <row r="1677" spans="1:24" x14ac:dyDescent="0.25">
      <c r="A1677" t="s">
        <v>1561</v>
      </c>
      <c r="B1677" t="s">
        <v>64</v>
      </c>
      <c r="C1677" t="s">
        <v>1545</v>
      </c>
      <c r="D1677" t="s">
        <v>1546</v>
      </c>
      <c r="E1677" t="s">
        <v>64</v>
      </c>
      <c r="F1677" t="s">
        <v>94</v>
      </c>
      <c r="G1677" t="s">
        <v>277</v>
      </c>
      <c r="H1677" s="12">
        <v>6.2069999999999999</v>
      </c>
      <c r="I1677" s="12">
        <v>-75.44</v>
      </c>
      <c r="J1677" t="s">
        <v>96</v>
      </c>
      <c r="K1677" t="s">
        <v>1269</v>
      </c>
      <c r="L1677" t="s">
        <v>1270</v>
      </c>
      <c r="P1677" s="13">
        <v>203.9</v>
      </c>
      <c r="Q1677" s="13">
        <v>51.2</v>
      </c>
      <c r="R1677">
        <v>28</v>
      </c>
      <c r="S1677">
        <v>50</v>
      </c>
      <c r="T1677" s="13">
        <v>39.700000000000003</v>
      </c>
      <c r="U1677" s="13">
        <v>23.6</v>
      </c>
      <c r="V1677" t="s">
        <v>268</v>
      </c>
      <c r="W1677" t="s">
        <v>1271</v>
      </c>
      <c r="X1677" s="13"/>
    </row>
    <row r="1678" spans="1:24" x14ac:dyDescent="0.25">
      <c r="A1678" t="s">
        <v>1562</v>
      </c>
      <c r="B1678" t="s">
        <v>64</v>
      </c>
      <c r="C1678" t="s">
        <v>1545</v>
      </c>
      <c r="D1678" t="s">
        <v>1546</v>
      </c>
      <c r="E1678" t="s">
        <v>64</v>
      </c>
      <c r="F1678" t="s">
        <v>94</v>
      </c>
      <c r="G1678" t="s">
        <v>277</v>
      </c>
      <c r="H1678" s="12">
        <v>6.2069999999999999</v>
      </c>
      <c r="I1678" s="12">
        <v>-75.44</v>
      </c>
      <c r="J1678" t="s">
        <v>96</v>
      </c>
      <c r="K1678" t="s">
        <v>97</v>
      </c>
      <c r="L1678" t="s">
        <v>1273</v>
      </c>
      <c r="P1678" s="13">
        <v>229.1</v>
      </c>
      <c r="Q1678" s="13">
        <v>65.900000000000006</v>
      </c>
      <c r="R1678">
        <v>36</v>
      </c>
      <c r="S1678">
        <v>32</v>
      </c>
      <c r="T1678" s="13">
        <v>36.200000000000003</v>
      </c>
      <c r="U1678" s="13">
        <v>85.5</v>
      </c>
      <c r="V1678" t="s">
        <v>99</v>
      </c>
      <c r="X1678" s="13">
        <v>229.1</v>
      </c>
    </row>
    <row r="1679" spans="1:24" x14ac:dyDescent="0.25">
      <c r="A1679" t="s">
        <v>1562</v>
      </c>
      <c r="B1679" t="s">
        <v>64</v>
      </c>
      <c r="C1679" t="s">
        <v>1545</v>
      </c>
      <c r="D1679" t="s">
        <v>1546</v>
      </c>
      <c r="E1679" t="s">
        <v>64</v>
      </c>
      <c r="F1679" t="s">
        <v>94</v>
      </c>
      <c r="G1679" t="s">
        <v>277</v>
      </c>
      <c r="H1679" s="12">
        <v>6.2069999999999999</v>
      </c>
      <c r="I1679" s="12">
        <v>-75.44</v>
      </c>
      <c r="J1679" t="s">
        <v>96</v>
      </c>
      <c r="K1679" t="s">
        <v>1269</v>
      </c>
      <c r="L1679" t="s">
        <v>1270</v>
      </c>
      <c r="P1679" s="13">
        <v>222.4</v>
      </c>
      <c r="Q1679" s="13">
        <v>56.1</v>
      </c>
      <c r="R1679">
        <v>44</v>
      </c>
      <c r="S1679">
        <v>40</v>
      </c>
      <c r="T1679" s="13">
        <v>24.1</v>
      </c>
      <c r="U1679" s="13">
        <v>85.5</v>
      </c>
      <c r="V1679" t="s">
        <v>268</v>
      </c>
      <c r="W1679" t="s">
        <v>1271</v>
      </c>
      <c r="X1679" s="13"/>
    </row>
    <row r="1680" spans="1:24" x14ac:dyDescent="0.25">
      <c r="A1680" t="s">
        <v>1563</v>
      </c>
      <c r="B1680" t="s">
        <v>64</v>
      </c>
      <c r="C1680" t="s">
        <v>1545</v>
      </c>
      <c r="D1680" t="s">
        <v>1546</v>
      </c>
      <c r="E1680" t="s">
        <v>64</v>
      </c>
      <c r="F1680" t="s">
        <v>94</v>
      </c>
      <c r="G1680" t="s">
        <v>277</v>
      </c>
      <c r="H1680" s="12">
        <v>6.2069999999999999</v>
      </c>
      <c r="I1680" s="12">
        <v>-75.44</v>
      </c>
      <c r="J1680" t="s">
        <v>96</v>
      </c>
      <c r="K1680" t="s">
        <v>97</v>
      </c>
      <c r="L1680" t="s">
        <v>1273</v>
      </c>
      <c r="P1680" s="13">
        <v>193.7</v>
      </c>
      <c r="Q1680" s="13">
        <v>61</v>
      </c>
      <c r="R1680">
        <v>30</v>
      </c>
      <c r="S1680">
        <v>30</v>
      </c>
      <c r="T1680" s="13">
        <v>29.3</v>
      </c>
      <c r="U1680" s="13">
        <v>52.7</v>
      </c>
      <c r="V1680" t="s">
        <v>99</v>
      </c>
      <c r="X1680" s="13">
        <v>193.7</v>
      </c>
    </row>
    <row r="1681" spans="1:24" x14ac:dyDescent="0.25">
      <c r="A1681" t="s">
        <v>1563</v>
      </c>
      <c r="B1681" t="s">
        <v>64</v>
      </c>
      <c r="C1681" t="s">
        <v>1545</v>
      </c>
      <c r="D1681" t="s">
        <v>1546</v>
      </c>
      <c r="E1681" t="s">
        <v>64</v>
      </c>
      <c r="F1681" t="s">
        <v>94</v>
      </c>
      <c r="G1681" t="s">
        <v>277</v>
      </c>
      <c r="H1681" s="12">
        <v>6.2069999999999999</v>
      </c>
      <c r="I1681" s="12">
        <v>-75.44</v>
      </c>
      <c r="J1681" t="s">
        <v>96</v>
      </c>
      <c r="K1681" t="s">
        <v>1269</v>
      </c>
      <c r="L1681" t="s">
        <v>1270</v>
      </c>
      <c r="P1681" s="13">
        <v>210.1</v>
      </c>
      <c r="Q1681" s="13">
        <v>56.1</v>
      </c>
      <c r="R1681">
        <v>36</v>
      </c>
      <c r="S1681">
        <v>50</v>
      </c>
      <c r="T1681" s="13">
        <v>22.4</v>
      </c>
      <c r="U1681" s="13">
        <v>52.7</v>
      </c>
      <c r="V1681" t="s">
        <v>268</v>
      </c>
      <c r="W1681" t="s">
        <v>1271</v>
      </c>
      <c r="X1681" s="13"/>
    </row>
    <row r="1682" spans="1:24" x14ac:dyDescent="0.25">
      <c r="A1682" t="s">
        <v>1564</v>
      </c>
      <c r="B1682" t="s">
        <v>64</v>
      </c>
      <c r="C1682" t="s">
        <v>1545</v>
      </c>
      <c r="D1682" t="s">
        <v>1546</v>
      </c>
      <c r="E1682" t="s">
        <v>64</v>
      </c>
      <c r="F1682" t="s">
        <v>94</v>
      </c>
      <c r="G1682" t="s">
        <v>277</v>
      </c>
      <c r="H1682" s="12">
        <v>6.2069999999999999</v>
      </c>
      <c r="I1682" s="12">
        <v>-75.44</v>
      </c>
      <c r="J1682" t="s">
        <v>96</v>
      </c>
      <c r="K1682" t="s">
        <v>97</v>
      </c>
      <c r="L1682" t="s">
        <v>1273</v>
      </c>
      <c r="P1682" s="13">
        <v>216.7</v>
      </c>
      <c r="Q1682" s="13">
        <v>73.2</v>
      </c>
      <c r="R1682">
        <v>28</v>
      </c>
      <c r="S1682">
        <v>44</v>
      </c>
      <c r="T1682" s="13">
        <v>29.3</v>
      </c>
      <c r="U1682" s="13">
        <v>40</v>
      </c>
      <c r="V1682" t="s">
        <v>99</v>
      </c>
      <c r="X1682" s="13">
        <v>216.7</v>
      </c>
    </row>
    <row r="1683" spans="1:24" x14ac:dyDescent="0.25">
      <c r="A1683" t="s">
        <v>1564</v>
      </c>
      <c r="B1683" t="s">
        <v>64</v>
      </c>
      <c r="C1683" t="s">
        <v>1545</v>
      </c>
      <c r="D1683" t="s">
        <v>1546</v>
      </c>
      <c r="E1683" t="s">
        <v>64</v>
      </c>
      <c r="F1683" t="s">
        <v>94</v>
      </c>
      <c r="G1683" t="s">
        <v>277</v>
      </c>
      <c r="H1683" s="12">
        <v>6.2069999999999999</v>
      </c>
      <c r="I1683" s="12">
        <v>-75.44</v>
      </c>
      <c r="J1683" t="s">
        <v>96</v>
      </c>
      <c r="K1683" t="s">
        <v>1269</v>
      </c>
      <c r="L1683" t="s">
        <v>1270</v>
      </c>
      <c r="P1683" s="13">
        <v>245.9</v>
      </c>
      <c r="Q1683" s="13">
        <v>46.3</v>
      </c>
      <c r="R1683">
        <v>36</v>
      </c>
      <c r="S1683">
        <v>54</v>
      </c>
      <c r="T1683" s="13">
        <v>48.3</v>
      </c>
      <c r="U1683" s="13">
        <v>85.5</v>
      </c>
      <c r="V1683" t="s">
        <v>268</v>
      </c>
      <c r="W1683" t="s">
        <v>1271</v>
      </c>
      <c r="X1683" s="13"/>
    </row>
    <row r="1684" spans="1:24" x14ac:dyDescent="0.25">
      <c r="A1684" t="s">
        <v>1565</v>
      </c>
      <c r="B1684" t="s">
        <v>64</v>
      </c>
      <c r="C1684" t="s">
        <v>1545</v>
      </c>
      <c r="D1684" t="s">
        <v>1546</v>
      </c>
      <c r="E1684" t="s">
        <v>64</v>
      </c>
      <c r="F1684" t="s">
        <v>94</v>
      </c>
      <c r="G1684" t="s">
        <v>277</v>
      </c>
      <c r="H1684" s="12">
        <v>6.2069999999999999</v>
      </c>
      <c r="I1684" s="12">
        <v>-75.44</v>
      </c>
      <c r="J1684" t="s">
        <v>96</v>
      </c>
      <c r="K1684" t="s">
        <v>97</v>
      </c>
      <c r="L1684" t="s">
        <v>1273</v>
      </c>
      <c r="P1684" s="13">
        <v>156.19999999999999</v>
      </c>
      <c r="Q1684" s="13">
        <v>36.6</v>
      </c>
      <c r="R1684">
        <v>26</v>
      </c>
      <c r="S1684">
        <v>28</v>
      </c>
      <c r="T1684" s="13">
        <v>34.5</v>
      </c>
      <c r="U1684" s="13">
        <v>30.9</v>
      </c>
      <c r="V1684" t="s">
        <v>99</v>
      </c>
      <c r="X1684" s="13">
        <v>156.19999999999999</v>
      </c>
    </row>
    <row r="1685" spans="1:24" x14ac:dyDescent="0.25">
      <c r="A1685" t="s">
        <v>1565</v>
      </c>
      <c r="B1685" t="s">
        <v>64</v>
      </c>
      <c r="C1685" t="s">
        <v>1545</v>
      </c>
      <c r="D1685" t="s">
        <v>1546</v>
      </c>
      <c r="E1685" t="s">
        <v>64</v>
      </c>
      <c r="F1685" t="s">
        <v>94</v>
      </c>
      <c r="G1685" t="s">
        <v>277</v>
      </c>
      <c r="H1685" s="12">
        <v>6.2069999999999999</v>
      </c>
      <c r="I1685" s="12">
        <v>-75.44</v>
      </c>
      <c r="J1685" t="s">
        <v>96</v>
      </c>
      <c r="K1685" t="s">
        <v>1269</v>
      </c>
      <c r="L1685" t="s">
        <v>1270</v>
      </c>
      <c r="P1685" s="13">
        <v>144.19999999999999</v>
      </c>
      <c r="Q1685" s="13">
        <v>31.7</v>
      </c>
      <c r="R1685">
        <v>28</v>
      </c>
      <c r="S1685">
        <v>32</v>
      </c>
      <c r="T1685" s="13">
        <v>24.1</v>
      </c>
      <c r="U1685" s="13">
        <v>27.3</v>
      </c>
      <c r="V1685" t="s">
        <v>268</v>
      </c>
      <c r="W1685" t="s">
        <v>1271</v>
      </c>
      <c r="X1685" s="13"/>
    </row>
    <row r="1686" spans="1:24" x14ac:dyDescent="0.25">
      <c r="A1686" t="s">
        <v>1566</v>
      </c>
      <c r="B1686" t="s">
        <v>64</v>
      </c>
      <c r="C1686" t="s">
        <v>1545</v>
      </c>
      <c r="D1686" t="s">
        <v>1546</v>
      </c>
      <c r="E1686" t="s">
        <v>64</v>
      </c>
      <c r="F1686" t="s">
        <v>94</v>
      </c>
      <c r="G1686" t="s">
        <v>277</v>
      </c>
      <c r="H1686" s="12">
        <v>6.2069999999999999</v>
      </c>
      <c r="I1686" s="12">
        <v>-75.44</v>
      </c>
      <c r="J1686" t="s">
        <v>96</v>
      </c>
      <c r="K1686" t="s">
        <v>97</v>
      </c>
      <c r="L1686" t="s">
        <v>1273</v>
      </c>
      <c r="P1686" s="13">
        <v>279.5</v>
      </c>
      <c r="Q1686" s="13">
        <v>73.2</v>
      </c>
      <c r="R1686">
        <v>34</v>
      </c>
      <c r="S1686">
        <v>64</v>
      </c>
      <c r="T1686" s="13">
        <v>53.4</v>
      </c>
      <c r="U1686" s="13">
        <v>52.7</v>
      </c>
      <c r="V1686" t="s">
        <v>99</v>
      </c>
      <c r="X1686" s="13">
        <v>279.5</v>
      </c>
    </row>
    <row r="1687" spans="1:24" x14ac:dyDescent="0.25">
      <c r="A1687" t="s">
        <v>1566</v>
      </c>
      <c r="B1687" t="s">
        <v>64</v>
      </c>
      <c r="C1687" t="s">
        <v>1545</v>
      </c>
      <c r="D1687" t="s">
        <v>1546</v>
      </c>
      <c r="E1687" t="s">
        <v>64</v>
      </c>
      <c r="F1687" t="s">
        <v>94</v>
      </c>
      <c r="G1687" t="s">
        <v>277</v>
      </c>
      <c r="H1687" s="12">
        <v>6.2069999999999999</v>
      </c>
      <c r="I1687" s="12">
        <v>-75.44</v>
      </c>
      <c r="J1687" t="s">
        <v>96</v>
      </c>
      <c r="K1687" t="s">
        <v>1269</v>
      </c>
      <c r="L1687" t="s">
        <v>1270</v>
      </c>
      <c r="P1687" s="13">
        <v>313.39999999999998</v>
      </c>
      <c r="Q1687" s="13">
        <v>58.5</v>
      </c>
      <c r="R1687">
        <v>62</v>
      </c>
      <c r="S1687">
        <v>72</v>
      </c>
      <c r="T1687" s="13">
        <v>62.1</v>
      </c>
      <c r="U1687" s="13">
        <v>50.9</v>
      </c>
      <c r="V1687" t="s">
        <v>268</v>
      </c>
      <c r="W1687" t="s">
        <v>1271</v>
      </c>
      <c r="X1687" s="13"/>
    </row>
    <row r="1688" spans="1:24" x14ac:dyDescent="0.25">
      <c r="A1688" t="s">
        <v>1567</v>
      </c>
      <c r="B1688" t="s">
        <v>64</v>
      </c>
      <c r="C1688" t="s">
        <v>1545</v>
      </c>
      <c r="D1688" t="s">
        <v>1546</v>
      </c>
      <c r="E1688" t="s">
        <v>64</v>
      </c>
      <c r="F1688" t="s">
        <v>94</v>
      </c>
      <c r="G1688" t="s">
        <v>277</v>
      </c>
      <c r="H1688" s="12">
        <v>6.2069999999999999</v>
      </c>
      <c r="I1688" s="12">
        <v>-75.44</v>
      </c>
      <c r="J1688" t="s">
        <v>96</v>
      </c>
      <c r="K1688" t="s">
        <v>97</v>
      </c>
      <c r="L1688" t="s">
        <v>1273</v>
      </c>
      <c r="P1688" s="13">
        <v>176.2</v>
      </c>
      <c r="Q1688" s="13">
        <v>41.5</v>
      </c>
      <c r="R1688">
        <v>34</v>
      </c>
      <c r="S1688">
        <v>26</v>
      </c>
      <c r="T1688" s="13">
        <v>37.9</v>
      </c>
      <c r="U1688" s="13">
        <v>40</v>
      </c>
      <c r="V1688" t="s">
        <v>99</v>
      </c>
      <c r="X1688" s="13">
        <v>176.2</v>
      </c>
    </row>
    <row r="1689" spans="1:24" x14ac:dyDescent="0.25">
      <c r="A1689" t="s">
        <v>1567</v>
      </c>
      <c r="B1689" t="s">
        <v>64</v>
      </c>
      <c r="C1689" t="s">
        <v>1545</v>
      </c>
      <c r="D1689" t="s">
        <v>1546</v>
      </c>
      <c r="E1689" t="s">
        <v>64</v>
      </c>
      <c r="F1689" t="s">
        <v>94</v>
      </c>
      <c r="G1689" t="s">
        <v>277</v>
      </c>
      <c r="H1689" s="12">
        <v>6.2069999999999999</v>
      </c>
      <c r="I1689" s="12">
        <v>-75.44</v>
      </c>
      <c r="J1689" t="s">
        <v>96</v>
      </c>
      <c r="K1689" t="s">
        <v>1269</v>
      </c>
      <c r="L1689" t="s">
        <v>1270</v>
      </c>
      <c r="P1689" s="13">
        <v>158.30000000000001</v>
      </c>
      <c r="Q1689" s="13">
        <v>46.3</v>
      </c>
      <c r="R1689">
        <v>32</v>
      </c>
      <c r="S1689">
        <v>24</v>
      </c>
      <c r="T1689" s="13">
        <v>27.6</v>
      </c>
      <c r="U1689" s="13">
        <v>21.8</v>
      </c>
      <c r="V1689" t="s">
        <v>268</v>
      </c>
      <c r="W1689" t="s">
        <v>1271</v>
      </c>
      <c r="X1689" s="13"/>
    </row>
    <row r="1690" spans="1:24" x14ac:dyDescent="0.25">
      <c r="A1690" t="s">
        <v>1568</v>
      </c>
      <c r="B1690" t="s">
        <v>64</v>
      </c>
      <c r="C1690" t="s">
        <v>1569</v>
      </c>
      <c r="D1690" t="s">
        <v>1570</v>
      </c>
      <c r="E1690" t="s">
        <v>64</v>
      </c>
      <c r="F1690" t="s">
        <v>94</v>
      </c>
      <c r="G1690" t="s">
        <v>277</v>
      </c>
      <c r="H1690" s="12">
        <v>6.1790000000000003</v>
      </c>
      <c r="I1690" s="12">
        <v>-75.394000000000005</v>
      </c>
      <c r="J1690" t="s">
        <v>129</v>
      </c>
      <c r="K1690" t="s">
        <v>1269</v>
      </c>
      <c r="L1690" t="s">
        <v>1270</v>
      </c>
      <c r="P1690" s="13">
        <v>235.3</v>
      </c>
      <c r="Q1690" s="13">
        <v>46.3</v>
      </c>
      <c r="R1690">
        <v>34</v>
      </c>
      <c r="S1690">
        <v>56</v>
      </c>
      <c r="T1690" s="13">
        <v>50</v>
      </c>
      <c r="U1690" s="13">
        <v>52.7</v>
      </c>
      <c r="V1690" t="s">
        <v>268</v>
      </c>
      <c r="W1690" t="s">
        <v>1271</v>
      </c>
      <c r="X1690" s="13"/>
    </row>
    <row r="1691" spans="1:24" x14ac:dyDescent="0.25">
      <c r="A1691" t="s">
        <v>1571</v>
      </c>
      <c r="B1691" t="s">
        <v>64</v>
      </c>
      <c r="C1691" t="s">
        <v>1569</v>
      </c>
      <c r="D1691" t="s">
        <v>1570</v>
      </c>
      <c r="E1691" t="s">
        <v>64</v>
      </c>
      <c r="F1691" t="s">
        <v>94</v>
      </c>
      <c r="G1691" t="s">
        <v>277</v>
      </c>
      <c r="H1691" s="12">
        <v>6.1790000000000003</v>
      </c>
      <c r="I1691" s="12">
        <v>-75.394000000000005</v>
      </c>
      <c r="J1691" t="s">
        <v>129</v>
      </c>
      <c r="K1691" t="s">
        <v>97</v>
      </c>
      <c r="L1691" t="s">
        <v>1273</v>
      </c>
      <c r="P1691" s="13">
        <v>139.80000000000001</v>
      </c>
      <c r="Q1691" s="13">
        <v>39</v>
      </c>
      <c r="R1691">
        <v>28</v>
      </c>
      <c r="S1691">
        <v>18</v>
      </c>
      <c r="T1691" s="13">
        <v>25.9</v>
      </c>
      <c r="U1691" s="13">
        <v>30.9</v>
      </c>
      <c r="V1691" t="s">
        <v>99</v>
      </c>
      <c r="X1691" s="13">
        <v>139.80000000000001</v>
      </c>
    </row>
    <row r="1692" spans="1:24" x14ac:dyDescent="0.25">
      <c r="A1692" t="s">
        <v>1571</v>
      </c>
      <c r="B1692" t="s">
        <v>64</v>
      </c>
      <c r="C1692" t="s">
        <v>1569</v>
      </c>
      <c r="D1692" t="s">
        <v>1570</v>
      </c>
      <c r="E1692" t="s">
        <v>64</v>
      </c>
      <c r="F1692" t="s">
        <v>94</v>
      </c>
      <c r="G1692" t="s">
        <v>277</v>
      </c>
      <c r="H1692" s="12">
        <v>6.1790000000000003</v>
      </c>
      <c r="I1692" s="12">
        <v>-75.394000000000005</v>
      </c>
      <c r="J1692" t="s">
        <v>129</v>
      </c>
      <c r="K1692" t="s">
        <v>1269</v>
      </c>
      <c r="L1692" t="s">
        <v>1270</v>
      </c>
      <c r="P1692" s="13">
        <v>208.5</v>
      </c>
      <c r="Q1692" s="13">
        <v>36.6</v>
      </c>
      <c r="R1692">
        <v>56</v>
      </c>
      <c r="S1692">
        <v>42</v>
      </c>
      <c r="T1692" s="13">
        <v>32.799999999999997</v>
      </c>
      <c r="U1692" s="13">
        <v>40</v>
      </c>
      <c r="V1692" t="s">
        <v>268</v>
      </c>
      <c r="W1692" t="s">
        <v>1271</v>
      </c>
      <c r="X1692" s="13"/>
    </row>
    <row r="1693" spans="1:24" x14ac:dyDescent="0.25">
      <c r="A1693" t="s">
        <v>1572</v>
      </c>
      <c r="B1693" t="s">
        <v>64</v>
      </c>
      <c r="C1693" t="s">
        <v>1569</v>
      </c>
      <c r="D1693" t="s">
        <v>1570</v>
      </c>
      <c r="E1693" t="s">
        <v>64</v>
      </c>
      <c r="F1693" t="s">
        <v>94</v>
      </c>
      <c r="G1693" t="s">
        <v>277</v>
      </c>
      <c r="H1693" s="12">
        <v>6.1790000000000003</v>
      </c>
      <c r="I1693" s="12">
        <v>-75.394000000000005</v>
      </c>
      <c r="J1693" t="s">
        <v>129</v>
      </c>
      <c r="K1693" t="s">
        <v>97</v>
      </c>
      <c r="L1693" t="s">
        <v>1273</v>
      </c>
      <c r="P1693" s="13">
        <v>256.2</v>
      </c>
      <c r="Q1693" s="13">
        <v>68.3</v>
      </c>
      <c r="R1693">
        <v>36</v>
      </c>
      <c r="S1693">
        <v>42</v>
      </c>
      <c r="T1693" s="13">
        <v>55.2</v>
      </c>
      <c r="U1693" s="13">
        <v>61.8</v>
      </c>
      <c r="V1693" t="s">
        <v>99</v>
      </c>
      <c r="X1693" s="13">
        <v>256.2</v>
      </c>
    </row>
    <row r="1694" spans="1:24" x14ac:dyDescent="0.25">
      <c r="A1694" t="s">
        <v>1572</v>
      </c>
      <c r="B1694" t="s">
        <v>64</v>
      </c>
      <c r="C1694" t="s">
        <v>1569</v>
      </c>
      <c r="D1694" t="s">
        <v>1570</v>
      </c>
      <c r="E1694" t="s">
        <v>64</v>
      </c>
      <c r="F1694" t="s">
        <v>94</v>
      </c>
      <c r="G1694" t="s">
        <v>277</v>
      </c>
      <c r="H1694" s="12">
        <v>6.1790000000000003</v>
      </c>
      <c r="I1694" s="12">
        <v>-75.394000000000005</v>
      </c>
      <c r="J1694" t="s">
        <v>129</v>
      </c>
      <c r="K1694" t="s">
        <v>1269</v>
      </c>
      <c r="L1694" t="s">
        <v>1270</v>
      </c>
      <c r="P1694" s="13">
        <v>285.3</v>
      </c>
      <c r="Q1694" s="13">
        <v>51.2</v>
      </c>
      <c r="R1694">
        <v>56</v>
      </c>
      <c r="S1694">
        <v>70</v>
      </c>
      <c r="T1694" s="13">
        <v>50</v>
      </c>
      <c r="U1694" s="13">
        <v>60</v>
      </c>
      <c r="V1694" t="s">
        <v>268</v>
      </c>
      <c r="W1694" t="s">
        <v>1271</v>
      </c>
      <c r="X1694" s="13"/>
    </row>
    <row r="1695" spans="1:24" x14ac:dyDescent="0.25">
      <c r="A1695" t="s">
        <v>1573</v>
      </c>
      <c r="B1695" t="s">
        <v>64</v>
      </c>
      <c r="C1695" t="s">
        <v>1569</v>
      </c>
      <c r="D1695" t="s">
        <v>1570</v>
      </c>
      <c r="E1695" t="s">
        <v>64</v>
      </c>
      <c r="F1695" t="s">
        <v>94</v>
      </c>
      <c r="G1695" t="s">
        <v>277</v>
      </c>
      <c r="H1695" s="12">
        <v>6.1790000000000003</v>
      </c>
      <c r="I1695" s="12">
        <v>-75.394000000000005</v>
      </c>
      <c r="J1695" t="s">
        <v>129</v>
      </c>
      <c r="K1695" t="s">
        <v>97</v>
      </c>
      <c r="L1695" t="s">
        <v>1273</v>
      </c>
      <c r="P1695" s="13">
        <v>162.19999999999999</v>
      </c>
      <c r="Q1695" s="13">
        <v>29.3</v>
      </c>
      <c r="R1695">
        <v>28</v>
      </c>
      <c r="S1695">
        <v>28</v>
      </c>
      <c r="T1695" s="13">
        <v>41.4</v>
      </c>
      <c r="U1695" s="13">
        <v>41.8</v>
      </c>
      <c r="V1695" t="s">
        <v>99</v>
      </c>
      <c r="X1695" s="13">
        <v>162.19999999999999</v>
      </c>
    </row>
    <row r="1696" spans="1:24" x14ac:dyDescent="0.25">
      <c r="A1696" t="s">
        <v>1573</v>
      </c>
      <c r="B1696" t="s">
        <v>64</v>
      </c>
      <c r="C1696" t="s">
        <v>1569</v>
      </c>
      <c r="D1696" t="s">
        <v>1570</v>
      </c>
      <c r="E1696" t="s">
        <v>64</v>
      </c>
      <c r="F1696" t="s">
        <v>94</v>
      </c>
      <c r="G1696" t="s">
        <v>277</v>
      </c>
      <c r="H1696" s="12">
        <v>6.1790000000000003</v>
      </c>
      <c r="I1696" s="12">
        <v>-75.394000000000005</v>
      </c>
      <c r="J1696" t="s">
        <v>129</v>
      </c>
      <c r="K1696" t="s">
        <v>1269</v>
      </c>
      <c r="L1696" t="s">
        <v>1270</v>
      </c>
      <c r="P1696" s="13">
        <v>166.5</v>
      </c>
      <c r="Q1696" s="13">
        <v>34.1</v>
      </c>
      <c r="R1696">
        <v>32</v>
      </c>
      <c r="S1696">
        <v>34</v>
      </c>
      <c r="T1696" s="13">
        <v>34.5</v>
      </c>
      <c r="U1696" s="13">
        <v>29.1</v>
      </c>
      <c r="V1696" t="s">
        <v>268</v>
      </c>
      <c r="W1696" t="s">
        <v>1271</v>
      </c>
      <c r="X1696" s="13"/>
    </row>
    <row r="1697" spans="1:24" x14ac:dyDescent="0.25">
      <c r="A1697" t="s">
        <v>1574</v>
      </c>
      <c r="B1697" t="s">
        <v>64</v>
      </c>
      <c r="C1697" t="s">
        <v>1569</v>
      </c>
      <c r="D1697" t="s">
        <v>1570</v>
      </c>
      <c r="E1697" t="s">
        <v>64</v>
      </c>
      <c r="F1697" t="s">
        <v>94</v>
      </c>
      <c r="G1697" t="s">
        <v>277</v>
      </c>
      <c r="H1697" s="12">
        <v>6.1790000000000003</v>
      </c>
      <c r="I1697" s="12">
        <v>-75.394000000000005</v>
      </c>
      <c r="J1697" t="s">
        <v>129</v>
      </c>
      <c r="K1697" t="s">
        <v>97</v>
      </c>
      <c r="L1697" t="s">
        <v>1273</v>
      </c>
      <c r="P1697" s="13">
        <v>194.6</v>
      </c>
      <c r="Q1697" s="13">
        <v>56.1</v>
      </c>
      <c r="R1697">
        <v>28</v>
      </c>
      <c r="S1697">
        <v>34</v>
      </c>
      <c r="T1697" s="13">
        <v>39.700000000000003</v>
      </c>
      <c r="U1697" s="13">
        <v>32.700000000000003</v>
      </c>
      <c r="V1697" t="s">
        <v>99</v>
      </c>
      <c r="X1697" s="13">
        <v>194.6</v>
      </c>
    </row>
    <row r="1698" spans="1:24" x14ac:dyDescent="0.25">
      <c r="A1698" t="s">
        <v>1574</v>
      </c>
      <c r="B1698" t="s">
        <v>64</v>
      </c>
      <c r="C1698" t="s">
        <v>1569</v>
      </c>
      <c r="D1698" t="s">
        <v>1570</v>
      </c>
      <c r="E1698" t="s">
        <v>64</v>
      </c>
      <c r="F1698" t="s">
        <v>94</v>
      </c>
      <c r="G1698" t="s">
        <v>277</v>
      </c>
      <c r="H1698" s="12">
        <v>6.1790000000000003</v>
      </c>
      <c r="I1698" s="12">
        <v>-75.394000000000005</v>
      </c>
      <c r="J1698" t="s">
        <v>129</v>
      </c>
      <c r="K1698" t="s">
        <v>1269</v>
      </c>
      <c r="L1698" t="s">
        <v>1270</v>
      </c>
      <c r="P1698" s="13">
        <v>233.1</v>
      </c>
      <c r="Q1698" s="13">
        <v>61</v>
      </c>
      <c r="R1698">
        <v>36</v>
      </c>
      <c r="S1698">
        <v>40</v>
      </c>
      <c r="T1698" s="13">
        <v>51.7</v>
      </c>
      <c r="U1698" s="13">
        <v>40</v>
      </c>
      <c r="V1698" t="s">
        <v>268</v>
      </c>
      <c r="W1698" t="s">
        <v>1271</v>
      </c>
      <c r="X1698" s="13"/>
    </row>
    <row r="1699" spans="1:24" x14ac:dyDescent="0.25">
      <c r="A1699" t="s">
        <v>1575</v>
      </c>
      <c r="B1699" t="s">
        <v>64</v>
      </c>
      <c r="C1699" t="s">
        <v>1569</v>
      </c>
      <c r="D1699" t="s">
        <v>1570</v>
      </c>
      <c r="E1699" t="s">
        <v>64</v>
      </c>
      <c r="F1699" t="s">
        <v>94</v>
      </c>
      <c r="G1699" t="s">
        <v>277</v>
      </c>
      <c r="H1699" s="12">
        <v>6.1790000000000003</v>
      </c>
      <c r="I1699" s="12">
        <v>-75.394000000000005</v>
      </c>
      <c r="J1699" t="s">
        <v>129</v>
      </c>
      <c r="K1699" t="s">
        <v>97</v>
      </c>
      <c r="L1699" t="s">
        <v>1273</v>
      </c>
      <c r="P1699" s="13">
        <v>215.2</v>
      </c>
      <c r="Q1699" s="13">
        <v>51.2</v>
      </c>
      <c r="R1699">
        <v>28</v>
      </c>
      <c r="S1699">
        <v>52</v>
      </c>
      <c r="T1699" s="13">
        <v>41.4</v>
      </c>
      <c r="U1699" s="13">
        <v>41.8</v>
      </c>
      <c r="V1699" t="s">
        <v>99</v>
      </c>
      <c r="X1699" s="13">
        <v>215.2</v>
      </c>
    </row>
    <row r="1700" spans="1:24" x14ac:dyDescent="0.25">
      <c r="A1700" t="s">
        <v>1575</v>
      </c>
      <c r="B1700" t="s">
        <v>64</v>
      </c>
      <c r="C1700" t="s">
        <v>1569</v>
      </c>
      <c r="D1700" t="s">
        <v>1570</v>
      </c>
      <c r="E1700" t="s">
        <v>64</v>
      </c>
      <c r="F1700" t="s">
        <v>94</v>
      </c>
      <c r="G1700" t="s">
        <v>277</v>
      </c>
      <c r="H1700" s="12">
        <v>6.1790000000000003</v>
      </c>
      <c r="I1700" s="12">
        <v>-75.394000000000005</v>
      </c>
      <c r="J1700" t="s">
        <v>129</v>
      </c>
      <c r="K1700" t="s">
        <v>1269</v>
      </c>
      <c r="L1700" t="s">
        <v>1270</v>
      </c>
      <c r="P1700" s="13">
        <v>266</v>
      </c>
      <c r="Q1700" s="13">
        <v>53.7</v>
      </c>
      <c r="R1700">
        <v>46</v>
      </c>
      <c r="S1700">
        <v>72</v>
      </c>
      <c r="T1700" s="13">
        <v>43.1</v>
      </c>
      <c r="U1700" s="13">
        <v>47.3</v>
      </c>
      <c r="V1700" t="s">
        <v>268</v>
      </c>
      <c r="W1700" t="s">
        <v>1271</v>
      </c>
      <c r="X1700" s="13"/>
    </row>
    <row r="1701" spans="1:24" x14ac:dyDescent="0.25">
      <c r="A1701" t="s">
        <v>1576</v>
      </c>
      <c r="B1701" t="s">
        <v>64</v>
      </c>
      <c r="C1701" t="s">
        <v>1569</v>
      </c>
      <c r="D1701" t="s">
        <v>1570</v>
      </c>
      <c r="E1701" t="s">
        <v>64</v>
      </c>
      <c r="F1701" t="s">
        <v>94</v>
      </c>
      <c r="G1701" t="s">
        <v>277</v>
      </c>
      <c r="H1701" s="12">
        <v>6.1790000000000003</v>
      </c>
      <c r="I1701" s="12">
        <v>-75.394000000000005</v>
      </c>
      <c r="J1701" t="s">
        <v>129</v>
      </c>
      <c r="K1701" t="s">
        <v>97</v>
      </c>
      <c r="L1701" t="s">
        <v>1273</v>
      </c>
      <c r="P1701" s="13">
        <v>172.3</v>
      </c>
      <c r="Q1701" s="13">
        <v>73.2</v>
      </c>
      <c r="R1701">
        <v>20</v>
      </c>
      <c r="S1701">
        <v>32</v>
      </c>
      <c r="T1701" s="13">
        <v>24.1</v>
      </c>
      <c r="U1701" s="13">
        <v>0</v>
      </c>
      <c r="V1701" t="s">
        <v>99</v>
      </c>
      <c r="X1701" s="13">
        <v>172.3</v>
      </c>
    </row>
    <row r="1702" spans="1:24" x14ac:dyDescent="0.25">
      <c r="A1702" t="s">
        <v>1576</v>
      </c>
      <c r="B1702" t="s">
        <v>64</v>
      </c>
      <c r="C1702" t="s">
        <v>1569</v>
      </c>
      <c r="D1702" t="s">
        <v>1570</v>
      </c>
      <c r="E1702" t="s">
        <v>64</v>
      </c>
      <c r="F1702" t="s">
        <v>94</v>
      </c>
      <c r="G1702" t="s">
        <v>277</v>
      </c>
      <c r="H1702" s="12">
        <v>6.1790000000000003</v>
      </c>
      <c r="I1702" s="12">
        <v>-75.394000000000005</v>
      </c>
      <c r="J1702" t="s">
        <v>129</v>
      </c>
      <c r="K1702" t="s">
        <v>1269</v>
      </c>
      <c r="L1702" t="s">
        <v>1270</v>
      </c>
      <c r="P1702" s="13">
        <v>285.39999999999998</v>
      </c>
      <c r="Q1702" s="13">
        <v>56.1</v>
      </c>
      <c r="R1702">
        <v>42</v>
      </c>
      <c r="S1702">
        <v>72</v>
      </c>
      <c r="T1702" s="13">
        <v>62.1</v>
      </c>
      <c r="U1702" s="13">
        <v>45.5</v>
      </c>
      <c r="V1702" t="s">
        <v>268</v>
      </c>
      <c r="W1702" t="s">
        <v>1271</v>
      </c>
      <c r="X1702" s="13"/>
    </row>
    <row r="1703" spans="1:24" x14ac:dyDescent="0.25">
      <c r="A1703" t="s">
        <v>1577</v>
      </c>
      <c r="B1703" t="s">
        <v>64</v>
      </c>
      <c r="C1703" t="s">
        <v>1569</v>
      </c>
      <c r="D1703" t="s">
        <v>1570</v>
      </c>
      <c r="E1703" t="s">
        <v>64</v>
      </c>
      <c r="F1703" t="s">
        <v>94</v>
      </c>
      <c r="G1703" t="s">
        <v>277</v>
      </c>
      <c r="H1703" s="12">
        <v>6.1790000000000003</v>
      </c>
      <c r="I1703" s="12">
        <v>-75.394000000000005</v>
      </c>
      <c r="J1703" t="s">
        <v>129</v>
      </c>
      <c r="K1703" t="s">
        <v>1269</v>
      </c>
      <c r="L1703" t="s">
        <v>1270</v>
      </c>
      <c r="P1703" s="13">
        <v>272.39999999999998</v>
      </c>
      <c r="Q1703" s="13">
        <v>53.7</v>
      </c>
      <c r="R1703">
        <v>46</v>
      </c>
      <c r="S1703">
        <v>62</v>
      </c>
      <c r="T1703" s="13">
        <v>46.6</v>
      </c>
      <c r="U1703" s="13">
        <v>83.6</v>
      </c>
      <c r="V1703" t="s">
        <v>268</v>
      </c>
      <c r="W1703" t="s">
        <v>1271</v>
      </c>
      <c r="X1703" s="13"/>
    </row>
    <row r="1704" spans="1:24" x14ac:dyDescent="0.25">
      <c r="A1704" t="s">
        <v>1578</v>
      </c>
      <c r="B1704" t="s">
        <v>64</v>
      </c>
      <c r="C1704" t="s">
        <v>1569</v>
      </c>
      <c r="D1704" t="s">
        <v>1570</v>
      </c>
      <c r="E1704" t="s">
        <v>64</v>
      </c>
      <c r="F1704" t="s">
        <v>94</v>
      </c>
      <c r="G1704" t="s">
        <v>277</v>
      </c>
      <c r="H1704" s="12">
        <v>6.1790000000000003</v>
      </c>
      <c r="I1704" s="12">
        <v>-75.394000000000005</v>
      </c>
      <c r="J1704" t="s">
        <v>129</v>
      </c>
      <c r="K1704" t="s">
        <v>97</v>
      </c>
      <c r="L1704" t="s">
        <v>1273</v>
      </c>
      <c r="P1704" s="13">
        <v>178.4</v>
      </c>
      <c r="Q1704" s="13">
        <v>34.1</v>
      </c>
      <c r="R1704">
        <v>38</v>
      </c>
      <c r="S1704">
        <v>30</v>
      </c>
      <c r="T1704" s="13">
        <v>37.9</v>
      </c>
      <c r="U1704" s="13">
        <v>43.6</v>
      </c>
      <c r="V1704" t="s">
        <v>99</v>
      </c>
      <c r="X1704" s="13">
        <v>178.4</v>
      </c>
    </row>
    <row r="1705" spans="1:24" x14ac:dyDescent="0.25">
      <c r="A1705" t="s">
        <v>1578</v>
      </c>
      <c r="B1705" t="s">
        <v>64</v>
      </c>
      <c r="C1705" t="s">
        <v>1569</v>
      </c>
      <c r="D1705" t="s">
        <v>1570</v>
      </c>
      <c r="E1705" t="s">
        <v>64</v>
      </c>
      <c r="F1705" t="s">
        <v>94</v>
      </c>
      <c r="G1705" t="s">
        <v>277</v>
      </c>
      <c r="H1705" s="12">
        <v>6.1790000000000003</v>
      </c>
      <c r="I1705" s="12">
        <v>-75.394000000000005</v>
      </c>
      <c r="J1705" t="s">
        <v>129</v>
      </c>
      <c r="K1705" t="s">
        <v>1269</v>
      </c>
      <c r="L1705" t="s">
        <v>1270</v>
      </c>
      <c r="P1705" s="13">
        <v>247.8</v>
      </c>
      <c r="Q1705" s="13">
        <v>51.2</v>
      </c>
      <c r="R1705">
        <v>48</v>
      </c>
      <c r="S1705">
        <v>62</v>
      </c>
      <c r="T1705" s="13">
        <v>41.4</v>
      </c>
      <c r="U1705" s="13">
        <v>36.4</v>
      </c>
      <c r="V1705" t="s">
        <v>268</v>
      </c>
      <c r="W1705" t="s">
        <v>1271</v>
      </c>
      <c r="X1705" s="13"/>
    </row>
    <row r="1706" spans="1:24" x14ac:dyDescent="0.25">
      <c r="A1706" t="s">
        <v>1579</v>
      </c>
      <c r="B1706" t="s">
        <v>64</v>
      </c>
      <c r="C1706" t="s">
        <v>1569</v>
      </c>
      <c r="D1706" t="s">
        <v>1570</v>
      </c>
      <c r="E1706" t="s">
        <v>64</v>
      </c>
      <c r="F1706" t="s">
        <v>94</v>
      </c>
      <c r="G1706" t="s">
        <v>277</v>
      </c>
      <c r="H1706" s="12">
        <v>6.1790000000000003</v>
      </c>
      <c r="I1706" s="12">
        <v>-75.394000000000005</v>
      </c>
      <c r="J1706" t="s">
        <v>129</v>
      </c>
      <c r="K1706" t="s">
        <v>97</v>
      </c>
      <c r="L1706" t="s">
        <v>1273</v>
      </c>
      <c r="P1706" s="13">
        <v>143.6</v>
      </c>
      <c r="Q1706" s="13">
        <v>19.5</v>
      </c>
      <c r="R1706">
        <v>42</v>
      </c>
      <c r="S1706">
        <v>22</v>
      </c>
      <c r="T1706" s="13">
        <v>27.6</v>
      </c>
      <c r="U1706" s="13">
        <v>40</v>
      </c>
      <c r="V1706" t="s">
        <v>99</v>
      </c>
      <c r="X1706" s="13">
        <v>143.6</v>
      </c>
    </row>
    <row r="1707" spans="1:24" x14ac:dyDescent="0.25">
      <c r="A1707" t="s">
        <v>1579</v>
      </c>
      <c r="B1707" t="s">
        <v>64</v>
      </c>
      <c r="C1707" t="s">
        <v>1569</v>
      </c>
      <c r="D1707" t="s">
        <v>1570</v>
      </c>
      <c r="E1707" t="s">
        <v>64</v>
      </c>
      <c r="F1707" t="s">
        <v>94</v>
      </c>
      <c r="G1707" t="s">
        <v>277</v>
      </c>
      <c r="H1707" s="12">
        <v>6.1790000000000003</v>
      </c>
      <c r="I1707" s="12">
        <v>-75.394000000000005</v>
      </c>
      <c r="J1707" t="s">
        <v>129</v>
      </c>
      <c r="K1707" t="s">
        <v>1269</v>
      </c>
      <c r="L1707" t="s">
        <v>1270</v>
      </c>
      <c r="P1707" s="13">
        <v>177.2</v>
      </c>
      <c r="Q1707" s="13">
        <v>36.6</v>
      </c>
      <c r="R1707">
        <v>32</v>
      </c>
      <c r="S1707">
        <v>42</v>
      </c>
      <c r="T1707" s="13">
        <v>34.5</v>
      </c>
      <c r="U1707" s="13">
        <v>25.5</v>
      </c>
      <c r="V1707" t="s">
        <v>268</v>
      </c>
      <c r="W1707" t="s">
        <v>1271</v>
      </c>
      <c r="X1707" s="13"/>
    </row>
    <row r="1708" spans="1:24" x14ac:dyDescent="0.25">
      <c r="A1708" t="s">
        <v>1580</v>
      </c>
      <c r="B1708" t="s">
        <v>64</v>
      </c>
      <c r="C1708" t="s">
        <v>1569</v>
      </c>
      <c r="D1708" t="s">
        <v>1570</v>
      </c>
      <c r="E1708" t="s">
        <v>64</v>
      </c>
      <c r="F1708" t="s">
        <v>94</v>
      </c>
      <c r="G1708" t="s">
        <v>277</v>
      </c>
      <c r="H1708" s="12">
        <v>6.1790000000000003</v>
      </c>
      <c r="I1708" s="12">
        <v>-75.394000000000005</v>
      </c>
      <c r="J1708" t="s">
        <v>129</v>
      </c>
      <c r="K1708" t="s">
        <v>97</v>
      </c>
      <c r="L1708" t="s">
        <v>1273</v>
      </c>
      <c r="P1708" s="13">
        <v>184.1</v>
      </c>
      <c r="Q1708" s="13">
        <v>51.2</v>
      </c>
      <c r="R1708">
        <v>20</v>
      </c>
      <c r="S1708">
        <v>30</v>
      </c>
      <c r="T1708" s="13">
        <v>41.4</v>
      </c>
      <c r="U1708" s="13">
        <v>50.9</v>
      </c>
      <c r="V1708" t="s">
        <v>99</v>
      </c>
      <c r="X1708" s="13">
        <v>184.1</v>
      </c>
    </row>
    <row r="1709" spans="1:24" x14ac:dyDescent="0.25">
      <c r="A1709" t="s">
        <v>1580</v>
      </c>
      <c r="B1709" t="s">
        <v>64</v>
      </c>
      <c r="C1709" t="s">
        <v>1569</v>
      </c>
      <c r="D1709" t="s">
        <v>1570</v>
      </c>
      <c r="E1709" t="s">
        <v>64</v>
      </c>
      <c r="F1709" t="s">
        <v>94</v>
      </c>
      <c r="G1709" t="s">
        <v>277</v>
      </c>
      <c r="H1709" s="12">
        <v>6.1790000000000003</v>
      </c>
      <c r="I1709" s="12">
        <v>-75.394000000000005</v>
      </c>
      <c r="J1709" t="s">
        <v>129</v>
      </c>
      <c r="K1709" t="s">
        <v>1269</v>
      </c>
      <c r="L1709" t="s">
        <v>1270</v>
      </c>
      <c r="P1709" s="13">
        <v>117.6</v>
      </c>
      <c r="Q1709" s="13">
        <v>46.3</v>
      </c>
      <c r="R1709">
        <v>14</v>
      </c>
      <c r="S1709">
        <v>14</v>
      </c>
      <c r="T1709" s="13">
        <v>27.6</v>
      </c>
      <c r="U1709" s="13">
        <v>0</v>
      </c>
      <c r="V1709" t="s">
        <v>268</v>
      </c>
      <c r="W1709" t="s">
        <v>1271</v>
      </c>
      <c r="X1709" s="13"/>
    </row>
    <row r="1710" spans="1:24" x14ac:dyDescent="0.25">
      <c r="A1710" t="s">
        <v>1581</v>
      </c>
      <c r="B1710" t="s">
        <v>64</v>
      </c>
      <c r="C1710" t="s">
        <v>1569</v>
      </c>
      <c r="D1710" t="s">
        <v>1570</v>
      </c>
      <c r="E1710" t="s">
        <v>64</v>
      </c>
      <c r="F1710" t="s">
        <v>94</v>
      </c>
      <c r="G1710" t="s">
        <v>277</v>
      </c>
      <c r="H1710" s="12">
        <v>6.1790000000000003</v>
      </c>
      <c r="I1710" s="12">
        <v>-75.394000000000005</v>
      </c>
      <c r="J1710" t="s">
        <v>129</v>
      </c>
      <c r="K1710" t="s">
        <v>97</v>
      </c>
      <c r="L1710" t="s">
        <v>1273</v>
      </c>
      <c r="P1710" s="13">
        <v>196.5</v>
      </c>
      <c r="Q1710" s="13">
        <v>56.1</v>
      </c>
      <c r="R1710">
        <v>18</v>
      </c>
      <c r="S1710">
        <v>34</v>
      </c>
      <c r="T1710" s="13">
        <v>48.3</v>
      </c>
      <c r="U1710" s="13">
        <v>41.8</v>
      </c>
      <c r="V1710" t="s">
        <v>99</v>
      </c>
      <c r="X1710" s="13">
        <v>196.5</v>
      </c>
    </row>
    <row r="1711" spans="1:24" x14ac:dyDescent="0.25">
      <c r="A1711" t="s">
        <v>1581</v>
      </c>
      <c r="B1711" t="s">
        <v>64</v>
      </c>
      <c r="C1711" t="s">
        <v>1569</v>
      </c>
      <c r="D1711" t="s">
        <v>1570</v>
      </c>
      <c r="E1711" t="s">
        <v>64</v>
      </c>
      <c r="F1711" t="s">
        <v>94</v>
      </c>
      <c r="G1711" t="s">
        <v>277</v>
      </c>
      <c r="H1711" s="12">
        <v>6.1790000000000003</v>
      </c>
      <c r="I1711" s="12">
        <v>-75.394000000000005</v>
      </c>
      <c r="J1711" t="s">
        <v>129</v>
      </c>
      <c r="K1711" t="s">
        <v>1269</v>
      </c>
      <c r="L1711" t="s">
        <v>1270</v>
      </c>
      <c r="P1711" s="13">
        <v>286.2</v>
      </c>
      <c r="Q1711" s="13">
        <v>61</v>
      </c>
      <c r="R1711">
        <v>48</v>
      </c>
      <c r="S1711">
        <v>68</v>
      </c>
      <c r="T1711" s="13">
        <v>53.4</v>
      </c>
      <c r="U1711" s="13">
        <v>52.7</v>
      </c>
      <c r="V1711" t="s">
        <v>268</v>
      </c>
      <c r="W1711" t="s">
        <v>1271</v>
      </c>
      <c r="X1711" s="13"/>
    </row>
    <row r="1712" spans="1:24" x14ac:dyDescent="0.25">
      <c r="A1712" t="s">
        <v>1582</v>
      </c>
      <c r="B1712" t="s">
        <v>64</v>
      </c>
      <c r="C1712" t="s">
        <v>1569</v>
      </c>
      <c r="D1712" t="s">
        <v>1570</v>
      </c>
      <c r="E1712" t="s">
        <v>64</v>
      </c>
      <c r="F1712" t="s">
        <v>94</v>
      </c>
      <c r="G1712" t="s">
        <v>277</v>
      </c>
      <c r="H1712" s="12">
        <v>6.1790000000000003</v>
      </c>
      <c r="I1712" s="12">
        <v>-75.394000000000005</v>
      </c>
      <c r="J1712" t="s">
        <v>129</v>
      </c>
      <c r="K1712" t="s">
        <v>97</v>
      </c>
      <c r="L1712" t="s">
        <v>1273</v>
      </c>
      <c r="P1712" s="13">
        <v>149.4</v>
      </c>
      <c r="Q1712" s="13">
        <v>34.1</v>
      </c>
      <c r="R1712">
        <v>26</v>
      </c>
      <c r="S1712">
        <v>28</v>
      </c>
      <c r="T1712" s="13">
        <v>31</v>
      </c>
      <c r="U1712" s="13">
        <v>30.9</v>
      </c>
      <c r="V1712" t="s">
        <v>99</v>
      </c>
      <c r="X1712" s="13">
        <v>149.4</v>
      </c>
    </row>
    <row r="1713" spans="1:24" x14ac:dyDescent="0.25">
      <c r="A1713" t="s">
        <v>1582</v>
      </c>
      <c r="B1713" t="s">
        <v>64</v>
      </c>
      <c r="C1713" t="s">
        <v>1569</v>
      </c>
      <c r="D1713" t="s">
        <v>1570</v>
      </c>
      <c r="E1713" t="s">
        <v>64</v>
      </c>
      <c r="F1713" t="s">
        <v>94</v>
      </c>
      <c r="G1713" t="s">
        <v>277</v>
      </c>
      <c r="H1713" s="12">
        <v>6.1790000000000003</v>
      </c>
      <c r="I1713" s="12">
        <v>-75.394000000000005</v>
      </c>
      <c r="J1713" t="s">
        <v>129</v>
      </c>
      <c r="K1713" t="s">
        <v>1269</v>
      </c>
      <c r="L1713" t="s">
        <v>1270</v>
      </c>
      <c r="P1713" s="13">
        <v>175.5</v>
      </c>
      <c r="Q1713" s="13">
        <v>56.1</v>
      </c>
      <c r="R1713">
        <v>22</v>
      </c>
      <c r="S1713">
        <v>38</v>
      </c>
      <c r="T1713" s="13">
        <v>29.3</v>
      </c>
      <c r="U1713" s="13">
        <v>20</v>
      </c>
      <c r="V1713" t="s">
        <v>268</v>
      </c>
      <c r="W1713" t="s">
        <v>1271</v>
      </c>
      <c r="X1713" s="13"/>
    </row>
    <row r="1714" spans="1:24" x14ac:dyDescent="0.25">
      <c r="A1714" t="s">
        <v>1583</v>
      </c>
      <c r="B1714" t="s">
        <v>64</v>
      </c>
      <c r="C1714" t="s">
        <v>1569</v>
      </c>
      <c r="D1714" t="s">
        <v>1570</v>
      </c>
      <c r="E1714" t="s">
        <v>64</v>
      </c>
      <c r="F1714" t="s">
        <v>94</v>
      </c>
      <c r="G1714" t="s">
        <v>277</v>
      </c>
      <c r="H1714" s="12">
        <v>6.1790000000000003</v>
      </c>
      <c r="I1714" s="12">
        <v>-75.394000000000005</v>
      </c>
      <c r="J1714" t="s">
        <v>129</v>
      </c>
      <c r="K1714" t="s">
        <v>97</v>
      </c>
      <c r="L1714" t="s">
        <v>1273</v>
      </c>
      <c r="P1714" s="13">
        <v>174.4</v>
      </c>
      <c r="Q1714" s="13">
        <v>39</v>
      </c>
      <c r="R1714">
        <v>24</v>
      </c>
      <c r="S1714">
        <v>34</v>
      </c>
      <c r="T1714" s="13">
        <v>41.4</v>
      </c>
      <c r="U1714" s="13">
        <v>38.200000000000003</v>
      </c>
      <c r="V1714" t="s">
        <v>99</v>
      </c>
      <c r="X1714" s="13">
        <v>174.4</v>
      </c>
    </row>
    <row r="1715" spans="1:24" x14ac:dyDescent="0.25">
      <c r="A1715" t="s">
        <v>1583</v>
      </c>
      <c r="B1715" t="s">
        <v>64</v>
      </c>
      <c r="C1715" t="s">
        <v>1569</v>
      </c>
      <c r="D1715" t="s">
        <v>1570</v>
      </c>
      <c r="E1715" t="s">
        <v>64</v>
      </c>
      <c r="F1715" t="s">
        <v>94</v>
      </c>
      <c r="G1715" t="s">
        <v>277</v>
      </c>
      <c r="H1715" s="12">
        <v>6.1790000000000003</v>
      </c>
      <c r="I1715" s="12">
        <v>-75.394000000000005</v>
      </c>
      <c r="J1715" t="s">
        <v>129</v>
      </c>
      <c r="K1715" t="s">
        <v>1269</v>
      </c>
      <c r="L1715" t="s">
        <v>1270</v>
      </c>
      <c r="P1715" s="13">
        <v>194.3</v>
      </c>
      <c r="Q1715" s="13">
        <v>46.3</v>
      </c>
      <c r="R1715">
        <v>28</v>
      </c>
      <c r="S1715">
        <v>32</v>
      </c>
      <c r="T1715" s="13">
        <v>51.7</v>
      </c>
      <c r="U1715" s="13">
        <v>30.9</v>
      </c>
      <c r="V1715" t="s">
        <v>268</v>
      </c>
      <c r="W1715" t="s">
        <v>1271</v>
      </c>
      <c r="X1715" s="13"/>
    </row>
    <row r="1716" spans="1:24" x14ac:dyDescent="0.25">
      <c r="A1716" t="s">
        <v>1584</v>
      </c>
      <c r="B1716" t="s">
        <v>64</v>
      </c>
      <c r="C1716" t="s">
        <v>1569</v>
      </c>
      <c r="D1716" t="s">
        <v>1570</v>
      </c>
      <c r="E1716" t="s">
        <v>64</v>
      </c>
      <c r="F1716" t="s">
        <v>94</v>
      </c>
      <c r="G1716" t="s">
        <v>277</v>
      </c>
      <c r="H1716" s="12">
        <v>6.1790000000000003</v>
      </c>
      <c r="I1716" s="12">
        <v>-75.394000000000005</v>
      </c>
      <c r="J1716" t="s">
        <v>129</v>
      </c>
      <c r="K1716" t="s">
        <v>97</v>
      </c>
      <c r="L1716" t="s">
        <v>1273</v>
      </c>
      <c r="P1716" s="13">
        <v>172.2</v>
      </c>
      <c r="Q1716" s="13">
        <v>41.5</v>
      </c>
      <c r="R1716">
        <v>38</v>
      </c>
      <c r="S1716">
        <v>30</v>
      </c>
      <c r="T1716" s="13">
        <v>25.9</v>
      </c>
      <c r="U1716" s="13">
        <v>41.8</v>
      </c>
      <c r="V1716" t="s">
        <v>99</v>
      </c>
      <c r="X1716" s="13">
        <v>172.2</v>
      </c>
    </row>
    <row r="1717" spans="1:24" x14ac:dyDescent="0.25">
      <c r="A1717" t="s">
        <v>1584</v>
      </c>
      <c r="B1717" t="s">
        <v>64</v>
      </c>
      <c r="C1717" t="s">
        <v>1569</v>
      </c>
      <c r="D1717" t="s">
        <v>1570</v>
      </c>
      <c r="E1717" t="s">
        <v>64</v>
      </c>
      <c r="F1717" t="s">
        <v>94</v>
      </c>
      <c r="G1717" t="s">
        <v>277</v>
      </c>
      <c r="H1717" s="12">
        <v>6.1790000000000003</v>
      </c>
      <c r="I1717" s="12">
        <v>-75.394000000000005</v>
      </c>
      <c r="J1717" t="s">
        <v>129</v>
      </c>
      <c r="K1717" t="s">
        <v>1269</v>
      </c>
      <c r="L1717" t="s">
        <v>1270</v>
      </c>
      <c r="P1717" s="13">
        <v>221.1</v>
      </c>
      <c r="Q1717" s="13">
        <v>43.9</v>
      </c>
      <c r="R1717">
        <v>30</v>
      </c>
      <c r="S1717">
        <v>62</v>
      </c>
      <c r="T1717" s="13">
        <v>44.8</v>
      </c>
      <c r="U1717" s="13">
        <v>32.700000000000003</v>
      </c>
      <c r="V1717" t="s">
        <v>268</v>
      </c>
      <c r="W1717" t="s">
        <v>1271</v>
      </c>
      <c r="X1717" s="13"/>
    </row>
    <row r="1718" spans="1:24" x14ac:dyDescent="0.25">
      <c r="A1718" t="s">
        <v>1585</v>
      </c>
      <c r="B1718" t="s">
        <v>64</v>
      </c>
      <c r="C1718" t="s">
        <v>1569</v>
      </c>
      <c r="D1718" t="s">
        <v>1570</v>
      </c>
      <c r="E1718" t="s">
        <v>64</v>
      </c>
      <c r="F1718" t="s">
        <v>94</v>
      </c>
      <c r="G1718" t="s">
        <v>277</v>
      </c>
      <c r="H1718" s="12">
        <v>6.1790000000000003</v>
      </c>
      <c r="I1718" s="12">
        <v>-75.394000000000005</v>
      </c>
      <c r="J1718" t="s">
        <v>129</v>
      </c>
      <c r="K1718" t="s">
        <v>97</v>
      </c>
      <c r="L1718" t="s">
        <v>1273</v>
      </c>
      <c r="P1718" s="13">
        <v>128.30000000000001</v>
      </c>
      <c r="Q1718" s="13">
        <v>41.5</v>
      </c>
      <c r="R1718">
        <v>22</v>
      </c>
      <c r="S1718">
        <v>34</v>
      </c>
      <c r="T1718" s="13">
        <v>3.4</v>
      </c>
      <c r="U1718" s="13">
        <v>30.9</v>
      </c>
      <c r="V1718" t="s">
        <v>99</v>
      </c>
      <c r="X1718" s="13">
        <v>128.30000000000001</v>
      </c>
    </row>
    <row r="1719" spans="1:24" x14ac:dyDescent="0.25">
      <c r="A1719" t="s">
        <v>1585</v>
      </c>
      <c r="B1719" t="s">
        <v>64</v>
      </c>
      <c r="C1719" t="s">
        <v>1569</v>
      </c>
      <c r="D1719" t="s">
        <v>1570</v>
      </c>
      <c r="E1719" t="s">
        <v>64</v>
      </c>
      <c r="F1719" t="s">
        <v>94</v>
      </c>
      <c r="G1719" t="s">
        <v>277</v>
      </c>
      <c r="H1719" s="12">
        <v>6.1790000000000003</v>
      </c>
      <c r="I1719" s="12">
        <v>-75.394000000000005</v>
      </c>
      <c r="J1719" t="s">
        <v>129</v>
      </c>
      <c r="K1719" t="s">
        <v>1269</v>
      </c>
      <c r="L1719" t="s">
        <v>1270</v>
      </c>
      <c r="P1719" s="13">
        <v>171.2</v>
      </c>
      <c r="Q1719" s="13">
        <v>34.1</v>
      </c>
      <c r="R1719">
        <v>28</v>
      </c>
      <c r="S1719">
        <v>38</v>
      </c>
      <c r="T1719" s="13">
        <v>37.9</v>
      </c>
      <c r="U1719" s="13">
        <v>30.9</v>
      </c>
      <c r="V1719" t="s">
        <v>268</v>
      </c>
      <c r="W1719" t="s">
        <v>1271</v>
      </c>
      <c r="X1719" s="13"/>
    </row>
    <row r="1720" spans="1:24" x14ac:dyDescent="0.25">
      <c r="A1720" t="s">
        <v>1586</v>
      </c>
      <c r="B1720" t="s">
        <v>64</v>
      </c>
      <c r="C1720" t="s">
        <v>1569</v>
      </c>
      <c r="D1720" t="s">
        <v>1570</v>
      </c>
      <c r="E1720" t="s">
        <v>64</v>
      </c>
      <c r="F1720" t="s">
        <v>94</v>
      </c>
      <c r="G1720" t="s">
        <v>277</v>
      </c>
      <c r="H1720" s="12">
        <v>6.1790000000000003</v>
      </c>
      <c r="I1720" s="12">
        <v>-75.394000000000005</v>
      </c>
      <c r="J1720" t="s">
        <v>129</v>
      </c>
      <c r="K1720" t="s">
        <v>97</v>
      </c>
      <c r="L1720" t="s">
        <v>1273</v>
      </c>
      <c r="P1720" s="13">
        <v>178.1</v>
      </c>
      <c r="Q1720" s="13">
        <v>51.2</v>
      </c>
      <c r="R1720">
        <v>28</v>
      </c>
      <c r="S1720">
        <v>36</v>
      </c>
      <c r="T1720" s="13">
        <v>27.6</v>
      </c>
      <c r="U1720" s="13">
        <v>34.5</v>
      </c>
      <c r="V1720" t="s">
        <v>99</v>
      </c>
      <c r="X1720" s="13">
        <v>178.1</v>
      </c>
    </row>
    <row r="1721" spans="1:24" x14ac:dyDescent="0.25">
      <c r="A1721" t="s">
        <v>1586</v>
      </c>
      <c r="B1721" t="s">
        <v>64</v>
      </c>
      <c r="C1721" t="s">
        <v>1569</v>
      </c>
      <c r="D1721" t="s">
        <v>1570</v>
      </c>
      <c r="E1721" t="s">
        <v>64</v>
      </c>
      <c r="F1721" t="s">
        <v>94</v>
      </c>
      <c r="G1721" t="s">
        <v>277</v>
      </c>
      <c r="H1721" s="12">
        <v>6.1790000000000003</v>
      </c>
      <c r="I1721" s="12">
        <v>-75.394000000000005</v>
      </c>
      <c r="J1721" t="s">
        <v>129</v>
      </c>
      <c r="K1721" t="s">
        <v>1269</v>
      </c>
      <c r="L1721" t="s">
        <v>1270</v>
      </c>
      <c r="P1721" s="13">
        <v>180.4</v>
      </c>
      <c r="Q1721" s="13">
        <v>48.8</v>
      </c>
      <c r="R1721">
        <v>32</v>
      </c>
      <c r="S1721">
        <v>22</v>
      </c>
      <c r="T1721" s="13">
        <v>39.700000000000003</v>
      </c>
      <c r="U1721" s="13">
        <v>41.8</v>
      </c>
      <c r="V1721" t="s">
        <v>268</v>
      </c>
      <c r="W1721" t="s">
        <v>1271</v>
      </c>
      <c r="X1721" s="13"/>
    </row>
    <row r="1722" spans="1:24" x14ac:dyDescent="0.25">
      <c r="A1722" t="s">
        <v>1587</v>
      </c>
      <c r="B1722" t="s">
        <v>64</v>
      </c>
      <c r="C1722" t="s">
        <v>1569</v>
      </c>
      <c r="D1722" t="s">
        <v>1570</v>
      </c>
      <c r="E1722" t="s">
        <v>64</v>
      </c>
      <c r="F1722" t="s">
        <v>94</v>
      </c>
      <c r="G1722" t="s">
        <v>277</v>
      </c>
      <c r="H1722" s="12">
        <v>6.1790000000000003</v>
      </c>
      <c r="I1722" s="12">
        <v>-75.394000000000005</v>
      </c>
      <c r="J1722" t="s">
        <v>129</v>
      </c>
      <c r="K1722" t="s">
        <v>97</v>
      </c>
      <c r="L1722" t="s">
        <v>1273</v>
      </c>
      <c r="P1722" s="13">
        <v>143.5</v>
      </c>
      <c r="Q1722" s="13">
        <v>36.6</v>
      </c>
      <c r="R1722">
        <v>24</v>
      </c>
      <c r="S1722">
        <v>18</v>
      </c>
      <c r="T1722" s="13">
        <v>27.6</v>
      </c>
      <c r="U1722" s="13">
        <v>54.5</v>
      </c>
      <c r="V1722" t="s">
        <v>99</v>
      </c>
      <c r="X1722" s="13">
        <v>143.5</v>
      </c>
    </row>
    <row r="1723" spans="1:24" x14ac:dyDescent="0.25">
      <c r="A1723" t="s">
        <v>1587</v>
      </c>
      <c r="B1723" t="s">
        <v>64</v>
      </c>
      <c r="C1723" t="s">
        <v>1569</v>
      </c>
      <c r="D1723" t="s">
        <v>1570</v>
      </c>
      <c r="E1723" t="s">
        <v>64</v>
      </c>
      <c r="F1723" t="s">
        <v>94</v>
      </c>
      <c r="G1723" t="s">
        <v>277</v>
      </c>
      <c r="H1723" s="12">
        <v>6.1790000000000003</v>
      </c>
      <c r="I1723" s="12">
        <v>-75.394000000000005</v>
      </c>
      <c r="J1723" t="s">
        <v>129</v>
      </c>
      <c r="K1723" t="s">
        <v>1269</v>
      </c>
      <c r="L1723" t="s">
        <v>1270</v>
      </c>
      <c r="P1723" s="13">
        <v>169.5</v>
      </c>
      <c r="Q1723" s="13">
        <v>41.5</v>
      </c>
      <c r="R1723">
        <v>20</v>
      </c>
      <c r="S1723">
        <v>42</v>
      </c>
      <c r="T1723" s="13">
        <v>36.200000000000003</v>
      </c>
      <c r="U1723" s="13">
        <v>21.8</v>
      </c>
      <c r="V1723" t="s">
        <v>268</v>
      </c>
      <c r="W1723" t="s">
        <v>1271</v>
      </c>
      <c r="X1723" s="13"/>
    </row>
    <row r="1724" spans="1:24" x14ac:dyDescent="0.25">
      <c r="A1724" t="s">
        <v>1588</v>
      </c>
      <c r="B1724" t="s">
        <v>64</v>
      </c>
      <c r="C1724" t="s">
        <v>1569</v>
      </c>
      <c r="D1724" t="s">
        <v>1570</v>
      </c>
      <c r="E1724" t="s">
        <v>64</v>
      </c>
      <c r="F1724" t="s">
        <v>94</v>
      </c>
      <c r="G1724" t="s">
        <v>277</v>
      </c>
      <c r="H1724" s="12">
        <v>6.1790000000000003</v>
      </c>
      <c r="I1724" s="12">
        <v>-75.394000000000005</v>
      </c>
      <c r="J1724" t="s">
        <v>129</v>
      </c>
      <c r="K1724" t="s">
        <v>97</v>
      </c>
      <c r="L1724" t="s">
        <v>1273</v>
      </c>
      <c r="P1724" s="13">
        <v>228</v>
      </c>
      <c r="Q1724" s="13">
        <v>61</v>
      </c>
      <c r="R1724">
        <v>36</v>
      </c>
      <c r="S1724">
        <v>36</v>
      </c>
      <c r="T1724" s="13">
        <v>48.3</v>
      </c>
      <c r="U1724" s="13">
        <v>49.1</v>
      </c>
      <c r="V1724" t="s">
        <v>99</v>
      </c>
      <c r="X1724" s="13">
        <v>228</v>
      </c>
    </row>
    <row r="1725" spans="1:24" x14ac:dyDescent="0.25">
      <c r="A1725" t="s">
        <v>1588</v>
      </c>
      <c r="B1725" t="s">
        <v>64</v>
      </c>
      <c r="C1725" t="s">
        <v>1569</v>
      </c>
      <c r="D1725" t="s">
        <v>1570</v>
      </c>
      <c r="E1725" t="s">
        <v>64</v>
      </c>
      <c r="F1725" t="s">
        <v>94</v>
      </c>
      <c r="G1725" t="s">
        <v>277</v>
      </c>
      <c r="H1725" s="12">
        <v>6.1790000000000003</v>
      </c>
      <c r="I1725" s="12">
        <v>-75.394000000000005</v>
      </c>
      <c r="J1725" t="s">
        <v>129</v>
      </c>
      <c r="K1725" t="s">
        <v>1269</v>
      </c>
      <c r="L1725" t="s">
        <v>1270</v>
      </c>
      <c r="P1725" s="13">
        <v>225.7</v>
      </c>
      <c r="Q1725" s="13">
        <v>46.3</v>
      </c>
      <c r="R1725">
        <v>38</v>
      </c>
      <c r="S1725">
        <v>50</v>
      </c>
      <c r="T1725" s="13">
        <v>43.1</v>
      </c>
      <c r="U1725" s="13">
        <v>54.5</v>
      </c>
      <c r="V1725" t="s">
        <v>268</v>
      </c>
      <c r="W1725" t="s">
        <v>1271</v>
      </c>
      <c r="X1725" s="13"/>
    </row>
    <row r="1726" spans="1:24" x14ac:dyDescent="0.25">
      <c r="A1726" t="s">
        <v>1589</v>
      </c>
      <c r="B1726" t="s">
        <v>64</v>
      </c>
      <c r="C1726" t="s">
        <v>1569</v>
      </c>
      <c r="D1726" t="s">
        <v>1570</v>
      </c>
      <c r="E1726" t="s">
        <v>64</v>
      </c>
      <c r="F1726" t="s">
        <v>94</v>
      </c>
      <c r="G1726" t="s">
        <v>277</v>
      </c>
      <c r="H1726" s="12">
        <v>6.1790000000000003</v>
      </c>
      <c r="I1726" s="12">
        <v>-75.394000000000005</v>
      </c>
      <c r="J1726" t="s">
        <v>129</v>
      </c>
      <c r="K1726" t="s">
        <v>97</v>
      </c>
      <c r="L1726" t="s">
        <v>1273</v>
      </c>
      <c r="P1726" s="13">
        <v>219.6</v>
      </c>
      <c r="Q1726" s="13">
        <v>56.1</v>
      </c>
      <c r="R1726">
        <v>32</v>
      </c>
      <c r="S1726">
        <v>46</v>
      </c>
      <c r="T1726" s="13">
        <v>36.200000000000003</v>
      </c>
      <c r="U1726" s="13">
        <v>60</v>
      </c>
      <c r="V1726" t="s">
        <v>99</v>
      </c>
      <c r="X1726" s="13">
        <v>219.6</v>
      </c>
    </row>
    <row r="1727" spans="1:24" x14ac:dyDescent="0.25">
      <c r="A1727" t="s">
        <v>1589</v>
      </c>
      <c r="B1727" t="s">
        <v>64</v>
      </c>
      <c r="C1727" t="s">
        <v>1569</v>
      </c>
      <c r="D1727" t="s">
        <v>1570</v>
      </c>
      <c r="E1727" t="s">
        <v>64</v>
      </c>
      <c r="F1727" t="s">
        <v>94</v>
      </c>
      <c r="G1727" t="s">
        <v>277</v>
      </c>
      <c r="H1727" s="12">
        <v>6.1790000000000003</v>
      </c>
      <c r="I1727" s="12">
        <v>-75.394000000000005</v>
      </c>
      <c r="J1727" t="s">
        <v>129</v>
      </c>
      <c r="K1727" t="s">
        <v>1269</v>
      </c>
      <c r="L1727" t="s">
        <v>1270</v>
      </c>
      <c r="P1727" s="13">
        <v>254.2</v>
      </c>
      <c r="Q1727" s="13">
        <v>48.8</v>
      </c>
      <c r="R1727">
        <v>40</v>
      </c>
      <c r="S1727">
        <v>62</v>
      </c>
      <c r="T1727" s="13">
        <v>48.3</v>
      </c>
      <c r="U1727" s="13">
        <v>63.6</v>
      </c>
      <c r="V1727" t="s">
        <v>268</v>
      </c>
      <c r="W1727" t="s">
        <v>1271</v>
      </c>
      <c r="X1727" s="13"/>
    </row>
    <row r="1728" spans="1:24" x14ac:dyDescent="0.25">
      <c r="A1728" t="s">
        <v>1590</v>
      </c>
      <c r="B1728" t="s">
        <v>64</v>
      </c>
      <c r="C1728" t="s">
        <v>1569</v>
      </c>
      <c r="D1728" t="s">
        <v>1570</v>
      </c>
      <c r="E1728" t="s">
        <v>64</v>
      </c>
      <c r="F1728" t="s">
        <v>94</v>
      </c>
      <c r="G1728" t="s">
        <v>277</v>
      </c>
      <c r="H1728" s="12">
        <v>6.1790000000000003</v>
      </c>
      <c r="I1728" s="12">
        <v>-75.394000000000005</v>
      </c>
      <c r="J1728" t="s">
        <v>129</v>
      </c>
      <c r="K1728" t="s">
        <v>97</v>
      </c>
      <c r="L1728" t="s">
        <v>1273</v>
      </c>
      <c r="P1728" s="13">
        <v>204.8</v>
      </c>
      <c r="Q1728" s="13">
        <v>65.900000000000006</v>
      </c>
      <c r="R1728">
        <v>28</v>
      </c>
      <c r="S1728">
        <v>26</v>
      </c>
      <c r="T1728" s="13">
        <v>43.1</v>
      </c>
      <c r="U1728" s="13">
        <v>43.6</v>
      </c>
      <c r="V1728" t="s">
        <v>99</v>
      </c>
      <c r="X1728" s="13">
        <v>204.8</v>
      </c>
    </row>
    <row r="1729" spans="1:24" x14ac:dyDescent="0.25">
      <c r="A1729" t="s">
        <v>1590</v>
      </c>
      <c r="B1729" t="s">
        <v>64</v>
      </c>
      <c r="C1729" t="s">
        <v>1569</v>
      </c>
      <c r="D1729" t="s">
        <v>1570</v>
      </c>
      <c r="E1729" t="s">
        <v>64</v>
      </c>
      <c r="F1729" t="s">
        <v>94</v>
      </c>
      <c r="G1729" t="s">
        <v>277</v>
      </c>
      <c r="H1729" s="12">
        <v>6.1790000000000003</v>
      </c>
      <c r="I1729" s="12">
        <v>-75.394000000000005</v>
      </c>
      <c r="J1729" t="s">
        <v>129</v>
      </c>
      <c r="K1729" t="s">
        <v>1269</v>
      </c>
      <c r="L1729" t="s">
        <v>1270</v>
      </c>
      <c r="P1729" s="13">
        <v>254.7</v>
      </c>
      <c r="Q1729" s="13">
        <v>53.7</v>
      </c>
      <c r="R1729">
        <v>34</v>
      </c>
      <c r="S1729">
        <v>62</v>
      </c>
      <c r="T1729" s="13">
        <v>51.7</v>
      </c>
      <c r="U1729" s="13">
        <v>58.2</v>
      </c>
      <c r="V1729" t="s">
        <v>268</v>
      </c>
      <c r="W1729" t="s">
        <v>1271</v>
      </c>
      <c r="X1729" s="13"/>
    </row>
    <row r="1730" spans="1:24" x14ac:dyDescent="0.25">
      <c r="A1730" t="s">
        <v>1591</v>
      </c>
      <c r="B1730" t="s">
        <v>64</v>
      </c>
      <c r="C1730" t="s">
        <v>1569</v>
      </c>
      <c r="D1730" t="s">
        <v>1570</v>
      </c>
      <c r="E1730" t="s">
        <v>64</v>
      </c>
      <c r="F1730" t="s">
        <v>94</v>
      </c>
      <c r="G1730" t="s">
        <v>277</v>
      </c>
      <c r="H1730" s="12">
        <v>6.1790000000000003</v>
      </c>
      <c r="I1730" s="12">
        <v>-75.394000000000005</v>
      </c>
      <c r="J1730" t="s">
        <v>96</v>
      </c>
      <c r="K1730" t="s">
        <v>97</v>
      </c>
      <c r="L1730" t="s">
        <v>1273</v>
      </c>
      <c r="P1730" s="13">
        <v>192.9</v>
      </c>
      <c r="Q1730" s="13">
        <v>43.9</v>
      </c>
      <c r="R1730">
        <v>30</v>
      </c>
      <c r="S1730">
        <v>32</v>
      </c>
      <c r="T1730" s="13">
        <v>43.1</v>
      </c>
      <c r="U1730" s="13">
        <v>54.5</v>
      </c>
      <c r="V1730" t="s">
        <v>99</v>
      </c>
      <c r="X1730" s="13">
        <v>192.9</v>
      </c>
    </row>
    <row r="1731" spans="1:24" x14ac:dyDescent="0.25">
      <c r="A1731" t="s">
        <v>1591</v>
      </c>
      <c r="B1731" t="s">
        <v>64</v>
      </c>
      <c r="C1731" t="s">
        <v>1569</v>
      </c>
      <c r="D1731" t="s">
        <v>1570</v>
      </c>
      <c r="E1731" t="s">
        <v>64</v>
      </c>
      <c r="F1731" t="s">
        <v>94</v>
      </c>
      <c r="G1731" t="s">
        <v>277</v>
      </c>
      <c r="H1731" s="12">
        <v>6.1790000000000003</v>
      </c>
      <c r="I1731" s="12">
        <v>-75.394000000000005</v>
      </c>
      <c r="J1731" t="s">
        <v>96</v>
      </c>
      <c r="K1731" t="s">
        <v>1269</v>
      </c>
      <c r="L1731" t="s">
        <v>1270</v>
      </c>
      <c r="P1731" s="13">
        <v>222.3</v>
      </c>
      <c r="Q1731" s="13">
        <v>46.3</v>
      </c>
      <c r="R1731">
        <v>54</v>
      </c>
      <c r="S1731">
        <v>34</v>
      </c>
      <c r="T1731" s="13">
        <v>41.4</v>
      </c>
      <c r="U1731" s="13">
        <v>50.9</v>
      </c>
      <c r="V1731" t="s">
        <v>268</v>
      </c>
      <c r="W1731" t="s">
        <v>1271</v>
      </c>
      <c r="X1731" s="13"/>
    </row>
    <row r="1732" spans="1:24" x14ac:dyDescent="0.25">
      <c r="A1732" t="s">
        <v>1592</v>
      </c>
      <c r="B1732" t="s">
        <v>64</v>
      </c>
      <c r="C1732" t="s">
        <v>1569</v>
      </c>
      <c r="D1732" t="s">
        <v>1570</v>
      </c>
      <c r="E1732" t="s">
        <v>64</v>
      </c>
      <c r="F1732" t="s">
        <v>94</v>
      </c>
      <c r="G1732" t="s">
        <v>277</v>
      </c>
      <c r="H1732" s="12">
        <v>6.1790000000000003</v>
      </c>
      <c r="I1732" s="12">
        <v>-75.394000000000005</v>
      </c>
      <c r="J1732" t="s">
        <v>129</v>
      </c>
      <c r="K1732" t="s">
        <v>97</v>
      </c>
      <c r="L1732" t="s">
        <v>1273</v>
      </c>
      <c r="P1732" s="13">
        <v>135.4</v>
      </c>
      <c r="Q1732" s="13">
        <v>29.3</v>
      </c>
      <c r="R1732">
        <v>34</v>
      </c>
      <c r="S1732">
        <v>32</v>
      </c>
      <c r="T1732" s="13">
        <v>17.2</v>
      </c>
      <c r="U1732" s="13">
        <v>14.5</v>
      </c>
      <c r="V1732" t="s">
        <v>99</v>
      </c>
      <c r="X1732" s="13">
        <v>135.4</v>
      </c>
    </row>
    <row r="1733" spans="1:24" x14ac:dyDescent="0.25">
      <c r="A1733" t="s">
        <v>1592</v>
      </c>
      <c r="B1733" t="s">
        <v>64</v>
      </c>
      <c r="C1733" t="s">
        <v>1569</v>
      </c>
      <c r="D1733" t="s">
        <v>1570</v>
      </c>
      <c r="E1733" t="s">
        <v>64</v>
      </c>
      <c r="F1733" t="s">
        <v>94</v>
      </c>
      <c r="G1733" t="s">
        <v>277</v>
      </c>
      <c r="H1733" s="12">
        <v>6.1790000000000003</v>
      </c>
      <c r="I1733" s="12">
        <v>-75.394000000000005</v>
      </c>
      <c r="J1733" t="s">
        <v>129</v>
      </c>
      <c r="K1733" t="s">
        <v>1269</v>
      </c>
      <c r="L1733" t="s">
        <v>1270</v>
      </c>
      <c r="P1733" s="13">
        <v>147.6</v>
      </c>
      <c r="Q1733" s="13">
        <v>36.6</v>
      </c>
      <c r="R1733">
        <v>18</v>
      </c>
      <c r="S1733">
        <v>28</v>
      </c>
      <c r="T1733" s="13">
        <v>36.200000000000003</v>
      </c>
      <c r="U1733" s="13">
        <v>27.3</v>
      </c>
      <c r="V1733" t="s">
        <v>268</v>
      </c>
      <c r="W1733" t="s">
        <v>1271</v>
      </c>
      <c r="X1733" s="13"/>
    </row>
    <row r="1734" spans="1:24" x14ac:dyDescent="0.25">
      <c r="A1734" t="s">
        <v>1593</v>
      </c>
      <c r="B1734" t="s">
        <v>64</v>
      </c>
      <c r="C1734" t="s">
        <v>1569</v>
      </c>
      <c r="D1734" t="s">
        <v>1570</v>
      </c>
      <c r="E1734" t="s">
        <v>64</v>
      </c>
      <c r="F1734" t="s">
        <v>94</v>
      </c>
      <c r="G1734" t="s">
        <v>277</v>
      </c>
      <c r="H1734" s="12">
        <v>6.1790000000000003</v>
      </c>
      <c r="I1734" s="12">
        <v>-75.394000000000005</v>
      </c>
      <c r="J1734" t="s">
        <v>96</v>
      </c>
      <c r="K1734" t="s">
        <v>97</v>
      </c>
      <c r="L1734" t="s">
        <v>1273</v>
      </c>
      <c r="P1734" s="13">
        <v>163.69999999999999</v>
      </c>
      <c r="Q1734" s="13">
        <v>51.2</v>
      </c>
      <c r="R1734">
        <v>26</v>
      </c>
      <c r="S1734">
        <v>22</v>
      </c>
      <c r="T1734" s="13">
        <v>39.700000000000003</v>
      </c>
      <c r="U1734" s="13">
        <v>9.1</v>
      </c>
      <c r="V1734" t="s">
        <v>99</v>
      </c>
      <c r="X1734" s="13">
        <v>163.69999999999999</v>
      </c>
    </row>
    <row r="1735" spans="1:24" x14ac:dyDescent="0.25">
      <c r="A1735" t="s">
        <v>1593</v>
      </c>
      <c r="B1735" t="s">
        <v>64</v>
      </c>
      <c r="C1735" t="s">
        <v>1569</v>
      </c>
      <c r="D1735" t="s">
        <v>1570</v>
      </c>
      <c r="E1735" t="s">
        <v>64</v>
      </c>
      <c r="F1735" t="s">
        <v>94</v>
      </c>
      <c r="G1735" t="s">
        <v>277</v>
      </c>
      <c r="H1735" s="12">
        <v>6.1790000000000003</v>
      </c>
      <c r="I1735" s="12">
        <v>-75.394000000000005</v>
      </c>
      <c r="J1735" t="s">
        <v>96</v>
      </c>
      <c r="K1735" t="s">
        <v>1269</v>
      </c>
      <c r="L1735" t="s">
        <v>1270</v>
      </c>
      <c r="P1735" s="13">
        <v>184.6</v>
      </c>
      <c r="Q1735" s="13">
        <v>41.5</v>
      </c>
      <c r="R1735">
        <v>30</v>
      </c>
      <c r="S1735">
        <v>34</v>
      </c>
      <c r="T1735" s="13">
        <v>44.8</v>
      </c>
      <c r="U1735" s="13">
        <v>29.1</v>
      </c>
      <c r="V1735" t="s">
        <v>268</v>
      </c>
      <c r="W1735" t="s">
        <v>1271</v>
      </c>
      <c r="X1735" s="13"/>
    </row>
    <row r="1736" spans="1:24" x14ac:dyDescent="0.25">
      <c r="A1736" t="s">
        <v>1594</v>
      </c>
      <c r="B1736" t="s">
        <v>64</v>
      </c>
      <c r="C1736" t="s">
        <v>1569</v>
      </c>
      <c r="D1736" t="s">
        <v>1570</v>
      </c>
      <c r="E1736" t="s">
        <v>64</v>
      </c>
      <c r="F1736" t="s">
        <v>94</v>
      </c>
      <c r="G1736" t="s">
        <v>277</v>
      </c>
      <c r="H1736" s="12">
        <v>6.1790000000000003</v>
      </c>
      <c r="I1736" s="12">
        <v>-75.394000000000005</v>
      </c>
      <c r="J1736" t="s">
        <v>96</v>
      </c>
      <c r="K1736" t="s">
        <v>97</v>
      </c>
      <c r="L1736" t="s">
        <v>1273</v>
      </c>
      <c r="P1736" s="13">
        <v>251.9</v>
      </c>
      <c r="Q1736" s="13">
        <v>56.1</v>
      </c>
      <c r="R1736">
        <v>42</v>
      </c>
      <c r="S1736">
        <v>46</v>
      </c>
      <c r="T1736" s="13">
        <v>62.1</v>
      </c>
      <c r="U1736" s="13">
        <v>36.4</v>
      </c>
      <c r="V1736" t="s">
        <v>99</v>
      </c>
      <c r="X1736" s="13">
        <v>251.9</v>
      </c>
    </row>
    <row r="1737" spans="1:24" x14ac:dyDescent="0.25">
      <c r="A1737" t="s">
        <v>1594</v>
      </c>
      <c r="B1737" t="s">
        <v>64</v>
      </c>
      <c r="C1737" t="s">
        <v>1569</v>
      </c>
      <c r="D1737" t="s">
        <v>1570</v>
      </c>
      <c r="E1737" t="s">
        <v>64</v>
      </c>
      <c r="F1737" t="s">
        <v>94</v>
      </c>
      <c r="G1737" t="s">
        <v>277</v>
      </c>
      <c r="H1737" s="12">
        <v>6.1790000000000003</v>
      </c>
      <c r="I1737" s="12">
        <v>-75.394000000000005</v>
      </c>
      <c r="J1737" t="s">
        <v>96</v>
      </c>
      <c r="K1737" t="s">
        <v>1269</v>
      </c>
      <c r="L1737" t="s">
        <v>1270</v>
      </c>
      <c r="P1737" s="13">
        <v>278</v>
      </c>
      <c r="Q1737" s="13">
        <v>61</v>
      </c>
      <c r="R1737">
        <v>50</v>
      </c>
      <c r="S1737">
        <v>62</v>
      </c>
      <c r="T1737" s="13">
        <v>53.4</v>
      </c>
      <c r="U1737" s="13">
        <v>43.6</v>
      </c>
      <c r="V1737" t="s">
        <v>268</v>
      </c>
      <c r="W1737" t="s">
        <v>1271</v>
      </c>
      <c r="X1737" s="13"/>
    </row>
    <row r="1738" spans="1:24" x14ac:dyDescent="0.25">
      <c r="A1738" t="s">
        <v>1595</v>
      </c>
      <c r="B1738" t="s">
        <v>64</v>
      </c>
      <c r="C1738" t="s">
        <v>1569</v>
      </c>
      <c r="D1738" t="s">
        <v>1570</v>
      </c>
      <c r="E1738" t="s">
        <v>64</v>
      </c>
      <c r="F1738" t="s">
        <v>94</v>
      </c>
      <c r="G1738" t="s">
        <v>277</v>
      </c>
      <c r="H1738" s="12">
        <v>6.1790000000000003</v>
      </c>
      <c r="I1738" s="12">
        <v>-75.394000000000005</v>
      </c>
      <c r="J1738" t="s">
        <v>96</v>
      </c>
      <c r="K1738" t="s">
        <v>97</v>
      </c>
      <c r="L1738" t="s">
        <v>1273</v>
      </c>
      <c r="P1738" s="13">
        <v>257.89999999999998</v>
      </c>
      <c r="Q1738" s="13">
        <v>61</v>
      </c>
      <c r="R1738">
        <v>36</v>
      </c>
      <c r="S1738">
        <v>36</v>
      </c>
      <c r="T1738" s="13">
        <v>62.1</v>
      </c>
      <c r="U1738" s="13">
        <v>85.5</v>
      </c>
      <c r="V1738" t="s">
        <v>99</v>
      </c>
      <c r="X1738" s="13">
        <v>257.89999999999998</v>
      </c>
    </row>
    <row r="1739" spans="1:24" x14ac:dyDescent="0.25">
      <c r="A1739" t="s">
        <v>1595</v>
      </c>
      <c r="B1739" t="s">
        <v>64</v>
      </c>
      <c r="C1739" t="s">
        <v>1569</v>
      </c>
      <c r="D1739" t="s">
        <v>1570</v>
      </c>
      <c r="E1739" t="s">
        <v>64</v>
      </c>
      <c r="F1739" t="s">
        <v>94</v>
      </c>
      <c r="G1739" t="s">
        <v>277</v>
      </c>
      <c r="H1739" s="12">
        <v>6.1790000000000003</v>
      </c>
      <c r="I1739" s="12">
        <v>-75.394000000000005</v>
      </c>
      <c r="J1739" t="s">
        <v>96</v>
      </c>
      <c r="K1739" t="s">
        <v>1269</v>
      </c>
      <c r="L1739" t="s">
        <v>1270</v>
      </c>
      <c r="P1739" s="13">
        <v>250.8</v>
      </c>
      <c r="Q1739" s="13">
        <v>61</v>
      </c>
      <c r="R1739">
        <v>36</v>
      </c>
      <c r="S1739">
        <v>58</v>
      </c>
      <c r="T1739" s="13">
        <v>34.5</v>
      </c>
      <c r="U1739" s="13">
        <v>83.6</v>
      </c>
      <c r="V1739" t="s">
        <v>268</v>
      </c>
      <c r="W1739" t="s">
        <v>1271</v>
      </c>
      <c r="X1739" s="13"/>
    </row>
    <row r="1740" spans="1:24" x14ac:dyDescent="0.25">
      <c r="A1740" t="s">
        <v>1596</v>
      </c>
      <c r="B1740" t="s">
        <v>64</v>
      </c>
      <c r="C1740" t="s">
        <v>1569</v>
      </c>
      <c r="D1740" t="s">
        <v>1570</v>
      </c>
      <c r="E1740" t="s">
        <v>64</v>
      </c>
      <c r="F1740" t="s">
        <v>94</v>
      </c>
      <c r="G1740" t="s">
        <v>277</v>
      </c>
      <c r="H1740" s="12">
        <v>6.1790000000000003</v>
      </c>
      <c r="I1740" s="12">
        <v>-75.394000000000005</v>
      </c>
      <c r="J1740" t="s">
        <v>96</v>
      </c>
      <c r="K1740" t="s">
        <v>97</v>
      </c>
      <c r="L1740" t="s">
        <v>1273</v>
      </c>
      <c r="P1740" s="13">
        <v>264.10000000000002</v>
      </c>
      <c r="Q1740" s="13">
        <v>58.5</v>
      </c>
      <c r="R1740">
        <v>40</v>
      </c>
      <c r="S1740">
        <v>48</v>
      </c>
      <c r="T1740" s="13">
        <v>56.9</v>
      </c>
      <c r="U1740" s="13">
        <v>76.400000000000006</v>
      </c>
      <c r="V1740" t="s">
        <v>99</v>
      </c>
      <c r="X1740" s="13">
        <v>264.10000000000002</v>
      </c>
    </row>
    <row r="1741" spans="1:24" x14ac:dyDescent="0.25">
      <c r="A1741" t="s">
        <v>1596</v>
      </c>
      <c r="B1741" t="s">
        <v>64</v>
      </c>
      <c r="C1741" t="s">
        <v>1569</v>
      </c>
      <c r="D1741" t="s">
        <v>1570</v>
      </c>
      <c r="E1741" t="s">
        <v>64</v>
      </c>
      <c r="F1741" t="s">
        <v>94</v>
      </c>
      <c r="G1741" t="s">
        <v>277</v>
      </c>
      <c r="H1741" s="12">
        <v>6.1790000000000003</v>
      </c>
      <c r="I1741" s="12">
        <v>-75.394000000000005</v>
      </c>
      <c r="J1741" t="s">
        <v>96</v>
      </c>
      <c r="K1741" t="s">
        <v>1269</v>
      </c>
      <c r="L1741" t="s">
        <v>1270</v>
      </c>
      <c r="P1741" s="13">
        <v>305.7</v>
      </c>
      <c r="Q1741" s="13">
        <v>53.7</v>
      </c>
      <c r="R1741">
        <v>62</v>
      </c>
      <c r="S1741">
        <v>64</v>
      </c>
      <c r="T1741" s="13">
        <v>58.6</v>
      </c>
      <c r="U1741" s="13">
        <v>80</v>
      </c>
      <c r="V1741" t="s">
        <v>268</v>
      </c>
      <c r="W1741" t="s">
        <v>1271</v>
      </c>
      <c r="X1741" s="13"/>
    </row>
    <row r="1742" spans="1:24" x14ac:dyDescent="0.25">
      <c r="A1742" t="s">
        <v>1597</v>
      </c>
      <c r="B1742" t="s">
        <v>64</v>
      </c>
      <c r="C1742" t="s">
        <v>1569</v>
      </c>
      <c r="D1742" t="s">
        <v>1570</v>
      </c>
      <c r="E1742" t="s">
        <v>64</v>
      </c>
      <c r="F1742" t="s">
        <v>94</v>
      </c>
      <c r="G1742" t="s">
        <v>277</v>
      </c>
      <c r="H1742" s="12">
        <v>6.1790000000000003</v>
      </c>
      <c r="I1742" s="12">
        <v>-75.394000000000005</v>
      </c>
      <c r="J1742" t="s">
        <v>96</v>
      </c>
      <c r="K1742" t="s">
        <v>97</v>
      </c>
      <c r="L1742" t="s">
        <v>1273</v>
      </c>
      <c r="P1742" s="13">
        <v>149.19999999999999</v>
      </c>
      <c r="Q1742" s="13">
        <v>36.6</v>
      </c>
      <c r="R1742">
        <v>30</v>
      </c>
      <c r="S1742">
        <v>24</v>
      </c>
      <c r="T1742" s="13">
        <v>24.1</v>
      </c>
      <c r="U1742" s="13">
        <v>43.6</v>
      </c>
      <c r="V1742" t="s">
        <v>99</v>
      </c>
      <c r="X1742" s="13">
        <v>149.19999999999999</v>
      </c>
    </row>
    <row r="1743" spans="1:24" x14ac:dyDescent="0.25">
      <c r="A1743" t="s">
        <v>1597</v>
      </c>
      <c r="B1743" t="s">
        <v>64</v>
      </c>
      <c r="C1743" t="s">
        <v>1569</v>
      </c>
      <c r="D1743" t="s">
        <v>1570</v>
      </c>
      <c r="E1743" t="s">
        <v>64</v>
      </c>
      <c r="F1743" t="s">
        <v>94</v>
      </c>
      <c r="G1743" t="s">
        <v>277</v>
      </c>
      <c r="H1743" s="12">
        <v>6.1790000000000003</v>
      </c>
      <c r="I1743" s="12">
        <v>-75.394000000000005</v>
      </c>
      <c r="J1743" t="s">
        <v>96</v>
      </c>
      <c r="K1743" t="s">
        <v>1269</v>
      </c>
      <c r="L1743" t="s">
        <v>1270</v>
      </c>
      <c r="P1743" s="13">
        <v>161.5</v>
      </c>
      <c r="Q1743" s="13">
        <v>36.6</v>
      </c>
      <c r="R1743">
        <v>26</v>
      </c>
      <c r="S1743">
        <v>24</v>
      </c>
      <c r="T1743" s="13">
        <v>43.1</v>
      </c>
      <c r="U1743" s="13">
        <v>30.9</v>
      </c>
      <c r="V1743" t="s">
        <v>268</v>
      </c>
      <c r="W1743" t="s">
        <v>1271</v>
      </c>
      <c r="X1743" s="13"/>
    </row>
    <row r="1744" spans="1:24" x14ac:dyDescent="0.25">
      <c r="A1744" t="s">
        <v>1598</v>
      </c>
      <c r="B1744" t="s">
        <v>64</v>
      </c>
      <c r="C1744" t="s">
        <v>1569</v>
      </c>
      <c r="D1744" t="s">
        <v>1570</v>
      </c>
      <c r="E1744" t="s">
        <v>64</v>
      </c>
      <c r="F1744" t="s">
        <v>94</v>
      </c>
      <c r="G1744" t="s">
        <v>277</v>
      </c>
      <c r="H1744" s="12">
        <v>6.1790000000000003</v>
      </c>
      <c r="I1744" s="12">
        <v>-75.394000000000005</v>
      </c>
      <c r="J1744" t="s">
        <v>96</v>
      </c>
      <c r="K1744" t="s">
        <v>97</v>
      </c>
      <c r="L1744" t="s">
        <v>1273</v>
      </c>
      <c r="P1744" s="13">
        <v>144.5</v>
      </c>
      <c r="Q1744" s="13">
        <v>31.7</v>
      </c>
      <c r="R1744">
        <v>26</v>
      </c>
      <c r="S1744">
        <v>32</v>
      </c>
      <c r="T1744" s="13">
        <v>25.9</v>
      </c>
      <c r="U1744" s="13">
        <v>29.1</v>
      </c>
      <c r="V1744" t="s">
        <v>99</v>
      </c>
      <c r="X1744" s="13">
        <v>144.5</v>
      </c>
    </row>
    <row r="1745" spans="1:24" x14ac:dyDescent="0.25">
      <c r="A1745" t="s">
        <v>1598</v>
      </c>
      <c r="B1745" t="s">
        <v>64</v>
      </c>
      <c r="C1745" t="s">
        <v>1569</v>
      </c>
      <c r="D1745" t="s">
        <v>1570</v>
      </c>
      <c r="E1745" t="s">
        <v>64</v>
      </c>
      <c r="F1745" t="s">
        <v>94</v>
      </c>
      <c r="G1745" t="s">
        <v>277</v>
      </c>
      <c r="H1745" s="12">
        <v>6.1790000000000003</v>
      </c>
      <c r="I1745" s="12">
        <v>-75.394000000000005</v>
      </c>
      <c r="J1745" t="s">
        <v>96</v>
      </c>
      <c r="K1745" t="s">
        <v>1269</v>
      </c>
      <c r="L1745" t="s">
        <v>1270</v>
      </c>
      <c r="P1745" s="13">
        <v>231.9</v>
      </c>
      <c r="Q1745" s="13">
        <v>61</v>
      </c>
      <c r="R1745">
        <v>44</v>
      </c>
      <c r="S1745">
        <v>42</v>
      </c>
      <c r="T1745" s="13">
        <v>43.1</v>
      </c>
      <c r="U1745" s="13">
        <v>32.700000000000003</v>
      </c>
      <c r="V1745" t="s">
        <v>268</v>
      </c>
      <c r="W1745" t="s">
        <v>1271</v>
      </c>
      <c r="X1745" s="13"/>
    </row>
    <row r="1746" spans="1:24" x14ac:dyDescent="0.25">
      <c r="A1746" t="s">
        <v>1599</v>
      </c>
      <c r="B1746" t="s">
        <v>64</v>
      </c>
      <c r="C1746" t="s">
        <v>1569</v>
      </c>
      <c r="D1746" t="s">
        <v>1570</v>
      </c>
      <c r="E1746" t="s">
        <v>64</v>
      </c>
      <c r="F1746" t="s">
        <v>94</v>
      </c>
      <c r="G1746" t="s">
        <v>277</v>
      </c>
      <c r="H1746" s="12">
        <v>6.1790000000000003</v>
      </c>
      <c r="I1746" s="12">
        <v>-75.394000000000005</v>
      </c>
      <c r="J1746" t="s">
        <v>96</v>
      </c>
      <c r="K1746" t="s">
        <v>97</v>
      </c>
      <c r="L1746" t="s">
        <v>1273</v>
      </c>
      <c r="P1746" s="13">
        <v>177.4</v>
      </c>
      <c r="Q1746" s="13">
        <v>46.3</v>
      </c>
      <c r="R1746">
        <v>24</v>
      </c>
      <c r="S1746">
        <v>38</v>
      </c>
      <c r="T1746" s="13">
        <v>34.5</v>
      </c>
      <c r="U1746" s="13">
        <v>32.700000000000003</v>
      </c>
      <c r="V1746" t="s">
        <v>99</v>
      </c>
      <c r="X1746" s="13">
        <v>177.4</v>
      </c>
    </row>
    <row r="1747" spans="1:24" x14ac:dyDescent="0.25">
      <c r="A1747" t="s">
        <v>1599</v>
      </c>
      <c r="B1747" t="s">
        <v>64</v>
      </c>
      <c r="C1747" t="s">
        <v>1569</v>
      </c>
      <c r="D1747" t="s">
        <v>1570</v>
      </c>
      <c r="E1747" t="s">
        <v>64</v>
      </c>
      <c r="F1747" t="s">
        <v>94</v>
      </c>
      <c r="G1747" t="s">
        <v>277</v>
      </c>
      <c r="H1747" s="12">
        <v>6.1790000000000003</v>
      </c>
      <c r="I1747" s="12">
        <v>-75.394000000000005</v>
      </c>
      <c r="J1747" t="s">
        <v>96</v>
      </c>
      <c r="K1747" t="s">
        <v>1269</v>
      </c>
      <c r="L1747" t="s">
        <v>1270</v>
      </c>
      <c r="P1747" s="13">
        <v>248.3</v>
      </c>
      <c r="Q1747" s="13">
        <v>48.8</v>
      </c>
      <c r="R1747">
        <v>46</v>
      </c>
      <c r="S1747">
        <v>58</v>
      </c>
      <c r="T1747" s="13">
        <v>44.8</v>
      </c>
      <c r="U1747" s="13">
        <v>52.7</v>
      </c>
      <c r="V1747" t="s">
        <v>268</v>
      </c>
      <c r="W1747" t="s">
        <v>1271</v>
      </c>
      <c r="X1747" s="13"/>
    </row>
    <row r="1748" spans="1:24" x14ac:dyDescent="0.25">
      <c r="A1748" t="s">
        <v>1600</v>
      </c>
      <c r="B1748" t="s">
        <v>64</v>
      </c>
      <c r="C1748" t="s">
        <v>1569</v>
      </c>
      <c r="D1748" t="s">
        <v>1570</v>
      </c>
      <c r="E1748" t="s">
        <v>64</v>
      </c>
      <c r="F1748" t="s">
        <v>94</v>
      </c>
      <c r="G1748" t="s">
        <v>277</v>
      </c>
      <c r="H1748" s="12">
        <v>6.1790000000000003</v>
      </c>
      <c r="I1748" s="12">
        <v>-75.394000000000005</v>
      </c>
      <c r="J1748" t="s">
        <v>96</v>
      </c>
      <c r="K1748" t="s">
        <v>97</v>
      </c>
      <c r="L1748" t="s">
        <v>1273</v>
      </c>
      <c r="P1748" s="13">
        <v>251.5</v>
      </c>
      <c r="Q1748" s="13">
        <v>58.5</v>
      </c>
      <c r="R1748">
        <v>34</v>
      </c>
      <c r="S1748">
        <v>56</v>
      </c>
      <c r="T1748" s="13">
        <v>50</v>
      </c>
      <c r="U1748" s="13">
        <v>58.2</v>
      </c>
      <c r="V1748" t="s">
        <v>99</v>
      </c>
      <c r="X1748" s="13">
        <v>251.5</v>
      </c>
    </row>
    <row r="1749" spans="1:24" x14ac:dyDescent="0.25">
      <c r="A1749" t="s">
        <v>1600</v>
      </c>
      <c r="B1749" t="s">
        <v>64</v>
      </c>
      <c r="C1749" t="s">
        <v>1569</v>
      </c>
      <c r="D1749" t="s">
        <v>1570</v>
      </c>
      <c r="E1749" t="s">
        <v>64</v>
      </c>
      <c r="F1749" t="s">
        <v>94</v>
      </c>
      <c r="G1749" t="s">
        <v>277</v>
      </c>
      <c r="H1749" s="12">
        <v>6.1790000000000003</v>
      </c>
      <c r="I1749" s="12">
        <v>-75.394000000000005</v>
      </c>
      <c r="J1749" t="s">
        <v>96</v>
      </c>
      <c r="K1749" t="s">
        <v>1269</v>
      </c>
      <c r="L1749" t="s">
        <v>1270</v>
      </c>
      <c r="P1749" s="13">
        <v>272.10000000000002</v>
      </c>
      <c r="Q1749" s="13">
        <v>43.9</v>
      </c>
      <c r="R1749">
        <v>54</v>
      </c>
      <c r="S1749">
        <v>72</v>
      </c>
      <c r="T1749" s="13">
        <v>46.6</v>
      </c>
      <c r="U1749" s="13">
        <v>58.2</v>
      </c>
      <c r="V1749" t="s">
        <v>268</v>
      </c>
      <c r="W1749" t="s">
        <v>1271</v>
      </c>
      <c r="X1749" s="13"/>
    </row>
    <row r="1750" spans="1:24" x14ac:dyDescent="0.25">
      <c r="A1750" t="s">
        <v>1601</v>
      </c>
      <c r="B1750" t="s">
        <v>64</v>
      </c>
      <c r="C1750" t="s">
        <v>1569</v>
      </c>
      <c r="D1750" t="s">
        <v>1570</v>
      </c>
      <c r="E1750" t="s">
        <v>64</v>
      </c>
      <c r="F1750" t="s">
        <v>94</v>
      </c>
      <c r="G1750" t="s">
        <v>277</v>
      </c>
      <c r="H1750" s="12">
        <v>6.1790000000000003</v>
      </c>
      <c r="I1750" s="12">
        <v>-75.394000000000005</v>
      </c>
      <c r="J1750" t="s">
        <v>96</v>
      </c>
      <c r="K1750" t="s">
        <v>97</v>
      </c>
      <c r="L1750" t="s">
        <v>1273</v>
      </c>
      <c r="P1750" s="13">
        <v>296.5</v>
      </c>
      <c r="Q1750" s="13">
        <v>75.599999999999994</v>
      </c>
      <c r="R1750">
        <v>46</v>
      </c>
      <c r="S1750">
        <v>56</v>
      </c>
      <c r="T1750" s="13">
        <v>56.9</v>
      </c>
      <c r="U1750" s="13">
        <v>67.3</v>
      </c>
      <c r="V1750" t="s">
        <v>99</v>
      </c>
      <c r="X1750" s="13">
        <v>296.5</v>
      </c>
    </row>
    <row r="1751" spans="1:24" x14ac:dyDescent="0.25">
      <c r="A1751" t="s">
        <v>1601</v>
      </c>
      <c r="B1751" t="s">
        <v>64</v>
      </c>
      <c r="C1751" t="s">
        <v>1569</v>
      </c>
      <c r="D1751" t="s">
        <v>1570</v>
      </c>
      <c r="E1751" t="s">
        <v>64</v>
      </c>
      <c r="F1751" t="s">
        <v>94</v>
      </c>
      <c r="G1751" t="s">
        <v>277</v>
      </c>
      <c r="H1751" s="12">
        <v>6.1790000000000003</v>
      </c>
      <c r="I1751" s="12">
        <v>-75.394000000000005</v>
      </c>
      <c r="J1751" t="s">
        <v>96</v>
      </c>
      <c r="K1751" t="s">
        <v>1269</v>
      </c>
      <c r="L1751" t="s">
        <v>1270</v>
      </c>
      <c r="P1751" s="13">
        <v>289.5</v>
      </c>
      <c r="Q1751" s="13">
        <v>56.1</v>
      </c>
      <c r="R1751">
        <v>54</v>
      </c>
      <c r="S1751">
        <v>72</v>
      </c>
      <c r="T1751" s="13">
        <v>50</v>
      </c>
      <c r="U1751" s="13">
        <v>56.4</v>
      </c>
      <c r="V1751" t="s">
        <v>268</v>
      </c>
      <c r="W1751" t="s">
        <v>1271</v>
      </c>
      <c r="X1751" s="13"/>
    </row>
    <row r="1752" spans="1:24" x14ac:dyDescent="0.25">
      <c r="A1752" t="s">
        <v>1602</v>
      </c>
      <c r="B1752" t="s">
        <v>64</v>
      </c>
      <c r="C1752" t="s">
        <v>1569</v>
      </c>
      <c r="D1752" t="s">
        <v>1570</v>
      </c>
      <c r="E1752" t="s">
        <v>64</v>
      </c>
      <c r="F1752" t="s">
        <v>94</v>
      </c>
      <c r="G1752" t="s">
        <v>277</v>
      </c>
      <c r="H1752" s="12">
        <v>6.1790000000000003</v>
      </c>
      <c r="I1752" s="12">
        <v>-75.394000000000005</v>
      </c>
      <c r="J1752" t="s">
        <v>96</v>
      </c>
      <c r="K1752" t="s">
        <v>97</v>
      </c>
      <c r="L1752" t="s">
        <v>1273</v>
      </c>
      <c r="P1752" s="13">
        <v>266.10000000000002</v>
      </c>
      <c r="Q1752" s="13">
        <v>63.4</v>
      </c>
      <c r="R1752">
        <v>38</v>
      </c>
      <c r="S1752">
        <v>58</v>
      </c>
      <c r="T1752" s="13">
        <v>50</v>
      </c>
      <c r="U1752" s="13">
        <v>63.6</v>
      </c>
      <c r="V1752" t="s">
        <v>99</v>
      </c>
      <c r="X1752" s="13">
        <v>266.10000000000002</v>
      </c>
    </row>
    <row r="1753" spans="1:24" x14ac:dyDescent="0.25">
      <c r="A1753" t="s">
        <v>1602</v>
      </c>
      <c r="B1753" t="s">
        <v>64</v>
      </c>
      <c r="C1753" t="s">
        <v>1569</v>
      </c>
      <c r="D1753" t="s">
        <v>1570</v>
      </c>
      <c r="E1753" t="s">
        <v>64</v>
      </c>
      <c r="F1753" t="s">
        <v>94</v>
      </c>
      <c r="G1753" t="s">
        <v>277</v>
      </c>
      <c r="H1753" s="12">
        <v>6.1790000000000003</v>
      </c>
      <c r="I1753" s="12">
        <v>-75.394000000000005</v>
      </c>
      <c r="J1753" t="s">
        <v>96</v>
      </c>
      <c r="K1753" t="s">
        <v>1269</v>
      </c>
      <c r="L1753" t="s">
        <v>1270</v>
      </c>
      <c r="P1753" s="13">
        <v>307</v>
      </c>
      <c r="Q1753" s="13">
        <v>65.900000000000006</v>
      </c>
      <c r="R1753">
        <v>62</v>
      </c>
      <c r="S1753">
        <v>58</v>
      </c>
      <c r="T1753" s="13">
        <v>62.1</v>
      </c>
      <c r="U1753" s="13">
        <v>54.5</v>
      </c>
      <c r="V1753" t="s">
        <v>268</v>
      </c>
      <c r="W1753" t="s">
        <v>1271</v>
      </c>
      <c r="X1753" s="13"/>
    </row>
    <row r="1754" spans="1:24" x14ac:dyDescent="0.25">
      <c r="A1754" t="s">
        <v>1603</v>
      </c>
      <c r="B1754" t="s">
        <v>64</v>
      </c>
      <c r="C1754" t="s">
        <v>1569</v>
      </c>
      <c r="D1754" t="s">
        <v>1570</v>
      </c>
      <c r="E1754" t="s">
        <v>64</v>
      </c>
      <c r="F1754" t="s">
        <v>94</v>
      </c>
      <c r="G1754" t="s">
        <v>277</v>
      </c>
      <c r="H1754" s="12">
        <v>6.1790000000000003</v>
      </c>
      <c r="I1754" s="12">
        <v>-75.394000000000005</v>
      </c>
      <c r="J1754" t="s">
        <v>129</v>
      </c>
      <c r="K1754" t="s">
        <v>97</v>
      </c>
      <c r="L1754" t="s">
        <v>1273</v>
      </c>
      <c r="P1754" s="13">
        <v>186.2</v>
      </c>
      <c r="Q1754" s="13">
        <v>51.2</v>
      </c>
      <c r="R1754">
        <v>22</v>
      </c>
      <c r="S1754">
        <v>38</v>
      </c>
      <c r="T1754" s="13">
        <v>36.200000000000003</v>
      </c>
      <c r="U1754" s="13">
        <v>41.8</v>
      </c>
      <c r="V1754" t="s">
        <v>99</v>
      </c>
      <c r="X1754" s="13">
        <v>186.2</v>
      </c>
    </row>
    <row r="1755" spans="1:24" x14ac:dyDescent="0.25">
      <c r="A1755" t="s">
        <v>1603</v>
      </c>
      <c r="B1755" t="s">
        <v>64</v>
      </c>
      <c r="C1755" t="s">
        <v>1569</v>
      </c>
      <c r="D1755" t="s">
        <v>1570</v>
      </c>
      <c r="E1755" t="s">
        <v>64</v>
      </c>
      <c r="F1755" t="s">
        <v>94</v>
      </c>
      <c r="G1755" t="s">
        <v>277</v>
      </c>
      <c r="H1755" s="12">
        <v>6.1790000000000003</v>
      </c>
      <c r="I1755" s="12">
        <v>-75.394000000000005</v>
      </c>
      <c r="J1755" t="s">
        <v>129</v>
      </c>
      <c r="K1755" t="s">
        <v>1269</v>
      </c>
      <c r="L1755" t="s">
        <v>1270</v>
      </c>
      <c r="P1755" s="13">
        <v>213.2</v>
      </c>
      <c r="Q1755" s="13">
        <v>39</v>
      </c>
      <c r="R1755">
        <v>42</v>
      </c>
      <c r="S1755">
        <v>40</v>
      </c>
      <c r="T1755" s="13">
        <v>53.4</v>
      </c>
      <c r="U1755" s="13">
        <v>30.9</v>
      </c>
      <c r="V1755" t="s">
        <v>268</v>
      </c>
      <c r="W1755" t="s">
        <v>1271</v>
      </c>
      <c r="X1755" s="13"/>
    </row>
    <row r="1756" spans="1:24" x14ac:dyDescent="0.25">
      <c r="A1756" t="s">
        <v>1604</v>
      </c>
      <c r="B1756" t="s">
        <v>64</v>
      </c>
      <c r="C1756" t="s">
        <v>1569</v>
      </c>
      <c r="D1756" t="s">
        <v>1570</v>
      </c>
      <c r="E1756" t="s">
        <v>64</v>
      </c>
      <c r="F1756" t="s">
        <v>94</v>
      </c>
      <c r="G1756" t="s">
        <v>277</v>
      </c>
      <c r="H1756" s="12">
        <v>6.1790000000000003</v>
      </c>
      <c r="I1756" s="12">
        <v>-75.394000000000005</v>
      </c>
      <c r="J1756" t="s">
        <v>96</v>
      </c>
      <c r="K1756" t="s">
        <v>97</v>
      </c>
      <c r="L1756" t="s">
        <v>1273</v>
      </c>
      <c r="P1756" s="13">
        <v>202.6</v>
      </c>
      <c r="Q1756" s="13">
        <v>53.7</v>
      </c>
      <c r="R1756">
        <v>28</v>
      </c>
      <c r="S1756">
        <v>26</v>
      </c>
      <c r="T1756" s="13">
        <v>55.2</v>
      </c>
      <c r="U1756" s="13">
        <v>38.200000000000003</v>
      </c>
      <c r="V1756" t="s">
        <v>99</v>
      </c>
      <c r="X1756" s="13">
        <v>202.6</v>
      </c>
    </row>
    <row r="1757" spans="1:24" x14ac:dyDescent="0.25">
      <c r="A1757" t="s">
        <v>1604</v>
      </c>
      <c r="B1757" t="s">
        <v>64</v>
      </c>
      <c r="C1757" t="s">
        <v>1569</v>
      </c>
      <c r="D1757" t="s">
        <v>1570</v>
      </c>
      <c r="E1757" t="s">
        <v>64</v>
      </c>
      <c r="F1757" t="s">
        <v>94</v>
      </c>
      <c r="G1757" t="s">
        <v>277</v>
      </c>
      <c r="H1757" s="12">
        <v>6.1790000000000003</v>
      </c>
      <c r="I1757" s="12">
        <v>-75.394000000000005</v>
      </c>
      <c r="J1757" t="s">
        <v>96</v>
      </c>
      <c r="K1757" t="s">
        <v>1269</v>
      </c>
      <c r="L1757" t="s">
        <v>1270</v>
      </c>
      <c r="P1757" s="13">
        <v>277.8</v>
      </c>
      <c r="Q1757" s="13">
        <v>61</v>
      </c>
      <c r="R1757">
        <v>46</v>
      </c>
      <c r="S1757">
        <v>70</v>
      </c>
      <c r="T1757" s="13">
        <v>53.4</v>
      </c>
      <c r="U1757" s="13">
        <v>30.9</v>
      </c>
      <c r="V1757" t="s">
        <v>268</v>
      </c>
      <c r="W1757" t="s">
        <v>1271</v>
      </c>
      <c r="X1757" s="13"/>
    </row>
    <row r="1758" spans="1:24" x14ac:dyDescent="0.25">
      <c r="A1758" t="s">
        <v>1605</v>
      </c>
      <c r="B1758" t="s">
        <v>64</v>
      </c>
      <c r="C1758" t="s">
        <v>1569</v>
      </c>
      <c r="D1758" t="s">
        <v>1570</v>
      </c>
      <c r="E1758" t="s">
        <v>64</v>
      </c>
      <c r="F1758" t="s">
        <v>94</v>
      </c>
      <c r="G1758" t="s">
        <v>277</v>
      </c>
      <c r="H1758" s="12">
        <v>6.1790000000000003</v>
      </c>
      <c r="I1758" s="12">
        <v>-75.394000000000005</v>
      </c>
      <c r="J1758" t="s">
        <v>96</v>
      </c>
      <c r="K1758" t="s">
        <v>97</v>
      </c>
      <c r="L1758" t="s">
        <v>1273</v>
      </c>
      <c r="P1758" s="13">
        <v>212.1</v>
      </c>
      <c r="Q1758" s="13">
        <v>46.3</v>
      </c>
      <c r="R1758">
        <v>32</v>
      </c>
      <c r="S1758">
        <v>46</v>
      </c>
      <c r="T1758" s="13">
        <v>43.1</v>
      </c>
      <c r="U1758" s="13">
        <v>49.1</v>
      </c>
      <c r="V1758" t="s">
        <v>99</v>
      </c>
      <c r="X1758" s="13">
        <v>212.1</v>
      </c>
    </row>
    <row r="1759" spans="1:24" x14ac:dyDescent="0.25">
      <c r="A1759" t="s">
        <v>1605</v>
      </c>
      <c r="B1759" t="s">
        <v>64</v>
      </c>
      <c r="C1759" t="s">
        <v>1569</v>
      </c>
      <c r="D1759" t="s">
        <v>1570</v>
      </c>
      <c r="E1759" t="s">
        <v>64</v>
      </c>
      <c r="F1759" t="s">
        <v>94</v>
      </c>
      <c r="G1759" t="s">
        <v>277</v>
      </c>
      <c r="H1759" s="12">
        <v>6.1790000000000003</v>
      </c>
      <c r="I1759" s="12">
        <v>-75.394000000000005</v>
      </c>
      <c r="J1759" t="s">
        <v>96</v>
      </c>
      <c r="K1759" t="s">
        <v>1269</v>
      </c>
      <c r="L1759" t="s">
        <v>1270</v>
      </c>
      <c r="P1759" s="13">
        <v>225.4</v>
      </c>
      <c r="Q1759" s="13">
        <v>63.4</v>
      </c>
      <c r="R1759">
        <v>38</v>
      </c>
      <c r="S1759">
        <v>56</v>
      </c>
      <c r="T1759" s="13">
        <v>27.6</v>
      </c>
      <c r="U1759" s="13">
        <v>30.9</v>
      </c>
      <c r="V1759" t="s">
        <v>268</v>
      </c>
      <c r="W1759" t="s">
        <v>1271</v>
      </c>
      <c r="X1759" s="13"/>
    </row>
    <row r="1760" spans="1:24" x14ac:dyDescent="0.25">
      <c r="A1760" t="s">
        <v>1606</v>
      </c>
      <c r="B1760" t="s">
        <v>64</v>
      </c>
      <c r="C1760" t="s">
        <v>1569</v>
      </c>
      <c r="D1760" t="s">
        <v>1570</v>
      </c>
      <c r="E1760" t="s">
        <v>64</v>
      </c>
      <c r="F1760" t="s">
        <v>94</v>
      </c>
      <c r="G1760" t="s">
        <v>277</v>
      </c>
      <c r="H1760" s="12">
        <v>6.1790000000000003</v>
      </c>
      <c r="I1760" s="12">
        <v>-75.394000000000005</v>
      </c>
      <c r="J1760" t="s">
        <v>96</v>
      </c>
      <c r="K1760" t="s">
        <v>97</v>
      </c>
      <c r="L1760" t="s">
        <v>1273</v>
      </c>
      <c r="P1760" s="13">
        <v>178.7</v>
      </c>
      <c r="Q1760" s="13">
        <v>43.9</v>
      </c>
      <c r="R1760">
        <v>38</v>
      </c>
      <c r="S1760">
        <v>40</v>
      </c>
      <c r="T1760" s="13">
        <v>17.2</v>
      </c>
      <c r="U1760" s="13">
        <v>47.3</v>
      </c>
      <c r="V1760" t="s">
        <v>99</v>
      </c>
      <c r="X1760" s="13">
        <v>178.7</v>
      </c>
    </row>
    <row r="1761" spans="1:24" x14ac:dyDescent="0.25">
      <c r="A1761" t="s">
        <v>1606</v>
      </c>
      <c r="B1761" t="s">
        <v>64</v>
      </c>
      <c r="C1761" t="s">
        <v>1569</v>
      </c>
      <c r="D1761" t="s">
        <v>1570</v>
      </c>
      <c r="E1761" t="s">
        <v>64</v>
      </c>
      <c r="F1761" t="s">
        <v>94</v>
      </c>
      <c r="G1761" t="s">
        <v>277</v>
      </c>
      <c r="H1761" s="12">
        <v>6.1790000000000003</v>
      </c>
      <c r="I1761" s="12">
        <v>-75.394000000000005</v>
      </c>
      <c r="J1761" t="s">
        <v>96</v>
      </c>
      <c r="K1761" t="s">
        <v>1269</v>
      </c>
      <c r="L1761" t="s">
        <v>1270</v>
      </c>
      <c r="P1761" s="13">
        <v>158.69999999999999</v>
      </c>
      <c r="Q1761" s="13">
        <v>43.9</v>
      </c>
      <c r="R1761">
        <v>26</v>
      </c>
      <c r="S1761">
        <v>20</v>
      </c>
      <c r="T1761" s="13">
        <v>37.9</v>
      </c>
      <c r="U1761" s="13">
        <v>29.1</v>
      </c>
      <c r="V1761" t="s">
        <v>268</v>
      </c>
      <c r="W1761" t="s">
        <v>1271</v>
      </c>
      <c r="X1761" s="13"/>
    </row>
    <row r="1762" spans="1:24" x14ac:dyDescent="0.25">
      <c r="A1762" t="s">
        <v>1607</v>
      </c>
      <c r="B1762" t="s">
        <v>64</v>
      </c>
      <c r="C1762" t="s">
        <v>1569</v>
      </c>
      <c r="D1762" t="s">
        <v>1570</v>
      </c>
      <c r="E1762" t="s">
        <v>64</v>
      </c>
      <c r="F1762" t="s">
        <v>94</v>
      </c>
      <c r="G1762" t="s">
        <v>277</v>
      </c>
      <c r="H1762" s="12">
        <v>6.1790000000000003</v>
      </c>
      <c r="I1762" s="12">
        <v>-75.394000000000005</v>
      </c>
      <c r="J1762" t="s">
        <v>96</v>
      </c>
      <c r="K1762" t="s">
        <v>97</v>
      </c>
      <c r="L1762" t="s">
        <v>1273</v>
      </c>
      <c r="P1762" s="13">
        <v>145.19999999999999</v>
      </c>
      <c r="Q1762" s="13">
        <v>39</v>
      </c>
      <c r="R1762">
        <v>20</v>
      </c>
      <c r="S1762">
        <v>34</v>
      </c>
      <c r="T1762" s="13">
        <v>20.7</v>
      </c>
      <c r="U1762" s="13">
        <v>36.4</v>
      </c>
      <c r="V1762" t="s">
        <v>99</v>
      </c>
      <c r="X1762" s="13">
        <v>145.19999999999999</v>
      </c>
    </row>
    <row r="1763" spans="1:24" x14ac:dyDescent="0.25">
      <c r="A1763" t="s">
        <v>1607</v>
      </c>
      <c r="B1763" t="s">
        <v>64</v>
      </c>
      <c r="C1763" t="s">
        <v>1569</v>
      </c>
      <c r="D1763" t="s">
        <v>1570</v>
      </c>
      <c r="E1763" t="s">
        <v>64</v>
      </c>
      <c r="F1763" t="s">
        <v>94</v>
      </c>
      <c r="G1763" t="s">
        <v>277</v>
      </c>
      <c r="H1763" s="12">
        <v>6.1790000000000003</v>
      </c>
      <c r="I1763" s="12">
        <v>-75.394000000000005</v>
      </c>
      <c r="J1763" t="s">
        <v>96</v>
      </c>
      <c r="K1763" t="s">
        <v>1269</v>
      </c>
      <c r="L1763" t="s">
        <v>1270</v>
      </c>
      <c r="P1763" s="13">
        <v>157.19999999999999</v>
      </c>
      <c r="Q1763" s="13">
        <v>36.6</v>
      </c>
      <c r="R1763">
        <v>24</v>
      </c>
      <c r="S1763">
        <v>32</v>
      </c>
      <c r="T1763" s="13">
        <v>32.799999999999997</v>
      </c>
      <c r="U1763" s="13">
        <v>32.700000000000003</v>
      </c>
      <c r="V1763" t="s">
        <v>268</v>
      </c>
      <c r="W1763" t="s">
        <v>1271</v>
      </c>
      <c r="X1763" s="13"/>
    </row>
    <row r="1764" spans="1:24" x14ac:dyDescent="0.25">
      <c r="A1764" t="s">
        <v>1608</v>
      </c>
      <c r="B1764" t="s">
        <v>64</v>
      </c>
      <c r="C1764" t="s">
        <v>1569</v>
      </c>
      <c r="D1764" t="s">
        <v>1570</v>
      </c>
      <c r="E1764" t="s">
        <v>64</v>
      </c>
      <c r="F1764" t="s">
        <v>94</v>
      </c>
      <c r="G1764" t="s">
        <v>277</v>
      </c>
      <c r="H1764" s="12">
        <v>6.1790000000000003</v>
      </c>
      <c r="I1764" s="12">
        <v>-75.394000000000005</v>
      </c>
      <c r="J1764" t="s">
        <v>96</v>
      </c>
      <c r="K1764" t="s">
        <v>97</v>
      </c>
      <c r="L1764" t="s">
        <v>1273</v>
      </c>
      <c r="P1764" s="13">
        <v>215.7</v>
      </c>
      <c r="Q1764" s="13">
        <v>43.9</v>
      </c>
      <c r="R1764">
        <v>40</v>
      </c>
      <c r="S1764">
        <v>42</v>
      </c>
      <c r="T1764" s="13">
        <v>48.3</v>
      </c>
      <c r="U1764" s="13">
        <v>38.200000000000003</v>
      </c>
      <c r="V1764" t="s">
        <v>99</v>
      </c>
      <c r="X1764" s="13">
        <v>215.7</v>
      </c>
    </row>
    <row r="1765" spans="1:24" x14ac:dyDescent="0.25">
      <c r="A1765" t="s">
        <v>1608</v>
      </c>
      <c r="B1765" t="s">
        <v>64</v>
      </c>
      <c r="C1765" t="s">
        <v>1569</v>
      </c>
      <c r="D1765" t="s">
        <v>1570</v>
      </c>
      <c r="E1765" t="s">
        <v>64</v>
      </c>
      <c r="F1765" t="s">
        <v>94</v>
      </c>
      <c r="G1765" t="s">
        <v>277</v>
      </c>
      <c r="H1765" s="12">
        <v>6.1790000000000003</v>
      </c>
      <c r="I1765" s="12">
        <v>-75.394000000000005</v>
      </c>
      <c r="J1765" t="s">
        <v>96</v>
      </c>
      <c r="K1765" t="s">
        <v>1269</v>
      </c>
      <c r="L1765" t="s">
        <v>1270</v>
      </c>
      <c r="P1765" s="13">
        <v>247</v>
      </c>
      <c r="Q1765" s="13">
        <v>56.1</v>
      </c>
      <c r="R1765">
        <v>64</v>
      </c>
      <c r="S1765">
        <v>34</v>
      </c>
      <c r="T1765" s="13">
        <v>44.8</v>
      </c>
      <c r="U1765" s="13">
        <v>45.5</v>
      </c>
      <c r="V1765" t="s">
        <v>268</v>
      </c>
      <c r="W1765" t="s">
        <v>1271</v>
      </c>
      <c r="X1765" s="13"/>
    </row>
    <row r="1766" spans="1:24" x14ac:dyDescent="0.25">
      <c r="A1766" t="s">
        <v>1609</v>
      </c>
      <c r="B1766" t="s">
        <v>64</v>
      </c>
      <c r="C1766" t="s">
        <v>1569</v>
      </c>
      <c r="D1766" t="s">
        <v>1570</v>
      </c>
      <c r="E1766" t="s">
        <v>64</v>
      </c>
      <c r="F1766" t="s">
        <v>94</v>
      </c>
      <c r="G1766" t="s">
        <v>277</v>
      </c>
      <c r="H1766" s="12">
        <v>6.1790000000000003</v>
      </c>
      <c r="I1766" s="12">
        <v>-75.394000000000005</v>
      </c>
      <c r="J1766" t="s">
        <v>96</v>
      </c>
      <c r="K1766" t="s">
        <v>97</v>
      </c>
      <c r="L1766" t="s">
        <v>1273</v>
      </c>
      <c r="P1766" s="13">
        <v>212.7</v>
      </c>
      <c r="Q1766" s="13">
        <v>75.599999999999994</v>
      </c>
      <c r="R1766">
        <v>36</v>
      </c>
      <c r="S1766">
        <v>40</v>
      </c>
      <c r="T1766" s="13">
        <v>22.4</v>
      </c>
      <c r="U1766" s="13">
        <v>30.9</v>
      </c>
      <c r="V1766" t="s">
        <v>99</v>
      </c>
      <c r="X1766" s="13">
        <v>212.7</v>
      </c>
    </row>
    <row r="1767" spans="1:24" x14ac:dyDescent="0.25">
      <c r="A1767" t="s">
        <v>1609</v>
      </c>
      <c r="B1767" t="s">
        <v>64</v>
      </c>
      <c r="C1767" t="s">
        <v>1569</v>
      </c>
      <c r="D1767" t="s">
        <v>1570</v>
      </c>
      <c r="E1767" t="s">
        <v>64</v>
      </c>
      <c r="F1767" t="s">
        <v>94</v>
      </c>
      <c r="G1767" t="s">
        <v>277</v>
      </c>
      <c r="H1767" s="12">
        <v>6.1790000000000003</v>
      </c>
      <c r="I1767" s="12">
        <v>-75.394000000000005</v>
      </c>
      <c r="J1767" t="s">
        <v>96</v>
      </c>
      <c r="K1767" t="s">
        <v>1269</v>
      </c>
      <c r="L1767" t="s">
        <v>1270</v>
      </c>
      <c r="P1767" s="13">
        <v>197</v>
      </c>
      <c r="Q1767" s="13">
        <v>61</v>
      </c>
      <c r="R1767">
        <v>34</v>
      </c>
      <c r="S1767">
        <v>38</v>
      </c>
      <c r="T1767" s="13">
        <v>29.3</v>
      </c>
      <c r="U1767" s="13">
        <v>25.5</v>
      </c>
      <c r="V1767" t="s">
        <v>268</v>
      </c>
      <c r="W1767" t="s">
        <v>1271</v>
      </c>
      <c r="X1767" s="13"/>
    </row>
    <row r="1768" spans="1:24" x14ac:dyDescent="0.25">
      <c r="A1768" t="s">
        <v>1610</v>
      </c>
      <c r="B1768" t="s">
        <v>64</v>
      </c>
      <c r="C1768" t="s">
        <v>1569</v>
      </c>
      <c r="D1768" t="s">
        <v>1570</v>
      </c>
      <c r="E1768" t="s">
        <v>64</v>
      </c>
      <c r="F1768" t="s">
        <v>94</v>
      </c>
      <c r="G1768" t="s">
        <v>277</v>
      </c>
      <c r="H1768" s="12">
        <v>6.1790000000000003</v>
      </c>
      <c r="I1768" s="12">
        <v>-75.394000000000005</v>
      </c>
      <c r="J1768" t="s">
        <v>96</v>
      </c>
      <c r="K1768" t="s">
        <v>97</v>
      </c>
      <c r="L1768" t="s">
        <v>1273</v>
      </c>
      <c r="P1768" s="13">
        <v>122.3</v>
      </c>
      <c r="Q1768" s="13">
        <v>26.8</v>
      </c>
      <c r="R1768">
        <v>22</v>
      </c>
      <c r="S1768">
        <v>24</v>
      </c>
      <c r="T1768" s="13">
        <v>25.9</v>
      </c>
      <c r="U1768" s="13">
        <v>21.8</v>
      </c>
      <c r="V1768" t="s">
        <v>99</v>
      </c>
      <c r="X1768" s="13">
        <v>122.3</v>
      </c>
    </row>
    <row r="1769" spans="1:24" x14ac:dyDescent="0.25">
      <c r="A1769" t="s">
        <v>1610</v>
      </c>
      <c r="B1769" t="s">
        <v>64</v>
      </c>
      <c r="C1769" t="s">
        <v>1569</v>
      </c>
      <c r="D1769" t="s">
        <v>1570</v>
      </c>
      <c r="E1769" t="s">
        <v>64</v>
      </c>
      <c r="F1769" t="s">
        <v>94</v>
      </c>
      <c r="G1769" t="s">
        <v>277</v>
      </c>
      <c r="H1769" s="12">
        <v>6.1790000000000003</v>
      </c>
      <c r="I1769" s="12">
        <v>-75.394000000000005</v>
      </c>
      <c r="J1769" t="s">
        <v>96</v>
      </c>
      <c r="K1769" t="s">
        <v>1269</v>
      </c>
      <c r="L1769" t="s">
        <v>1270</v>
      </c>
      <c r="P1769" s="13">
        <v>195.3</v>
      </c>
      <c r="Q1769" s="13">
        <v>58.5</v>
      </c>
      <c r="R1769">
        <v>34</v>
      </c>
      <c r="S1769">
        <v>28</v>
      </c>
      <c r="T1769" s="13">
        <v>39.700000000000003</v>
      </c>
      <c r="U1769" s="13">
        <v>27.3</v>
      </c>
      <c r="V1769" t="s">
        <v>268</v>
      </c>
      <c r="W1769" t="s">
        <v>1271</v>
      </c>
      <c r="X1769" s="13"/>
    </row>
    <row r="1770" spans="1:24" x14ac:dyDescent="0.25">
      <c r="A1770" t="s">
        <v>1611</v>
      </c>
      <c r="B1770" t="s">
        <v>64</v>
      </c>
      <c r="C1770" t="s">
        <v>1569</v>
      </c>
      <c r="D1770" t="s">
        <v>1570</v>
      </c>
      <c r="E1770" t="s">
        <v>64</v>
      </c>
      <c r="F1770" t="s">
        <v>94</v>
      </c>
      <c r="G1770" t="s">
        <v>277</v>
      </c>
      <c r="H1770" s="12">
        <v>6.1790000000000003</v>
      </c>
      <c r="I1770" s="12">
        <v>-75.394000000000005</v>
      </c>
      <c r="J1770" t="s">
        <v>96</v>
      </c>
      <c r="K1770" t="s">
        <v>97</v>
      </c>
      <c r="L1770" t="s">
        <v>1273</v>
      </c>
      <c r="P1770" s="13">
        <v>150.5</v>
      </c>
      <c r="Q1770" s="13">
        <v>29.3</v>
      </c>
      <c r="R1770">
        <v>34</v>
      </c>
      <c r="S1770">
        <v>24</v>
      </c>
      <c r="T1770" s="13">
        <v>31</v>
      </c>
      <c r="U1770" s="13">
        <v>36.4</v>
      </c>
      <c r="V1770" t="s">
        <v>99</v>
      </c>
      <c r="X1770" s="13">
        <v>150.5</v>
      </c>
    </row>
    <row r="1771" spans="1:24" x14ac:dyDescent="0.25">
      <c r="A1771" t="s">
        <v>1611</v>
      </c>
      <c r="B1771" t="s">
        <v>64</v>
      </c>
      <c r="C1771" t="s">
        <v>1569</v>
      </c>
      <c r="D1771" t="s">
        <v>1570</v>
      </c>
      <c r="E1771" t="s">
        <v>64</v>
      </c>
      <c r="F1771" t="s">
        <v>94</v>
      </c>
      <c r="G1771" t="s">
        <v>277</v>
      </c>
      <c r="H1771" s="12">
        <v>6.1790000000000003</v>
      </c>
      <c r="I1771" s="12">
        <v>-75.394000000000005</v>
      </c>
      <c r="J1771" t="s">
        <v>96</v>
      </c>
      <c r="K1771" t="s">
        <v>1269</v>
      </c>
      <c r="L1771" t="s">
        <v>1270</v>
      </c>
      <c r="P1771" s="13">
        <v>188.2</v>
      </c>
      <c r="Q1771" s="13">
        <v>46.3</v>
      </c>
      <c r="R1771">
        <v>30</v>
      </c>
      <c r="S1771">
        <v>32</v>
      </c>
      <c r="T1771" s="13">
        <v>39.700000000000003</v>
      </c>
      <c r="U1771" s="13">
        <v>45.5</v>
      </c>
      <c r="V1771" t="s">
        <v>268</v>
      </c>
      <c r="W1771" t="s">
        <v>1271</v>
      </c>
      <c r="X1771" s="13"/>
    </row>
    <row r="1772" spans="1:24" x14ac:dyDescent="0.25">
      <c r="A1772" t="s">
        <v>1612</v>
      </c>
      <c r="B1772" t="s">
        <v>64</v>
      </c>
      <c r="C1772" t="s">
        <v>1569</v>
      </c>
      <c r="D1772" t="s">
        <v>1570</v>
      </c>
      <c r="E1772" t="s">
        <v>64</v>
      </c>
      <c r="F1772" t="s">
        <v>94</v>
      </c>
      <c r="G1772" t="s">
        <v>277</v>
      </c>
      <c r="H1772" s="12">
        <v>6.1790000000000003</v>
      </c>
      <c r="I1772" s="12">
        <v>-75.394000000000005</v>
      </c>
      <c r="J1772" t="s">
        <v>96</v>
      </c>
      <c r="K1772" t="s">
        <v>97</v>
      </c>
      <c r="L1772" t="s">
        <v>1273</v>
      </c>
      <c r="P1772" s="13">
        <v>137.9</v>
      </c>
      <c r="Q1772" s="13">
        <v>41.5</v>
      </c>
      <c r="R1772">
        <v>26</v>
      </c>
      <c r="S1772">
        <v>24</v>
      </c>
      <c r="T1772" s="13">
        <v>19</v>
      </c>
      <c r="U1772" s="13">
        <v>27.3</v>
      </c>
      <c r="V1772" t="s">
        <v>99</v>
      </c>
      <c r="X1772" s="13">
        <v>137.9</v>
      </c>
    </row>
    <row r="1773" spans="1:24" x14ac:dyDescent="0.25">
      <c r="A1773" t="s">
        <v>1612</v>
      </c>
      <c r="B1773" t="s">
        <v>64</v>
      </c>
      <c r="C1773" t="s">
        <v>1569</v>
      </c>
      <c r="D1773" t="s">
        <v>1570</v>
      </c>
      <c r="E1773" t="s">
        <v>64</v>
      </c>
      <c r="F1773" t="s">
        <v>94</v>
      </c>
      <c r="G1773" t="s">
        <v>277</v>
      </c>
      <c r="H1773" s="12">
        <v>6.1790000000000003</v>
      </c>
      <c r="I1773" s="12">
        <v>-75.394000000000005</v>
      </c>
      <c r="J1773" t="s">
        <v>96</v>
      </c>
      <c r="K1773" t="s">
        <v>1269</v>
      </c>
      <c r="L1773" t="s">
        <v>1270</v>
      </c>
      <c r="P1773" s="13">
        <v>142.4</v>
      </c>
      <c r="Q1773" s="13">
        <v>31.7</v>
      </c>
      <c r="R1773">
        <v>20</v>
      </c>
      <c r="S1773">
        <v>24</v>
      </c>
      <c r="T1773" s="13">
        <v>36.200000000000003</v>
      </c>
      <c r="U1773" s="13">
        <v>34.5</v>
      </c>
      <c r="V1773" t="s">
        <v>268</v>
      </c>
      <c r="W1773" t="s">
        <v>1271</v>
      </c>
      <c r="X1773" s="13"/>
    </row>
    <row r="1774" spans="1:24" x14ac:dyDescent="0.25">
      <c r="A1774" t="s">
        <v>1613</v>
      </c>
      <c r="B1774" t="s">
        <v>64</v>
      </c>
      <c r="C1774" t="s">
        <v>1569</v>
      </c>
      <c r="D1774" t="s">
        <v>1570</v>
      </c>
      <c r="E1774" t="s">
        <v>64</v>
      </c>
      <c r="F1774" t="s">
        <v>94</v>
      </c>
      <c r="G1774" t="s">
        <v>277</v>
      </c>
      <c r="H1774" s="12">
        <v>6.1790000000000003</v>
      </c>
      <c r="I1774" s="12">
        <v>-75.394000000000005</v>
      </c>
      <c r="J1774" t="s">
        <v>96</v>
      </c>
      <c r="K1774" t="s">
        <v>97</v>
      </c>
      <c r="L1774" t="s">
        <v>1273</v>
      </c>
      <c r="P1774" s="13">
        <v>146.30000000000001</v>
      </c>
      <c r="Q1774" s="13">
        <v>46.3</v>
      </c>
      <c r="R1774">
        <v>22</v>
      </c>
      <c r="S1774">
        <v>24</v>
      </c>
      <c r="T1774" s="13">
        <v>24.1</v>
      </c>
      <c r="U1774" s="13">
        <v>30.9</v>
      </c>
      <c r="V1774" t="s">
        <v>99</v>
      </c>
      <c r="X1774" s="13">
        <v>146.30000000000001</v>
      </c>
    </row>
    <row r="1775" spans="1:24" x14ac:dyDescent="0.25">
      <c r="A1775" t="s">
        <v>1613</v>
      </c>
      <c r="B1775" t="s">
        <v>64</v>
      </c>
      <c r="C1775" t="s">
        <v>1569</v>
      </c>
      <c r="D1775" t="s">
        <v>1570</v>
      </c>
      <c r="E1775" t="s">
        <v>64</v>
      </c>
      <c r="F1775" t="s">
        <v>94</v>
      </c>
      <c r="G1775" t="s">
        <v>277</v>
      </c>
      <c r="H1775" s="12">
        <v>6.1790000000000003</v>
      </c>
      <c r="I1775" s="12">
        <v>-75.394000000000005</v>
      </c>
      <c r="J1775" t="s">
        <v>96</v>
      </c>
      <c r="K1775" t="s">
        <v>1269</v>
      </c>
      <c r="L1775" t="s">
        <v>1270</v>
      </c>
      <c r="P1775" s="13">
        <v>211.8</v>
      </c>
      <c r="Q1775" s="13">
        <v>39</v>
      </c>
      <c r="R1775">
        <v>54</v>
      </c>
      <c r="S1775">
        <v>42</v>
      </c>
      <c r="T1775" s="13">
        <v>32.799999999999997</v>
      </c>
      <c r="U1775" s="13">
        <v>47.3</v>
      </c>
      <c r="V1775" t="s">
        <v>268</v>
      </c>
      <c r="W1775" t="s">
        <v>1271</v>
      </c>
      <c r="X1775" s="13"/>
    </row>
    <row r="1776" spans="1:24" x14ac:dyDescent="0.25">
      <c r="A1776" t="s">
        <v>1614</v>
      </c>
      <c r="B1776" t="s">
        <v>64</v>
      </c>
      <c r="C1776" t="s">
        <v>1569</v>
      </c>
      <c r="D1776" t="s">
        <v>1570</v>
      </c>
      <c r="E1776" t="s">
        <v>64</v>
      </c>
      <c r="F1776" t="s">
        <v>94</v>
      </c>
      <c r="G1776" t="s">
        <v>277</v>
      </c>
      <c r="H1776" s="12">
        <v>6.1790000000000003</v>
      </c>
      <c r="I1776" s="12">
        <v>-75.394000000000005</v>
      </c>
      <c r="J1776" t="s">
        <v>129</v>
      </c>
      <c r="K1776" t="s">
        <v>97</v>
      </c>
      <c r="L1776" t="s">
        <v>1273</v>
      </c>
      <c r="P1776" s="13">
        <v>220.2</v>
      </c>
      <c r="Q1776" s="13">
        <v>53.7</v>
      </c>
      <c r="R1776">
        <v>40</v>
      </c>
      <c r="S1776">
        <v>30</v>
      </c>
      <c r="T1776" s="13">
        <v>56.9</v>
      </c>
      <c r="U1776" s="13">
        <v>30.9</v>
      </c>
      <c r="V1776" t="s">
        <v>99</v>
      </c>
      <c r="X1776" s="13">
        <v>220.2</v>
      </c>
    </row>
    <row r="1777" spans="1:24" x14ac:dyDescent="0.25">
      <c r="A1777" t="s">
        <v>1614</v>
      </c>
      <c r="B1777" t="s">
        <v>64</v>
      </c>
      <c r="C1777" t="s">
        <v>1569</v>
      </c>
      <c r="D1777" t="s">
        <v>1570</v>
      </c>
      <c r="E1777" t="s">
        <v>64</v>
      </c>
      <c r="F1777" t="s">
        <v>94</v>
      </c>
      <c r="G1777" t="s">
        <v>277</v>
      </c>
      <c r="H1777" s="12">
        <v>6.1790000000000003</v>
      </c>
      <c r="I1777" s="12">
        <v>-75.394000000000005</v>
      </c>
      <c r="J1777" t="s">
        <v>129</v>
      </c>
      <c r="K1777" t="s">
        <v>1269</v>
      </c>
      <c r="L1777" t="s">
        <v>1270</v>
      </c>
      <c r="P1777" s="13">
        <v>217.2</v>
      </c>
      <c r="Q1777" s="13">
        <v>43.9</v>
      </c>
      <c r="R1777">
        <v>44</v>
      </c>
      <c r="S1777">
        <v>52</v>
      </c>
      <c r="T1777" s="13">
        <v>36.200000000000003</v>
      </c>
      <c r="U1777" s="13">
        <v>36.4</v>
      </c>
      <c r="V1777" t="s">
        <v>268</v>
      </c>
      <c r="W1777" t="s">
        <v>1271</v>
      </c>
      <c r="X1777" s="13"/>
    </row>
    <row r="1778" spans="1:24" x14ac:dyDescent="0.25">
      <c r="A1778" t="s">
        <v>1615</v>
      </c>
      <c r="B1778" t="s">
        <v>64</v>
      </c>
      <c r="C1778" t="s">
        <v>1569</v>
      </c>
      <c r="D1778" t="s">
        <v>1570</v>
      </c>
      <c r="E1778" t="s">
        <v>64</v>
      </c>
      <c r="F1778" t="s">
        <v>94</v>
      </c>
      <c r="G1778" t="s">
        <v>277</v>
      </c>
      <c r="H1778" s="12">
        <v>6.1790000000000003</v>
      </c>
      <c r="I1778" s="12">
        <v>-75.394000000000005</v>
      </c>
      <c r="J1778" t="s">
        <v>96</v>
      </c>
      <c r="K1778" t="s">
        <v>97</v>
      </c>
      <c r="L1778" t="s">
        <v>1273</v>
      </c>
      <c r="P1778" s="13">
        <v>157.19999999999999</v>
      </c>
      <c r="Q1778" s="13">
        <v>36.6</v>
      </c>
      <c r="R1778">
        <v>24</v>
      </c>
      <c r="S1778">
        <v>34</v>
      </c>
      <c r="T1778" s="13">
        <v>36.200000000000003</v>
      </c>
      <c r="U1778" s="13">
        <v>16.399999999999999</v>
      </c>
      <c r="V1778" t="s">
        <v>99</v>
      </c>
      <c r="X1778" s="13">
        <v>157.19999999999999</v>
      </c>
    </row>
    <row r="1779" spans="1:24" x14ac:dyDescent="0.25">
      <c r="A1779" t="s">
        <v>1615</v>
      </c>
      <c r="B1779" t="s">
        <v>64</v>
      </c>
      <c r="C1779" t="s">
        <v>1569</v>
      </c>
      <c r="D1779" t="s">
        <v>1570</v>
      </c>
      <c r="E1779" t="s">
        <v>64</v>
      </c>
      <c r="F1779" t="s">
        <v>94</v>
      </c>
      <c r="G1779" t="s">
        <v>277</v>
      </c>
      <c r="H1779" s="12">
        <v>6.1790000000000003</v>
      </c>
      <c r="I1779" s="12">
        <v>-75.394000000000005</v>
      </c>
      <c r="J1779" t="s">
        <v>96</v>
      </c>
      <c r="K1779" t="s">
        <v>1269</v>
      </c>
      <c r="L1779" t="s">
        <v>1270</v>
      </c>
      <c r="P1779" s="13">
        <v>182.5</v>
      </c>
      <c r="Q1779" s="13">
        <v>48.8</v>
      </c>
      <c r="R1779">
        <v>32</v>
      </c>
      <c r="S1779">
        <v>32</v>
      </c>
      <c r="T1779" s="13">
        <v>34.5</v>
      </c>
      <c r="U1779" s="13">
        <v>32.700000000000003</v>
      </c>
      <c r="V1779" t="s">
        <v>268</v>
      </c>
      <c r="W1779" t="s">
        <v>1271</v>
      </c>
      <c r="X1779" s="13"/>
    </row>
    <row r="1780" spans="1:24" x14ac:dyDescent="0.25">
      <c r="A1780" t="s">
        <v>1616</v>
      </c>
      <c r="B1780" t="s">
        <v>64</v>
      </c>
      <c r="C1780" t="s">
        <v>1569</v>
      </c>
      <c r="D1780" t="s">
        <v>1570</v>
      </c>
      <c r="E1780" t="s">
        <v>64</v>
      </c>
      <c r="F1780" t="s">
        <v>94</v>
      </c>
      <c r="G1780" t="s">
        <v>277</v>
      </c>
      <c r="H1780" s="12">
        <v>6.1790000000000003</v>
      </c>
      <c r="I1780" s="12">
        <v>-75.394000000000005</v>
      </c>
      <c r="J1780" t="s">
        <v>96</v>
      </c>
      <c r="K1780" t="s">
        <v>97</v>
      </c>
      <c r="L1780" t="s">
        <v>1273</v>
      </c>
      <c r="P1780" s="13">
        <v>235.3</v>
      </c>
      <c r="Q1780" s="13">
        <v>58.5</v>
      </c>
      <c r="R1780">
        <v>38</v>
      </c>
      <c r="S1780">
        <v>48</v>
      </c>
      <c r="T1780" s="13">
        <v>32.799999999999997</v>
      </c>
      <c r="U1780" s="13">
        <v>80</v>
      </c>
      <c r="V1780" t="s">
        <v>99</v>
      </c>
      <c r="X1780" s="13">
        <v>235.3</v>
      </c>
    </row>
    <row r="1781" spans="1:24" x14ac:dyDescent="0.25">
      <c r="A1781" t="s">
        <v>1616</v>
      </c>
      <c r="B1781" t="s">
        <v>64</v>
      </c>
      <c r="C1781" t="s">
        <v>1569</v>
      </c>
      <c r="D1781" t="s">
        <v>1570</v>
      </c>
      <c r="E1781" t="s">
        <v>64</v>
      </c>
      <c r="F1781" t="s">
        <v>94</v>
      </c>
      <c r="G1781" t="s">
        <v>277</v>
      </c>
      <c r="H1781" s="12">
        <v>6.1790000000000003</v>
      </c>
      <c r="I1781" s="12">
        <v>-75.394000000000005</v>
      </c>
      <c r="J1781" t="s">
        <v>96</v>
      </c>
      <c r="K1781" t="s">
        <v>1269</v>
      </c>
      <c r="L1781" t="s">
        <v>1270</v>
      </c>
      <c r="P1781" s="13">
        <v>280</v>
      </c>
      <c r="Q1781" s="13">
        <v>56.1</v>
      </c>
      <c r="R1781">
        <v>46</v>
      </c>
      <c r="S1781">
        <v>58</v>
      </c>
      <c r="T1781" s="13">
        <v>53.4</v>
      </c>
      <c r="U1781" s="13">
        <v>87.3</v>
      </c>
      <c r="V1781" t="s">
        <v>268</v>
      </c>
      <c r="W1781" t="s">
        <v>1271</v>
      </c>
      <c r="X1781" s="13"/>
    </row>
    <row r="1782" spans="1:24" x14ac:dyDescent="0.25">
      <c r="A1782" t="s">
        <v>1617</v>
      </c>
      <c r="B1782" t="s">
        <v>64</v>
      </c>
      <c r="C1782" t="s">
        <v>1569</v>
      </c>
      <c r="D1782" t="s">
        <v>1570</v>
      </c>
      <c r="E1782" t="s">
        <v>64</v>
      </c>
      <c r="F1782" t="s">
        <v>94</v>
      </c>
      <c r="G1782" t="s">
        <v>277</v>
      </c>
      <c r="H1782" s="12">
        <v>6.1790000000000003</v>
      </c>
      <c r="I1782" s="12">
        <v>-75.394000000000005</v>
      </c>
      <c r="J1782" t="s">
        <v>96</v>
      </c>
      <c r="K1782" t="s">
        <v>1269</v>
      </c>
      <c r="L1782" t="s">
        <v>1270</v>
      </c>
      <c r="P1782" s="13">
        <v>137.69999999999999</v>
      </c>
      <c r="Q1782" s="13">
        <v>43.9</v>
      </c>
      <c r="R1782">
        <v>26</v>
      </c>
      <c r="S1782">
        <v>22</v>
      </c>
      <c r="T1782" s="13">
        <v>19</v>
      </c>
      <c r="U1782" s="13">
        <v>25.5</v>
      </c>
      <c r="V1782" t="s">
        <v>268</v>
      </c>
      <c r="W1782" t="s">
        <v>1271</v>
      </c>
      <c r="X1782" s="13"/>
    </row>
    <row r="1783" spans="1:24" x14ac:dyDescent="0.25">
      <c r="A1783" t="s">
        <v>1618</v>
      </c>
      <c r="B1783" t="s">
        <v>64</v>
      </c>
      <c r="C1783" t="s">
        <v>1569</v>
      </c>
      <c r="D1783" t="s">
        <v>1570</v>
      </c>
      <c r="E1783" t="s">
        <v>64</v>
      </c>
      <c r="F1783" t="s">
        <v>94</v>
      </c>
      <c r="G1783" t="s">
        <v>277</v>
      </c>
      <c r="H1783" s="12">
        <v>6.1790000000000003</v>
      </c>
      <c r="I1783" s="12">
        <v>-75.394000000000005</v>
      </c>
      <c r="J1783" t="s">
        <v>96</v>
      </c>
      <c r="K1783" t="s">
        <v>97</v>
      </c>
      <c r="L1783" t="s">
        <v>1273</v>
      </c>
      <c r="P1783" s="13">
        <v>202</v>
      </c>
      <c r="Q1783" s="13">
        <v>51.2</v>
      </c>
      <c r="R1783">
        <v>20</v>
      </c>
      <c r="S1783">
        <v>46</v>
      </c>
      <c r="T1783" s="13">
        <v>39.700000000000003</v>
      </c>
      <c r="U1783" s="13">
        <v>54.5</v>
      </c>
      <c r="V1783" t="s">
        <v>99</v>
      </c>
      <c r="X1783" s="13">
        <v>202</v>
      </c>
    </row>
    <row r="1784" spans="1:24" x14ac:dyDescent="0.25">
      <c r="A1784" t="s">
        <v>1618</v>
      </c>
      <c r="B1784" t="s">
        <v>64</v>
      </c>
      <c r="C1784" t="s">
        <v>1569</v>
      </c>
      <c r="D1784" t="s">
        <v>1570</v>
      </c>
      <c r="E1784" t="s">
        <v>64</v>
      </c>
      <c r="F1784" t="s">
        <v>94</v>
      </c>
      <c r="G1784" t="s">
        <v>277</v>
      </c>
      <c r="H1784" s="12">
        <v>6.1790000000000003</v>
      </c>
      <c r="I1784" s="12">
        <v>-75.394000000000005</v>
      </c>
      <c r="J1784" t="s">
        <v>96</v>
      </c>
      <c r="K1784" t="s">
        <v>1269</v>
      </c>
      <c r="L1784" t="s">
        <v>1270</v>
      </c>
      <c r="P1784" s="13">
        <v>233.3</v>
      </c>
      <c r="Q1784" s="13">
        <v>43.9</v>
      </c>
      <c r="R1784">
        <v>48</v>
      </c>
      <c r="S1784">
        <v>42</v>
      </c>
      <c r="T1784" s="13">
        <v>48.3</v>
      </c>
      <c r="U1784" s="13">
        <v>60</v>
      </c>
      <c r="V1784" t="s">
        <v>268</v>
      </c>
      <c r="W1784" t="s">
        <v>1271</v>
      </c>
      <c r="X1784" s="13"/>
    </row>
    <row r="1785" spans="1:24" x14ac:dyDescent="0.25">
      <c r="A1785" t="s">
        <v>1619</v>
      </c>
      <c r="B1785" t="s">
        <v>64</v>
      </c>
      <c r="C1785" t="s">
        <v>1569</v>
      </c>
      <c r="D1785" t="s">
        <v>1570</v>
      </c>
      <c r="E1785" t="s">
        <v>64</v>
      </c>
      <c r="F1785" t="s">
        <v>94</v>
      </c>
      <c r="G1785" t="s">
        <v>277</v>
      </c>
      <c r="H1785" s="12">
        <v>6.1790000000000003</v>
      </c>
      <c r="I1785" s="12">
        <v>-75.394000000000005</v>
      </c>
      <c r="J1785" t="s">
        <v>96</v>
      </c>
      <c r="K1785" t="s">
        <v>97</v>
      </c>
      <c r="L1785" t="s">
        <v>1273</v>
      </c>
      <c r="P1785" s="13">
        <v>144.4</v>
      </c>
      <c r="Q1785" s="13">
        <v>34.1</v>
      </c>
      <c r="R1785">
        <v>30</v>
      </c>
      <c r="S1785">
        <v>12</v>
      </c>
      <c r="T1785" s="13">
        <v>34.5</v>
      </c>
      <c r="U1785" s="13">
        <v>43.6</v>
      </c>
      <c r="V1785" t="s">
        <v>99</v>
      </c>
      <c r="X1785" s="13">
        <v>144.4</v>
      </c>
    </row>
    <row r="1786" spans="1:24" x14ac:dyDescent="0.25">
      <c r="A1786" t="s">
        <v>1619</v>
      </c>
      <c r="B1786" t="s">
        <v>64</v>
      </c>
      <c r="C1786" t="s">
        <v>1569</v>
      </c>
      <c r="D1786" t="s">
        <v>1570</v>
      </c>
      <c r="E1786" t="s">
        <v>64</v>
      </c>
      <c r="F1786" t="s">
        <v>94</v>
      </c>
      <c r="G1786" t="s">
        <v>277</v>
      </c>
      <c r="H1786" s="12">
        <v>6.1790000000000003</v>
      </c>
      <c r="I1786" s="12">
        <v>-75.394000000000005</v>
      </c>
      <c r="J1786" t="s">
        <v>96</v>
      </c>
      <c r="K1786" t="s">
        <v>1269</v>
      </c>
      <c r="L1786" t="s">
        <v>1270</v>
      </c>
      <c r="P1786" s="13">
        <v>170.7</v>
      </c>
      <c r="Q1786" s="13">
        <v>43.9</v>
      </c>
      <c r="R1786">
        <v>32</v>
      </c>
      <c r="S1786">
        <v>32</v>
      </c>
      <c r="T1786" s="13">
        <v>32.799999999999997</v>
      </c>
      <c r="U1786" s="13">
        <v>21.8</v>
      </c>
      <c r="V1786" t="s">
        <v>268</v>
      </c>
      <c r="W1786" t="s">
        <v>1271</v>
      </c>
      <c r="X1786" s="13"/>
    </row>
    <row r="1787" spans="1:24" x14ac:dyDescent="0.25">
      <c r="A1787" t="s">
        <v>1620</v>
      </c>
      <c r="B1787" t="s">
        <v>64</v>
      </c>
      <c r="C1787" t="s">
        <v>1569</v>
      </c>
      <c r="D1787" t="s">
        <v>1570</v>
      </c>
      <c r="E1787" t="s">
        <v>64</v>
      </c>
      <c r="F1787" t="s">
        <v>94</v>
      </c>
      <c r="G1787" t="s">
        <v>277</v>
      </c>
      <c r="H1787" s="12">
        <v>6.1790000000000003</v>
      </c>
      <c r="I1787" s="12">
        <v>-75.394000000000005</v>
      </c>
      <c r="J1787" t="s">
        <v>96</v>
      </c>
      <c r="K1787" t="s">
        <v>97</v>
      </c>
      <c r="L1787" t="s">
        <v>1273</v>
      </c>
      <c r="P1787" s="13">
        <v>144.80000000000001</v>
      </c>
      <c r="Q1787" s="13">
        <v>29.3</v>
      </c>
      <c r="R1787">
        <v>28</v>
      </c>
      <c r="S1787">
        <v>32</v>
      </c>
      <c r="T1787" s="13">
        <v>24.1</v>
      </c>
      <c r="U1787" s="13">
        <v>36.4</v>
      </c>
      <c r="V1787" t="s">
        <v>99</v>
      </c>
      <c r="X1787" s="13">
        <v>144.80000000000001</v>
      </c>
    </row>
    <row r="1788" spans="1:24" x14ac:dyDescent="0.25">
      <c r="A1788" t="s">
        <v>1620</v>
      </c>
      <c r="B1788" t="s">
        <v>64</v>
      </c>
      <c r="C1788" t="s">
        <v>1569</v>
      </c>
      <c r="D1788" t="s">
        <v>1570</v>
      </c>
      <c r="E1788" t="s">
        <v>64</v>
      </c>
      <c r="F1788" t="s">
        <v>94</v>
      </c>
      <c r="G1788" t="s">
        <v>277</v>
      </c>
      <c r="H1788" s="12">
        <v>6.1790000000000003</v>
      </c>
      <c r="I1788" s="12">
        <v>-75.394000000000005</v>
      </c>
      <c r="J1788" t="s">
        <v>96</v>
      </c>
      <c r="K1788" t="s">
        <v>1269</v>
      </c>
      <c r="L1788" t="s">
        <v>1270</v>
      </c>
      <c r="P1788" s="13">
        <v>201.4</v>
      </c>
      <c r="Q1788" s="13">
        <v>41.5</v>
      </c>
      <c r="R1788">
        <v>32</v>
      </c>
      <c r="S1788">
        <v>36</v>
      </c>
      <c r="T1788" s="13">
        <v>51.7</v>
      </c>
      <c r="U1788" s="13">
        <v>40</v>
      </c>
      <c r="V1788" t="s">
        <v>268</v>
      </c>
      <c r="W1788" t="s">
        <v>1271</v>
      </c>
      <c r="X1788" s="13"/>
    </row>
    <row r="1789" spans="1:24" x14ac:dyDescent="0.25">
      <c r="A1789" t="s">
        <v>1621</v>
      </c>
      <c r="B1789" t="s">
        <v>64</v>
      </c>
      <c r="C1789" t="s">
        <v>1569</v>
      </c>
      <c r="D1789" t="s">
        <v>1570</v>
      </c>
      <c r="E1789" t="s">
        <v>64</v>
      </c>
      <c r="F1789" t="s">
        <v>94</v>
      </c>
      <c r="G1789" t="s">
        <v>277</v>
      </c>
      <c r="H1789" s="12">
        <v>6.1790000000000003</v>
      </c>
      <c r="I1789" s="12">
        <v>-75.394000000000005</v>
      </c>
      <c r="J1789" t="s">
        <v>96</v>
      </c>
      <c r="K1789" t="s">
        <v>97</v>
      </c>
      <c r="L1789" t="s">
        <v>1273</v>
      </c>
      <c r="P1789" s="13">
        <v>148.80000000000001</v>
      </c>
      <c r="Q1789" s="13">
        <v>29.3</v>
      </c>
      <c r="R1789">
        <v>22</v>
      </c>
      <c r="S1789">
        <v>34</v>
      </c>
      <c r="T1789" s="13">
        <v>32.799999999999997</v>
      </c>
      <c r="U1789" s="13">
        <v>32.700000000000003</v>
      </c>
      <c r="V1789" t="s">
        <v>99</v>
      </c>
      <c r="X1789" s="13">
        <v>148.80000000000001</v>
      </c>
    </row>
    <row r="1790" spans="1:24" x14ac:dyDescent="0.25">
      <c r="A1790" t="s">
        <v>1621</v>
      </c>
      <c r="B1790" t="s">
        <v>64</v>
      </c>
      <c r="C1790" t="s">
        <v>1569</v>
      </c>
      <c r="D1790" t="s">
        <v>1570</v>
      </c>
      <c r="E1790" t="s">
        <v>64</v>
      </c>
      <c r="F1790" t="s">
        <v>94</v>
      </c>
      <c r="G1790" t="s">
        <v>277</v>
      </c>
      <c r="H1790" s="12">
        <v>6.1790000000000003</v>
      </c>
      <c r="I1790" s="12">
        <v>-75.394000000000005</v>
      </c>
      <c r="J1790" t="s">
        <v>96</v>
      </c>
      <c r="K1790" t="s">
        <v>1269</v>
      </c>
      <c r="L1790" t="s">
        <v>1270</v>
      </c>
      <c r="P1790" s="13">
        <v>150.1</v>
      </c>
      <c r="Q1790" s="13">
        <v>39</v>
      </c>
      <c r="R1790">
        <v>28</v>
      </c>
      <c r="S1790">
        <v>26</v>
      </c>
      <c r="T1790" s="13">
        <v>31</v>
      </c>
      <c r="U1790" s="13">
        <v>18.2</v>
      </c>
      <c r="V1790" t="s">
        <v>268</v>
      </c>
      <c r="W1790" t="s">
        <v>1271</v>
      </c>
      <c r="X1790" s="13"/>
    </row>
    <row r="1791" spans="1:24" x14ac:dyDescent="0.25">
      <c r="A1791" t="s">
        <v>1622</v>
      </c>
      <c r="B1791" t="s">
        <v>64</v>
      </c>
      <c r="C1791" t="s">
        <v>1569</v>
      </c>
      <c r="D1791" t="s">
        <v>1570</v>
      </c>
      <c r="E1791" t="s">
        <v>64</v>
      </c>
      <c r="F1791" t="s">
        <v>94</v>
      </c>
      <c r="G1791" t="s">
        <v>277</v>
      </c>
      <c r="H1791" s="12">
        <v>6.1790000000000003</v>
      </c>
      <c r="I1791" s="12">
        <v>-75.394000000000005</v>
      </c>
      <c r="J1791" t="s">
        <v>129</v>
      </c>
      <c r="K1791" t="s">
        <v>97</v>
      </c>
      <c r="L1791" t="s">
        <v>1273</v>
      </c>
      <c r="P1791" s="13">
        <v>164.1</v>
      </c>
      <c r="Q1791" s="13">
        <v>41.5</v>
      </c>
      <c r="R1791">
        <v>30</v>
      </c>
      <c r="S1791">
        <v>20</v>
      </c>
      <c r="T1791" s="13">
        <v>36.200000000000003</v>
      </c>
      <c r="U1791" s="13">
        <v>43.6</v>
      </c>
      <c r="V1791" t="s">
        <v>99</v>
      </c>
      <c r="X1791" s="13">
        <v>164.1</v>
      </c>
    </row>
    <row r="1792" spans="1:24" x14ac:dyDescent="0.25">
      <c r="A1792" t="s">
        <v>1622</v>
      </c>
      <c r="B1792" t="s">
        <v>64</v>
      </c>
      <c r="C1792" t="s">
        <v>1569</v>
      </c>
      <c r="D1792" t="s">
        <v>1570</v>
      </c>
      <c r="E1792" t="s">
        <v>64</v>
      </c>
      <c r="F1792" t="s">
        <v>94</v>
      </c>
      <c r="G1792" t="s">
        <v>277</v>
      </c>
      <c r="H1792" s="12">
        <v>6.1790000000000003</v>
      </c>
      <c r="I1792" s="12">
        <v>-75.394000000000005</v>
      </c>
      <c r="J1792" t="s">
        <v>129</v>
      </c>
      <c r="K1792" t="s">
        <v>1269</v>
      </c>
      <c r="L1792" t="s">
        <v>1270</v>
      </c>
      <c r="P1792" s="13">
        <v>223.2</v>
      </c>
      <c r="Q1792" s="13">
        <v>61</v>
      </c>
      <c r="R1792">
        <v>36</v>
      </c>
      <c r="S1792">
        <v>42</v>
      </c>
      <c r="T1792" s="13">
        <v>46.6</v>
      </c>
      <c r="U1792" s="13">
        <v>23.6</v>
      </c>
      <c r="V1792" t="s">
        <v>268</v>
      </c>
      <c r="W1792" t="s">
        <v>1271</v>
      </c>
      <c r="X1792" s="13"/>
    </row>
    <row r="1793" spans="1:24" x14ac:dyDescent="0.25">
      <c r="A1793" t="s">
        <v>1623</v>
      </c>
      <c r="B1793" t="s">
        <v>64</v>
      </c>
      <c r="C1793" t="s">
        <v>1569</v>
      </c>
      <c r="D1793" t="s">
        <v>1570</v>
      </c>
      <c r="E1793" t="s">
        <v>64</v>
      </c>
      <c r="F1793" t="s">
        <v>94</v>
      </c>
      <c r="G1793" t="s">
        <v>277</v>
      </c>
      <c r="H1793" s="12">
        <v>6.1790000000000003</v>
      </c>
      <c r="I1793" s="12">
        <v>-75.394000000000005</v>
      </c>
      <c r="J1793" t="s">
        <v>129</v>
      </c>
      <c r="K1793" t="s">
        <v>97</v>
      </c>
      <c r="L1793" t="s">
        <v>1273</v>
      </c>
      <c r="P1793" s="13">
        <v>121</v>
      </c>
      <c r="Q1793" s="13">
        <v>34.1</v>
      </c>
      <c r="R1793">
        <v>24</v>
      </c>
      <c r="S1793">
        <v>22</v>
      </c>
      <c r="T1793" s="13">
        <v>13.8</v>
      </c>
      <c r="U1793" s="13">
        <v>32.700000000000003</v>
      </c>
      <c r="V1793" t="s">
        <v>99</v>
      </c>
      <c r="X1793" s="13">
        <v>121</v>
      </c>
    </row>
    <row r="1794" spans="1:24" x14ac:dyDescent="0.25">
      <c r="A1794" t="s">
        <v>1623</v>
      </c>
      <c r="B1794" t="s">
        <v>64</v>
      </c>
      <c r="C1794" t="s">
        <v>1569</v>
      </c>
      <c r="D1794" t="s">
        <v>1570</v>
      </c>
      <c r="E1794" t="s">
        <v>64</v>
      </c>
      <c r="F1794" t="s">
        <v>94</v>
      </c>
      <c r="G1794" t="s">
        <v>277</v>
      </c>
      <c r="H1794" s="12">
        <v>6.1790000000000003</v>
      </c>
      <c r="I1794" s="12">
        <v>-75.394000000000005</v>
      </c>
      <c r="J1794" t="s">
        <v>129</v>
      </c>
      <c r="K1794" t="s">
        <v>1269</v>
      </c>
      <c r="L1794" t="s">
        <v>1270</v>
      </c>
      <c r="P1794" s="13">
        <v>236</v>
      </c>
      <c r="Q1794" s="13">
        <v>68.3</v>
      </c>
      <c r="R1794">
        <v>24</v>
      </c>
      <c r="S1794">
        <v>68</v>
      </c>
      <c r="T1794" s="13">
        <v>32.799999999999997</v>
      </c>
      <c r="U1794" s="13">
        <v>34.5</v>
      </c>
      <c r="V1794" t="s">
        <v>268</v>
      </c>
      <c r="W1794" t="s">
        <v>1271</v>
      </c>
      <c r="X1794" s="13"/>
    </row>
    <row r="1795" spans="1:24" x14ac:dyDescent="0.25">
      <c r="A1795" t="s">
        <v>1624</v>
      </c>
      <c r="B1795" t="s">
        <v>64</v>
      </c>
      <c r="C1795" t="s">
        <v>1569</v>
      </c>
      <c r="D1795" t="s">
        <v>1570</v>
      </c>
      <c r="E1795" t="s">
        <v>64</v>
      </c>
      <c r="F1795" t="s">
        <v>94</v>
      </c>
      <c r="G1795" t="s">
        <v>277</v>
      </c>
      <c r="H1795" s="12">
        <v>6.1790000000000003</v>
      </c>
      <c r="I1795" s="12">
        <v>-75.394000000000005</v>
      </c>
      <c r="J1795" t="s">
        <v>129</v>
      </c>
      <c r="K1795" t="s">
        <v>1269</v>
      </c>
      <c r="L1795" t="s">
        <v>1270</v>
      </c>
      <c r="P1795" s="13">
        <v>346</v>
      </c>
      <c r="Q1795" s="13">
        <v>63.4</v>
      </c>
      <c r="R1795">
        <v>62</v>
      </c>
      <c r="S1795">
        <v>80</v>
      </c>
      <c r="T1795" s="13">
        <v>69</v>
      </c>
      <c r="U1795" s="13">
        <v>76.400000000000006</v>
      </c>
      <c r="V1795" t="s">
        <v>268</v>
      </c>
      <c r="W1795" t="s">
        <v>1271</v>
      </c>
      <c r="X1795" s="13"/>
    </row>
    <row r="1796" spans="1:24" x14ac:dyDescent="0.25">
      <c r="A1796" t="s">
        <v>1625</v>
      </c>
      <c r="B1796" t="s">
        <v>64</v>
      </c>
      <c r="C1796" t="s">
        <v>1569</v>
      </c>
      <c r="D1796" t="s">
        <v>1570</v>
      </c>
      <c r="E1796" t="s">
        <v>64</v>
      </c>
      <c r="F1796" t="s">
        <v>94</v>
      </c>
      <c r="G1796" t="s">
        <v>277</v>
      </c>
      <c r="H1796" s="12">
        <v>6.1790000000000003</v>
      </c>
      <c r="I1796" s="12">
        <v>-75.394000000000005</v>
      </c>
      <c r="J1796" t="s">
        <v>129</v>
      </c>
      <c r="K1796" t="s">
        <v>97</v>
      </c>
      <c r="L1796" t="s">
        <v>1273</v>
      </c>
      <c r="P1796" s="13">
        <v>119.2</v>
      </c>
      <c r="Q1796" s="13">
        <v>22</v>
      </c>
      <c r="R1796">
        <v>20</v>
      </c>
      <c r="S1796">
        <v>24</v>
      </c>
      <c r="T1796" s="13">
        <v>25.9</v>
      </c>
      <c r="U1796" s="13">
        <v>34.5</v>
      </c>
      <c r="V1796" t="s">
        <v>99</v>
      </c>
      <c r="X1796" s="13">
        <v>119.2</v>
      </c>
    </row>
    <row r="1797" spans="1:24" x14ac:dyDescent="0.25">
      <c r="A1797" t="s">
        <v>1625</v>
      </c>
      <c r="B1797" t="s">
        <v>64</v>
      </c>
      <c r="C1797" t="s">
        <v>1569</v>
      </c>
      <c r="D1797" t="s">
        <v>1570</v>
      </c>
      <c r="E1797" t="s">
        <v>64</v>
      </c>
      <c r="F1797" t="s">
        <v>94</v>
      </c>
      <c r="G1797" t="s">
        <v>277</v>
      </c>
      <c r="H1797" s="12">
        <v>6.1790000000000003</v>
      </c>
      <c r="I1797" s="12">
        <v>-75.394000000000005</v>
      </c>
      <c r="J1797" t="s">
        <v>129</v>
      </c>
      <c r="K1797" t="s">
        <v>1269</v>
      </c>
      <c r="L1797" t="s">
        <v>1270</v>
      </c>
      <c r="P1797" s="13">
        <v>140.9</v>
      </c>
      <c r="Q1797" s="13">
        <v>31.7</v>
      </c>
      <c r="R1797">
        <v>30</v>
      </c>
      <c r="S1797">
        <v>30</v>
      </c>
      <c r="T1797" s="13">
        <v>20.7</v>
      </c>
      <c r="U1797" s="13">
        <v>29.1</v>
      </c>
      <c r="V1797" t="s">
        <v>268</v>
      </c>
      <c r="W1797" t="s">
        <v>1271</v>
      </c>
      <c r="X1797" s="13"/>
    </row>
    <row r="1798" spans="1:24" x14ac:dyDescent="0.25">
      <c r="A1798" t="s">
        <v>1626</v>
      </c>
      <c r="B1798" t="s">
        <v>64</v>
      </c>
      <c r="C1798" t="s">
        <v>1627</v>
      </c>
      <c r="D1798" t="s">
        <v>1628</v>
      </c>
      <c r="E1798" t="s">
        <v>64</v>
      </c>
      <c r="F1798" t="s">
        <v>94</v>
      </c>
      <c r="G1798" t="s">
        <v>277</v>
      </c>
      <c r="H1798" s="12">
        <v>6.1980000000000004</v>
      </c>
      <c r="I1798" s="12">
        <v>-75.367999999999995</v>
      </c>
      <c r="J1798" t="s">
        <v>129</v>
      </c>
      <c r="K1798" t="s">
        <v>97</v>
      </c>
      <c r="L1798" t="s">
        <v>1273</v>
      </c>
      <c r="P1798" s="13">
        <v>209.8</v>
      </c>
      <c r="Q1798" s="13">
        <v>46.3</v>
      </c>
      <c r="R1798">
        <v>30</v>
      </c>
      <c r="S1798">
        <v>36</v>
      </c>
      <c r="T1798" s="13">
        <v>48.3</v>
      </c>
      <c r="U1798" s="13">
        <v>63.6</v>
      </c>
      <c r="V1798" t="s">
        <v>99</v>
      </c>
      <c r="X1798" s="13">
        <v>209.8</v>
      </c>
    </row>
    <row r="1799" spans="1:24" x14ac:dyDescent="0.25">
      <c r="A1799" t="s">
        <v>1626</v>
      </c>
      <c r="B1799" t="s">
        <v>64</v>
      </c>
      <c r="C1799" t="s">
        <v>1627</v>
      </c>
      <c r="D1799" t="s">
        <v>1628</v>
      </c>
      <c r="E1799" t="s">
        <v>64</v>
      </c>
      <c r="F1799" t="s">
        <v>94</v>
      </c>
      <c r="G1799" t="s">
        <v>277</v>
      </c>
      <c r="H1799" s="12">
        <v>6.1980000000000004</v>
      </c>
      <c r="I1799" s="12">
        <v>-75.367999999999995</v>
      </c>
      <c r="J1799" t="s">
        <v>129</v>
      </c>
      <c r="K1799" t="s">
        <v>1269</v>
      </c>
      <c r="L1799" t="s">
        <v>1270</v>
      </c>
      <c r="P1799" s="13">
        <v>232</v>
      </c>
      <c r="Q1799" s="13">
        <v>51.2</v>
      </c>
      <c r="R1799">
        <v>20</v>
      </c>
      <c r="S1799">
        <v>66</v>
      </c>
      <c r="T1799" s="13">
        <v>51.7</v>
      </c>
      <c r="U1799" s="13">
        <v>36.4</v>
      </c>
      <c r="V1799" t="s">
        <v>268</v>
      </c>
      <c r="W1799" t="s">
        <v>1271</v>
      </c>
      <c r="X1799" s="13"/>
    </row>
    <row r="1800" spans="1:24" x14ac:dyDescent="0.25">
      <c r="A1800" t="s">
        <v>1629</v>
      </c>
      <c r="B1800" t="s">
        <v>64</v>
      </c>
      <c r="C1800" t="s">
        <v>1627</v>
      </c>
      <c r="D1800" t="s">
        <v>1628</v>
      </c>
      <c r="E1800" t="s">
        <v>64</v>
      </c>
      <c r="F1800" t="s">
        <v>94</v>
      </c>
      <c r="G1800" t="s">
        <v>277</v>
      </c>
      <c r="H1800" s="12">
        <v>6.1980000000000004</v>
      </c>
      <c r="I1800" s="12">
        <v>-75.367999999999995</v>
      </c>
      <c r="J1800" t="s">
        <v>129</v>
      </c>
      <c r="K1800" t="s">
        <v>97</v>
      </c>
      <c r="L1800" t="s">
        <v>1273</v>
      </c>
      <c r="P1800" s="13">
        <v>169.7</v>
      </c>
      <c r="Q1800" s="13">
        <v>46.3</v>
      </c>
      <c r="R1800">
        <v>32</v>
      </c>
      <c r="S1800">
        <v>34</v>
      </c>
      <c r="T1800" s="13">
        <v>19</v>
      </c>
      <c r="U1800" s="13">
        <v>47.3</v>
      </c>
      <c r="V1800" t="s">
        <v>99</v>
      </c>
      <c r="X1800" s="13">
        <v>169.7</v>
      </c>
    </row>
    <row r="1801" spans="1:24" x14ac:dyDescent="0.25">
      <c r="A1801" t="s">
        <v>1629</v>
      </c>
      <c r="B1801" t="s">
        <v>64</v>
      </c>
      <c r="C1801" t="s">
        <v>1627</v>
      </c>
      <c r="D1801" t="s">
        <v>1628</v>
      </c>
      <c r="E1801" t="s">
        <v>64</v>
      </c>
      <c r="F1801" t="s">
        <v>94</v>
      </c>
      <c r="G1801" t="s">
        <v>277</v>
      </c>
      <c r="H1801" s="12">
        <v>6.1980000000000004</v>
      </c>
      <c r="I1801" s="12">
        <v>-75.367999999999995</v>
      </c>
      <c r="J1801" t="s">
        <v>129</v>
      </c>
      <c r="K1801" t="s">
        <v>1269</v>
      </c>
      <c r="L1801" t="s">
        <v>1270</v>
      </c>
      <c r="P1801" s="13">
        <v>175.3</v>
      </c>
      <c r="Q1801" s="13">
        <v>43.9</v>
      </c>
      <c r="R1801">
        <v>20</v>
      </c>
      <c r="S1801">
        <v>34</v>
      </c>
      <c r="T1801" s="13">
        <v>43.1</v>
      </c>
      <c r="U1801" s="13">
        <v>32.700000000000003</v>
      </c>
      <c r="V1801" t="s">
        <v>268</v>
      </c>
      <c r="W1801" t="s">
        <v>1271</v>
      </c>
      <c r="X1801" s="13"/>
    </row>
    <row r="1802" spans="1:24" x14ac:dyDescent="0.25">
      <c r="A1802" t="s">
        <v>1630</v>
      </c>
      <c r="B1802" t="s">
        <v>64</v>
      </c>
      <c r="C1802" t="s">
        <v>1627</v>
      </c>
      <c r="D1802" t="s">
        <v>1628</v>
      </c>
      <c r="E1802" t="s">
        <v>64</v>
      </c>
      <c r="F1802" t="s">
        <v>94</v>
      </c>
      <c r="G1802" t="s">
        <v>277</v>
      </c>
      <c r="H1802" s="12">
        <v>6.1980000000000004</v>
      </c>
      <c r="I1802" s="12">
        <v>-75.367999999999995</v>
      </c>
      <c r="J1802" t="s">
        <v>129</v>
      </c>
      <c r="K1802" t="s">
        <v>97</v>
      </c>
      <c r="L1802" t="s">
        <v>1273</v>
      </c>
      <c r="P1802" s="13">
        <v>193.8</v>
      </c>
      <c r="Q1802" s="13">
        <v>70.7</v>
      </c>
      <c r="R1802">
        <v>28</v>
      </c>
      <c r="S1802">
        <v>34</v>
      </c>
      <c r="T1802" s="13">
        <v>20.7</v>
      </c>
      <c r="U1802" s="13">
        <v>43.6</v>
      </c>
      <c r="V1802" t="s">
        <v>99</v>
      </c>
      <c r="X1802" s="13">
        <v>193.8</v>
      </c>
    </row>
    <row r="1803" spans="1:24" x14ac:dyDescent="0.25">
      <c r="A1803" t="s">
        <v>1630</v>
      </c>
      <c r="B1803" t="s">
        <v>64</v>
      </c>
      <c r="C1803" t="s">
        <v>1627</v>
      </c>
      <c r="D1803" t="s">
        <v>1628</v>
      </c>
      <c r="E1803" t="s">
        <v>64</v>
      </c>
      <c r="F1803" t="s">
        <v>94</v>
      </c>
      <c r="G1803" t="s">
        <v>277</v>
      </c>
      <c r="H1803" s="12">
        <v>6.1980000000000004</v>
      </c>
      <c r="I1803" s="12">
        <v>-75.367999999999995</v>
      </c>
      <c r="J1803" t="s">
        <v>129</v>
      </c>
      <c r="K1803" t="s">
        <v>1269</v>
      </c>
      <c r="L1803" t="s">
        <v>1270</v>
      </c>
      <c r="P1803" s="13">
        <v>185.1</v>
      </c>
      <c r="Q1803" s="13">
        <v>46.3</v>
      </c>
      <c r="R1803">
        <v>40</v>
      </c>
      <c r="S1803">
        <v>36</v>
      </c>
      <c r="T1803" s="13">
        <v>24.1</v>
      </c>
      <c r="U1803" s="13">
        <v>41.8</v>
      </c>
      <c r="V1803" t="s">
        <v>268</v>
      </c>
      <c r="W1803" t="s">
        <v>1271</v>
      </c>
      <c r="X1803" s="13"/>
    </row>
    <row r="1804" spans="1:24" x14ac:dyDescent="0.25">
      <c r="A1804" t="s">
        <v>1631</v>
      </c>
      <c r="B1804" t="s">
        <v>64</v>
      </c>
      <c r="C1804" t="s">
        <v>1627</v>
      </c>
      <c r="D1804" t="s">
        <v>1628</v>
      </c>
      <c r="E1804" t="s">
        <v>64</v>
      </c>
      <c r="F1804" t="s">
        <v>94</v>
      </c>
      <c r="G1804" t="s">
        <v>277</v>
      </c>
      <c r="H1804" s="12">
        <v>6.1980000000000004</v>
      </c>
      <c r="I1804" s="12">
        <v>-75.367999999999995</v>
      </c>
      <c r="J1804" t="s">
        <v>129</v>
      </c>
      <c r="K1804" t="s">
        <v>97</v>
      </c>
      <c r="L1804" t="s">
        <v>1273</v>
      </c>
      <c r="P1804" s="13">
        <v>163.9</v>
      </c>
      <c r="Q1804" s="13">
        <v>41.5</v>
      </c>
      <c r="R1804">
        <v>32</v>
      </c>
      <c r="S1804">
        <v>22</v>
      </c>
      <c r="T1804" s="13">
        <v>34.5</v>
      </c>
      <c r="U1804" s="13">
        <v>36.4</v>
      </c>
      <c r="V1804" t="s">
        <v>99</v>
      </c>
      <c r="X1804" s="13">
        <v>163.9</v>
      </c>
    </row>
    <row r="1805" spans="1:24" x14ac:dyDescent="0.25">
      <c r="A1805" t="s">
        <v>1631</v>
      </c>
      <c r="B1805" t="s">
        <v>64</v>
      </c>
      <c r="C1805" t="s">
        <v>1627</v>
      </c>
      <c r="D1805" t="s">
        <v>1628</v>
      </c>
      <c r="E1805" t="s">
        <v>64</v>
      </c>
      <c r="F1805" t="s">
        <v>94</v>
      </c>
      <c r="G1805" t="s">
        <v>277</v>
      </c>
      <c r="H1805" s="12">
        <v>6.1980000000000004</v>
      </c>
      <c r="I1805" s="12">
        <v>-75.367999999999995</v>
      </c>
      <c r="J1805" t="s">
        <v>129</v>
      </c>
      <c r="K1805" t="s">
        <v>1269</v>
      </c>
      <c r="L1805" t="s">
        <v>1270</v>
      </c>
      <c r="P1805" s="13">
        <v>178.2</v>
      </c>
      <c r="Q1805" s="13">
        <v>46.3</v>
      </c>
      <c r="R1805">
        <v>34</v>
      </c>
      <c r="S1805">
        <v>36</v>
      </c>
      <c r="T1805" s="13">
        <v>24.1</v>
      </c>
      <c r="U1805" s="13">
        <v>41.8</v>
      </c>
      <c r="V1805" t="s">
        <v>268</v>
      </c>
      <c r="W1805" t="s">
        <v>1271</v>
      </c>
      <c r="X1805" s="13"/>
    </row>
    <row r="1806" spans="1:24" x14ac:dyDescent="0.25">
      <c r="A1806" t="s">
        <v>1632</v>
      </c>
      <c r="B1806" t="s">
        <v>64</v>
      </c>
      <c r="C1806" t="s">
        <v>1627</v>
      </c>
      <c r="D1806" t="s">
        <v>1628</v>
      </c>
      <c r="E1806" t="s">
        <v>64</v>
      </c>
      <c r="F1806" t="s">
        <v>94</v>
      </c>
      <c r="G1806" t="s">
        <v>277</v>
      </c>
      <c r="H1806" s="12">
        <v>6.1980000000000004</v>
      </c>
      <c r="I1806" s="12">
        <v>-75.367999999999995</v>
      </c>
      <c r="J1806" t="s">
        <v>129</v>
      </c>
      <c r="K1806" t="s">
        <v>97</v>
      </c>
      <c r="L1806" t="s">
        <v>1273</v>
      </c>
      <c r="P1806" s="13">
        <v>115.4</v>
      </c>
      <c r="Q1806" s="13">
        <v>58.5</v>
      </c>
      <c r="R1806">
        <v>16</v>
      </c>
      <c r="S1806">
        <v>10</v>
      </c>
      <c r="T1806" s="13">
        <v>15.5</v>
      </c>
      <c r="U1806" s="13">
        <v>0</v>
      </c>
      <c r="V1806" t="s">
        <v>99</v>
      </c>
      <c r="X1806" s="13">
        <v>115.4</v>
      </c>
    </row>
    <row r="1807" spans="1:24" x14ac:dyDescent="0.25">
      <c r="A1807" t="s">
        <v>1632</v>
      </c>
      <c r="B1807" t="s">
        <v>64</v>
      </c>
      <c r="C1807" t="s">
        <v>1627</v>
      </c>
      <c r="D1807" t="s">
        <v>1628</v>
      </c>
      <c r="E1807" t="s">
        <v>64</v>
      </c>
      <c r="F1807" t="s">
        <v>94</v>
      </c>
      <c r="G1807" t="s">
        <v>277</v>
      </c>
      <c r="H1807" s="12">
        <v>6.1980000000000004</v>
      </c>
      <c r="I1807" s="12">
        <v>-75.367999999999995</v>
      </c>
      <c r="J1807" t="s">
        <v>129</v>
      </c>
      <c r="K1807" t="s">
        <v>1269</v>
      </c>
      <c r="L1807" t="s">
        <v>1270</v>
      </c>
      <c r="P1807" s="13">
        <v>203.6</v>
      </c>
      <c r="Q1807" s="13">
        <v>46.3</v>
      </c>
      <c r="R1807">
        <v>36</v>
      </c>
      <c r="S1807">
        <v>40</v>
      </c>
      <c r="T1807" s="13">
        <v>41.4</v>
      </c>
      <c r="U1807" s="13">
        <v>38.200000000000003</v>
      </c>
      <c r="V1807" t="s">
        <v>268</v>
      </c>
      <c r="W1807" t="s">
        <v>1271</v>
      </c>
      <c r="X1807" s="13"/>
    </row>
    <row r="1808" spans="1:24" x14ac:dyDescent="0.25">
      <c r="A1808" t="s">
        <v>1633</v>
      </c>
      <c r="B1808" t="s">
        <v>64</v>
      </c>
      <c r="C1808" t="s">
        <v>1627</v>
      </c>
      <c r="D1808" t="s">
        <v>1628</v>
      </c>
      <c r="E1808" t="s">
        <v>64</v>
      </c>
      <c r="F1808" t="s">
        <v>94</v>
      </c>
      <c r="G1808" t="s">
        <v>277</v>
      </c>
      <c r="H1808" s="12">
        <v>6.1980000000000004</v>
      </c>
      <c r="I1808" s="12">
        <v>-75.367999999999995</v>
      </c>
      <c r="J1808" t="s">
        <v>129</v>
      </c>
      <c r="K1808" t="s">
        <v>97</v>
      </c>
      <c r="L1808" t="s">
        <v>1273</v>
      </c>
      <c r="P1808" s="13">
        <v>153.4</v>
      </c>
      <c r="Q1808" s="13">
        <v>39</v>
      </c>
      <c r="R1808">
        <v>24</v>
      </c>
      <c r="S1808">
        <v>22</v>
      </c>
      <c r="T1808" s="13">
        <v>32.799999999999997</v>
      </c>
      <c r="U1808" s="13">
        <v>45.5</v>
      </c>
      <c r="V1808" t="s">
        <v>99</v>
      </c>
      <c r="X1808" s="13">
        <v>153.4</v>
      </c>
    </row>
    <row r="1809" spans="1:24" x14ac:dyDescent="0.25">
      <c r="A1809" t="s">
        <v>1633</v>
      </c>
      <c r="B1809" t="s">
        <v>64</v>
      </c>
      <c r="C1809" t="s">
        <v>1627</v>
      </c>
      <c r="D1809" t="s">
        <v>1628</v>
      </c>
      <c r="E1809" t="s">
        <v>64</v>
      </c>
      <c r="F1809" t="s">
        <v>94</v>
      </c>
      <c r="G1809" t="s">
        <v>277</v>
      </c>
      <c r="H1809" s="12">
        <v>6.1980000000000004</v>
      </c>
      <c r="I1809" s="12">
        <v>-75.367999999999995</v>
      </c>
      <c r="J1809" t="s">
        <v>129</v>
      </c>
      <c r="K1809" t="s">
        <v>1269</v>
      </c>
      <c r="L1809" t="s">
        <v>1270</v>
      </c>
      <c r="P1809" s="13">
        <v>179.8</v>
      </c>
      <c r="Q1809" s="13">
        <v>39</v>
      </c>
      <c r="R1809">
        <v>34</v>
      </c>
      <c r="S1809">
        <v>34</v>
      </c>
      <c r="T1809" s="13">
        <v>37.9</v>
      </c>
      <c r="U1809" s="13">
        <v>32.700000000000003</v>
      </c>
      <c r="V1809" t="s">
        <v>268</v>
      </c>
      <c r="W1809" t="s">
        <v>1271</v>
      </c>
      <c r="X1809" s="13"/>
    </row>
    <row r="1810" spans="1:24" x14ac:dyDescent="0.25">
      <c r="A1810" t="s">
        <v>1634</v>
      </c>
      <c r="B1810" t="s">
        <v>64</v>
      </c>
      <c r="C1810" t="s">
        <v>1627</v>
      </c>
      <c r="D1810" t="s">
        <v>1628</v>
      </c>
      <c r="E1810" t="s">
        <v>64</v>
      </c>
      <c r="F1810" t="s">
        <v>94</v>
      </c>
      <c r="G1810" t="s">
        <v>277</v>
      </c>
      <c r="H1810" s="12">
        <v>6.1980000000000004</v>
      </c>
      <c r="I1810" s="12">
        <v>-75.367999999999995</v>
      </c>
      <c r="J1810" t="s">
        <v>129</v>
      </c>
      <c r="K1810" t="s">
        <v>97</v>
      </c>
      <c r="L1810" t="s">
        <v>1273</v>
      </c>
      <c r="P1810" s="13">
        <v>162.5</v>
      </c>
      <c r="Q1810" s="13">
        <v>39</v>
      </c>
      <c r="R1810">
        <v>24</v>
      </c>
      <c r="S1810">
        <v>26</v>
      </c>
      <c r="T1810" s="13">
        <v>39.700000000000003</v>
      </c>
      <c r="U1810" s="13">
        <v>36.4</v>
      </c>
      <c r="V1810" t="s">
        <v>99</v>
      </c>
      <c r="X1810" s="13">
        <v>162.5</v>
      </c>
    </row>
    <row r="1811" spans="1:24" x14ac:dyDescent="0.25">
      <c r="A1811" t="s">
        <v>1634</v>
      </c>
      <c r="B1811" t="s">
        <v>64</v>
      </c>
      <c r="C1811" t="s">
        <v>1627</v>
      </c>
      <c r="D1811" t="s">
        <v>1628</v>
      </c>
      <c r="E1811" t="s">
        <v>64</v>
      </c>
      <c r="F1811" t="s">
        <v>94</v>
      </c>
      <c r="G1811" t="s">
        <v>277</v>
      </c>
      <c r="H1811" s="12">
        <v>6.1980000000000004</v>
      </c>
      <c r="I1811" s="12">
        <v>-75.367999999999995</v>
      </c>
      <c r="J1811" t="s">
        <v>129</v>
      </c>
      <c r="K1811" t="s">
        <v>1269</v>
      </c>
      <c r="L1811" t="s">
        <v>1270</v>
      </c>
      <c r="P1811" s="13">
        <v>230.5</v>
      </c>
      <c r="Q1811" s="13">
        <v>43.9</v>
      </c>
      <c r="R1811">
        <v>54</v>
      </c>
      <c r="S1811">
        <v>42</v>
      </c>
      <c r="T1811" s="13">
        <v>46.6</v>
      </c>
      <c r="U1811" s="13">
        <v>40</v>
      </c>
      <c r="V1811" t="s">
        <v>268</v>
      </c>
      <c r="W1811" t="s">
        <v>1271</v>
      </c>
      <c r="X1811" s="13"/>
    </row>
    <row r="1812" spans="1:24" x14ac:dyDescent="0.25">
      <c r="A1812" t="s">
        <v>1635</v>
      </c>
      <c r="B1812" t="s">
        <v>64</v>
      </c>
      <c r="C1812" t="s">
        <v>1627</v>
      </c>
      <c r="D1812" t="s">
        <v>1628</v>
      </c>
      <c r="E1812" t="s">
        <v>64</v>
      </c>
      <c r="F1812" t="s">
        <v>94</v>
      </c>
      <c r="G1812" t="s">
        <v>277</v>
      </c>
      <c r="H1812" s="12">
        <v>6.1980000000000004</v>
      </c>
      <c r="I1812" s="12">
        <v>-75.367999999999995</v>
      </c>
      <c r="J1812" t="s">
        <v>129</v>
      </c>
      <c r="K1812" t="s">
        <v>97</v>
      </c>
      <c r="L1812" t="s">
        <v>1273</v>
      </c>
      <c r="P1812" s="13">
        <v>169.7</v>
      </c>
      <c r="Q1812" s="13">
        <v>46.3</v>
      </c>
      <c r="R1812">
        <v>20</v>
      </c>
      <c r="S1812">
        <v>38</v>
      </c>
      <c r="T1812" s="13">
        <v>27.6</v>
      </c>
      <c r="U1812" s="13">
        <v>45.5</v>
      </c>
      <c r="V1812" t="s">
        <v>99</v>
      </c>
      <c r="X1812" s="13">
        <v>169.7</v>
      </c>
    </row>
    <row r="1813" spans="1:24" x14ac:dyDescent="0.25">
      <c r="A1813" t="s">
        <v>1635</v>
      </c>
      <c r="B1813" t="s">
        <v>64</v>
      </c>
      <c r="C1813" t="s">
        <v>1627</v>
      </c>
      <c r="D1813" t="s">
        <v>1628</v>
      </c>
      <c r="E1813" t="s">
        <v>64</v>
      </c>
      <c r="F1813" t="s">
        <v>94</v>
      </c>
      <c r="G1813" t="s">
        <v>277</v>
      </c>
      <c r="H1813" s="12">
        <v>6.1980000000000004</v>
      </c>
      <c r="I1813" s="12">
        <v>-75.367999999999995</v>
      </c>
      <c r="J1813" t="s">
        <v>129</v>
      </c>
      <c r="K1813" t="s">
        <v>1269</v>
      </c>
      <c r="L1813" t="s">
        <v>1270</v>
      </c>
      <c r="P1813" s="13">
        <v>181.2</v>
      </c>
      <c r="Q1813" s="13">
        <v>48.8</v>
      </c>
      <c r="R1813">
        <v>36</v>
      </c>
      <c r="S1813">
        <v>32</v>
      </c>
      <c r="T1813" s="13">
        <v>29.3</v>
      </c>
      <c r="U1813" s="13">
        <v>32.700000000000003</v>
      </c>
      <c r="V1813" t="s">
        <v>268</v>
      </c>
      <c r="W1813" t="s">
        <v>1271</v>
      </c>
      <c r="X1813" s="13"/>
    </row>
    <row r="1814" spans="1:24" x14ac:dyDescent="0.25">
      <c r="A1814" t="s">
        <v>1636</v>
      </c>
      <c r="B1814" t="s">
        <v>64</v>
      </c>
      <c r="C1814" t="s">
        <v>1627</v>
      </c>
      <c r="D1814" t="s">
        <v>1628</v>
      </c>
      <c r="E1814" t="s">
        <v>64</v>
      </c>
      <c r="F1814" t="s">
        <v>94</v>
      </c>
      <c r="G1814" t="s">
        <v>277</v>
      </c>
      <c r="H1814" s="12">
        <v>6.1980000000000004</v>
      </c>
      <c r="I1814" s="12">
        <v>-75.367999999999995</v>
      </c>
      <c r="J1814" t="s">
        <v>129</v>
      </c>
      <c r="K1814" t="s">
        <v>97</v>
      </c>
      <c r="L1814" t="s">
        <v>1273</v>
      </c>
      <c r="P1814" s="13">
        <v>155.9</v>
      </c>
      <c r="Q1814" s="13">
        <v>41.5</v>
      </c>
      <c r="R1814">
        <v>28</v>
      </c>
      <c r="S1814">
        <v>24</v>
      </c>
      <c r="T1814" s="13">
        <v>25.9</v>
      </c>
      <c r="U1814" s="13">
        <v>47.3</v>
      </c>
      <c r="V1814" t="s">
        <v>99</v>
      </c>
      <c r="X1814" s="13">
        <v>155.9</v>
      </c>
    </row>
    <row r="1815" spans="1:24" x14ac:dyDescent="0.25">
      <c r="A1815" t="s">
        <v>1636</v>
      </c>
      <c r="B1815" t="s">
        <v>64</v>
      </c>
      <c r="C1815" t="s">
        <v>1627</v>
      </c>
      <c r="D1815" t="s">
        <v>1628</v>
      </c>
      <c r="E1815" t="s">
        <v>64</v>
      </c>
      <c r="F1815" t="s">
        <v>94</v>
      </c>
      <c r="G1815" t="s">
        <v>277</v>
      </c>
      <c r="H1815" s="12">
        <v>6.1980000000000004</v>
      </c>
      <c r="I1815" s="12">
        <v>-75.367999999999995</v>
      </c>
      <c r="J1815" t="s">
        <v>129</v>
      </c>
      <c r="K1815" t="s">
        <v>1269</v>
      </c>
      <c r="L1815" t="s">
        <v>1270</v>
      </c>
      <c r="P1815" s="13">
        <v>206.7</v>
      </c>
      <c r="Q1815" s="13">
        <v>56.1</v>
      </c>
      <c r="R1815">
        <v>40</v>
      </c>
      <c r="S1815">
        <v>34</v>
      </c>
      <c r="T1815" s="13">
        <v>34.5</v>
      </c>
      <c r="U1815" s="13">
        <v>43.6</v>
      </c>
      <c r="V1815" t="s">
        <v>268</v>
      </c>
      <c r="W1815" t="s">
        <v>1271</v>
      </c>
      <c r="X1815" s="13"/>
    </row>
    <row r="1816" spans="1:24" x14ac:dyDescent="0.25">
      <c r="A1816" t="s">
        <v>1637</v>
      </c>
      <c r="B1816" t="s">
        <v>64</v>
      </c>
      <c r="C1816" t="s">
        <v>1627</v>
      </c>
      <c r="D1816" t="s">
        <v>1628</v>
      </c>
      <c r="E1816" t="s">
        <v>64</v>
      </c>
      <c r="F1816" t="s">
        <v>94</v>
      </c>
      <c r="G1816" t="s">
        <v>277</v>
      </c>
      <c r="H1816" s="12">
        <v>6.1980000000000004</v>
      </c>
      <c r="I1816" s="12">
        <v>-75.367999999999995</v>
      </c>
      <c r="J1816" t="s">
        <v>96</v>
      </c>
      <c r="K1816" t="s">
        <v>1269</v>
      </c>
      <c r="L1816" t="s">
        <v>1270</v>
      </c>
      <c r="P1816" s="13">
        <v>201.4</v>
      </c>
      <c r="Q1816" s="13">
        <v>41.5</v>
      </c>
      <c r="R1816">
        <v>36</v>
      </c>
      <c r="S1816">
        <v>28</v>
      </c>
      <c r="T1816" s="13">
        <v>44.8</v>
      </c>
      <c r="U1816" s="13">
        <v>72.7</v>
      </c>
      <c r="V1816" t="s">
        <v>268</v>
      </c>
      <c r="W1816" t="s">
        <v>1271</v>
      </c>
      <c r="X1816" s="13"/>
    </row>
    <row r="1817" spans="1:24" x14ac:dyDescent="0.25">
      <c r="A1817" t="s">
        <v>1638</v>
      </c>
      <c r="B1817" t="s">
        <v>64</v>
      </c>
      <c r="C1817" t="s">
        <v>1627</v>
      </c>
      <c r="D1817" t="s">
        <v>1628</v>
      </c>
      <c r="E1817" t="s">
        <v>64</v>
      </c>
      <c r="F1817" t="s">
        <v>94</v>
      </c>
      <c r="G1817" t="s">
        <v>277</v>
      </c>
      <c r="H1817" s="12">
        <v>6.1980000000000004</v>
      </c>
      <c r="I1817" s="12">
        <v>-75.367999999999995</v>
      </c>
      <c r="J1817" t="s">
        <v>96</v>
      </c>
      <c r="K1817" t="s">
        <v>97</v>
      </c>
      <c r="L1817" t="s">
        <v>1273</v>
      </c>
      <c r="P1817" s="13">
        <v>186.8</v>
      </c>
      <c r="Q1817" s="13">
        <v>39</v>
      </c>
      <c r="R1817">
        <v>26</v>
      </c>
      <c r="S1817">
        <v>38</v>
      </c>
      <c r="T1817" s="13">
        <v>43.1</v>
      </c>
      <c r="U1817" s="13">
        <v>47.3</v>
      </c>
      <c r="V1817" t="s">
        <v>99</v>
      </c>
      <c r="X1817" s="13">
        <v>186.8</v>
      </c>
    </row>
    <row r="1818" spans="1:24" x14ac:dyDescent="0.25">
      <c r="A1818" t="s">
        <v>1638</v>
      </c>
      <c r="B1818" t="s">
        <v>64</v>
      </c>
      <c r="C1818" t="s">
        <v>1627</v>
      </c>
      <c r="D1818" t="s">
        <v>1628</v>
      </c>
      <c r="E1818" t="s">
        <v>64</v>
      </c>
      <c r="F1818" t="s">
        <v>94</v>
      </c>
      <c r="G1818" t="s">
        <v>277</v>
      </c>
      <c r="H1818" s="12">
        <v>6.1980000000000004</v>
      </c>
      <c r="I1818" s="12">
        <v>-75.367999999999995</v>
      </c>
      <c r="J1818" t="s">
        <v>96</v>
      </c>
      <c r="K1818" t="s">
        <v>1269</v>
      </c>
      <c r="L1818" t="s">
        <v>1270</v>
      </c>
      <c r="P1818" s="13">
        <v>176.2</v>
      </c>
      <c r="Q1818" s="13">
        <v>36.6</v>
      </c>
      <c r="R1818">
        <v>24</v>
      </c>
      <c r="S1818">
        <v>34</v>
      </c>
      <c r="T1818" s="13">
        <v>34.5</v>
      </c>
      <c r="U1818" s="13">
        <v>70.900000000000006</v>
      </c>
      <c r="V1818" t="s">
        <v>268</v>
      </c>
      <c r="W1818" t="s">
        <v>1271</v>
      </c>
      <c r="X1818" s="13"/>
    </row>
    <row r="1819" spans="1:24" x14ac:dyDescent="0.25">
      <c r="A1819" t="s">
        <v>1639</v>
      </c>
      <c r="B1819" t="s">
        <v>64</v>
      </c>
      <c r="C1819" t="s">
        <v>1627</v>
      </c>
      <c r="D1819" t="s">
        <v>1628</v>
      </c>
      <c r="E1819" t="s">
        <v>64</v>
      </c>
      <c r="F1819" t="s">
        <v>94</v>
      </c>
      <c r="G1819" t="s">
        <v>277</v>
      </c>
      <c r="H1819" s="12">
        <v>6.1980000000000004</v>
      </c>
      <c r="I1819" s="12">
        <v>-75.367999999999995</v>
      </c>
      <c r="J1819" t="s">
        <v>129</v>
      </c>
      <c r="K1819" t="s">
        <v>97</v>
      </c>
      <c r="L1819" t="s">
        <v>1273</v>
      </c>
      <c r="P1819" s="13">
        <v>170.4</v>
      </c>
      <c r="Q1819" s="13">
        <v>43.9</v>
      </c>
      <c r="R1819">
        <v>24</v>
      </c>
      <c r="S1819">
        <v>28</v>
      </c>
      <c r="T1819" s="13">
        <v>39.700000000000003</v>
      </c>
      <c r="U1819" s="13">
        <v>36.4</v>
      </c>
      <c r="V1819" t="s">
        <v>99</v>
      </c>
      <c r="X1819" s="13">
        <v>170.4</v>
      </c>
    </row>
    <row r="1820" spans="1:24" x14ac:dyDescent="0.25">
      <c r="A1820" t="s">
        <v>1639</v>
      </c>
      <c r="B1820" t="s">
        <v>64</v>
      </c>
      <c r="C1820" t="s">
        <v>1627</v>
      </c>
      <c r="D1820" t="s">
        <v>1628</v>
      </c>
      <c r="E1820" t="s">
        <v>64</v>
      </c>
      <c r="F1820" t="s">
        <v>94</v>
      </c>
      <c r="G1820" t="s">
        <v>277</v>
      </c>
      <c r="H1820" s="12">
        <v>6.1980000000000004</v>
      </c>
      <c r="I1820" s="12">
        <v>-75.367999999999995</v>
      </c>
      <c r="J1820" t="s">
        <v>129</v>
      </c>
      <c r="K1820" t="s">
        <v>1269</v>
      </c>
      <c r="L1820" t="s">
        <v>1270</v>
      </c>
      <c r="P1820" s="13">
        <v>211.6</v>
      </c>
      <c r="Q1820" s="13">
        <v>46.3</v>
      </c>
      <c r="R1820">
        <v>32</v>
      </c>
      <c r="S1820">
        <v>48</v>
      </c>
      <c r="T1820" s="13">
        <v>43.1</v>
      </c>
      <c r="U1820" s="13">
        <v>41.8</v>
      </c>
      <c r="V1820" t="s">
        <v>268</v>
      </c>
      <c r="W1820" t="s">
        <v>1271</v>
      </c>
      <c r="X1820" s="13"/>
    </row>
    <row r="1821" spans="1:24" x14ac:dyDescent="0.25">
      <c r="A1821" t="s">
        <v>1640</v>
      </c>
      <c r="B1821" t="s">
        <v>64</v>
      </c>
      <c r="C1821" t="s">
        <v>1627</v>
      </c>
      <c r="D1821" t="s">
        <v>1628</v>
      </c>
      <c r="E1821" t="s">
        <v>64</v>
      </c>
      <c r="F1821" t="s">
        <v>94</v>
      </c>
      <c r="G1821" t="s">
        <v>277</v>
      </c>
      <c r="H1821" s="12">
        <v>6.1980000000000004</v>
      </c>
      <c r="I1821" s="12">
        <v>-75.367999999999995</v>
      </c>
      <c r="J1821" t="s">
        <v>96</v>
      </c>
      <c r="K1821" t="s">
        <v>97</v>
      </c>
      <c r="L1821" t="s">
        <v>1273</v>
      </c>
      <c r="P1821" s="13">
        <v>185.6</v>
      </c>
      <c r="Q1821" s="13">
        <v>48.8</v>
      </c>
      <c r="R1821">
        <v>42</v>
      </c>
      <c r="S1821">
        <v>24</v>
      </c>
      <c r="T1821" s="13">
        <v>32.799999999999997</v>
      </c>
      <c r="U1821" s="13">
        <v>40</v>
      </c>
      <c r="V1821" t="s">
        <v>99</v>
      </c>
      <c r="X1821" s="13">
        <v>185.6</v>
      </c>
    </row>
    <row r="1822" spans="1:24" x14ac:dyDescent="0.25">
      <c r="A1822" t="s">
        <v>1640</v>
      </c>
      <c r="B1822" t="s">
        <v>64</v>
      </c>
      <c r="C1822" t="s">
        <v>1627</v>
      </c>
      <c r="D1822" t="s">
        <v>1628</v>
      </c>
      <c r="E1822" t="s">
        <v>64</v>
      </c>
      <c r="F1822" t="s">
        <v>94</v>
      </c>
      <c r="G1822" t="s">
        <v>277</v>
      </c>
      <c r="H1822" s="12">
        <v>6.1980000000000004</v>
      </c>
      <c r="I1822" s="12">
        <v>-75.367999999999995</v>
      </c>
      <c r="J1822" t="s">
        <v>96</v>
      </c>
      <c r="K1822" t="s">
        <v>1269</v>
      </c>
      <c r="L1822" t="s">
        <v>1270</v>
      </c>
      <c r="P1822" s="13">
        <v>222.2</v>
      </c>
      <c r="Q1822" s="13">
        <v>46.3</v>
      </c>
      <c r="R1822">
        <v>32</v>
      </c>
      <c r="S1822">
        <v>50</v>
      </c>
      <c r="T1822" s="13">
        <v>44.8</v>
      </c>
      <c r="U1822" s="13">
        <v>58.2</v>
      </c>
      <c r="V1822" t="s">
        <v>268</v>
      </c>
      <c r="W1822" t="s">
        <v>1271</v>
      </c>
      <c r="X1822" s="13"/>
    </row>
    <row r="1823" spans="1:24" x14ac:dyDescent="0.25">
      <c r="A1823" t="s">
        <v>1641</v>
      </c>
      <c r="B1823" t="s">
        <v>64</v>
      </c>
      <c r="C1823" t="s">
        <v>1627</v>
      </c>
      <c r="D1823" t="s">
        <v>1628</v>
      </c>
      <c r="E1823" t="s">
        <v>64</v>
      </c>
      <c r="F1823" t="s">
        <v>94</v>
      </c>
      <c r="G1823" t="s">
        <v>277</v>
      </c>
      <c r="H1823" s="12">
        <v>6.1980000000000004</v>
      </c>
      <c r="I1823" s="12">
        <v>-75.367999999999995</v>
      </c>
      <c r="J1823" t="s">
        <v>96</v>
      </c>
      <c r="K1823" t="s">
        <v>97</v>
      </c>
      <c r="L1823" t="s">
        <v>1273</v>
      </c>
      <c r="P1823" s="13">
        <v>174.6</v>
      </c>
      <c r="Q1823" s="13">
        <v>51.2</v>
      </c>
      <c r="R1823">
        <v>26</v>
      </c>
      <c r="S1823">
        <v>34</v>
      </c>
      <c r="T1823" s="13">
        <v>31</v>
      </c>
      <c r="U1823" s="13">
        <v>27.3</v>
      </c>
      <c r="V1823" t="s">
        <v>99</v>
      </c>
      <c r="X1823" s="13">
        <v>174.6</v>
      </c>
    </row>
    <row r="1824" spans="1:24" x14ac:dyDescent="0.25">
      <c r="A1824" t="s">
        <v>1641</v>
      </c>
      <c r="B1824" t="s">
        <v>64</v>
      </c>
      <c r="C1824" t="s">
        <v>1627</v>
      </c>
      <c r="D1824" t="s">
        <v>1628</v>
      </c>
      <c r="E1824" t="s">
        <v>64</v>
      </c>
      <c r="F1824" t="s">
        <v>94</v>
      </c>
      <c r="G1824" t="s">
        <v>277</v>
      </c>
      <c r="H1824" s="12">
        <v>6.1980000000000004</v>
      </c>
      <c r="I1824" s="12">
        <v>-75.367999999999995</v>
      </c>
      <c r="J1824" t="s">
        <v>96</v>
      </c>
      <c r="K1824" t="s">
        <v>1269</v>
      </c>
      <c r="L1824" t="s">
        <v>1270</v>
      </c>
      <c r="P1824" s="13">
        <v>195</v>
      </c>
      <c r="Q1824" s="13">
        <v>36.6</v>
      </c>
      <c r="R1824">
        <v>28</v>
      </c>
      <c r="S1824">
        <v>52</v>
      </c>
      <c r="T1824" s="13">
        <v>39.700000000000003</v>
      </c>
      <c r="U1824" s="13">
        <v>38.200000000000003</v>
      </c>
      <c r="V1824" t="s">
        <v>268</v>
      </c>
      <c r="W1824" t="s">
        <v>1271</v>
      </c>
      <c r="X1824" s="13"/>
    </row>
    <row r="1825" spans="1:24" x14ac:dyDescent="0.25">
      <c r="A1825" t="s">
        <v>1642</v>
      </c>
      <c r="B1825" t="s">
        <v>64</v>
      </c>
      <c r="C1825" t="s">
        <v>1627</v>
      </c>
      <c r="D1825" t="s">
        <v>1628</v>
      </c>
      <c r="E1825" t="s">
        <v>64</v>
      </c>
      <c r="F1825" t="s">
        <v>94</v>
      </c>
      <c r="G1825" t="s">
        <v>277</v>
      </c>
      <c r="H1825" s="12">
        <v>6.1980000000000004</v>
      </c>
      <c r="I1825" s="12">
        <v>-75.367999999999995</v>
      </c>
      <c r="J1825" t="s">
        <v>96</v>
      </c>
      <c r="K1825" t="s">
        <v>97</v>
      </c>
      <c r="L1825" t="s">
        <v>1273</v>
      </c>
      <c r="P1825" s="13">
        <v>153.5</v>
      </c>
      <c r="Q1825" s="13">
        <v>48.8</v>
      </c>
      <c r="R1825">
        <v>26</v>
      </c>
      <c r="S1825">
        <v>18</v>
      </c>
      <c r="T1825" s="13">
        <v>29.3</v>
      </c>
      <c r="U1825" s="13">
        <v>32.700000000000003</v>
      </c>
      <c r="V1825" t="s">
        <v>99</v>
      </c>
      <c r="X1825" s="13">
        <v>153.5</v>
      </c>
    </row>
    <row r="1826" spans="1:24" x14ac:dyDescent="0.25">
      <c r="A1826" t="s">
        <v>1642</v>
      </c>
      <c r="B1826" t="s">
        <v>64</v>
      </c>
      <c r="C1826" t="s">
        <v>1627</v>
      </c>
      <c r="D1826" t="s">
        <v>1628</v>
      </c>
      <c r="E1826" t="s">
        <v>64</v>
      </c>
      <c r="F1826" t="s">
        <v>94</v>
      </c>
      <c r="G1826" t="s">
        <v>277</v>
      </c>
      <c r="H1826" s="12">
        <v>6.1980000000000004</v>
      </c>
      <c r="I1826" s="12">
        <v>-75.367999999999995</v>
      </c>
      <c r="J1826" t="s">
        <v>96</v>
      </c>
      <c r="K1826" t="s">
        <v>1269</v>
      </c>
      <c r="L1826" t="s">
        <v>1270</v>
      </c>
      <c r="P1826" s="13">
        <v>180.8</v>
      </c>
      <c r="Q1826" s="13">
        <v>61</v>
      </c>
      <c r="R1826">
        <v>34</v>
      </c>
      <c r="S1826">
        <v>22</v>
      </c>
      <c r="T1826" s="13">
        <v>27.6</v>
      </c>
      <c r="U1826" s="13">
        <v>36.4</v>
      </c>
      <c r="V1826" t="s">
        <v>268</v>
      </c>
      <c r="W1826" t="s">
        <v>1271</v>
      </c>
      <c r="X1826" s="13"/>
    </row>
    <row r="1827" spans="1:24" x14ac:dyDescent="0.25">
      <c r="A1827" t="s">
        <v>1643</v>
      </c>
      <c r="B1827" t="s">
        <v>64</v>
      </c>
      <c r="C1827" t="s">
        <v>1627</v>
      </c>
      <c r="D1827" t="s">
        <v>1628</v>
      </c>
      <c r="E1827" t="s">
        <v>64</v>
      </c>
      <c r="F1827" t="s">
        <v>94</v>
      </c>
      <c r="G1827" t="s">
        <v>277</v>
      </c>
      <c r="H1827" s="12">
        <v>6.1980000000000004</v>
      </c>
      <c r="I1827" s="12">
        <v>-75.367999999999995</v>
      </c>
      <c r="J1827" t="s">
        <v>96</v>
      </c>
      <c r="K1827" t="s">
        <v>97</v>
      </c>
      <c r="L1827" t="s">
        <v>1273</v>
      </c>
      <c r="P1827" s="13">
        <v>256.5</v>
      </c>
      <c r="Q1827" s="13">
        <v>70.7</v>
      </c>
      <c r="R1827">
        <v>32</v>
      </c>
      <c r="S1827">
        <v>74</v>
      </c>
      <c r="T1827" s="13">
        <v>31</v>
      </c>
      <c r="U1827" s="13">
        <v>43.6</v>
      </c>
      <c r="V1827" t="s">
        <v>99</v>
      </c>
      <c r="X1827" s="13">
        <v>256.5</v>
      </c>
    </row>
    <row r="1828" spans="1:24" x14ac:dyDescent="0.25">
      <c r="A1828" t="s">
        <v>1643</v>
      </c>
      <c r="B1828" t="s">
        <v>64</v>
      </c>
      <c r="C1828" t="s">
        <v>1627</v>
      </c>
      <c r="D1828" t="s">
        <v>1628</v>
      </c>
      <c r="E1828" t="s">
        <v>64</v>
      </c>
      <c r="F1828" t="s">
        <v>94</v>
      </c>
      <c r="G1828" t="s">
        <v>277</v>
      </c>
      <c r="H1828" s="12">
        <v>6.1980000000000004</v>
      </c>
      <c r="I1828" s="12">
        <v>-75.367999999999995</v>
      </c>
      <c r="J1828" t="s">
        <v>96</v>
      </c>
      <c r="K1828" t="s">
        <v>1269</v>
      </c>
      <c r="L1828" t="s">
        <v>1270</v>
      </c>
      <c r="P1828" s="13">
        <v>278.10000000000002</v>
      </c>
      <c r="Q1828" s="13">
        <v>58.5</v>
      </c>
      <c r="R1828">
        <v>30</v>
      </c>
      <c r="S1828">
        <v>80</v>
      </c>
      <c r="T1828" s="13">
        <v>48.3</v>
      </c>
      <c r="U1828" s="13">
        <v>72.7</v>
      </c>
      <c r="V1828" t="s">
        <v>268</v>
      </c>
      <c r="W1828" t="s">
        <v>1271</v>
      </c>
      <c r="X1828" s="13"/>
    </row>
    <row r="1829" spans="1:24" x14ac:dyDescent="0.25">
      <c r="A1829" t="s">
        <v>1644</v>
      </c>
      <c r="B1829" t="s">
        <v>64</v>
      </c>
      <c r="C1829" t="s">
        <v>1627</v>
      </c>
      <c r="D1829" t="s">
        <v>1628</v>
      </c>
      <c r="E1829" t="s">
        <v>64</v>
      </c>
      <c r="F1829" t="s">
        <v>94</v>
      </c>
      <c r="G1829" t="s">
        <v>277</v>
      </c>
      <c r="H1829" s="12">
        <v>6.1980000000000004</v>
      </c>
      <c r="I1829" s="12">
        <v>-75.367999999999995</v>
      </c>
      <c r="J1829" t="s">
        <v>96</v>
      </c>
      <c r="K1829" t="s">
        <v>97</v>
      </c>
      <c r="L1829" t="s">
        <v>1273</v>
      </c>
      <c r="P1829" s="13">
        <v>246.2</v>
      </c>
      <c r="Q1829" s="13">
        <v>63.4</v>
      </c>
      <c r="R1829">
        <v>42</v>
      </c>
      <c r="S1829">
        <v>44</v>
      </c>
      <c r="T1829" s="13">
        <v>50</v>
      </c>
      <c r="U1829" s="13">
        <v>41.8</v>
      </c>
      <c r="V1829" t="s">
        <v>99</v>
      </c>
      <c r="X1829" s="13">
        <v>246.2</v>
      </c>
    </row>
    <row r="1830" spans="1:24" x14ac:dyDescent="0.25">
      <c r="A1830" t="s">
        <v>1644</v>
      </c>
      <c r="B1830" t="s">
        <v>64</v>
      </c>
      <c r="C1830" t="s">
        <v>1627</v>
      </c>
      <c r="D1830" t="s">
        <v>1628</v>
      </c>
      <c r="E1830" t="s">
        <v>64</v>
      </c>
      <c r="F1830" t="s">
        <v>94</v>
      </c>
      <c r="G1830" t="s">
        <v>277</v>
      </c>
      <c r="H1830" s="12">
        <v>6.1980000000000004</v>
      </c>
      <c r="I1830" s="12">
        <v>-75.367999999999995</v>
      </c>
      <c r="J1830" t="s">
        <v>96</v>
      </c>
      <c r="K1830" t="s">
        <v>1269</v>
      </c>
      <c r="L1830" t="s">
        <v>1270</v>
      </c>
      <c r="P1830" s="13">
        <v>214.7</v>
      </c>
      <c r="Q1830" s="13">
        <v>51.2</v>
      </c>
      <c r="R1830">
        <v>42</v>
      </c>
      <c r="S1830">
        <v>46</v>
      </c>
      <c r="T1830" s="13">
        <v>41.4</v>
      </c>
      <c r="U1830" s="13">
        <v>16.399999999999999</v>
      </c>
      <c r="V1830" t="s">
        <v>268</v>
      </c>
      <c r="W1830" t="s">
        <v>1271</v>
      </c>
      <c r="X1830" s="13"/>
    </row>
    <row r="1831" spans="1:24" x14ac:dyDescent="0.25">
      <c r="A1831" t="s">
        <v>1645</v>
      </c>
      <c r="B1831" t="s">
        <v>64</v>
      </c>
      <c r="C1831" t="s">
        <v>1627</v>
      </c>
      <c r="D1831" t="s">
        <v>1628</v>
      </c>
      <c r="E1831" t="s">
        <v>64</v>
      </c>
      <c r="F1831" t="s">
        <v>94</v>
      </c>
      <c r="G1831" t="s">
        <v>277</v>
      </c>
      <c r="H1831" s="12">
        <v>6.1980000000000004</v>
      </c>
      <c r="I1831" s="12">
        <v>-75.367999999999995</v>
      </c>
      <c r="J1831" t="s">
        <v>96</v>
      </c>
      <c r="K1831" t="s">
        <v>97</v>
      </c>
      <c r="L1831" t="s">
        <v>1273</v>
      </c>
      <c r="P1831" s="13">
        <v>175.8</v>
      </c>
      <c r="Q1831" s="13">
        <v>41.5</v>
      </c>
      <c r="R1831">
        <v>32</v>
      </c>
      <c r="S1831">
        <v>34</v>
      </c>
      <c r="T1831" s="13">
        <v>32.799999999999997</v>
      </c>
      <c r="U1831" s="13">
        <v>36.4</v>
      </c>
      <c r="V1831" t="s">
        <v>99</v>
      </c>
      <c r="X1831" s="13">
        <v>175.8</v>
      </c>
    </row>
    <row r="1832" spans="1:24" x14ac:dyDescent="0.25">
      <c r="A1832" t="s">
        <v>1645</v>
      </c>
      <c r="B1832" t="s">
        <v>64</v>
      </c>
      <c r="C1832" t="s">
        <v>1627</v>
      </c>
      <c r="D1832" t="s">
        <v>1628</v>
      </c>
      <c r="E1832" t="s">
        <v>64</v>
      </c>
      <c r="F1832" t="s">
        <v>94</v>
      </c>
      <c r="G1832" t="s">
        <v>277</v>
      </c>
      <c r="H1832" s="12">
        <v>6.1980000000000004</v>
      </c>
      <c r="I1832" s="12">
        <v>-75.367999999999995</v>
      </c>
      <c r="J1832" t="s">
        <v>96</v>
      </c>
      <c r="K1832" t="s">
        <v>1269</v>
      </c>
      <c r="L1832" t="s">
        <v>1270</v>
      </c>
      <c r="P1832" s="13">
        <v>145.9</v>
      </c>
      <c r="Q1832" s="13">
        <v>34.1</v>
      </c>
      <c r="R1832">
        <v>30</v>
      </c>
      <c r="S1832">
        <v>22</v>
      </c>
      <c r="T1832" s="13">
        <v>27.6</v>
      </c>
      <c r="U1832" s="13">
        <v>38.200000000000003</v>
      </c>
      <c r="V1832" t="s">
        <v>268</v>
      </c>
      <c r="W1832" t="s">
        <v>1271</v>
      </c>
      <c r="X1832" s="13"/>
    </row>
    <row r="1833" spans="1:24" x14ac:dyDescent="0.25">
      <c r="A1833" t="s">
        <v>1646</v>
      </c>
      <c r="B1833" t="s">
        <v>64</v>
      </c>
      <c r="C1833" t="s">
        <v>1627</v>
      </c>
      <c r="D1833" t="s">
        <v>1628</v>
      </c>
      <c r="E1833" t="s">
        <v>64</v>
      </c>
      <c r="F1833" t="s">
        <v>94</v>
      </c>
      <c r="G1833" t="s">
        <v>277</v>
      </c>
      <c r="H1833" s="12">
        <v>6.1980000000000004</v>
      </c>
      <c r="I1833" s="12">
        <v>-75.367999999999995</v>
      </c>
      <c r="J1833" t="s">
        <v>96</v>
      </c>
      <c r="K1833" t="s">
        <v>97</v>
      </c>
      <c r="L1833" t="s">
        <v>1273</v>
      </c>
      <c r="P1833" s="13">
        <v>187.6</v>
      </c>
      <c r="Q1833" s="13">
        <v>36.6</v>
      </c>
      <c r="R1833">
        <v>30</v>
      </c>
      <c r="S1833">
        <v>36</v>
      </c>
      <c r="T1833" s="13">
        <v>44.8</v>
      </c>
      <c r="U1833" s="13">
        <v>45.5</v>
      </c>
      <c r="V1833" t="s">
        <v>99</v>
      </c>
      <c r="X1833" s="13">
        <v>187.6</v>
      </c>
    </row>
    <row r="1834" spans="1:24" x14ac:dyDescent="0.25">
      <c r="A1834" t="s">
        <v>1646</v>
      </c>
      <c r="B1834" t="s">
        <v>64</v>
      </c>
      <c r="C1834" t="s">
        <v>1627</v>
      </c>
      <c r="D1834" t="s">
        <v>1628</v>
      </c>
      <c r="E1834" t="s">
        <v>64</v>
      </c>
      <c r="F1834" t="s">
        <v>94</v>
      </c>
      <c r="G1834" t="s">
        <v>277</v>
      </c>
      <c r="H1834" s="12">
        <v>6.1980000000000004</v>
      </c>
      <c r="I1834" s="12">
        <v>-75.367999999999995</v>
      </c>
      <c r="J1834" t="s">
        <v>96</v>
      </c>
      <c r="K1834" t="s">
        <v>1269</v>
      </c>
      <c r="L1834" t="s">
        <v>1270</v>
      </c>
      <c r="P1834" s="13">
        <v>262</v>
      </c>
      <c r="Q1834" s="13">
        <v>43.9</v>
      </c>
      <c r="R1834">
        <v>44</v>
      </c>
      <c r="S1834">
        <v>56</v>
      </c>
      <c r="T1834" s="13">
        <v>53.4</v>
      </c>
      <c r="U1834" s="13">
        <v>89.1</v>
      </c>
      <c r="V1834" t="s">
        <v>268</v>
      </c>
      <c r="W1834" t="s">
        <v>1271</v>
      </c>
      <c r="X1834" s="13"/>
    </row>
    <row r="1835" spans="1:24" x14ac:dyDescent="0.25">
      <c r="A1835" t="s">
        <v>1647</v>
      </c>
      <c r="B1835" t="s">
        <v>64</v>
      </c>
      <c r="C1835" t="s">
        <v>1627</v>
      </c>
      <c r="D1835" t="s">
        <v>1628</v>
      </c>
      <c r="E1835" t="s">
        <v>64</v>
      </c>
      <c r="F1835" t="s">
        <v>94</v>
      </c>
      <c r="G1835" t="s">
        <v>277</v>
      </c>
      <c r="H1835" s="12">
        <v>6.1980000000000004</v>
      </c>
      <c r="I1835" s="12">
        <v>-75.367999999999995</v>
      </c>
      <c r="J1835" t="s">
        <v>96</v>
      </c>
      <c r="K1835" t="s">
        <v>1269</v>
      </c>
      <c r="L1835" t="s">
        <v>1270</v>
      </c>
      <c r="P1835" s="13">
        <v>177.2</v>
      </c>
      <c r="Q1835" s="13">
        <v>43.9</v>
      </c>
      <c r="R1835">
        <v>28</v>
      </c>
      <c r="S1835">
        <v>34</v>
      </c>
      <c r="T1835" s="13">
        <v>37.9</v>
      </c>
      <c r="U1835" s="13">
        <v>29.1</v>
      </c>
      <c r="V1835" t="s">
        <v>268</v>
      </c>
      <c r="W1835" t="s">
        <v>1271</v>
      </c>
      <c r="X1835" s="13"/>
    </row>
    <row r="1836" spans="1:24" x14ac:dyDescent="0.25">
      <c r="A1836" t="s">
        <v>1648</v>
      </c>
      <c r="B1836" t="s">
        <v>64</v>
      </c>
      <c r="C1836" t="s">
        <v>1627</v>
      </c>
      <c r="D1836" t="s">
        <v>1628</v>
      </c>
      <c r="E1836" t="s">
        <v>64</v>
      </c>
      <c r="F1836" t="s">
        <v>94</v>
      </c>
      <c r="G1836" t="s">
        <v>277</v>
      </c>
      <c r="H1836" s="12">
        <v>6.1980000000000004</v>
      </c>
      <c r="I1836" s="12">
        <v>-75.367999999999995</v>
      </c>
      <c r="J1836" t="s">
        <v>96</v>
      </c>
      <c r="K1836" t="s">
        <v>97</v>
      </c>
      <c r="L1836" t="s">
        <v>1273</v>
      </c>
      <c r="P1836" s="13">
        <v>208.7</v>
      </c>
      <c r="Q1836" s="13">
        <v>61</v>
      </c>
      <c r="R1836">
        <v>20</v>
      </c>
      <c r="S1836">
        <v>48</v>
      </c>
      <c r="T1836" s="13">
        <v>37.9</v>
      </c>
      <c r="U1836" s="13">
        <v>41.8</v>
      </c>
      <c r="V1836" t="s">
        <v>99</v>
      </c>
      <c r="X1836" s="13">
        <v>208.7</v>
      </c>
    </row>
    <row r="1837" spans="1:24" x14ac:dyDescent="0.25">
      <c r="A1837" t="s">
        <v>1648</v>
      </c>
      <c r="B1837" t="s">
        <v>64</v>
      </c>
      <c r="C1837" t="s">
        <v>1627</v>
      </c>
      <c r="D1837" t="s">
        <v>1628</v>
      </c>
      <c r="E1837" t="s">
        <v>64</v>
      </c>
      <c r="F1837" t="s">
        <v>94</v>
      </c>
      <c r="G1837" t="s">
        <v>277</v>
      </c>
      <c r="H1837" s="12">
        <v>6.1980000000000004</v>
      </c>
      <c r="I1837" s="12">
        <v>-75.367999999999995</v>
      </c>
      <c r="J1837" t="s">
        <v>96</v>
      </c>
      <c r="K1837" t="s">
        <v>1269</v>
      </c>
      <c r="L1837" t="s">
        <v>1270</v>
      </c>
      <c r="P1837" s="13">
        <v>260.2</v>
      </c>
      <c r="Q1837" s="13">
        <v>56.1</v>
      </c>
      <c r="R1837">
        <v>34</v>
      </c>
      <c r="S1837">
        <v>56</v>
      </c>
      <c r="T1837" s="13">
        <v>55.2</v>
      </c>
      <c r="U1837" s="13">
        <v>72.7</v>
      </c>
      <c r="V1837" t="s">
        <v>268</v>
      </c>
      <c r="W1837" t="s">
        <v>1271</v>
      </c>
      <c r="X1837" s="13"/>
    </row>
    <row r="1838" spans="1:24" x14ac:dyDescent="0.25">
      <c r="A1838" t="s">
        <v>1649</v>
      </c>
      <c r="B1838" t="s">
        <v>64</v>
      </c>
      <c r="C1838" t="s">
        <v>1627</v>
      </c>
      <c r="D1838" t="s">
        <v>1628</v>
      </c>
      <c r="E1838" t="s">
        <v>64</v>
      </c>
      <c r="F1838" t="s">
        <v>94</v>
      </c>
      <c r="G1838" t="s">
        <v>277</v>
      </c>
      <c r="H1838" s="12">
        <v>6.1980000000000004</v>
      </c>
      <c r="I1838" s="12">
        <v>-75.367999999999995</v>
      </c>
      <c r="J1838" t="s">
        <v>96</v>
      </c>
      <c r="K1838" t="s">
        <v>97</v>
      </c>
      <c r="L1838" t="s">
        <v>1273</v>
      </c>
      <c r="P1838" s="13">
        <v>40.4</v>
      </c>
      <c r="Q1838" s="13">
        <v>0</v>
      </c>
      <c r="R1838">
        <v>10</v>
      </c>
      <c r="S1838">
        <v>6</v>
      </c>
      <c r="T1838" s="13">
        <v>6.9</v>
      </c>
      <c r="U1838" s="13">
        <v>36.4</v>
      </c>
      <c r="V1838" t="s">
        <v>99</v>
      </c>
      <c r="X1838" s="13">
        <v>40.4</v>
      </c>
    </row>
    <row r="1839" spans="1:24" x14ac:dyDescent="0.25">
      <c r="A1839" t="s">
        <v>1649</v>
      </c>
      <c r="B1839" t="s">
        <v>64</v>
      </c>
      <c r="C1839" t="s">
        <v>1627</v>
      </c>
      <c r="D1839" t="s">
        <v>1628</v>
      </c>
      <c r="E1839" t="s">
        <v>64</v>
      </c>
      <c r="F1839" t="s">
        <v>94</v>
      </c>
      <c r="G1839" t="s">
        <v>277</v>
      </c>
      <c r="H1839" s="12">
        <v>6.1980000000000004</v>
      </c>
      <c r="I1839" s="12">
        <v>-75.367999999999995</v>
      </c>
      <c r="J1839" t="s">
        <v>96</v>
      </c>
      <c r="K1839" t="s">
        <v>1269</v>
      </c>
      <c r="L1839" t="s">
        <v>1270</v>
      </c>
      <c r="P1839" s="13">
        <v>232.9</v>
      </c>
      <c r="Q1839" s="13">
        <v>46.3</v>
      </c>
      <c r="R1839">
        <v>52</v>
      </c>
      <c r="S1839">
        <v>36</v>
      </c>
      <c r="T1839" s="13">
        <v>39.700000000000003</v>
      </c>
      <c r="U1839" s="13">
        <v>83.6</v>
      </c>
      <c r="V1839" t="s">
        <v>268</v>
      </c>
      <c r="W1839" t="s">
        <v>1271</v>
      </c>
      <c r="X1839" s="13"/>
    </row>
    <row r="1840" spans="1:24" x14ac:dyDescent="0.25">
      <c r="A1840" t="s">
        <v>1650</v>
      </c>
      <c r="B1840" t="s">
        <v>64</v>
      </c>
      <c r="C1840" t="s">
        <v>1627</v>
      </c>
      <c r="D1840" t="s">
        <v>1628</v>
      </c>
      <c r="E1840" t="s">
        <v>64</v>
      </c>
      <c r="F1840" t="s">
        <v>94</v>
      </c>
      <c r="G1840" t="s">
        <v>277</v>
      </c>
      <c r="H1840" s="12">
        <v>6.1980000000000004</v>
      </c>
      <c r="I1840" s="12">
        <v>-75.367999999999995</v>
      </c>
      <c r="J1840" t="s">
        <v>129</v>
      </c>
      <c r="K1840" t="s">
        <v>97</v>
      </c>
      <c r="L1840" t="s">
        <v>1273</v>
      </c>
      <c r="P1840" s="13">
        <v>221.8</v>
      </c>
      <c r="Q1840" s="13">
        <v>61</v>
      </c>
      <c r="R1840">
        <v>26</v>
      </c>
      <c r="S1840">
        <v>56</v>
      </c>
      <c r="T1840" s="13">
        <v>31</v>
      </c>
      <c r="U1840" s="13">
        <v>54.5</v>
      </c>
      <c r="V1840" t="s">
        <v>99</v>
      </c>
      <c r="X1840" s="13">
        <v>221.8</v>
      </c>
    </row>
    <row r="1841" spans="1:24" x14ac:dyDescent="0.25">
      <c r="A1841" t="s">
        <v>1650</v>
      </c>
      <c r="B1841" t="s">
        <v>64</v>
      </c>
      <c r="C1841" t="s">
        <v>1627</v>
      </c>
      <c r="D1841" t="s">
        <v>1628</v>
      </c>
      <c r="E1841" t="s">
        <v>64</v>
      </c>
      <c r="F1841" t="s">
        <v>94</v>
      </c>
      <c r="G1841" t="s">
        <v>277</v>
      </c>
      <c r="H1841" s="12">
        <v>6.1980000000000004</v>
      </c>
      <c r="I1841" s="12">
        <v>-75.367999999999995</v>
      </c>
      <c r="J1841" t="s">
        <v>129</v>
      </c>
      <c r="K1841" t="s">
        <v>1269</v>
      </c>
      <c r="L1841" t="s">
        <v>1270</v>
      </c>
      <c r="P1841" s="13">
        <v>259.60000000000002</v>
      </c>
      <c r="Q1841" s="13">
        <v>61</v>
      </c>
      <c r="R1841">
        <v>20</v>
      </c>
      <c r="S1841">
        <v>72</v>
      </c>
      <c r="T1841" s="13">
        <v>56.9</v>
      </c>
      <c r="U1841" s="13">
        <v>45.5</v>
      </c>
      <c r="V1841" t="s">
        <v>268</v>
      </c>
      <c r="W1841" t="s">
        <v>1271</v>
      </c>
      <c r="X1841" s="13"/>
    </row>
    <row r="1842" spans="1:24" x14ac:dyDescent="0.25">
      <c r="A1842" t="s">
        <v>1651</v>
      </c>
      <c r="B1842" t="s">
        <v>64</v>
      </c>
      <c r="C1842" t="s">
        <v>1627</v>
      </c>
      <c r="D1842" t="s">
        <v>1628</v>
      </c>
      <c r="E1842" t="s">
        <v>64</v>
      </c>
      <c r="F1842" t="s">
        <v>94</v>
      </c>
      <c r="G1842" t="s">
        <v>277</v>
      </c>
      <c r="H1842" s="12">
        <v>6.1980000000000004</v>
      </c>
      <c r="I1842" s="12">
        <v>-75.367999999999995</v>
      </c>
      <c r="J1842" t="s">
        <v>96</v>
      </c>
      <c r="K1842" t="s">
        <v>97</v>
      </c>
      <c r="L1842" t="s">
        <v>1273</v>
      </c>
      <c r="P1842" s="13">
        <v>306.3</v>
      </c>
      <c r="Q1842" s="13">
        <v>68.3</v>
      </c>
      <c r="R1842">
        <v>38</v>
      </c>
      <c r="S1842">
        <v>82</v>
      </c>
      <c r="T1842" s="13">
        <v>51.7</v>
      </c>
      <c r="U1842" s="13">
        <v>76.400000000000006</v>
      </c>
      <c r="V1842" t="s">
        <v>99</v>
      </c>
      <c r="X1842" s="13">
        <v>306.3</v>
      </c>
    </row>
    <row r="1843" spans="1:24" x14ac:dyDescent="0.25">
      <c r="A1843" t="s">
        <v>1651</v>
      </c>
      <c r="B1843" t="s">
        <v>64</v>
      </c>
      <c r="C1843" t="s">
        <v>1627</v>
      </c>
      <c r="D1843" t="s">
        <v>1628</v>
      </c>
      <c r="E1843" t="s">
        <v>64</v>
      </c>
      <c r="F1843" t="s">
        <v>94</v>
      </c>
      <c r="G1843" t="s">
        <v>277</v>
      </c>
      <c r="H1843" s="12">
        <v>6.1980000000000004</v>
      </c>
      <c r="I1843" s="12">
        <v>-75.367999999999995</v>
      </c>
      <c r="J1843" t="s">
        <v>96</v>
      </c>
      <c r="K1843" t="s">
        <v>1269</v>
      </c>
      <c r="L1843" t="s">
        <v>1270</v>
      </c>
      <c r="P1843" s="13">
        <v>320.60000000000002</v>
      </c>
      <c r="Q1843" s="13">
        <v>58.5</v>
      </c>
      <c r="R1843">
        <v>44</v>
      </c>
      <c r="S1843">
        <v>78</v>
      </c>
      <c r="T1843" s="13">
        <v>70.7</v>
      </c>
      <c r="U1843" s="13">
        <v>80</v>
      </c>
      <c r="V1843" t="s">
        <v>268</v>
      </c>
      <c r="W1843" t="s">
        <v>1271</v>
      </c>
      <c r="X1843" s="13"/>
    </row>
    <row r="1844" spans="1:24" x14ac:dyDescent="0.25">
      <c r="A1844" t="s">
        <v>1652</v>
      </c>
      <c r="B1844" t="s">
        <v>64</v>
      </c>
      <c r="C1844" t="s">
        <v>1627</v>
      </c>
      <c r="D1844" t="s">
        <v>1628</v>
      </c>
      <c r="E1844" t="s">
        <v>64</v>
      </c>
      <c r="F1844" t="s">
        <v>94</v>
      </c>
      <c r="G1844" t="s">
        <v>277</v>
      </c>
      <c r="H1844" s="12">
        <v>6.1980000000000004</v>
      </c>
      <c r="I1844" s="12">
        <v>-75.367999999999995</v>
      </c>
      <c r="J1844" t="s">
        <v>96</v>
      </c>
      <c r="K1844" t="s">
        <v>97</v>
      </c>
      <c r="L1844" t="s">
        <v>1273</v>
      </c>
      <c r="P1844" s="13">
        <v>205.8</v>
      </c>
      <c r="Q1844" s="13">
        <v>51.2</v>
      </c>
      <c r="R1844">
        <v>34</v>
      </c>
      <c r="S1844">
        <v>50</v>
      </c>
      <c r="T1844" s="13">
        <v>31</v>
      </c>
      <c r="U1844" s="13">
        <v>36.4</v>
      </c>
      <c r="V1844" t="s">
        <v>99</v>
      </c>
      <c r="X1844" s="13">
        <v>205.8</v>
      </c>
    </row>
    <row r="1845" spans="1:24" x14ac:dyDescent="0.25">
      <c r="A1845" t="s">
        <v>1652</v>
      </c>
      <c r="B1845" t="s">
        <v>64</v>
      </c>
      <c r="C1845" t="s">
        <v>1627</v>
      </c>
      <c r="D1845" t="s">
        <v>1628</v>
      </c>
      <c r="E1845" t="s">
        <v>64</v>
      </c>
      <c r="F1845" t="s">
        <v>94</v>
      </c>
      <c r="G1845" t="s">
        <v>277</v>
      </c>
      <c r="H1845" s="12">
        <v>6.1980000000000004</v>
      </c>
      <c r="I1845" s="12">
        <v>-75.367999999999995</v>
      </c>
      <c r="J1845" t="s">
        <v>96</v>
      </c>
      <c r="K1845" t="s">
        <v>1269</v>
      </c>
      <c r="L1845" t="s">
        <v>1270</v>
      </c>
      <c r="P1845" s="13">
        <v>164.7</v>
      </c>
      <c r="Q1845" s="13">
        <v>36.6</v>
      </c>
      <c r="R1845">
        <v>34</v>
      </c>
      <c r="S1845">
        <v>36</v>
      </c>
      <c r="T1845" s="13">
        <v>25.9</v>
      </c>
      <c r="U1845" s="13">
        <v>30.9</v>
      </c>
      <c r="V1845" t="s">
        <v>268</v>
      </c>
      <c r="W1845" t="s">
        <v>1271</v>
      </c>
      <c r="X1845" s="13"/>
    </row>
    <row r="1846" spans="1:24" x14ac:dyDescent="0.25">
      <c r="A1846" t="s">
        <v>1653</v>
      </c>
      <c r="B1846" t="s">
        <v>64</v>
      </c>
      <c r="C1846" t="s">
        <v>1627</v>
      </c>
      <c r="D1846" t="s">
        <v>1628</v>
      </c>
      <c r="E1846" t="s">
        <v>64</v>
      </c>
      <c r="F1846" t="s">
        <v>94</v>
      </c>
      <c r="G1846" t="s">
        <v>277</v>
      </c>
      <c r="H1846" s="12">
        <v>6.1980000000000004</v>
      </c>
      <c r="I1846" s="12">
        <v>-75.367999999999995</v>
      </c>
      <c r="J1846" t="s">
        <v>96</v>
      </c>
      <c r="K1846" t="s">
        <v>97</v>
      </c>
      <c r="L1846" t="s">
        <v>1273</v>
      </c>
      <c r="P1846" s="13">
        <v>172</v>
      </c>
      <c r="Q1846" s="13">
        <v>48.8</v>
      </c>
      <c r="R1846">
        <v>26</v>
      </c>
      <c r="S1846">
        <v>32</v>
      </c>
      <c r="T1846" s="13">
        <v>24.1</v>
      </c>
      <c r="U1846" s="13">
        <v>54.5</v>
      </c>
      <c r="V1846" t="s">
        <v>99</v>
      </c>
      <c r="X1846" s="13">
        <v>172</v>
      </c>
    </row>
    <row r="1847" spans="1:24" x14ac:dyDescent="0.25">
      <c r="A1847" t="s">
        <v>1653</v>
      </c>
      <c r="B1847" t="s">
        <v>64</v>
      </c>
      <c r="C1847" t="s">
        <v>1627</v>
      </c>
      <c r="D1847" t="s">
        <v>1628</v>
      </c>
      <c r="E1847" t="s">
        <v>64</v>
      </c>
      <c r="F1847" t="s">
        <v>94</v>
      </c>
      <c r="G1847" t="s">
        <v>277</v>
      </c>
      <c r="H1847" s="12">
        <v>6.1980000000000004</v>
      </c>
      <c r="I1847" s="12">
        <v>-75.367999999999995</v>
      </c>
      <c r="J1847" t="s">
        <v>96</v>
      </c>
      <c r="K1847" t="s">
        <v>1269</v>
      </c>
      <c r="L1847" t="s">
        <v>1270</v>
      </c>
      <c r="P1847" s="13">
        <v>215.9</v>
      </c>
      <c r="Q1847" s="13">
        <v>51.2</v>
      </c>
      <c r="R1847">
        <v>46</v>
      </c>
      <c r="S1847">
        <v>42</v>
      </c>
      <c r="T1847" s="13">
        <v>32.799999999999997</v>
      </c>
      <c r="U1847" s="13">
        <v>45.5</v>
      </c>
      <c r="V1847" t="s">
        <v>268</v>
      </c>
      <c r="W1847" t="s">
        <v>1271</v>
      </c>
      <c r="X1847" s="13"/>
    </row>
    <row r="1848" spans="1:24" x14ac:dyDescent="0.25">
      <c r="A1848" t="s">
        <v>1654</v>
      </c>
      <c r="B1848" t="s">
        <v>64</v>
      </c>
      <c r="C1848" t="s">
        <v>1627</v>
      </c>
      <c r="D1848" t="s">
        <v>1628</v>
      </c>
      <c r="E1848" t="s">
        <v>64</v>
      </c>
      <c r="F1848" t="s">
        <v>94</v>
      </c>
      <c r="G1848" t="s">
        <v>277</v>
      </c>
      <c r="H1848" s="12">
        <v>6.1980000000000004</v>
      </c>
      <c r="I1848" s="12">
        <v>-75.367999999999995</v>
      </c>
      <c r="J1848" t="s">
        <v>96</v>
      </c>
      <c r="K1848" t="s">
        <v>97</v>
      </c>
      <c r="L1848" t="s">
        <v>1273</v>
      </c>
      <c r="P1848" s="13">
        <v>156.19999999999999</v>
      </c>
      <c r="Q1848" s="13">
        <v>36.6</v>
      </c>
      <c r="R1848">
        <v>22</v>
      </c>
      <c r="S1848">
        <v>22</v>
      </c>
      <c r="T1848" s="13">
        <v>39.700000000000003</v>
      </c>
      <c r="U1848" s="13">
        <v>45.5</v>
      </c>
      <c r="V1848" t="s">
        <v>99</v>
      </c>
      <c r="X1848" s="13">
        <v>156.19999999999999</v>
      </c>
    </row>
    <row r="1849" spans="1:24" x14ac:dyDescent="0.25">
      <c r="A1849" t="s">
        <v>1654</v>
      </c>
      <c r="B1849" t="s">
        <v>64</v>
      </c>
      <c r="C1849" t="s">
        <v>1627</v>
      </c>
      <c r="D1849" t="s">
        <v>1628</v>
      </c>
      <c r="E1849" t="s">
        <v>64</v>
      </c>
      <c r="F1849" t="s">
        <v>94</v>
      </c>
      <c r="G1849" t="s">
        <v>277</v>
      </c>
      <c r="H1849" s="12">
        <v>6.1980000000000004</v>
      </c>
      <c r="I1849" s="12">
        <v>-75.367999999999995</v>
      </c>
      <c r="J1849" t="s">
        <v>96</v>
      </c>
      <c r="K1849" t="s">
        <v>1269</v>
      </c>
      <c r="L1849" t="s">
        <v>1270</v>
      </c>
      <c r="P1849" s="13">
        <v>315.2</v>
      </c>
      <c r="Q1849" s="13">
        <v>53.7</v>
      </c>
      <c r="R1849">
        <v>66</v>
      </c>
      <c r="S1849">
        <v>72</v>
      </c>
      <c r="T1849" s="13">
        <v>50</v>
      </c>
      <c r="U1849" s="13">
        <v>94.5</v>
      </c>
      <c r="V1849" t="s">
        <v>268</v>
      </c>
      <c r="W1849" t="s">
        <v>1271</v>
      </c>
      <c r="X1849" s="13"/>
    </row>
    <row r="1850" spans="1:24" x14ac:dyDescent="0.25">
      <c r="A1850" t="s">
        <v>1655</v>
      </c>
      <c r="B1850" t="s">
        <v>64</v>
      </c>
      <c r="C1850" t="s">
        <v>1627</v>
      </c>
      <c r="D1850" t="s">
        <v>1628</v>
      </c>
      <c r="E1850" t="s">
        <v>64</v>
      </c>
      <c r="F1850" t="s">
        <v>94</v>
      </c>
      <c r="G1850" t="s">
        <v>277</v>
      </c>
      <c r="H1850" s="12">
        <v>6.1980000000000004</v>
      </c>
      <c r="I1850" s="12">
        <v>-75.367999999999995</v>
      </c>
      <c r="J1850" t="s">
        <v>96</v>
      </c>
      <c r="K1850" t="s">
        <v>97</v>
      </c>
      <c r="L1850" t="s">
        <v>1273</v>
      </c>
      <c r="P1850" s="13">
        <v>185.3</v>
      </c>
      <c r="Q1850" s="13">
        <v>46.3</v>
      </c>
      <c r="R1850">
        <v>24</v>
      </c>
      <c r="S1850">
        <v>38</v>
      </c>
      <c r="T1850" s="13">
        <v>41.4</v>
      </c>
      <c r="U1850" s="13">
        <v>32.700000000000003</v>
      </c>
      <c r="V1850" t="s">
        <v>99</v>
      </c>
      <c r="X1850" s="13">
        <v>185.3</v>
      </c>
    </row>
    <row r="1851" spans="1:24" x14ac:dyDescent="0.25">
      <c r="A1851" t="s">
        <v>1655</v>
      </c>
      <c r="B1851" t="s">
        <v>64</v>
      </c>
      <c r="C1851" t="s">
        <v>1627</v>
      </c>
      <c r="D1851" t="s">
        <v>1628</v>
      </c>
      <c r="E1851" t="s">
        <v>64</v>
      </c>
      <c r="F1851" t="s">
        <v>94</v>
      </c>
      <c r="G1851" t="s">
        <v>277</v>
      </c>
      <c r="H1851" s="12">
        <v>6.1980000000000004</v>
      </c>
      <c r="I1851" s="12">
        <v>-75.367999999999995</v>
      </c>
      <c r="J1851" t="s">
        <v>96</v>
      </c>
      <c r="K1851" t="s">
        <v>1269</v>
      </c>
      <c r="L1851" t="s">
        <v>1270</v>
      </c>
      <c r="P1851" s="13">
        <v>233.7</v>
      </c>
      <c r="Q1851" s="13">
        <v>46.3</v>
      </c>
      <c r="R1851">
        <v>40</v>
      </c>
      <c r="S1851">
        <v>54</v>
      </c>
      <c r="T1851" s="13">
        <v>37.9</v>
      </c>
      <c r="U1851" s="13">
        <v>72.7</v>
      </c>
      <c r="V1851" t="s">
        <v>268</v>
      </c>
      <c r="W1851" t="s">
        <v>1271</v>
      </c>
      <c r="X1851" s="13"/>
    </row>
    <row r="1852" spans="1:24" x14ac:dyDescent="0.25">
      <c r="A1852" t="s">
        <v>1656</v>
      </c>
      <c r="B1852" t="s">
        <v>64</v>
      </c>
      <c r="C1852" t="s">
        <v>1627</v>
      </c>
      <c r="D1852" t="s">
        <v>1628</v>
      </c>
      <c r="E1852" t="s">
        <v>64</v>
      </c>
      <c r="F1852" t="s">
        <v>94</v>
      </c>
      <c r="G1852" t="s">
        <v>277</v>
      </c>
      <c r="H1852" s="12">
        <v>6.1980000000000004</v>
      </c>
      <c r="I1852" s="12">
        <v>-75.367999999999995</v>
      </c>
      <c r="J1852" t="s">
        <v>96</v>
      </c>
      <c r="K1852" t="s">
        <v>97</v>
      </c>
      <c r="L1852" t="s">
        <v>1273</v>
      </c>
      <c r="P1852" s="13">
        <v>138</v>
      </c>
      <c r="Q1852" s="13">
        <v>31.7</v>
      </c>
      <c r="R1852">
        <v>26</v>
      </c>
      <c r="S1852">
        <v>22</v>
      </c>
      <c r="T1852" s="13">
        <v>24.1</v>
      </c>
      <c r="U1852" s="13">
        <v>47.3</v>
      </c>
      <c r="V1852" t="s">
        <v>99</v>
      </c>
      <c r="X1852" s="13">
        <v>138</v>
      </c>
    </row>
    <row r="1853" spans="1:24" x14ac:dyDescent="0.25">
      <c r="A1853" t="s">
        <v>1656</v>
      </c>
      <c r="B1853" t="s">
        <v>64</v>
      </c>
      <c r="C1853" t="s">
        <v>1627</v>
      </c>
      <c r="D1853" t="s">
        <v>1628</v>
      </c>
      <c r="E1853" t="s">
        <v>64</v>
      </c>
      <c r="F1853" t="s">
        <v>94</v>
      </c>
      <c r="G1853" t="s">
        <v>277</v>
      </c>
      <c r="H1853" s="12">
        <v>6.1980000000000004</v>
      </c>
      <c r="I1853" s="12">
        <v>-75.367999999999995</v>
      </c>
      <c r="J1853" t="s">
        <v>96</v>
      </c>
      <c r="K1853" t="s">
        <v>1269</v>
      </c>
      <c r="L1853" t="s">
        <v>1270</v>
      </c>
      <c r="P1853" s="13">
        <v>275.5</v>
      </c>
      <c r="Q1853" s="13">
        <v>56.1</v>
      </c>
      <c r="R1853">
        <v>38</v>
      </c>
      <c r="S1853">
        <v>60</v>
      </c>
      <c r="T1853" s="13">
        <v>58.6</v>
      </c>
      <c r="U1853" s="13">
        <v>78.2</v>
      </c>
      <c r="V1853" t="s">
        <v>268</v>
      </c>
      <c r="W1853" t="s">
        <v>1271</v>
      </c>
      <c r="X1853" s="13"/>
    </row>
    <row r="1854" spans="1:24" x14ac:dyDescent="0.25">
      <c r="A1854" t="s">
        <v>1657</v>
      </c>
      <c r="B1854" t="s">
        <v>64</v>
      </c>
      <c r="C1854" t="s">
        <v>1627</v>
      </c>
      <c r="D1854" t="s">
        <v>1628</v>
      </c>
      <c r="E1854" t="s">
        <v>64</v>
      </c>
      <c r="F1854" t="s">
        <v>94</v>
      </c>
      <c r="G1854" t="s">
        <v>277</v>
      </c>
      <c r="H1854" s="12">
        <v>6.1980000000000004</v>
      </c>
      <c r="I1854" s="12">
        <v>-75.367999999999995</v>
      </c>
      <c r="J1854" t="s">
        <v>129</v>
      </c>
      <c r="K1854" t="s">
        <v>97</v>
      </c>
      <c r="L1854" t="s">
        <v>1273</v>
      </c>
      <c r="P1854" s="13">
        <v>102.2</v>
      </c>
      <c r="Q1854" s="13">
        <v>24.4</v>
      </c>
      <c r="R1854">
        <v>10</v>
      </c>
      <c r="S1854">
        <v>22</v>
      </c>
      <c r="T1854" s="13">
        <v>20.7</v>
      </c>
      <c r="U1854" s="13">
        <v>34.5</v>
      </c>
      <c r="V1854" t="s">
        <v>99</v>
      </c>
      <c r="X1854" s="13">
        <v>102.2</v>
      </c>
    </row>
    <row r="1855" spans="1:24" x14ac:dyDescent="0.25">
      <c r="A1855" t="s">
        <v>1657</v>
      </c>
      <c r="B1855" t="s">
        <v>64</v>
      </c>
      <c r="C1855" t="s">
        <v>1627</v>
      </c>
      <c r="D1855" t="s">
        <v>1628</v>
      </c>
      <c r="E1855" t="s">
        <v>64</v>
      </c>
      <c r="F1855" t="s">
        <v>94</v>
      </c>
      <c r="G1855" t="s">
        <v>277</v>
      </c>
      <c r="H1855" s="12">
        <v>6.1980000000000004</v>
      </c>
      <c r="I1855" s="12">
        <v>-75.367999999999995</v>
      </c>
      <c r="J1855" t="s">
        <v>129</v>
      </c>
      <c r="K1855" t="s">
        <v>1269</v>
      </c>
      <c r="L1855" t="s">
        <v>1270</v>
      </c>
      <c r="P1855" s="13">
        <v>160.6</v>
      </c>
      <c r="Q1855" s="13">
        <v>36.6</v>
      </c>
      <c r="R1855">
        <v>34</v>
      </c>
      <c r="S1855">
        <v>22</v>
      </c>
      <c r="T1855" s="13">
        <v>34.5</v>
      </c>
      <c r="U1855" s="13">
        <v>36.4</v>
      </c>
      <c r="V1855" t="s">
        <v>268</v>
      </c>
      <c r="W1855" t="s">
        <v>1271</v>
      </c>
      <c r="X1855" s="13"/>
    </row>
    <row r="1856" spans="1:24" x14ac:dyDescent="0.25">
      <c r="A1856" t="s">
        <v>1658</v>
      </c>
      <c r="B1856" t="s">
        <v>64</v>
      </c>
      <c r="C1856" t="s">
        <v>1627</v>
      </c>
      <c r="D1856" t="s">
        <v>1628</v>
      </c>
      <c r="E1856" t="s">
        <v>64</v>
      </c>
      <c r="F1856" t="s">
        <v>94</v>
      </c>
      <c r="G1856" t="s">
        <v>277</v>
      </c>
      <c r="H1856" s="12">
        <v>6.1980000000000004</v>
      </c>
      <c r="I1856" s="12">
        <v>-75.367999999999995</v>
      </c>
      <c r="J1856" t="s">
        <v>129</v>
      </c>
      <c r="K1856" t="s">
        <v>97</v>
      </c>
      <c r="L1856" t="s">
        <v>1273</v>
      </c>
      <c r="P1856" s="13">
        <v>154</v>
      </c>
      <c r="Q1856" s="13">
        <v>41.5</v>
      </c>
      <c r="R1856">
        <v>34</v>
      </c>
      <c r="S1856">
        <v>26</v>
      </c>
      <c r="T1856" s="13">
        <v>24.1</v>
      </c>
      <c r="U1856" s="13">
        <v>23.6</v>
      </c>
      <c r="V1856" t="s">
        <v>99</v>
      </c>
      <c r="X1856" s="13">
        <v>154</v>
      </c>
    </row>
    <row r="1857" spans="1:24" x14ac:dyDescent="0.25">
      <c r="A1857" t="s">
        <v>1658</v>
      </c>
      <c r="B1857" t="s">
        <v>64</v>
      </c>
      <c r="C1857" t="s">
        <v>1627</v>
      </c>
      <c r="D1857" t="s">
        <v>1628</v>
      </c>
      <c r="E1857" t="s">
        <v>64</v>
      </c>
      <c r="F1857" t="s">
        <v>94</v>
      </c>
      <c r="G1857" t="s">
        <v>277</v>
      </c>
      <c r="H1857" s="12">
        <v>6.1980000000000004</v>
      </c>
      <c r="I1857" s="12">
        <v>-75.367999999999995</v>
      </c>
      <c r="J1857" t="s">
        <v>129</v>
      </c>
      <c r="K1857" t="s">
        <v>1269</v>
      </c>
      <c r="L1857" t="s">
        <v>1270</v>
      </c>
      <c r="P1857" s="13">
        <v>193.1</v>
      </c>
      <c r="Q1857" s="13">
        <v>46.3</v>
      </c>
      <c r="R1857">
        <v>28</v>
      </c>
      <c r="S1857">
        <v>44</v>
      </c>
      <c r="T1857" s="13">
        <v>34.5</v>
      </c>
      <c r="U1857" s="13">
        <v>43.6</v>
      </c>
      <c r="V1857" t="s">
        <v>268</v>
      </c>
      <c r="W1857" t="s">
        <v>1271</v>
      </c>
      <c r="X1857" s="13"/>
    </row>
    <row r="1858" spans="1:24" x14ac:dyDescent="0.25">
      <c r="A1858" t="s">
        <v>1659</v>
      </c>
      <c r="B1858" t="s">
        <v>64</v>
      </c>
      <c r="C1858" t="s">
        <v>1627</v>
      </c>
      <c r="D1858" t="s">
        <v>1628</v>
      </c>
      <c r="E1858" t="s">
        <v>64</v>
      </c>
      <c r="F1858" t="s">
        <v>94</v>
      </c>
      <c r="G1858" t="s">
        <v>277</v>
      </c>
      <c r="H1858" s="12">
        <v>6.1980000000000004</v>
      </c>
      <c r="I1858" s="12">
        <v>-75.367999999999995</v>
      </c>
      <c r="J1858" t="s">
        <v>129</v>
      </c>
      <c r="K1858" t="s">
        <v>97</v>
      </c>
      <c r="L1858" t="s">
        <v>1273</v>
      </c>
      <c r="P1858" s="13">
        <v>151.80000000000001</v>
      </c>
      <c r="Q1858" s="13">
        <v>48.8</v>
      </c>
      <c r="R1858">
        <v>28</v>
      </c>
      <c r="S1858">
        <v>22</v>
      </c>
      <c r="T1858" s="13">
        <v>20.7</v>
      </c>
      <c r="U1858" s="13">
        <v>36.4</v>
      </c>
      <c r="V1858" t="s">
        <v>99</v>
      </c>
      <c r="X1858" s="13">
        <v>151.80000000000001</v>
      </c>
    </row>
    <row r="1859" spans="1:24" x14ac:dyDescent="0.25">
      <c r="A1859" t="s">
        <v>1659</v>
      </c>
      <c r="B1859" t="s">
        <v>64</v>
      </c>
      <c r="C1859" t="s">
        <v>1627</v>
      </c>
      <c r="D1859" t="s">
        <v>1628</v>
      </c>
      <c r="E1859" t="s">
        <v>64</v>
      </c>
      <c r="F1859" t="s">
        <v>94</v>
      </c>
      <c r="G1859" t="s">
        <v>277</v>
      </c>
      <c r="H1859" s="12">
        <v>6.1980000000000004</v>
      </c>
      <c r="I1859" s="12">
        <v>-75.367999999999995</v>
      </c>
      <c r="J1859" t="s">
        <v>129</v>
      </c>
      <c r="K1859" t="s">
        <v>1269</v>
      </c>
      <c r="L1859" t="s">
        <v>1270</v>
      </c>
      <c r="P1859" s="13">
        <v>173.2</v>
      </c>
      <c r="Q1859" s="13">
        <v>48.8</v>
      </c>
      <c r="R1859">
        <v>30</v>
      </c>
      <c r="S1859">
        <v>20</v>
      </c>
      <c r="T1859" s="13">
        <v>36.200000000000003</v>
      </c>
      <c r="U1859" s="13">
        <v>45.5</v>
      </c>
      <c r="V1859" t="s">
        <v>268</v>
      </c>
      <c r="W1859" t="s">
        <v>1271</v>
      </c>
      <c r="X1859" s="13"/>
    </row>
    <row r="1860" spans="1:24" x14ac:dyDescent="0.25">
      <c r="A1860" t="s">
        <v>1660</v>
      </c>
      <c r="B1860" t="s">
        <v>64</v>
      </c>
      <c r="C1860" t="s">
        <v>1627</v>
      </c>
      <c r="D1860" t="s">
        <v>1628</v>
      </c>
      <c r="E1860" t="s">
        <v>64</v>
      </c>
      <c r="F1860" t="s">
        <v>94</v>
      </c>
      <c r="G1860" t="s">
        <v>277</v>
      </c>
      <c r="H1860" s="12">
        <v>6.1980000000000004</v>
      </c>
      <c r="I1860" s="12">
        <v>-75.367999999999995</v>
      </c>
      <c r="J1860" t="s">
        <v>129</v>
      </c>
      <c r="K1860" t="s">
        <v>97</v>
      </c>
      <c r="L1860" t="s">
        <v>1273</v>
      </c>
      <c r="P1860" s="13">
        <v>55.9</v>
      </c>
      <c r="Q1860" s="13">
        <v>0</v>
      </c>
      <c r="R1860">
        <v>14</v>
      </c>
      <c r="S1860">
        <v>14</v>
      </c>
      <c r="T1860" s="13">
        <v>13.8</v>
      </c>
      <c r="U1860" s="13">
        <v>20</v>
      </c>
      <c r="V1860" t="s">
        <v>99</v>
      </c>
      <c r="X1860" s="13">
        <v>55.9</v>
      </c>
    </row>
    <row r="1861" spans="1:24" x14ac:dyDescent="0.25">
      <c r="A1861" t="s">
        <v>1660</v>
      </c>
      <c r="B1861" t="s">
        <v>64</v>
      </c>
      <c r="C1861" t="s">
        <v>1627</v>
      </c>
      <c r="D1861" t="s">
        <v>1628</v>
      </c>
      <c r="E1861" t="s">
        <v>64</v>
      </c>
      <c r="F1861" t="s">
        <v>94</v>
      </c>
      <c r="G1861" t="s">
        <v>277</v>
      </c>
      <c r="H1861" s="12">
        <v>6.1980000000000004</v>
      </c>
      <c r="I1861" s="12">
        <v>-75.367999999999995</v>
      </c>
      <c r="J1861" t="s">
        <v>129</v>
      </c>
      <c r="K1861" t="s">
        <v>1269</v>
      </c>
      <c r="L1861" t="s">
        <v>1270</v>
      </c>
      <c r="P1861" s="13">
        <v>112.6</v>
      </c>
      <c r="Q1861" s="13">
        <v>36.6</v>
      </c>
      <c r="R1861">
        <v>28</v>
      </c>
      <c r="S1861">
        <v>14</v>
      </c>
      <c r="T1861" s="13">
        <v>19</v>
      </c>
      <c r="U1861" s="13">
        <v>0</v>
      </c>
      <c r="V1861" t="s">
        <v>268</v>
      </c>
      <c r="W1861" t="s">
        <v>1271</v>
      </c>
      <c r="X1861" s="13"/>
    </row>
    <row r="1862" spans="1:24" x14ac:dyDescent="0.25">
      <c r="A1862" t="s">
        <v>1661</v>
      </c>
      <c r="B1862" t="s">
        <v>64</v>
      </c>
      <c r="C1862" t="s">
        <v>1627</v>
      </c>
      <c r="D1862" t="s">
        <v>1628</v>
      </c>
      <c r="E1862" t="s">
        <v>64</v>
      </c>
      <c r="F1862" t="s">
        <v>94</v>
      </c>
      <c r="G1862" t="s">
        <v>277</v>
      </c>
      <c r="H1862" s="12">
        <v>6.1980000000000004</v>
      </c>
      <c r="I1862" s="12">
        <v>-75.367999999999995</v>
      </c>
      <c r="J1862" t="s">
        <v>129</v>
      </c>
      <c r="K1862" t="s">
        <v>97</v>
      </c>
      <c r="L1862" t="s">
        <v>1273</v>
      </c>
      <c r="P1862" s="13">
        <v>229.4</v>
      </c>
      <c r="Q1862" s="13">
        <v>63.4</v>
      </c>
      <c r="R1862">
        <v>34</v>
      </c>
      <c r="S1862">
        <v>50</v>
      </c>
      <c r="T1862" s="13">
        <v>36.200000000000003</v>
      </c>
      <c r="U1862" s="13">
        <v>45.5</v>
      </c>
      <c r="V1862" t="s">
        <v>99</v>
      </c>
      <c r="X1862" s="13">
        <v>229.4</v>
      </c>
    </row>
    <row r="1863" spans="1:24" x14ac:dyDescent="0.25">
      <c r="A1863" t="s">
        <v>1661</v>
      </c>
      <c r="B1863" t="s">
        <v>64</v>
      </c>
      <c r="C1863" t="s">
        <v>1627</v>
      </c>
      <c r="D1863" t="s">
        <v>1628</v>
      </c>
      <c r="E1863" t="s">
        <v>64</v>
      </c>
      <c r="F1863" t="s">
        <v>94</v>
      </c>
      <c r="G1863" t="s">
        <v>277</v>
      </c>
      <c r="H1863" s="12">
        <v>6.1980000000000004</v>
      </c>
      <c r="I1863" s="12">
        <v>-75.367999999999995</v>
      </c>
      <c r="J1863" t="s">
        <v>129</v>
      </c>
      <c r="K1863" t="s">
        <v>1269</v>
      </c>
      <c r="L1863" t="s">
        <v>1270</v>
      </c>
      <c r="P1863" s="13">
        <v>232.6</v>
      </c>
      <c r="Q1863" s="13">
        <v>51.2</v>
      </c>
      <c r="R1863">
        <v>46</v>
      </c>
      <c r="S1863">
        <v>44</v>
      </c>
      <c r="T1863" s="13">
        <v>48.3</v>
      </c>
      <c r="U1863" s="13">
        <v>36.4</v>
      </c>
      <c r="V1863" t="s">
        <v>268</v>
      </c>
      <c r="W1863" t="s">
        <v>1271</v>
      </c>
      <c r="X1863" s="13"/>
    </row>
    <row r="1864" spans="1:24" x14ac:dyDescent="0.25">
      <c r="A1864" t="s">
        <v>1662</v>
      </c>
      <c r="B1864" t="s">
        <v>64</v>
      </c>
      <c r="C1864" t="s">
        <v>1627</v>
      </c>
      <c r="D1864" t="s">
        <v>1628</v>
      </c>
      <c r="E1864" t="s">
        <v>64</v>
      </c>
      <c r="F1864" t="s">
        <v>94</v>
      </c>
      <c r="G1864" t="s">
        <v>277</v>
      </c>
      <c r="H1864" s="12">
        <v>6.1980000000000004</v>
      </c>
      <c r="I1864" s="12">
        <v>-75.367999999999995</v>
      </c>
      <c r="J1864" t="s">
        <v>129</v>
      </c>
      <c r="K1864" t="s">
        <v>97</v>
      </c>
      <c r="L1864" t="s">
        <v>1273</v>
      </c>
      <c r="P1864" s="13">
        <v>229.9</v>
      </c>
      <c r="Q1864" s="13">
        <v>75.599999999999994</v>
      </c>
      <c r="R1864">
        <v>46</v>
      </c>
      <c r="S1864">
        <v>24</v>
      </c>
      <c r="T1864" s="13">
        <v>39.700000000000003</v>
      </c>
      <c r="U1864" s="13">
        <v>41.8</v>
      </c>
      <c r="V1864" t="s">
        <v>99</v>
      </c>
      <c r="X1864" s="13">
        <v>229.9</v>
      </c>
    </row>
    <row r="1865" spans="1:24" x14ac:dyDescent="0.25">
      <c r="A1865" t="s">
        <v>1662</v>
      </c>
      <c r="B1865" t="s">
        <v>64</v>
      </c>
      <c r="C1865" t="s">
        <v>1627</v>
      </c>
      <c r="D1865" t="s">
        <v>1628</v>
      </c>
      <c r="E1865" t="s">
        <v>64</v>
      </c>
      <c r="F1865" t="s">
        <v>94</v>
      </c>
      <c r="G1865" t="s">
        <v>277</v>
      </c>
      <c r="H1865" s="12">
        <v>6.1980000000000004</v>
      </c>
      <c r="I1865" s="12">
        <v>-75.367999999999995</v>
      </c>
      <c r="J1865" t="s">
        <v>129</v>
      </c>
      <c r="K1865" t="s">
        <v>1269</v>
      </c>
      <c r="L1865" t="s">
        <v>1270</v>
      </c>
      <c r="P1865" s="13">
        <v>287</v>
      </c>
      <c r="Q1865" s="13">
        <v>58.5</v>
      </c>
      <c r="R1865">
        <v>68</v>
      </c>
      <c r="S1865">
        <v>52</v>
      </c>
      <c r="T1865" s="13">
        <v>56.9</v>
      </c>
      <c r="U1865" s="13">
        <v>40</v>
      </c>
      <c r="V1865" t="s">
        <v>268</v>
      </c>
      <c r="W1865" t="s">
        <v>1271</v>
      </c>
      <c r="X1865" s="13"/>
    </row>
    <row r="1866" spans="1:24" x14ac:dyDescent="0.25">
      <c r="A1866" t="s">
        <v>1663</v>
      </c>
      <c r="B1866" t="s">
        <v>64</v>
      </c>
      <c r="C1866" t="s">
        <v>1664</v>
      </c>
      <c r="D1866" t="s">
        <v>1665</v>
      </c>
      <c r="E1866" t="s">
        <v>64</v>
      </c>
      <c r="F1866" t="s">
        <v>94</v>
      </c>
      <c r="G1866" t="s">
        <v>277</v>
      </c>
      <c r="H1866" s="12">
        <v>6.1449999999999996</v>
      </c>
      <c r="I1866" s="12">
        <v>-75.373999999999995</v>
      </c>
      <c r="J1866" t="s">
        <v>1666</v>
      </c>
      <c r="K1866" t="s">
        <v>97</v>
      </c>
      <c r="L1866" t="s">
        <v>1273</v>
      </c>
      <c r="P1866" s="13">
        <v>227.5</v>
      </c>
      <c r="Q1866" s="13">
        <v>51.2</v>
      </c>
      <c r="R1866">
        <v>44</v>
      </c>
      <c r="S1866">
        <v>30</v>
      </c>
      <c r="T1866" s="13">
        <v>58.6</v>
      </c>
      <c r="U1866" s="13">
        <v>40</v>
      </c>
      <c r="V1866" t="s">
        <v>99</v>
      </c>
      <c r="X1866" s="13">
        <v>227.5</v>
      </c>
    </row>
    <row r="1867" spans="1:24" x14ac:dyDescent="0.25">
      <c r="A1867" t="s">
        <v>1663</v>
      </c>
      <c r="B1867" t="s">
        <v>64</v>
      </c>
      <c r="C1867" t="s">
        <v>1664</v>
      </c>
      <c r="D1867" t="s">
        <v>1665</v>
      </c>
      <c r="E1867" t="s">
        <v>64</v>
      </c>
      <c r="F1867" t="s">
        <v>94</v>
      </c>
      <c r="G1867" t="s">
        <v>277</v>
      </c>
      <c r="H1867" s="12">
        <v>6.1449999999999996</v>
      </c>
      <c r="I1867" s="12">
        <v>-75.373999999999995</v>
      </c>
      <c r="J1867" t="s">
        <v>1666</v>
      </c>
      <c r="K1867" t="s">
        <v>1269</v>
      </c>
      <c r="L1867" t="s">
        <v>1270</v>
      </c>
      <c r="P1867" s="13">
        <v>277.7</v>
      </c>
      <c r="Q1867" s="13">
        <v>51.2</v>
      </c>
      <c r="R1867">
        <v>54</v>
      </c>
      <c r="S1867">
        <v>64</v>
      </c>
      <c r="T1867" s="13">
        <v>56.9</v>
      </c>
      <c r="U1867" s="13">
        <v>43.6</v>
      </c>
      <c r="V1867" t="s">
        <v>268</v>
      </c>
      <c r="W1867" t="s">
        <v>1271</v>
      </c>
      <c r="X1867" s="13"/>
    </row>
    <row r="1868" spans="1:24" x14ac:dyDescent="0.25">
      <c r="A1868" t="s">
        <v>1667</v>
      </c>
      <c r="B1868" t="s">
        <v>64</v>
      </c>
      <c r="C1868" t="s">
        <v>1664</v>
      </c>
      <c r="D1868" t="s">
        <v>1665</v>
      </c>
      <c r="E1868" t="s">
        <v>64</v>
      </c>
      <c r="F1868" t="s">
        <v>94</v>
      </c>
      <c r="G1868" t="s">
        <v>277</v>
      </c>
      <c r="H1868" s="12">
        <v>6.1449999999999996</v>
      </c>
      <c r="I1868" s="12">
        <v>-75.373999999999995</v>
      </c>
      <c r="J1868" t="s">
        <v>1666</v>
      </c>
      <c r="K1868" t="s">
        <v>97</v>
      </c>
      <c r="L1868" t="s">
        <v>1273</v>
      </c>
      <c r="P1868" s="13">
        <v>257.5</v>
      </c>
      <c r="Q1868" s="13">
        <v>56.1</v>
      </c>
      <c r="R1868">
        <v>42</v>
      </c>
      <c r="S1868">
        <v>40</v>
      </c>
      <c r="T1868" s="13">
        <v>62.1</v>
      </c>
      <c r="U1868" s="13">
        <v>69.099999999999994</v>
      </c>
      <c r="V1868" t="s">
        <v>99</v>
      </c>
      <c r="X1868" s="13">
        <v>257.5</v>
      </c>
    </row>
    <row r="1869" spans="1:24" x14ac:dyDescent="0.25">
      <c r="A1869" t="s">
        <v>1667</v>
      </c>
      <c r="B1869" t="s">
        <v>64</v>
      </c>
      <c r="C1869" t="s">
        <v>1664</v>
      </c>
      <c r="D1869" t="s">
        <v>1665</v>
      </c>
      <c r="E1869" t="s">
        <v>64</v>
      </c>
      <c r="F1869" t="s">
        <v>94</v>
      </c>
      <c r="G1869" t="s">
        <v>277</v>
      </c>
      <c r="H1869" s="12">
        <v>6.1449999999999996</v>
      </c>
      <c r="I1869" s="12">
        <v>-75.373999999999995</v>
      </c>
      <c r="J1869" t="s">
        <v>1666</v>
      </c>
      <c r="K1869" t="s">
        <v>1269</v>
      </c>
      <c r="L1869" t="s">
        <v>1270</v>
      </c>
      <c r="P1869" s="13">
        <v>344.7</v>
      </c>
      <c r="Q1869" s="13">
        <v>61</v>
      </c>
      <c r="R1869">
        <v>64</v>
      </c>
      <c r="S1869">
        <v>78</v>
      </c>
      <c r="T1869" s="13">
        <v>67.2</v>
      </c>
      <c r="U1869" s="13">
        <v>85.5</v>
      </c>
      <c r="V1869" t="s">
        <v>268</v>
      </c>
      <c r="W1869" t="s">
        <v>1271</v>
      </c>
      <c r="X1869" s="13"/>
    </row>
    <row r="1870" spans="1:24" x14ac:dyDescent="0.25">
      <c r="A1870" t="s">
        <v>1668</v>
      </c>
      <c r="B1870" t="s">
        <v>64</v>
      </c>
      <c r="C1870" t="s">
        <v>1664</v>
      </c>
      <c r="D1870" t="s">
        <v>1665</v>
      </c>
      <c r="E1870" t="s">
        <v>64</v>
      </c>
      <c r="F1870" t="s">
        <v>94</v>
      </c>
      <c r="G1870" t="s">
        <v>277</v>
      </c>
      <c r="H1870" s="12">
        <v>6.1449999999999996</v>
      </c>
      <c r="I1870" s="12">
        <v>-75.373999999999995</v>
      </c>
      <c r="J1870" t="s">
        <v>96</v>
      </c>
      <c r="K1870" t="s">
        <v>97</v>
      </c>
      <c r="L1870" t="s">
        <v>1273</v>
      </c>
      <c r="P1870" s="13">
        <v>257.5</v>
      </c>
      <c r="Q1870" s="13">
        <v>61</v>
      </c>
      <c r="R1870">
        <v>48</v>
      </c>
      <c r="S1870">
        <v>46</v>
      </c>
      <c r="T1870" s="13">
        <v>50</v>
      </c>
      <c r="U1870" s="13">
        <v>54.5</v>
      </c>
      <c r="V1870" t="s">
        <v>99</v>
      </c>
      <c r="X1870" s="13">
        <v>257.5</v>
      </c>
    </row>
    <row r="1871" spans="1:24" x14ac:dyDescent="0.25">
      <c r="A1871" t="s">
        <v>1668</v>
      </c>
      <c r="B1871" t="s">
        <v>64</v>
      </c>
      <c r="C1871" t="s">
        <v>1664</v>
      </c>
      <c r="D1871" t="s">
        <v>1665</v>
      </c>
      <c r="E1871" t="s">
        <v>64</v>
      </c>
      <c r="F1871" t="s">
        <v>94</v>
      </c>
      <c r="G1871" t="s">
        <v>277</v>
      </c>
      <c r="H1871" s="12">
        <v>6.1449999999999996</v>
      </c>
      <c r="I1871" s="12">
        <v>-75.373999999999995</v>
      </c>
      <c r="J1871" t="s">
        <v>96</v>
      </c>
      <c r="K1871" t="s">
        <v>1269</v>
      </c>
      <c r="L1871" t="s">
        <v>1270</v>
      </c>
      <c r="P1871" s="13">
        <v>273.3</v>
      </c>
      <c r="Q1871" s="13">
        <v>53.7</v>
      </c>
      <c r="R1871">
        <v>52</v>
      </c>
      <c r="S1871">
        <v>58</v>
      </c>
      <c r="T1871" s="13">
        <v>58.6</v>
      </c>
      <c r="U1871" s="13">
        <v>43.6</v>
      </c>
      <c r="V1871" t="s">
        <v>268</v>
      </c>
      <c r="W1871" t="s">
        <v>1271</v>
      </c>
      <c r="X1871" s="13"/>
    </row>
    <row r="1872" spans="1:24" x14ac:dyDescent="0.25">
      <c r="A1872" t="s">
        <v>1669</v>
      </c>
      <c r="B1872" t="s">
        <v>64</v>
      </c>
      <c r="C1872" t="s">
        <v>1664</v>
      </c>
      <c r="D1872" t="s">
        <v>1665</v>
      </c>
      <c r="E1872" t="s">
        <v>64</v>
      </c>
      <c r="F1872" t="s">
        <v>94</v>
      </c>
      <c r="G1872" t="s">
        <v>277</v>
      </c>
      <c r="H1872" s="12">
        <v>6.1449999999999996</v>
      </c>
      <c r="I1872" s="12">
        <v>-75.373999999999995</v>
      </c>
      <c r="J1872" t="s">
        <v>96</v>
      </c>
      <c r="K1872" t="s">
        <v>97</v>
      </c>
      <c r="L1872" t="s">
        <v>1273</v>
      </c>
      <c r="P1872" s="13">
        <v>418.5</v>
      </c>
      <c r="Q1872" s="13">
        <v>80.5</v>
      </c>
      <c r="R1872">
        <v>84</v>
      </c>
      <c r="S1872">
        <v>84</v>
      </c>
      <c r="T1872" s="13">
        <v>84.5</v>
      </c>
      <c r="U1872" s="13">
        <v>89.1</v>
      </c>
      <c r="V1872" t="s">
        <v>99</v>
      </c>
      <c r="X1872" s="13">
        <v>418.5</v>
      </c>
    </row>
    <row r="1873" spans="1:24" x14ac:dyDescent="0.25">
      <c r="A1873" t="s">
        <v>1669</v>
      </c>
      <c r="B1873" t="s">
        <v>64</v>
      </c>
      <c r="C1873" t="s">
        <v>1664</v>
      </c>
      <c r="D1873" t="s">
        <v>1665</v>
      </c>
      <c r="E1873" t="s">
        <v>64</v>
      </c>
      <c r="F1873" t="s">
        <v>94</v>
      </c>
      <c r="G1873" t="s">
        <v>277</v>
      </c>
      <c r="H1873" s="12">
        <v>6.1449999999999996</v>
      </c>
      <c r="I1873" s="12">
        <v>-75.373999999999995</v>
      </c>
      <c r="J1873" t="s">
        <v>96</v>
      </c>
      <c r="K1873" t="s">
        <v>1269</v>
      </c>
      <c r="L1873" t="s">
        <v>1270</v>
      </c>
      <c r="P1873" s="13">
        <v>414.4</v>
      </c>
      <c r="Q1873" s="13">
        <v>65.900000000000006</v>
      </c>
      <c r="R1873">
        <v>86</v>
      </c>
      <c r="S1873">
        <v>92</v>
      </c>
      <c r="T1873" s="13">
        <v>86.2</v>
      </c>
      <c r="U1873" s="13">
        <v>87.3</v>
      </c>
      <c r="V1873" t="s">
        <v>268</v>
      </c>
      <c r="W1873" t="s">
        <v>1271</v>
      </c>
      <c r="X1873" s="13"/>
    </row>
    <row r="1874" spans="1:24" x14ac:dyDescent="0.25">
      <c r="A1874" t="s">
        <v>1670</v>
      </c>
      <c r="B1874" t="s">
        <v>64</v>
      </c>
      <c r="C1874" t="s">
        <v>1664</v>
      </c>
      <c r="D1874" t="s">
        <v>1665</v>
      </c>
      <c r="E1874" t="s">
        <v>64</v>
      </c>
      <c r="F1874" t="s">
        <v>94</v>
      </c>
      <c r="G1874" t="s">
        <v>277</v>
      </c>
      <c r="H1874" s="12">
        <v>6.1449999999999996</v>
      </c>
      <c r="I1874" s="12">
        <v>-75.373999999999995</v>
      </c>
      <c r="J1874" t="s">
        <v>129</v>
      </c>
      <c r="K1874" t="s">
        <v>1269</v>
      </c>
      <c r="L1874" t="s">
        <v>1270</v>
      </c>
      <c r="P1874" s="13">
        <v>118.8</v>
      </c>
      <c r="Q1874" s="13">
        <v>0</v>
      </c>
      <c r="R1874">
        <v>34</v>
      </c>
      <c r="S1874">
        <v>10</v>
      </c>
      <c r="T1874" s="13">
        <v>41.4</v>
      </c>
      <c r="U1874" s="13">
        <v>52.7</v>
      </c>
      <c r="V1874" t="s">
        <v>268</v>
      </c>
      <c r="W1874" t="s">
        <v>1271</v>
      </c>
      <c r="X1874" s="13"/>
    </row>
    <row r="1875" spans="1:24" x14ac:dyDescent="0.25">
      <c r="A1875" t="s">
        <v>1671</v>
      </c>
      <c r="B1875" t="s">
        <v>64</v>
      </c>
      <c r="C1875" t="s">
        <v>1664</v>
      </c>
      <c r="D1875" t="s">
        <v>1665</v>
      </c>
      <c r="E1875" t="s">
        <v>64</v>
      </c>
      <c r="F1875" t="s">
        <v>94</v>
      </c>
      <c r="G1875" t="s">
        <v>277</v>
      </c>
      <c r="H1875" s="12">
        <v>6.1449999999999996</v>
      </c>
      <c r="I1875" s="12">
        <v>-75.373999999999995</v>
      </c>
      <c r="J1875" t="s">
        <v>1666</v>
      </c>
      <c r="K1875" t="s">
        <v>97</v>
      </c>
      <c r="L1875" t="s">
        <v>1273</v>
      </c>
      <c r="P1875" s="13">
        <v>313.2</v>
      </c>
      <c r="Q1875" s="13">
        <v>73.2</v>
      </c>
      <c r="R1875">
        <v>50</v>
      </c>
      <c r="S1875">
        <v>70</v>
      </c>
      <c r="T1875" s="13">
        <v>65.5</v>
      </c>
      <c r="U1875" s="13">
        <v>38.200000000000003</v>
      </c>
      <c r="V1875" t="s">
        <v>99</v>
      </c>
      <c r="X1875" s="13">
        <v>313.2</v>
      </c>
    </row>
    <row r="1876" spans="1:24" x14ac:dyDescent="0.25">
      <c r="A1876" t="s">
        <v>1671</v>
      </c>
      <c r="B1876" t="s">
        <v>64</v>
      </c>
      <c r="C1876" t="s">
        <v>1664</v>
      </c>
      <c r="D1876" t="s">
        <v>1665</v>
      </c>
      <c r="E1876" t="s">
        <v>64</v>
      </c>
      <c r="F1876" t="s">
        <v>94</v>
      </c>
      <c r="G1876" t="s">
        <v>277</v>
      </c>
      <c r="H1876" s="12">
        <v>6.1449999999999996</v>
      </c>
      <c r="I1876" s="12">
        <v>-75.373999999999995</v>
      </c>
      <c r="J1876" t="s">
        <v>1666</v>
      </c>
      <c r="K1876" t="s">
        <v>1269</v>
      </c>
      <c r="L1876" t="s">
        <v>1270</v>
      </c>
      <c r="P1876" s="13">
        <v>293.7</v>
      </c>
      <c r="Q1876" s="13">
        <v>48.8</v>
      </c>
      <c r="R1876">
        <v>56</v>
      </c>
      <c r="S1876">
        <v>76</v>
      </c>
      <c r="T1876" s="13">
        <v>58.6</v>
      </c>
      <c r="U1876" s="13">
        <v>45.5</v>
      </c>
      <c r="V1876" t="s">
        <v>268</v>
      </c>
      <c r="W1876" t="s">
        <v>1271</v>
      </c>
      <c r="X1876" s="13"/>
    </row>
    <row r="1877" spans="1:24" x14ac:dyDescent="0.25">
      <c r="A1877" t="s">
        <v>1672</v>
      </c>
      <c r="B1877" t="s">
        <v>64</v>
      </c>
      <c r="C1877" t="s">
        <v>1664</v>
      </c>
      <c r="D1877" t="s">
        <v>1665</v>
      </c>
      <c r="E1877" t="s">
        <v>64</v>
      </c>
      <c r="F1877" t="s">
        <v>94</v>
      </c>
      <c r="G1877" t="s">
        <v>277</v>
      </c>
      <c r="H1877" s="12">
        <v>6.1449999999999996</v>
      </c>
      <c r="I1877" s="12">
        <v>-75.373999999999995</v>
      </c>
      <c r="J1877" t="s">
        <v>1666</v>
      </c>
      <c r="K1877" t="s">
        <v>97</v>
      </c>
      <c r="L1877" t="s">
        <v>1273</v>
      </c>
      <c r="P1877" s="13">
        <v>154.6</v>
      </c>
      <c r="Q1877" s="13">
        <v>41.5</v>
      </c>
      <c r="R1877">
        <v>30</v>
      </c>
      <c r="S1877">
        <v>18</v>
      </c>
      <c r="T1877" s="13">
        <v>27.6</v>
      </c>
      <c r="U1877" s="13">
        <v>50.9</v>
      </c>
      <c r="V1877" t="s">
        <v>99</v>
      </c>
      <c r="X1877" s="13">
        <v>154.6</v>
      </c>
    </row>
    <row r="1878" spans="1:24" x14ac:dyDescent="0.25">
      <c r="A1878" t="s">
        <v>1672</v>
      </c>
      <c r="B1878" t="s">
        <v>64</v>
      </c>
      <c r="C1878" t="s">
        <v>1664</v>
      </c>
      <c r="D1878" t="s">
        <v>1665</v>
      </c>
      <c r="E1878" t="s">
        <v>64</v>
      </c>
      <c r="F1878" t="s">
        <v>94</v>
      </c>
      <c r="G1878" t="s">
        <v>277</v>
      </c>
      <c r="H1878" s="12">
        <v>6.1449999999999996</v>
      </c>
      <c r="I1878" s="12">
        <v>-75.373999999999995</v>
      </c>
      <c r="J1878" t="s">
        <v>1666</v>
      </c>
      <c r="K1878" t="s">
        <v>1269</v>
      </c>
      <c r="L1878" t="s">
        <v>1270</v>
      </c>
      <c r="P1878" s="13">
        <v>276.5</v>
      </c>
      <c r="Q1878" s="13">
        <v>58.5</v>
      </c>
      <c r="R1878">
        <v>54</v>
      </c>
      <c r="S1878">
        <v>56</v>
      </c>
      <c r="T1878" s="13">
        <v>51.7</v>
      </c>
      <c r="U1878" s="13">
        <v>58.2</v>
      </c>
      <c r="V1878" t="s">
        <v>268</v>
      </c>
      <c r="W1878" t="s">
        <v>1271</v>
      </c>
      <c r="X1878" s="13"/>
    </row>
    <row r="1879" spans="1:24" x14ac:dyDescent="0.25">
      <c r="A1879" t="s">
        <v>1673</v>
      </c>
      <c r="B1879" t="s">
        <v>64</v>
      </c>
      <c r="C1879" t="s">
        <v>1664</v>
      </c>
      <c r="D1879" t="s">
        <v>1665</v>
      </c>
      <c r="E1879" t="s">
        <v>64</v>
      </c>
      <c r="F1879" t="s">
        <v>94</v>
      </c>
      <c r="G1879" t="s">
        <v>277</v>
      </c>
      <c r="H1879" s="12">
        <v>6.1449999999999996</v>
      </c>
      <c r="I1879" s="12">
        <v>-75.373999999999995</v>
      </c>
      <c r="J1879" t="s">
        <v>1666</v>
      </c>
      <c r="K1879" t="s">
        <v>97</v>
      </c>
      <c r="L1879" t="s">
        <v>1273</v>
      </c>
      <c r="P1879" s="13">
        <v>391.3</v>
      </c>
      <c r="Q1879" s="13">
        <v>87.8</v>
      </c>
      <c r="R1879">
        <v>70</v>
      </c>
      <c r="S1879">
        <v>80</v>
      </c>
      <c r="T1879" s="13">
        <v>75.900000000000006</v>
      </c>
      <c r="U1879" s="13">
        <v>76.400000000000006</v>
      </c>
      <c r="V1879" t="s">
        <v>99</v>
      </c>
      <c r="X1879" s="13">
        <v>391.3</v>
      </c>
    </row>
    <row r="1880" spans="1:24" x14ac:dyDescent="0.25">
      <c r="A1880" t="s">
        <v>1673</v>
      </c>
      <c r="B1880" t="s">
        <v>64</v>
      </c>
      <c r="C1880" t="s">
        <v>1664</v>
      </c>
      <c r="D1880" t="s">
        <v>1665</v>
      </c>
      <c r="E1880" t="s">
        <v>64</v>
      </c>
      <c r="F1880" t="s">
        <v>94</v>
      </c>
      <c r="G1880" t="s">
        <v>277</v>
      </c>
      <c r="H1880" s="12">
        <v>6.1449999999999996</v>
      </c>
      <c r="I1880" s="12">
        <v>-75.373999999999995</v>
      </c>
      <c r="J1880" t="s">
        <v>1666</v>
      </c>
      <c r="K1880" t="s">
        <v>1269</v>
      </c>
      <c r="L1880" t="s">
        <v>1270</v>
      </c>
      <c r="P1880" s="13">
        <v>352.4</v>
      </c>
      <c r="Q1880" s="13">
        <v>58.5</v>
      </c>
      <c r="R1880">
        <v>72</v>
      </c>
      <c r="S1880">
        <v>84</v>
      </c>
      <c r="T1880" s="13">
        <v>67.2</v>
      </c>
      <c r="U1880" s="13">
        <v>70.900000000000006</v>
      </c>
      <c r="V1880" t="s">
        <v>268</v>
      </c>
      <c r="W1880" t="s">
        <v>1271</v>
      </c>
      <c r="X1880" s="13"/>
    </row>
    <row r="1881" spans="1:24" x14ac:dyDescent="0.25">
      <c r="A1881" t="s">
        <v>1674</v>
      </c>
      <c r="B1881" t="s">
        <v>64</v>
      </c>
      <c r="C1881" t="s">
        <v>1664</v>
      </c>
      <c r="D1881" t="s">
        <v>1665</v>
      </c>
      <c r="E1881" t="s">
        <v>64</v>
      </c>
      <c r="F1881" t="s">
        <v>94</v>
      </c>
      <c r="G1881" t="s">
        <v>277</v>
      </c>
      <c r="H1881" s="12">
        <v>6.1449999999999996</v>
      </c>
      <c r="I1881" s="12">
        <v>-75.373999999999995</v>
      </c>
      <c r="J1881" t="s">
        <v>1666</v>
      </c>
      <c r="K1881" t="s">
        <v>97</v>
      </c>
      <c r="L1881" t="s">
        <v>1273</v>
      </c>
      <c r="P1881" s="13">
        <v>256.89999999999998</v>
      </c>
      <c r="Q1881" s="13">
        <v>46.3</v>
      </c>
      <c r="R1881">
        <v>40</v>
      </c>
      <c r="S1881">
        <v>64</v>
      </c>
      <c r="T1881" s="13">
        <v>51.7</v>
      </c>
      <c r="U1881" s="13">
        <v>61.8</v>
      </c>
      <c r="V1881" t="s">
        <v>99</v>
      </c>
      <c r="X1881" s="13">
        <v>256.89999999999998</v>
      </c>
    </row>
    <row r="1882" spans="1:24" x14ac:dyDescent="0.25">
      <c r="A1882" t="s">
        <v>1674</v>
      </c>
      <c r="B1882" t="s">
        <v>64</v>
      </c>
      <c r="C1882" t="s">
        <v>1664</v>
      </c>
      <c r="D1882" t="s">
        <v>1665</v>
      </c>
      <c r="E1882" t="s">
        <v>64</v>
      </c>
      <c r="F1882" t="s">
        <v>94</v>
      </c>
      <c r="G1882" t="s">
        <v>277</v>
      </c>
      <c r="H1882" s="12">
        <v>6.1449999999999996</v>
      </c>
      <c r="I1882" s="12">
        <v>-75.373999999999995</v>
      </c>
      <c r="J1882" t="s">
        <v>1666</v>
      </c>
      <c r="K1882" t="s">
        <v>1269</v>
      </c>
      <c r="L1882" t="s">
        <v>1270</v>
      </c>
      <c r="P1882" s="13">
        <v>227.4</v>
      </c>
      <c r="Q1882" s="13">
        <v>46.3</v>
      </c>
      <c r="R1882">
        <v>36</v>
      </c>
      <c r="S1882">
        <v>48</v>
      </c>
      <c r="T1882" s="13">
        <v>53.4</v>
      </c>
      <c r="U1882" s="13">
        <v>40</v>
      </c>
      <c r="V1882" t="s">
        <v>268</v>
      </c>
      <c r="W1882" t="s">
        <v>1271</v>
      </c>
      <c r="X1882" s="13"/>
    </row>
    <row r="1883" spans="1:24" x14ac:dyDescent="0.25">
      <c r="A1883" t="s">
        <v>1675</v>
      </c>
      <c r="B1883" t="s">
        <v>64</v>
      </c>
      <c r="C1883" t="s">
        <v>1664</v>
      </c>
      <c r="D1883" t="s">
        <v>1665</v>
      </c>
      <c r="E1883" t="s">
        <v>64</v>
      </c>
      <c r="F1883" t="s">
        <v>94</v>
      </c>
      <c r="G1883" t="s">
        <v>277</v>
      </c>
      <c r="H1883" s="12">
        <v>6.1449999999999996</v>
      </c>
      <c r="I1883" s="12">
        <v>-75.373999999999995</v>
      </c>
      <c r="J1883" t="s">
        <v>1666</v>
      </c>
      <c r="K1883" t="s">
        <v>1269</v>
      </c>
      <c r="L1883" t="s">
        <v>1270</v>
      </c>
      <c r="P1883" s="13">
        <v>304.89999999999998</v>
      </c>
      <c r="Q1883" s="13">
        <v>46.3</v>
      </c>
      <c r="R1883">
        <v>64</v>
      </c>
      <c r="S1883">
        <v>76</v>
      </c>
      <c r="T1883" s="13">
        <v>50</v>
      </c>
      <c r="U1883" s="13">
        <v>83.6</v>
      </c>
      <c r="V1883" t="s">
        <v>268</v>
      </c>
      <c r="W1883" t="s">
        <v>1271</v>
      </c>
      <c r="X1883" s="13"/>
    </row>
    <row r="1884" spans="1:24" x14ac:dyDescent="0.25">
      <c r="A1884" t="s">
        <v>1676</v>
      </c>
      <c r="B1884" t="s">
        <v>64</v>
      </c>
      <c r="C1884" t="s">
        <v>1664</v>
      </c>
      <c r="D1884" t="s">
        <v>1665</v>
      </c>
      <c r="E1884" t="s">
        <v>64</v>
      </c>
      <c r="F1884" t="s">
        <v>94</v>
      </c>
      <c r="G1884" t="s">
        <v>277</v>
      </c>
      <c r="H1884" s="12">
        <v>6.1449999999999996</v>
      </c>
      <c r="I1884" s="12">
        <v>-75.373999999999995</v>
      </c>
      <c r="J1884" t="s">
        <v>1666</v>
      </c>
      <c r="K1884" t="s">
        <v>97</v>
      </c>
      <c r="L1884" t="s">
        <v>1273</v>
      </c>
      <c r="P1884" s="13">
        <v>204.2</v>
      </c>
      <c r="Q1884" s="13">
        <v>58.5</v>
      </c>
      <c r="R1884">
        <v>38</v>
      </c>
      <c r="S1884">
        <v>24</v>
      </c>
      <c r="T1884" s="13">
        <v>43.1</v>
      </c>
      <c r="U1884" s="13">
        <v>40</v>
      </c>
      <c r="V1884" t="s">
        <v>99</v>
      </c>
      <c r="X1884" s="13">
        <v>204.2</v>
      </c>
    </row>
    <row r="1885" spans="1:24" x14ac:dyDescent="0.25">
      <c r="A1885" t="s">
        <v>1676</v>
      </c>
      <c r="B1885" t="s">
        <v>64</v>
      </c>
      <c r="C1885" t="s">
        <v>1664</v>
      </c>
      <c r="D1885" t="s">
        <v>1665</v>
      </c>
      <c r="E1885" t="s">
        <v>64</v>
      </c>
      <c r="F1885" t="s">
        <v>94</v>
      </c>
      <c r="G1885" t="s">
        <v>277</v>
      </c>
      <c r="H1885" s="12">
        <v>6.1449999999999996</v>
      </c>
      <c r="I1885" s="12">
        <v>-75.373999999999995</v>
      </c>
      <c r="J1885" t="s">
        <v>1666</v>
      </c>
      <c r="K1885" t="s">
        <v>1269</v>
      </c>
      <c r="L1885" t="s">
        <v>1270</v>
      </c>
      <c r="P1885" s="13">
        <v>267.89999999999998</v>
      </c>
      <c r="Q1885" s="13">
        <v>53.7</v>
      </c>
      <c r="R1885">
        <v>36</v>
      </c>
      <c r="S1885">
        <v>64</v>
      </c>
      <c r="T1885" s="13">
        <v>60.3</v>
      </c>
      <c r="U1885" s="13">
        <v>54.5</v>
      </c>
      <c r="V1885" t="s">
        <v>268</v>
      </c>
      <c r="W1885" t="s">
        <v>1271</v>
      </c>
      <c r="X1885" s="13"/>
    </row>
    <row r="1886" spans="1:24" x14ac:dyDescent="0.25">
      <c r="A1886" t="s">
        <v>1677</v>
      </c>
      <c r="B1886" t="s">
        <v>64</v>
      </c>
      <c r="C1886" t="s">
        <v>1664</v>
      </c>
      <c r="D1886" t="s">
        <v>1665</v>
      </c>
      <c r="E1886" t="s">
        <v>64</v>
      </c>
      <c r="F1886" t="s">
        <v>94</v>
      </c>
      <c r="G1886" t="s">
        <v>277</v>
      </c>
      <c r="H1886" s="12">
        <v>6.1449999999999996</v>
      </c>
      <c r="I1886" s="12">
        <v>-75.373999999999995</v>
      </c>
      <c r="J1886" t="s">
        <v>1666</v>
      </c>
      <c r="K1886" t="s">
        <v>97</v>
      </c>
      <c r="L1886" t="s">
        <v>1273</v>
      </c>
      <c r="P1886" s="13">
        <v>250.5</v>
      </c>
      <c r="Q1886" s="13">
        <v>58.5</v>
      </c>
      <c r="R1886">
        <v>40</v>
      </c>
      <c r="S1886">
        <v>52</v>
      </c>
      <c r="T1886" s="13">
        <v>46.6</v>
      </c>
      <c r="U1886" s="13">
        <v>60</v>
      </c>
      <c r="V1886" t="s">
        <v>99</v>
      </c>
      <c r="X1886" s="13">
        <v>250.5</v>
      </c>
    </row>
    <row r="1887" spans="1:24" x14ac:dyDescent="0.25">
      <c r="A1887" t="s">
        <v>1677</v>
      </c>
      <c r="B1887" t="s">
        <v>64</v>
      </c>
      <c r="C1887" t="s">
        <v>1664</v>
      </c>
      <c r="D1887" t="s">
        <v>1665</v>
      </c>
      <c r="E1887" t="s">
        <v>64</v>
      </c>
      <c r="F1887" t="s">
        <v>94</v>
      </c>
      <c r="G1887" t="s">
        <v>277</v>
      </c>
      <c r="H1887" s="12">
        <v>6.1449999999999996</v>
      </c>
      <c r="I1887" s="12">
        <v>-75.373999999999995</v>
      </c>
      <c r="J1887" t="s">
        <v>1666</v>
      </c>
      <c r="K1887" t="s">
        <v>1269</v>
      </c>
      <c r="L1887" t="s">
        <v>1270</v>
      </c>
      <c r="P1887" s="13">
        <v>250.6</v>
      </c>
      <c r="Q1887" s="13">
        <v>46.3</v>
      </c>
      <c r="R1887">
        <v>56</v>
      </c>
      <c r="S1887">
        <v>50</v>
      </c>
      <c r="T1887" s="13">
        <v>44.8</v>
      </c>
      <c r="U1887" s="13">
        <v>60</v>
      </c>
      <c r="V1887" t="s">
        <v>268</v>
      </c>
      <c r="W1887" t="s">
        <v>1271</v>
      </c>
      <c r="X1887" s="13"/>
    </row>
    <row r="1888" spans="1:24" x14ac:dyDescent="0.25">
      <c r="A1888" t="s">
        <v>1678</v>
      </c>
      <c r="B1888" t="s">
        <v>64</v>
      </c>
      <c r="C1888" t="s">
        <v>1664</v>
      </c>
      <c r="D1888" t="s">
        <v>1665</v>
      </c>
      <c r="E1888" t="s">
        <v>64</v>
      </c>
      <c r="F1888" t="s">
        <v>94</v>
      </c>
      <c r="G1888" t="s">
        <v>277</v>
      </c>
      <c r="H1888" s="12">
        <v>6.1449999999999996</v>
      </c>
      <c r="I1888" s="12">
        <v>-75.373999999999995</v>
      </c>
      <c r="J1888" t="s">
        <v>1666</v>
      </c>
      <c r="K1888" t="s">
        <v>97</v>
      </c>
      <c r="L1888" t="s">
        <v>1273</v>
      </c>
      <c r="P1888" s="13">
        <v>203.4</v>
      </c>
      <c r="Q1888" s="13">
        <v>43.9</v>
      </c>
      <c r="R1888">
        <v>24</v>
      </c>
      <c r="S1888">
        <v>40</v>
      </c>
      <c r="T1888" s="13">
        <v>46.6</v>
      </c>
      <c r="U1888" s="13">
        <v>65.5</v>
      </c>
      <c r="V1888" t="s">
        <v>99</v>
      </c>
      <c r="X1888" s="13">
        <v>203.4</v>
      </c>
    </row>
    <row r="1889" spans="1:24" x14ac:dyDescent="0.25">
      <c r="A1889" t="s">
        <v>1678</v>
      </c>
      <c r="B1889" t="s">
        <v>64</v>
      </c>
      <c r="C1889" t="s">
        <v>1664</v>
      </c>
      <c r="D1889" t="s">
        <v>1665</v>
      </c>
      <c r="E1889" t="s">
        <v>64</v>
      </c>
      <c r="F1889" t="s">
        <v>94</v>
      </c>
      <c r="G1889" t="s">
        <v>277</v>
      </c>
      <c r="H1889" s="12">
        <v>6.1449999999999996</v>
      </c>
      <c r="I1889" s="12">
        <v>-75.373999999999995</v>
      </c>
      <c r="J1889" t="s">
        <v>1666</v>
      </c>
      <c r="K1889" t="s">
        <v>1269</v>
      </c>
      <c r="L1889" t="s">
        <v>1270</v>
      </c>
      <c r="P1889" s="13">
        <v>201.1</v>
      </c>
      <c r="Q1889" s="13">
        <v>48.8</v>
      </c>
      <c r="R1889">
        <v>28</v>
      </c>
      <c r="S1889">
        <v>38</v>
      </c>
      <c r="T1889" s="13">
        <v>43.1</v>
      </c>
      <c r="U1889" s="13">
        <v>49.1</v>
      </c>
      <c r="V1889" t="s">
        <v>268</v>
      </c>
      <c r="W1889" t="s">
        <v>1271</v>
      </c>
      <c r="X1889" s="13"/>
    </row>
    <row r="1890" spans="1:24" x14ac:dyDescent="0.25">
      <c r="A1890" t="s">
        <v>1679</v>
      </c>
      <c r="B1890" t="s">
        <v>64</v>
      </c>
      <c r="C1890" t="s">
        <v>1664</v>
      </c>
      <c r="D1890" t="s">
        <v>1665</v>
      </c>
      <c r="E1890" t="s">
        <v>64</v>
      </c>
      <c r="F1890" t="s">
        <v>94</v>
      </c>
      <c r="G1890" t="s">
        <v>277</v>
      </c>
      <c r="H1890" s="12">
        <v>6.1449999999999996</v>
      </c>
      <c r="I1890" s="12">
        <v>-75.373999999999995</v>
      </c>
      <c r="J1890" t="s">
        <v>1666</v>
      </c>
      <c r="K1890" t="s">
        <v>97</v>
      </c>
      <c r="L1890" t="s">
        <v>1273</v>
      </c>
      <c r="P1890" s="13">
        <v>282.8</v>
      </c>
      <c r="Q1890" s="13">
        <v>65.900000000000006</v>
      </c>
      <c r="R1890">
        <v>46</v>
      </c>
      <c r="S1890">
        <v>62</v>
      </c>
      <c r="T1890" s="13">
        <v>50</v>
      </c>
      <c r="U1890" s="13">
        <v>63.6</v>
      </c>
      <c r="V1890" t="s">
        <v>99</v>
      </c>
      <c r="X1890" s="13">
        <v>282.8</v>
      </c>
    </row>
    <row r="1891" spans="1:24" x14ac:dyDescent="0.25">
      <c r="A1891" t="s">
        <v>1679</v>
      </c>
      <c r="B1891" t="s">
        <v>64</v>
      </c>
      <c r="C1891" t="s">
        <v>1664</v>
      </c>
      <c r="D1891" t="s">
        <v>1665</v>
      </c>
      <c r="E1891" t="s">
        <v>64</v>
      </c>
      <c r="F1891" t="s">
        <v>94</v>
      </c>
      <c r="G1891" t="s">
        <v>277</v>
      </c>
      <c r="H1891" s="12">
        <v>6.1449999999999996</v>
      </c>
      <c r="I1891" s="12">
        <v>-75.373999999999995</v>
      </c>
      <c r="J1891" t="s">
        <v>1666</v>
      </c>
      <c r="K1891" t="s">
        <v>1269</v>
      </c>
      <c r="L1891" t="s">
        <v>1270</v>
      </c>
      <c r="P1891" s="13">
        <v>272.7</v>
      </c>
      <c r="Q1891" s="13">
        <v>41.5</v>
      </c>
      <c r="R1891">
        <v>54</v>
      </c>
      <c r="S1891">
        <v>80</v>
      </c>
      <c r="T1891" s="13">
        <v>50</v>
      </c>
      <c r="U1891" s="13">
        <v>32.700000000000003</v>
      </c>
      <c r="V1891" t="s">
        <v>268</v>
      </c>
      <c r="W1891" t="s">
        <v>1271</v>
      </c>
      <c r="X1891" s="13"/>
    </row>
    <row r="1892" spans="1:24" x14ac:dyDescent="0.25">
      <c r="A1892" t="s">
        <v>1680</v>
      </c>
      <c r="B1892" t="s">
        <v>64</v>
      </c>
      <c r="C1892" t="s">
        <v>1664</v>
      </c>
      <c r="D1892" t="s">
        <v>1665</v>
      </c>
      <c r="E1892" t="s">
        <v>64</v>
      </c>
      <c r="F1892" t="s">
        <v>94</v>
      </c>
      <c r="G1892" t="s">
        <v>277</v>
      </c>
      <c r="H1892" s="12">
        <v>6.1449999999999996</v>
      </c>
      <c r="I1892" s="12">
        <v>-75.373999999999995</v>
      </c>
      <c r="J1892" t="s">
        <v>1666</v>
      </c>
      <c r="K1892" t="s">
        <v>97</v>
      </c>
      <c r="L1892" t="s">
        <v>1273</v>
      </c>
      <c r="P1892" s="13">
        <v>236.8</v>
      </c>
      <c r="Q1892" s="13">
        <v>61</v>
      </c>
      <c r="R1892">
        <v>48</v>
      </c>
      <c r="S1892">
        <v>30</v>
      </c>
      <c r="T1892" s="13">
        <v>51.7</v>
      </c>
      <c r="U1892" s="13">
        <v>43.6</v>
      </c>
      <c r="V1892" t="s">
        <v>99</v>
      </c>
      <c r="X1892" s="13">
        <v>236.8</v>
      </c>
    </row>
    <row r="1893" spans="1:24" x14ac:dyDescent="0.25">
      <c r="A1893" t="s">
        <v>1680</v>
      </c>
      <c r="B1893" t="s">
        <v>64</v>
      </c>
      <c r="C1893" t="s">
        <v>1664</v>
      </c>
      <c r="D1893" t="s">
        <v>1665</v>
      </c>
      <c r="E1893" t="s">
        <v>64</v>
      </c>
      <c r="F1893" t="s">
        <v>94</v>
      </c>
      <c r="G1893" t="s">
        <v>277</v>
      </c>
      <c r="H1893" s="12">
        <v>6.1449999999999996</v>
      </c>
      <c r="I1893" s="12">
        <v>-75.373999999999995</v>
      </c>
      <c r="J1893" t="s">
        <v>1666</v>
      </c>
      <c r="K1893" t="s">
        <v>1269</v>
      </c>
      <c r="L1893" t="s">
        <v>1270</v>
      </c>
      <c r="P1893" s="13">
        <v>277.7</v>
      </c>
      <c r="Q1893" s="13">
        <v>53.7</v>
      </c>
      <c r="R1893">
        <v>56</v>
      </c>
      <c r="S1893">
        <v>74</v>
      </c>
      <c r="T1893" s="13">
        <v>43.1</v>
      </c>
      <c r="U1893" s="13">
        <v>41.8</v>
      </c>
      <c r="V1893" t="s">
        <v>268</v>
      </c>
      <c r="W1893" t="s">
        <v>1271</v>
      </c>
      <c r="X1893" s="13"/>
    </row>
    <row r="1894" spans="1:24" x14ac:dyDescent="0.25">
      <c r="A1894" t="s">
        <v>1681</v>
      </c>
      <c r="B1894" t="s">
        <v>64</v>
      </c>
      <c r="C1894" t="s">
        <v>1664</v>
      </c>
      <c r="D1894" t="s">
        <v>1665</v>
      </c>
      <c r="E1894" t="s">
        <v>64</v>
      </c>
      <c r="F1894" t="s">
        <v>94</v>
      </c>
      <c r="G1894" t="s">
        <v>277</v>
      </c>
      <c r="H1894" s="12">
        <v>6.1449999999999996</v>
      </c>
      <c r="I1894" s="12">
        <v>-75.373999999999995</v>
      </c>
      <c r="J1894" t="s">
        <v>1666</v>
      </c>
      <c r="K1894" t="s">
        <v>97</v>
      </c>
      <c r="L1894" t="s">
        <v>1273</v>
      </c>
      <c r="P1894" s="13">
        <v>233.6</v>
      </c>
      <c r="Q1894" s="13">
        <v>36.6</v>
      </c>
      <c r="R1894">
        <v>36</v>
      </c>
      <c r="S1894">
        <v>44</v>
      </c>
      <c r="T1894" s="13">
        <v>70.7</v>
      </c>
      <c r="U1894" s="13">
        <v>45.5</v>
      </c>
      <c r="V1894" t="s">
        <v>99</v>
      </c>
      <c r="X1894" s="13">
        <v>233.6</v>
      </c>
    </row>
    <row r="1895" spans="1:24" x14ac:dyDescent="0.25">
      <c r="A1895" t="s">
        <v>1681</v>
      </c>
      <c r="B1895" t="s">
        <v>64</v>
      </c>
      <c r="C1895" t="s">
        <v>1664</v>
      </c>
      <c r="D1895" t="s">
        <v>1665</v>
      </c>
      <c r="E1895" t="s">
        <v>64</v>
      </c>
      <c r="F1895" t="s">
        <v>94</v>
      </c>
      <c r="G1895" t="s">
        <v>277</v>
      </c>
      <c r="H1895" s="12">
        <v>6.1449999999999996</v>
      </c>
      <c r="I1895" s="12">
        <v>-75.373999999999995</v>
      </c>
      <c r="J1895" t="s">
        <v>1666</v>
      </c>
      <c r="K1895" t="s">
        <v>1269</v>
      </c>
      <c r="L1895" t="s">
        <v>1270</v>
      </c>
      <c r="P1895" s="13">
        <v>281</v>
      </c>
      <c r="Q1895" s="13">
        <v>51.2</v>
      </c>
      <c r="R1895">
        <v>66</v>
      </c>
      <c r="S1895">
        <v>54</v>
      </c>
      <c r="T1895" s="13">
        <v>51.7</v>
      </c>
      <c r="U1895" s="13">
        <v>61.8</v>
      </c>
      <c r="V1895" t="s">
        <v>268</v>
      </c>
      <c r="W1895" t="s">
        <v>1271</v>
      </c>
      <c r="X1895" s="13"/>
    </row>
    <row r="1896" spans="1:24" x14ac:dyDescent="0.25">
      <c r="A1896" t="s">
        <v>1682</v>
      </c>
      <c r="B1896" t="s">
        <v>64</v>
      </c>
      <c r="C1896" t="s">
        <v>1664</v>
      </c>
      <c r="D1896" t="s">
        <v>1665</v>
      </c>
      <c r="E1896" t="s">
        <v>64</v>
      </c>
      <c r="F1896" t="s">
        <v>94</v>
      </c>
      <c r="G1896" t="s">
        <v>277</v>
      </c>
      <c r="H1896" s="12">
        <v>6.1449999999999996</v>
      </c>
      <c r="I1896" s="12">
        <v>-75.373999999999995</v>
      </c>
      <c r="J1896" t="s">
        <v>1666</v>
      </c>
      <c r="K1896" t="s">
        <v>97</v>
      </c>
      <c r="L1896" t="s">
        <v>1273</v>
      </c>
      <c r="P1896" s="13">
        <v>223.3</v>
      </c>
      <c r="Q1896" s="13">
        <v>56.1</v>
      </c>
      <c r="R1896">
        <v>38</v>
      </c>
      <c r="S1896">
        <v>34</v>
      </c>
      <c r="T1896" s="13">
        <v>44.8</v>
      </c>
      <c r="U1896" s="13">
        <v>61.8</v>
      </c>
      <c r="V1896" t="s">
        <v>99</v>
      </c>
      <c r="X1896" s="13">
        <v>223.3</v>
      </c>
    </row>
    <row r="1897" spans="1:24" x14ac:dyDescent="0.25">
      <c r="A1897" t="s">
        <v>1682</v>
      </c>
      <c r="B1897" t="s">
        <v>64</v>
      </c>
      <c r="C1897" t="s">
        <v>1664</v>
      </c>
      <c r="D1897" t="s">
        <v>1665</v>
      </c>
      <c r="E1897" t="s">
        <v>64</v>
      </c>
      <c r="F1897" t="s">
        <v>94</v>
      </c>
      <c r="G1897" t="s">
        <v>277</v>
      </c>
      <c r="H1897" s="12">
        <v>6.1449999999999996</v>
      </c>
      <c r="I1897" s="12">
        <v>-75.373999999999995</v>
      </c>
      <c r="J1897" t="s">
        <v>1666</v>
      </c>
      <c r="K1897" t="s">
        <v>1269</v>
      </c>
      <c r="L1897" t="s">
        <v>1270</v>
      </c>
      <c r="P1897" s="13">
        <v>222.4</v>
      </c>
      <c r="Q1897" s="13">
        <v>48.8</v>
      </c>
      <c r="R1897">
        <v>40</v>
      </c>
      <c r="S1897">
        <v>24</v>
      </c>
      <c r="T1897" s="13">
        <v>56.9</v>
      </c>
      <c r="U1897" s="13">
        <v>69.099999999999994</v>
      </c>
      <c r="V1897" t="s">
        <v>268</v>
      </c>
      <c r="W1897" t="s">
        <v>1271</v>
      </c>
      <c r="X1897" s="13"/>
    </row>
    <row r="1898" spans="1:24" x14ac:dyDescent="0.25">
      <c r="A1898" t="s">
        <v>1683</v>
      </c>
      <c r="B1898" t="s">
        <v>64</v>
      </c>
      <c r="C1898" t="s">
        <v>1664</v>
      </c>
      <c r="D1898" t="s">
        <v>1665</v>
      </c>
      <c r="E1898" t="s">
        <v>64</v>
      </c>
      <c r="F1898" t="s">
        <v>94</v>
      </c>
      <c r="G1898" t="s">
        <v>277</v>
      </c>
      <c r="H1898" s="12">
        <v>6.1449999999999996</v>
      </c>
      <c r="I1898" s="12">
        <v>-75.373999999999995</v>
      </c>
      <c r="J1898" t="s">
        <v>1666</v>
      </c>
      <c r="K1898" t="s">
        <v>97</v>
      </c>
      <c r="L1898" t="s">
        <v>1273</v>
      </c>
      <c r="P1898" s="13">
        <v>252.3</v>
      </c>
      <c r="Q1898" s="13">
        <v>56.1</v>
      </c>
      <c r="R1898">
        <v>38</v>
      </c>
      <c r="S1898">
        <v>42</v>
      </c>
      <c r="T1898" s="13">
        <v>63.8</v>
      </c>
      <c r="U1898" s="13">
        <v>56.4</v>
      </c>
      <c r="V1898" t="s">
        <v>99</v>
      </c>
      <c r="X1898" s="13">
        <v>252.3</v>
      </c>
    </row>
    <row r="1899" spans="1:24" x14ac:dyDescent="0.25">
      <c r="A1899" t="s">
        <v>1683</v>
      </c>
      <c r="B1899" t="s">
        <v>64</v>
      </c>
      <c r="C1899" t="s">
        <v>1664</v>
      </c>
      <c r="D1899" t="s">
        <v>1665</v>
      </c>
      <c r="E1899" t="s">
        <v>64</v>
      </c>
      <c r="F1899" t="s">
        <v>94</v>
      </c>
      <c r="G1899" t="s">
        <v>277</v>
      </c>
      <c r="H1899" s="12">
        <v>6.1449999999999996</v>
      </c>
      <c r="I1899" s="12">
        <v>-75.373999999999995</v>
      </c>
      <c r="J1899" t="s">
        <v>1666</v>
      </c>
      <c r="K1899" t="s">
        <v>1269</v>
      </c>
      <c r="L1899" t="s">
        <v>1270</v>
      </c>
      <c r="P1899" s="13">
        <v>261.60000000000002</v>
      </c>
      <c r="Q1899" s="13">
        <v>39</v>
      </c>
      <c r="R1899">
        <v>58</v>
      </c>
      <c r="S1899">
        <v>50</v>
      </c>
      <c r="T1899" s="13">
        <v>60.3</v>
      </c>
      <c r="U1899" s="13">
        <v>58.2</v>
      </c>
      <c r="V1899" t="s">
        <v>268</v>
      </c>
      <c r="W1899" t="s">
        <v>1271</v>
      </c>
      <c r="X1899" s="13"/>
    </row>
    <row r="1900" spans="1:24" x14ac:dyDescent="0.25">
      <c r="A1900" t="s">
        <v>1684</v>
      </c>
      <c r="B1900" t="s">
        <v>64</v>
      </c>
      <c r="C1900" t="s">
        <v>1664</v>
      </c>
      <c r="D1900" t="s">
        <v>1665</v>
      </c>
      <c r="E1900" t="s">
        <v>64</v>
      </c>
      <c r="F1900" t="s">
        <v>94</v>
      </c>
      <c r="G1900" t="s">
        <v>277</v>
      </c>
      <c r="H1900" s="12">
        <v>6.1449999999999996</v>
      </c>
      <c r="I1900" s="12">
        <v>-75.373999999999995</v>
      </c>
      <c r="J1900" t="s">
        <v>1666</v>
      </c>
      <c r="K1900" t="s">
        <v>97</v>
      </c>
      <c r="L1900" t="s">
        <v>1273</v>
      </c>
      <c r="P1900" s="13">
        <v>328.2</v>
      </c>
      <c r="Q1900" s="13">
        <v>61</v>
      </c>
      <c r="R1900">
        <v>58</v>
      </c>
      <c r="S1900">
        <v>68</v>
      </c>
      <c r="T1900" s="13">
        <v>69</v>
      </c>
      <c r="U1900" s="13">
        <v>85.5</v>
      </c>
      <c r="V1900" t="s">
        <v>99</v>
      </c>
      <c r="X1900" s="13">
        <v>328.2</v>
      </c>
    </row>
    <row r="1901" spans="1:24" x14ac:dyDescent="0.25">
      <c r="A1901" t="s">
        <v>1684</v>
      </c>
      <c r="B1901" t="s">
        <v>64</v>
      </c>
      <c r="C1901" t="s">
        <v>1664</v>
      </c>
      <c r="D1901" t="s">
        <v>1665</v>
      </c>
      <c r="E1901" t="s">
        <v>64</v>
      </c>
      <c r="F1901" t="s">
        <v>94</v>
      </c>
      <c r="G1901" t="s">
        <v>277</v>
      </c>
      <c r="H1901" s="12">
        <v>6.1449999999999996</v>
      </c>
      <c r="I1901" s="12">
        <v>-75.373999999999995</v>
      </c>
      <c r="J1901" t="s">
        <v>1666</v>
      </c>
      <c r="K1901" t="s">
        <v>1269</v>
      </c>
      <c r="L1901" t="s">
        <v>1270</v>
      </c>
      <c r="P1901" s="13">
        <v>351.2</v>
      </c>
      <c r="Q1901" s="13">
        <v>58.5</v>
      </c>
      <c r="R1901">
        <v>62</v>
      </c>
      <c r="S1901">
        <v>80</v>
      </c>
      <c r="T1901" s="13">
        <v>74.099999999999994</v>
      </c>
      <c r="U1901" s="13">
        <v>89.1</v>
      </c>
      <c r="V1901" t="s">
        <v>268</v>
      </c>
      <c r="W1901" t="s">
        <v>1271</v>
      </c>
      <c r="X1901" s="13"/>
    </row>
    <row r="1902" spans="1:24" x14ac:dyDescent="0.25">
      <c r="A1902" t="s">
        <v>1685</v>
      </c>
      <c r="B1902" t="s">
        <v>64</v>
      </c>
      <c r="C1902" t="s">
        <v>1664</v>
      </c>
      <c r="D1902" t="s">
        <v>1665</v>
      </c>
      <c r="E1902" t="s">
        <v>64</v>
      </c>
      <c r="F1902" t="s">
        <v>94</v>
      </c>
      <c r="G1902" t="s">
        <v>277</v>
      </c>
      <c r="H1902" s="12">
        <v>6.1449999999999996</v>
      </c>
      <c r="I1902" s="12">
        <v>-75.373999999999995</v>
      </c>
      <c r="J1902" t="s">
        <v>1666</v>
      </c>
      <c r="K1902" t="s">
        <v>97</v>
      </c>
      <c r="L1902" t="s">
        <v>1273</v>
      </c>
      <c r="P1902" s="13">
        <v>243.8</v>
      </c>
      <c r="Q1902" s="13">
        <v>61</v>
      </c>
      <c r="R1902">
        <v>36</v>
      </c>
      <c r="S1902">
        <v>44</v>
      </c>
      <c r="T1902" s="13">
        <v>55.2</v>
      </c>
      <c r="U1902" s="13">
        <v>45.5</v>
      </c>
      <c r="V1902" t="s">
        <v>99</v>
      </c>
      <c r="X1902" s="13">
        <v>243.8</v>
      </c>
    </row>
    <row r="1903" spans="1:24" x14ac:dyDescent="0.25">
      <c r="A1903" t="s">
        <v>1685</v>
      </c>
      <c r="B1903" t="s">
        <v>64</v>
      </c>
      <c r="C1903" t="s">
        <v>1664</v>
      </c>
      <c r="D1903" t="s">
        <v>1665</v>
      </c>
      <c r="E1903" t="s">
        <v>64</v>
      </c>
      <c r="F1903" t="s">
        <v>94</v>
      </c>
      <c r="G1903" t="s">
        <v>277</v>
      </c>
      <c r="H1903" s="12">
        <v>6.1449999999999996</v>
      </c>
      <c r="I1903" s="12">
        <v>-75.373999999999995</v>
      </c>
      <c r="J1903" t="s">
        <v>1666</v>
      </c>
      <c r="K1903" t="s">
        <v>1269</v>
      </c>
      <c r="L1903" t="s">
        <v>1270</v>
      </c>
      <c r="P1903" s="13">
        <v>275.8</v>
      </c>
      <c r="Q1903" s="13">
        <v>51.2</v>
      </c>
      <c r="R1903">
        <v>56</v>
      </c>
      <c r="S1903">
        <v>54</v>
      </c>
      <c r="T1903" s="13">
        <v>62.1</v>
      </c>
      <c r="U1903" s="13">
        <v>47.3</v>
      </c>
      <c r="V1903" t="s">
        <v>268</v>
      </c>
      <c r="W1903" t="s">
        <v>1271</v>
      </c>
      <c r="X1903" s="13"/>
    </row>
    <row r="1904" spans="1:24" x14ac:dyDescent="0.25">
      <c r="A1904" t="s">
        <v>1686</v>
      </c>
      <c r="B1904" t="s">
        <v>64</v>
      </c>
      <c r="C1904" t="s">
        <v>1664</v>
      </c>
      <c r="D1904" t="s">
        <v>1665</v>
      </c>
      <c r="E1904" t="s">
        <v>64</v>
      </c>
      <c r="F1904" t="s">
        <v>94</v>
      </c>
      <c r="G1904" t="s">
        <v>277</v>
      </c>
      <c r="H1904" s="12">
        <v>6.1449999999999996</v>
      </c>
      <c r="I1904" s="12">
        <v>-75.373999999999995</v>
      </c>
      <c r="J1904" t="s">
        <v>1666</v>
      </c>
      <c r="K1904" t="s">
        <v>97</v>
      </c>
      <c r="L1904" t="s">
        <v>1273</v>
      </c>
      <c r="P1904" s="13">
        <v>286.7</v>
      </c>
      <c r="Q1904" s="13">
        <v>68.3</v>
      </c>
      <c r="R1904">
        <v>44</v>
      </c>
      <c r="S1904">
        <v>62</v>
      </c>
      <c r="T1904" s="13">
        <v>51.7</v>
      </c>
      <c r="U1904" s="13">
        <v>67.3</v>
      </c>
      <c r="V1904" t="s">
        <v>99</v>
      </c>
      <c r="X1904" s="13">
        <v>286.7</v>
      </c>
    </row>
    <row r="1905" spans="1:24" x14ac:dyDescent="0.25">
      <c r="A1905" t="s">
        <v>1686</v>
      </c>
      <c r="B1905" t="s">
        <v>64</v>
      </c>
      <c r="C1905" t="s">
        <v>1664</v>
      </c>
      <c r="D1905" t="s">
        <v>1665</v>
      </c>
      <c r="E1905" t="s">
        <v>64</v>
      </c>
      <c r="F1905" t="s">
        <v>94</v>
      </c>
      <c r="G1905" t="s">
        <v>277</v>
      </c>
      <c r="H1905" s="12">
        <v>6.1449999999999996</v>
      </c>
      <c r="I1905" s="12">
        <v>-75.373999999999995</v>
      </c>
      <c r="J1905" t="s">
        <v>1666</v>
      </c>
      <c r="K1905" t="s">
        <v>1269</v>
      </c>
      <c r="L1905" t="s">
        <v>1270</v>
      </c>
      <c r="P1905" s="13">
        <v>326.39999999999998</v>
      </c>
      <c r="Q1905" s="13">
        <v>51.2</v>
      </c>
      <c r="R1905">
        <v>58</v>
      </c>
      <c r="S1905">
        <v>78</v>
      </c>
      <c r="T1905" s="13">
        <v>69</v>
      </c>
      <c r="U1905" s="13">
        <v>80</v>
      </c>
      <c r="V1905" t="s">
        <v>268</v>
      </c>
      <c r="W1905" t="s">
        <v>1271</v>
      </c>
      <c r="X1905" s="13"/>
    </row>
    <row r="1906" spans="1:24" x14ac:dyDescent="0.25">
      <c r="A1906" t="s">
        <v>1687</v>
      </c>
      <c r="B1906" t="s">
        <v>64</v>
      </c>
      <c r="C1906" t="s">
        <v>1664</v>
      </c>
      <c r="D1906" t="s">
        <v>1665</v>
      </c>
      <c r="E1906" t="s">
        <v>64</v>
      </c>
      <c r="F1906" t="s">
        <v>94</v>
      </c>
      <c r="G1906" t="s">
        <v>277</v>
      </c>
      <c r="H1906" s="12">
        <v>6.1449999999999996</v>
      </c>
      <c r="I1906" s="12">
        <v>-75.373999999999995</v>
      </c>
      <c r="J1906" t="s">
        <v>1666</v>
      </c>
      <c r="K1906" t="s">
        <v>97</v>
      </c>
      <c r="L1906" t="s">
        <v>1273</v>
      </c>
      <c r="P1906" s="13">
        <v>370.9</v>
      </c>
      <c r="Q1906" s="13">
        <v>70.7</v>
      </c>
      <c r="R1906">
        <v>72</v>
      </c>
      <c r="S1906">
        <v>78</v>
      </c>
      <c r="T1906" s="13">
        <v>75.900000000000006</v>
      </c>
      <c r="U1906" s="13">
        <v>74.5</v>
      </c>
      <c r="V1906" t="s">
        <v>99</v>
      </c>
      <c r="X1906" s="13">
        <v>370.9</v>
      </c>
    </row>
    <row r="1907" spans="1:24" x14ac:dyDescent="0.25">
      <c r="A1907" t="s">
        <v>1687</v>
      </c>
      <c r="B1907" t="s">
        <v>64</v>
      </c>
      <c r="C1907" t="s">
        <v>1664</v>
      </c>
      <c r="D1907" t="s">
        <v>1665</v>
      </c>
      <c r="E1907" t="s">
        <v>64</v>
      </c>
      <c r="F1907" t="s">
        <v>94</v>
      </c>
      <c r="G1907" t="s">
        <v>277</v>
      </c>
      <c r="H1907" s="12">
        <v>6.1449999999999996</v>
      </c>
      <c r="I1907" s="12">
        <v>-75.373999999999995</v>
      </c>
      <c r="J1907" t="s">
        <v>1666</v>
      </c>
      <c r="K1907" t="s">
        <v>1269</v>
      </c>
      <c r="L1907" t="s">
        <v>1270</v>
      </c>
      <c r="P1907" s="13">
        <v>362.4</v>
      </c>
      <c r="Q1907" s="13">
        <v>63.4</v>
      </c>
      <c r="R1907">
        <v>74</v>
      </c>
      <c r="S1907">
        <v>84</v>
      </c>
      <c r="T1907" s="13">
        <v>67.2</v>
      </c>
      <c r="U1907" s="13">
        <v>76.400000000000006</v>
      </c>
      <c r="V1907" t="s">
        <v>268</v>
      </c>
      <c r="W1907" t="s">
        <v>1271</v>
      </c>
      <c r="X1907" s="13"/>
    </row>
    <row r="1908" spans="1:24" x14ac:dyDescent="0.25">
      <c r="A1908" t="s">
        <v>1688</v>
      </c>
      <c r="B1908" t="s">
        <v>64</v>
      </c>
      <c r="C1908" t="s">
        <v>1664</v>
      </c>
      <c r="D1908" t="s">
        <v>1665</v>
      </c>
      <c r="E1908" t="s">
        <v>64</v>
      </c>
      <c r="F1908" t="s">
        <v>94</v>
      </c>
      <c r="G1908" t="s">
        <v>277</v>
      </c>
      <c r="H1908" s="12">
        <v>6.1449999999999996</v>
      </c>
      <c r="I1908" s="12">
        <v>-75.373999999999995</v>
      </c>
      <c r="J1908" t="s">
        <v>1666</v>
      </c>
      <c r="K1908" t="s">
        <v>97</v>
      </c>
      <c r="L1908" t="s">
        <v>1273</v>
      </c>
      <c r="P1908" s="13">
        <v>279.3</v>
      </c>
      <c r="Q1908" s="13">
        <v>58.5</v>
      </c>
      <c r="R1908">
        <v>48</v>
      </c>
      <c r="S1908">
        <v>58</v>
      </c>
      <c r="T1908" s="13">
        <v>56.9</v>
      </c>
      <c r="U1908" s="13">
        <v>61.8</v>
      </c>
      <c r="V1908" t="s">
        <v>99</v>
      </c>
      <c r="X1908" s="13">
        <v>279.3</v>
      </c>
    </row>
    <row r="1909" spans="1:24" x14ac:dyDescent="0.25">
      <c r="A1909" t="s">
        <v>1688</v>
      </c>
      <c r="B1909" t="s">
        <v>64</v>
      </c>
      <c r="C1909" t="s">
        <v>1664</v>
      </c>
      <c r="D1909" t="s">
        <v>1665</v>
      </c>
      <c r="E1909" t="s">
        <v>64</v>
      </c>
      <c r="F1909" t="s">
        <v>94</v>
      </c>
      <c r="G1909" t="s">
        <v>277</v>
      </c>
      <c r="H1909" s="12">
        <v>6.1449999999999996</v>
      </c>
      <c r="I1909" s="12">
        <v>-75.373999999999995</v>
      </c>
      <c r="J1909" t="s">
        <v>1666</v>
      </c>
      <c r="K1909" t="s">
        <v>1269</v>
      </c>
      <c r="L1909" t="s">
        <v>1270</v>
      </c>
      <c r="P1909" s="13">
        <v>254.7</v>
      </c>
      <c r="Q1909" s="13">
        <v>48.8</v>
      </c>
      <c r="R1909">
        <v>62</v>
      </c>
      <c r="S1909">
        <v>52</v>
      </c>
      <c r="T1909" s="13">
        <v>48.3</v>
      </c>
      <c r="U1909" s="13">
        <v>29.1</v>
      </c>
      <c r="V1909" t="s">
        <v>268</v>
      </c>
      <c r="W1909" t="s">
        <v>1271</v>
      </c>
      <c r="X1909" s="13"/>
    </row>
    <row r="1910" spans="1:24" x14ac:dyDescent="0.25">
      <c r="A1910" t="s">
        <v>1689</v>
      </c>
      <c r="B1910" t="s">
        <v>64</v>
      </c>
      <c r="C1910" t="s">
        <v>1664</v>
      </c>
      <c r="D1910" t="s">
        <v>1665</v>
      </c>
      <c r="E1910" t="s">
        <v>64</v>
      </c>
      <c r="F1910" t="s">
        <v>94</v>
      </c>
      <c r="G1910" t="s">
        <v>277</v>
      </c>
      <c r="H1910" s="12">
        <v>6.1449999999999996</v>
      </c>
      <c r="I1910" s="12">
        <v>-75.373999999999995</v>
      </c>
      <c r="J1910" t="s">
        <v>1666</v>
      </c>
      <c r="K1910" t="s">
        <v>97</v>
      </c>
      <c r="L1910" t="s">
        <v>1273</v>
      </c>
      <c r="P1910" s="13">
        <v>159.69999999999999</v>
      </c>
      <c r="Q1910" s="13">
        <v>34.1</v>
      </c>
      <c r="R1910">
        <v>48</v>
      </c>
      <c r="S1910">
        <v>20</v>
      </c>
      <c r="T1910" s="13">
        <v>24.1</v>
      </c>
      <c r="U1910" s="13">
        <v>36.4</v>
      </c>
      <c r="V1910" t="s">
        <v>99</v>
      </c>
      <c r="X1910" s="13">
        <v>159.69999999999999</v>
      </c>
    </row>
    <row r="1911" spans="1:24" x14ac:dyDescent="0.25">
      <c r="A1911" t="s">
        <v>1689</v>
      </c>
      <c r="B1911" t="s">
        <v>64</v>
      </c>
      <c r="C1911" t="s">
        <v>1664</v>
      </c>
      <c r="D1911" t="s">
        <v>1665</v>
      </c>
      <c r="E1911" t="s">
        <v>64</v>
      </c>
      <c r="F1911" t="s">
        <v>94</v>
      </c>
      <c r="G1911" t="s">
        <v>277</v>
      </c>
      <c r="H1911" s="12">
        <v>6.1449999999999996</v>
      </c>
      <c r="I1911" s="12">
        <v>-75.373999999999995</v>
      </c>
      <c r="J1911" t="s">
        <v>1666</v>
      </c>
      <c r="K1911" t="s">
        <v>1269</v>
      </c>
      <c r="L1911" t="s">
        <v>1270</v>
      </c>
      <c r="P1911" s="13">
        <v>227.1</v>
      </c>
      <c r="Q1911" s="13">
        <v>46.3</v>
      </c>
      <c r="R1911">
        <v>56</v>
      </c>
      <c r="S1911">
        <v>36</v>
      </c>
      <c r="T1911" s="13">
        <v>50</v>
      </c>
      <c r="U1911" s="13">
        <v>25.5</v>
      </c>
      <c r="V1911" t="s">
        <v>268</v>
      </c>
      <c r="W1911" t="s">
        <v>1271</v>
      </c>
      <c r="X1911" s="13"/>
    </row>
    <row r="1912" spans="1:24" x14ac:dyDescent="0.25">
      <c r="A1912" t="s">
        <v>1690</v>
      </c>
      <c r="B1912" t="s">
        <v>64</v>
      </c>
      <c r="C1912" t="s">
        <v>1664</v>
      </c>
      <c r="D1912" t="s">
        <v>1665</v>
      </c>
      <c r="E1912" t="s">
        <v>64</v>
      </c>
      <c r="F1912" t="s">
        <v>94</v>
      </c>
      <c r="G1912" t="s">
        <v>277</v>
      </c>
      <c r="H1912" s="12">
        <v>6.1449999999999996</v>
      </c>
      <c r="I1912" s="12">
        <v>-75.373999999999995</v>
      </c>
      <c r="J1912" t="s">
        <v>1666</v>
      </c>
      <c r="K1912" t="s">
        <v>97</v>
      </c>
      <c r="L1912" t="s">
        <v>1273</v>
      </c>
      <c r="P1912" s="13">
        <v>279.60000000000002</v>
      </c>
      <c r="Q1912" s="13">
        <v>51.2</v>
      </c>
      <c r="R1912">
        <v>54</v>
      </c>
      <c r="S1912">
        <v>52</v>
      </c>
      <c r="T1912" s="13">
        <v>62.1</v>
      </c>
      <c r="U1912" s="13">
        <v>69.099999999999994</v>
      </c>
      <c r="V1912" t="s">
        <v>99</v>
      </c>
      <c r="X1912" s="13">
        <v>279.60000000000002</v>
      </c>
    </row>
    <row r="1913" spans="1:24" x14ac:dyDescent="0.25">
      <c r="A1913" t="s">
        <v>1690</v>
      </c>
      <c r="B1913" t="s">
        <v>64</v>
      </c>
      <c r="C1913" t="s">
        <v>1664</v>
      </c>
      <c r="D1913" t="s">
        <v>1665</v>
      </c>
      <c r="E1913" t="s">
        <v>64</v>
      </c>
      <c r="F1913" t="s">
        <v>94</v>
      </c>
      <c r="G1913" t="s">
        <v>277</v>
      </c>
      <c r="H1913" s="12">
        <v>6.1449999999999996</v>
      </c>
      <c r="I1913" s="12">
        <v>-75.373999999999995</v>
      </c>
      <c r="J1913" t="s">
        <v>1666</v>
      </c>
      <c r="K1913" t="s">
        <v>1269</v>
      </c>
      <c r="L1913" t="s">
        <v>1270</v>
      </c>
      <c r="P1913" s="13">
        <v>292.7</v>
      </c>
      <c r="Q1913" s="13">
        <v>56.1</v>
      </c>
      <c r="R1913">
        <v>44</v>
      </c>
      <c r="S1913">
        <v>62</v>
      </c>
      <c r="T1913" s="13">
        <v>65.5</v>
      </c>
      <c r="U1913" s="13">
        <v>78.2</v>
      </c>
      <c r="V1913" t="s">
        <v>268</v>
      </c>
      <c r="W1913" t="s">
        <v>1271</v>
      </c>
      <c r="X1913" s="13"/>
    </row>
    <row r="1914" spans="1:24" x14ac:dyDescent="0.25">
      <c r="A1914" t="s">
        <v>1691</v>
      </c>
      <c r="B1914" t="s">
        <v>64</v>
      </c>
      <c r="C1914" t="s">
        <v>1664</v>
      </c>
      <c r="D1914" t="s">
        <v>1665</v>
      </c>
      <c r="E1914" t="s">
        <v>64</v>
      </c>
      <c r="F1914" t="s">
        <v>94</v>
      </c>
      <c r="G1914" t="s">
        <v>277</v>
      </c>
      <c r="H1914" s="12">
        <v>6.1449999999999996</v>
      </c>
      <c r="I1914" s="12">
        <v>-75.373999999999995</v>
      </c>
      <c r="J1914" t="s">
        <v>1666</v>
      </c>
      <c r="K1914" t="s">
        <v>97</v>
      </c>
      <c r="L1914" t="s">
        <v>1273</v>
      </c>
      <c r="P1914" s="13">
        <v>221.7</v>
      </c>
      <c r="Q1914" s="13">
        <v>46.3</v>
      </c>
      <c r="R1914">
        <v>42</v>
      </c>
      <c r="S1914">
        <v>28</v>
      </c>
      <c r="T1914" s="13">
        <v>55.2</v>
      </c>
      <c r="U1914" s="13">
        <v>61.8</v>
      </c>
      <c r="V1914" t="s">
        <v>99</v>
      </c>
      <c r="X1914" s="13">
        <v>221.7</v>
      </c>
    </row>
    <row r="1915" spans="1:24" x14ac:dyDescent="0.25">
      <c r="A1915" t="s">
        <v>1691</v>
      </c>
      <c r="B1915" t="s">
        <v>64</v>
      </c>
      <c r="C1915" t="s">
        <v>1664</v>
      </c>
      <c r="D1915" t="s">
        <v>1665</v>
      </c>
      <c r="E1915" t="s">
        <v>64</v>
      </c>
      <c r="F1915" t="s">
        <v>94</v>
      </c>
      <c r="G1915" t="s">
        <v>277</v>
      </c>
      <c r="H1915" s="12">
        <v>6.1449999999999996</v>
      </c>
      <c r="I1915" s="12">
        <v>-75.373999999999995</v>
      </c>
      <c r="J1915" t="s">
        <v>1666</v>
      </c>
      <c r="K1915" t="s">
        <v>1269</v>
      </c>
      <c r="L1915" t="s">
        <v>1270</v>
      </c>
      <c r="P1915" s="13">
        <v>308.3</v>
      </c>
      <c r="Q1915" s="13">
        <v>58.5</v>
      </c>
      <c r="R1915">
        <v>64</v>
      </c>
      <c r="S1915">
        <v>62</v>
      </c>
      <c r="T1915" s="13">
        <v>62.1</v>
      </c>
      <c r="U1915" s="13">
        <v>61.8</v>
      </c>
      <c r="V1915" t="s">
        <v>268</v>
      </c>
      <c r="W1915" t="s">
        <v>1271</v>
      </c>
      <c r="X1915" s="13"/>
    </row>
    <row r="1916" spans="1:24" x14ac:dyDescent="0.25">
      <c r="A1916" t="s">
        <v>1692</v>
      </c>
      <c r="B1916" t="s">
        <v>64</v>
      </c>
      <c r="C1916" t="s">
        <v>1664</v>
      </c>
      <c r="D1916" t="s">
        <v>1665</v>
      </c>
      <c r="E1916" t="s">
        <v>64</v>
      </c>
      <c r="F1916" t="s">
        <v>94</v>
      </c>
      <c r="G1916" t="s">
        <v>277</v>
      </c>
      <c r="H1916" s="12">
        <v>6.1449999999999996</v>
      </c>
      <c r="I1916" s="12">
        <v>-75.373999999999995</v>
      </c>
      <c r="J1916" t="s">
        <v>1666</v>
      </c>
      <c r="K1916" t="s">
        <v>97</v>
      </c>
      <c r="L1916" t="s">
        <v>1273</v>
      </c>
      <c r="P1916" s="13">
        <v>253</v>
      </c>
      <c r="Q1916" s="13">
        <v>58.5</v>
      </c>
      <c r="R1916">
        <v>38</v>
      </c>
      <c r="S1916">
        <v>48</v>
      </c>
      <c r="T1916" s="13">
        <v>51.7</v>
      </c>
      <c r="U1916" s="13">
        <v>69.099999999999994</v>
      </c>
      <c r="V1916" t="s">
        <v>99</v>
      </c>
      <c r="X1916" s="13">
        <v>253</v>
      </c>
    </row>
    <row r="1917" spans="1:24" x14ac:dyDescent="0.25">
      <c r="A1917" t="s">
        <v>1692</v>
      </c>
      <c r="B1917" t="s">
        <v>64</v>
      </c>
      <c r="C1917" t="s">
        <v>1664</v>
      </c>
      <c r="D1917" t="s">
        <v>1665</v>
      </c>
      <c r="E1917" t="s">
        <v>64</v>
      </c>
      <c r="F1917" t="s">
        <v>94</v>
      </c>
      <c r="G1917" t="s">
        <v>277</v>
      </c>
      <c r="H1917" s="12">
        <v>6.1449999999999996</v>
      </c>
      <c r="I1917" s="12">
        <v>-75.373999999999995</v>
      </c>
      <c r="J1917" t="s">
        <v>1666</v>
      </c>
      <c r="K1917" t="s">
        <v>1269</v>
      </c>
      <c r="L1917" t="s">
        <v>1270</v>
      </c>
      <c r="P1917" s="13">
        <v>264.2</v>
      </c>
      <c r="Q1917" s="13">
        <v>46.3</v>
      </c>
      <c r="R1917">
        <v>58</v>
      </c>
      <c r="S1917">
        <v>50</v>
      </c>
      <c r="T1917" s="13">
        <v>53.4</v>
      </c>
      <c r="U1917" s="13">
        <v>63.6</v>
      </c>
      <c r="V1917" t="s">
        <v>268</v>
      </c>
      <c r="W1917" t="s">
        <v>1271</v>
      </c>
      <c r="X1917" s="13"/>
    </row>
    <row r="1918" spans="1:24" x14ac:dyDescent="0.25">
      <c r="A1918" t="s">
        <v>1693</v>
      </c>
      <c r="B1918" t="s">
        <v>64</v>
      </c>
      <c r="C1918" t="s">
        <v>1664</v>
      </c>
      <c r="D1918" t="s">
        <v>1665</v>
      </c>
      <c r="E1918" t="s">
        <v>64</v>
      </c>
      <c r="F1918" t="s">
        <v>94</v>
      </c>
      <c r="G1918" t="s">
        <v>277</v>
      </c>
      <c r="H1918" s="12">
        <v>6.1449999999999996</v>
      </c>
      <c r="I1918" s="12">
        <v>-75.373999999999995</v>
      </c>
      <c r="J1918" t="s">
        <v>1666</v>
      </c>
      <c r="K1918" t="s">
        <v>97</v>
      </c>
      <c r="L1918" t="s">
        <v>1273</v>
      </c>
      <c r="P1918" s="13">
        <v>298.60000000000002</v>
      </c>
      <c r="Q1918" s="13">
        <v>73.2</v>
      </c>
      <c r="R1918">
        <v>50</v>
      </c>
      <c r="S1918">
        <v>70</v>
      </c>
      <c r="T1918" s="13">
        <v>41.4</v>
      </c>
      <c r="U1918" s="13">
        <v>72.7</v>
      </c>
      <c r="V1918" t="s">
        <v>99</v>
      </c>
      <c r="X1918" s="13">
        <v>298.60000000000002</v>
      </c>
    </row>
    <row r="1919" spans="1:24" x14ac:dyDescent="0.25">
      <c r="A1919" t="s">
        <v>1693</v>
      </c>
      <c r="B1919" t="s">
        <v>64</v>
      </c>
      <c r="C1919" t="s">
        <v>1664</v>
      </c>
      <c r="D1919" t="s">
        <v>1665</v>
      </c>
      <c r="E1919" t="s">
        <v>64</v>
      </c>
      <c r="F1919" t="s">
        <v>94</v>
      </c>
      <c r="G1919" t="s">
        <v>277</v>
      </c>
      <c r="H1919" s="12">
        <v>6.1449999999999996</v>
      </c>
      <c r="I1919" s="12">
        <v>-75.373999999999995</v>
      </c>
      <c r="J1919" t="s">
        <v>1666</v>
      </c>
      <c r="K1919" t="s">
        <v>1269</v>
      </c>
      <c r="L1919" t="s">
        <v>1270</v>
      </c>
      <c r="P1919" s="13">
        <v>269.2</v>
      </c>
      <c r="Q1919" s="13">
        <v>46.3</v>
      </c>
      <c r="R1919">
        <v>68</v>
      </c>
      <c r="S1919">
        <v>38</v>
      </c>
      <c r="T1919" s="13">
        <v>60.3</v>
      </c>
      <c r="U1919" s="13">
        <v>61.8</v>
      </c>
      <c r="V1919" t="s">
        <v>268</v>
      </c>
      <c r="W1919" t="s">
        <v>1271</v>
      </c>
      <c r="X1919" s="13"/>
    </row>
    <row r="1920" spans="1:24" x14ac:dyDescent="0.25">
      <c r="A1920" t="s">
        <v>1694</v>
      </c>
      <c r="B1920" t="s">
        <v>64</v>
      </c>
      <c r="C1920" t="s">
        <v>1664</v>
      </c>
      <c r="D1920" t="s">
        <v>1665</v>
      </c>
      <c r="E1920" t="s">
        <v>64</v>
      </c>
      <c r="F1920" t="s">
        <v>94</v>
      </c>
      <c r="G1920" t="s">
        <v>277</v>
      </c>
      <c r="H1920" s="12">
        <v>6.1449999999999996</v>
      </c>
      <c r="I1920" s="12">
        <v>-75.373999999999995</v>
      </c>
      <c r="J1920" t="s">
        <v>1666</v>
      </c>
      <c r="K1920" t="s">
        <v>97</v>
      </c>
      <c r="L1920" t="s">
        <v>1273</v>
      </c>
      <c r="P1920" s="13">
        <v>303.5</v>
      </c>
      <c r="Q1920" s="13">
        <v>48.8</v>
      </c>
      <c r="R1920">
        <v>58</v>
      </c>
      <c r="S1920">
        <v>70</v>
      </c>
      <c r="T1920" s="13">
        <v>63.8</v>
      </c>
      <c r="U1920" s="13">
        <v>67.3</v>
      </c>
      <c r="V1920" t="s">
        <v>99</v>
      </c>
      <c r="X1920" s="13">
        <v>303.5</v>
      </c>
    </row>
    <row r="1921" spans="1:24" x14ac:dyDescent="0.25">
      <c r="A1921" t="s">
        <v>1694</v>
      </c>
      <c r="B1921" t="s">
        <v>64</v>
      </c>
      <c r="C1921" t="s">
        <v>1664</v>
      </c>
      <c r="D1921" t="s">
        <v>1665</v>
      </c>
      <c r="E1921" t="s">
        <v>64</v>
      </c>
      <c r="F1921" t="s">
        <v>94</v>
      </c>
      <c r="G1921" t="s">
        <v>277</v>
      </c>
      <c r="H1921" s="12">
        <v>6.1449999999999996</v>
      </c>
      <c r="I1921" s="12">
        <v>-75.373999999999995</v>
      </c>
      <c r="J1921" t="s">
        <v>1666</v>
      </c>
      <c r="K1921" t="s">
        <v>1269</v>
      </c>
      <c r="L1921" t="s">
        <v>1270</v>
      </c>
      <c r="P1921" s="13">
        <v>282.10000000000002</v>
      </c>
      <c r="Q1921" s="13">
        <v>53.7</v>
      </c>
      <c r="R1921">
        <v>68</v>
      </c>
      <c r="S1921">
        <v>58</v>
      </c>
      <c r="T1921" s="13">
        <v>44.8</v>
      </c>
      <c r="U1921" s="13">
        <v>60</v>
      </c>
      <c r="V1921" t="s">
        <v>268</v>
      </c>
      <c r="W1921" t="s">
        <v>1271</v>
      </c>
      <c r="X1921" s="13"/>
    </row>
    <row r="1922" spans="1:24" x14ac:dyDescent="0.25">
      <c r="A1922" t="s">
        <v>1695</v>
      </c>
      <c r="B1922" t="s">
        <v>64</v>
      </c>
      <c r="C1922" t="s">
        <v>1664</v>
      </c>
      <c r="D1922" t="s">
        <v>1665</v>
      </c>
      <c r="E1922" t="s">
        <v>64</v>
      </c>
      <c r="F1922" t="s">
        <v>94</v>
      </c>
      <c r="G1922" t="s">
        <v>277</v>
      </c>
      <c r="H1922" s="12">
        <v>6.1449999999999996</v>
      </c>
      <c r="I1922" s="12">
        <v>-75.373999999999995</v>
      </c>
      <c r="J1922" t="s">
        <v>1666</v>
      </c>
      <c r="K1922" t="s">
        <v>97</v>
      </c>
      <c r="L1922" t="s">
        <v>1273</v>
      </c>
      <c r="P1922" s="13">
        <v>169.6</v>
      </c>
      <c r="Q1922" s="13">
        <v>26.8</v>
      </c>
      <c r="R1922">
        <v>34</v>
      </c>
      <c r="S1922">
        <v>36</v>
      </c>
      <c r="T1922" s="13">
        <v>36.200000000000003</v>
      </c>
      <c r="U1922" s="13">
        <v>41.8</v>
      </c>
      <c r="V1922" t="s">
        <v>99</v>
      </c>
      <c r="X1922" s="13">
        <v>169.6</v>
      </c>
    </row>
    <row r="1923" spans="1:24" x14ac:dyDescent="0.25">
      <c r="A1923" t="s">
        <v>1695</v>
      </c>
      <c r="B1923" t="s">
        <v>64</v>
      </c>
      <c r="C1923" t="s">
        <v>1664</v>
      </c>
      <c r="D1923" t="s">
        <v>1665</v>
      </c>
      <c r="E1923" t="s">
        <v>64</v>
      </c>
      <c r="F1923" t="s">
        <v>94</v>
      </c>
      <c r="G1923" t="s">
        <v>277</v>
      </c>
      <c r="H1923" s="12">
        <v>6.1449999999999996</v>
      </c>
      <c r="I1923" s="12">
        <v>-75.373999999999995</v>
      </c>
      <c r="J1923" t="s">
        <v>1666</v>
      </c>
      <c r="K1923" t="s">
        <v>1269</v>
      </c>
      <c r="L1923" t="s">
        <v>1270</v>
      </c>
      <c r="P1923" s="13">
        <v>239.4</v>
      </c>
      <c r="Q1923" s="13">
        <v>61</v>
      </c>
      <c r="R1923">
        <v>58</v>
      </c>
      <c r="S1923">
        <v>42</v>
      </c>
      <c r="T1923" s="13">
        <v>36.200000000000003</v>
      </c>
      <c r="U1923" s="13">
        <v>30.9</v>
      </c>
      <c r="V1923" t="s">
        <v>268</v>
      </c>
      <c r="W1923" t="s">
        <v>1271</v>
      </c>
      <c r="X1923" s="13"/>
    </row>
    <row r="1924" spans="1:24" x14ac:dyDescent="0.25">
      <c r="A1924" t="s">
        <v>1696</v>
      </c>
      <c r="B1924" t="s">
        <v>64</v>
      </c>
      <c r="C1924" t="s">
        <v>1664</v>
      </c>
      <c r="D1924" t="s">
        <v>1665</v>
      </c>
      <c r="E1924" t="s">
        <v>64</v>
      </c>
      <c r="F1924" t="s">
        <v>94</v>
      </c>
      <c r="G1924" t="s">
        <v>277</v>
      </c>
      <c r="H1924" s="12">
        <v>6.1449999999999996</v>
      </c>
      <c r="I1924" s="12">
        <v>-75.373999999999995</v>
      </c>
      <c r="J1924" t="s">
        <v>1666</v>
      </c>
      <c r="K1924" t="s">
        <v>97</v>
      </c>
      <c r="L1924" t="s">
        <v>1273</v>
      </c>
      <c r="P1924" s="13">
        <v>169.2</v>
      </c>
      <c r="Q1924" s="13">
        <v>29.3</v>
      </c>
      <c r="R1924">
        <v>44</v>
      </c>
      <c r="S1924">
        <v>28</v>
      </c>
      <c r="T1924" s="13">
        <v>34.5</v>
      </c>
      <c r="U1924" s="13">
        <v>32.700000000000003</v>
      </c>
      <c r="V1924" t="s">
        <v>99</v>
      </c>
      <c r="X1924" s="13">
        <v>169.2</v>
      </c>
    </row>
    <row r="1925" spans="1:24" x14ac:dyDescent="0.25">
      <c r="A1925" t="s">
        <v>1696</v>
      </c>
      <c r="B1925" t="s">
        <v>64</v>
      </c>
      <c r="C1925" t="s">
        <v>1664</v>
      </c>
      <c r="D1925" t="s">
        <v>1665</v>
      </c>
      <c r="E1925" t="s">
        <v>64</v>
      </c>
      <c r="F1925" t="s">
        <v>94</v>
      </c>
      <c r="G1925" t="s">
        <v>277</v>
      </c>
      <c r="H1925" s="12">
        <v>6.1449999999999996</v>
      </c>
      <c r="I1925" s="12">
        <v>-75.373999999999995</v>
      </c>
      <c r="J1925" t="s">
        <v>1666</v>
      </c>
      <c r="K1925" t="s">
        <v>1269</v>
      </c>
      <c r="L1925" t="s">
        <v>1270</v>
      </c>
      <c r="P1925" s="13">
        <v>246.6</v>
      </c>
      <c r="Q1925" s="13">
        <v>63.4</v>
      </c>
      <c r="R1925">
        <v>56</v>
      </c>
      <c r="S1925">
        <v>32</v>
      </c>
      <c r="T1925" s="13">
        <v>46.6</v>
      </c>
      <c r="U1925" s="13">
        <v>47.3</v>
      </c>
      <c r="V1925" t="s">
        <v>268</v>
      </c>
      <c r="W1925" t="s">
        <v>1271</v>
      </c>
      <c r="X1925" s="13"/>
    </row>
    <row r="1926" spans="1:24" x14ac:dyDescent="0.25">
      <c r="A1926" t="s">
        <v>1697</v>
      </c>
      <c r="B1926" t="s">
        <v>64</v>
      </c>
      <c r="C1926" t="s">
        <v>1664</v>
      </c>
      <c r="D1926" t="s">
        <v>1665</v>
      </c>
      <c r="E1926" t="s">
        <v>64</v>
      </c>
      <c r="F1926" t="s">
        <v>94</v>
      </c>
      <c r="G1926" t="s">
        <v>277</v>
      </c>
      <c r="H1926" s="12">
        <v>6.1449999999999996</v>
      </c>
      <c r="I1926" s="12">
        <v>-75.373999999999995</v>
      </c>
      <c r="J1926" t="s">
        <v>1666</v>
      </c>
      <c r="K1926" t="s">
        <v>97</v>
      </c>
      <c r="L1926" t="s">
        <v>1273</v>
      </c>
      <c r="P1926" s="13">
        <v>266.10000000000002</v>
      </c>
      <c r="Q1926" s="13">
        <v>68.3</v>
      </c>
      <c r="R1926">
        <v>44</v>
      </c>
      <c r="S1926">
        <v>52</v>
      </c>
      <c r="T1926" s="13">
        <v>50</v>
      </c>
      <c r="U1926" s="13">
        <v>49.1</v>
      </c>
      <c r="V1926" t="s">
        <v>99</v>
      </c>
      <c r="X1926" s="13">
        <v>266.10000000000002</v>
      </c>
    </row>
    <row r="1927" spans="1:24" x14ac:dyDescent="0.25">
      <c r="A1927" t="s">
        <v>1697</v>
      </c>
      <c r="B1927" t="s">
        <v>64</v>
      </c>
      <c r="C1927" t="s">
        <v>1664</v>
      </c>
      <c r="D1927" t="s">
        <v>1665</v>
      </c>
      <c r="E1927" t="s">
        <v>64</v>
      </c>
      <c r="F1927" t="s">
        <v>94</v>
      </c>
      <c r="G1927" t="s">
        <v>277</v>
      </c>
      <c r="H1927" s="12">
        <v>6.1449999999999996</v>
      </c>
      <c r="I1927" s="12">
        <v>-75.373999999999995</v>
      </c>
      <c r="J1927" t="s">
        <v>1666</v>
      </c>
      <c r="K1927" t="s">
        <v>1269</v>
      </c>
      <c r="L1927" t="s">
        <v>1270</v>
      </c>
      <c r="P1927" s="13">
        <v>215.6</v>
      </c>
      <c r="Q1927" s="13">
        <v>31.7</v>
      </c>
      <c r="R1927">
        <v>44</v>
      </c>
      <c r="S1927">
        <v>46</v>
      </c>
      <c r="T1927" s="13">
        <v>50</v>
      </c>
      <c r="U1927" s="13">
        <v>45.5</v>
      </c>
      <c r="V1927" t="s">
        <v>268</v>
      </c>
      <c r="W1927" t="s">
        <v>1271</v>
      </c>
      <c r="X1927" s="13"/>
    </row>
    <row r="1928" spans="1:24" x14ac:dyDescent="0.25">
      <c r="A1928" t="s">
        <v>1698</v>
      </c>
      <c r="B1928" t="s">
        <v>64</v>
      </c>
      <c r="C1928" t="s">
        <v>1664</v>
      </c>
      <c r="D1928" t="s">
        <v>1665</v>
      </c>
      <c r="E1928" t="s">
        <v>64</v>
      </c>
      <c r="F1928" t="s">
        <v>94</v>
      </c>
      <c r="G1928" t="s">
        <v>277</v>
      </c>
      <c r="H1928" s="12">
        <v>6.1449999999999996</v>
      </c>
      <c r="I1928" s="12">
        <v>-75.373999999999995</v>
      </c>
      <c r="J1928" t="s">
        <v>129</v>
      </c>
      <c r="K1928" t="s">
        <v>97</v>
      </c>
      <c r="L1928" t="s">
        <v>1273</v>
      </c>
      <c r="P1928" s="13">
        <v>249.6</v>
      </c>
      <c r="Q1928" s="13">
        <v>61</v>
      </c>
      <c r="R1928">
        <v>42</v>
      </c>
      <c r="S1928">
        <v>48</v>
      </c>
      <c r="T1928" s="13">
        <v>46.6</v>
      </c>
      <c r="U1928" s="13">
        <v>56.4</v>
      </c>
      <c r="V1928" t="s">
        <v>99</v>
      </c>
      <c r="X1928" s="13">
        <v>249.6</v>
      </c>
    </row>
    <row r="1929" spans="1:24" x14ac:dyDescent="0.25">
      <c r="A1929" t="s">
        <v>1698</v>
      </c>
      <c r="B1929" t="s">
        <v>64</v>
      </c>
      <c r="C1929" t="s">
        <v>1664</v>
      </c>
      <c r="D1929" t="s">
        <v>1665</v>
      </c>
      <c r="E1929" t="s">
        <v>64</v>
      </c>
      <c r="F1929" t="s">
        <v>94</v>
      </c>
      <c r="G1929" t="s">
        <v>277</v>
      </c>
      <c r="H1929" s="12">
        <v>6.1449999999999996</v>
      </c>
      <c r="I1929" s="12">
        <v>-75.373999999999995</v>
      </c>
      <c r="J1929" t="s">
        <v>129</v>
      </c>
      <c r="K1929" t="s">
        <v>1269</v>
      </c>
      <c r="L1929" t="s">
        <v>1270</v>
      </c>
      <c r="P1929" s="13">
        <v>285.7</v>
      </c>
      <c r="Q1929" s="13">
        <v>58.5</v>
      </c>
      <c r="R1929">
        <v>44</v>
      </c>
      <c r="S1929">
        <v>66</v>
      </c>
      <c r="T1929" s="13">
        <v>62.1</v>
      </c>
      <c r="U1929" s="13">
        <v>50.9</v>
      </c>
      <c r="V1929" t="s">
        <v>268</v>
      </c>
      <c r="W1929" t="s">
        <v>1271</v>
      </c>
      <c r="X1929" s="13"/>
    </row>
    <row r="1930" spans="1:24" x14ac:dyDescent="0.25">
      <c r="A1930" t="s">
        <v>1699</v>
      </c>
      <c r="B1930" t="s">
        <v>64</v>
      </c>
      <c r="C1930" t="s">
        <v>1664</v>
      </c>
      <c r="D1930" t="s">
        <v>1665</v>
      </c>
      <c r="E1930" t="s">
        <v>64</v>
      </c>
      <c r="F1930" t="s">
        <v>94</v>
      </c>
      <c r="G1930" t="s">
        <v>277</v>
      </c>
      <c r="H1930" s="12">
        <v>6.1449999999999996</v>
      </c>
      <c r="I1930" s="12">
        <v>-75.373999999999995</v>
      </c>
      <c r="J1930" t="s">
        <v>129</v>
      </c>
      <c r="K1930" t="s">
        <v>97</v>
      </c>
      <c r="L1930" t="s">
        <v>1273</v>
      </c>
      <c r="P1930" s="13">
        <v>191.8</v>
      </c>
      <c r="Q1930" s="13">
        <v>34.1</v>
      </c>
      <c r="R1930">
        <v>42</v>
      </c>
      <c r="S1930">
        <v>34</v>
      </c>
      <c r="T1930" s="13">
        <v>37.9</v>
      </c>
      <c r="U1930" s="13">
        <v>54.5</v>
      </c>
      <c r="V1930" t="s">
        <v>99</v>
      </c>
      <c r="X1930" s="13">
        <v>191.8</v>
      </c>
    </row>
    <row r="1931" spans="1:24" x14ac:dyDescent="0.25">
      <c r="A1931" t="s">
        <v>1699</v>
      </c>
      <c r="B1931" t="s">
        <v>64</v>
      </c>
      <c r="C1931" t="s">
        <v>1664</v>
      </c>
      <c r="D1931" t="s">
        <v>1665</v>
      </c>
      <c r="E1931" t="s">
        <v>64</v>
      </c>
      <c r="F1931" t="s">
        <v>94</v>
      </c>
      <c r="G1931" t="s">
        <v>277</v>
      </c>
      <c r="H1931" s="12">
        <v>6.1449999999999996</v>
      </c>
      <c r="I1931" s="12">
        <v>-75.373999999999995</v>
      </c>
      <c r="J1931" t="s">
        <v>129</v>
      </c>
      <c r="K1931" t="s">
        <v>1269</v>
      </c>
      <c r="L1931" t="s">
        <v>1270</v>
      </c>
      <c r="P1931" s="13">
        <v>192.5</v>
      </c>
      <c r="Q1931" s="13">
        <v>63.4</v>
      </c>
      <c r="R1931">
        <v>34</v>
      </c>
      <c r="S1931">
        <v>28</v>
      </c>
      <c r="T1931" s="13">
        <v>41.4</v>
      </c>
      <c r="U1931" s="13">
        <v>0</v>
      </c>
      <c r="V1931" t="s">
        <v>268</v>
      </c>
      <c r="W1931" t="s">
        <v>1271</v>
      </c>
      <c r="X1931" s="13"/>
    </row>
    <row r="1932" spans="1:24" x14ac:dyDescent="0.25">
      <c r="A1932" t="s">
        <v>1700</v>
      </c>
      <c r="B1932" t="s">
        <v>64</v>
      </c>
      <c r="C1932" t="s">
        <v>1664</v>
      </c>
      <c r="D1932" t="s">
        <v>1665</v>
      </c>
      <c r="E1932" t="s">
        <v>64</v>
      </c>
      <c r="F1932" t="s">
        <v>94</v>
      </c>
      <c r="G1932" t="s">
        <v>277</v>
      </c>
      <c r="H1932" s="12">
        <v>6.1449999999999996</v>
      </c>
      <c r="I1932" s="12">
        <v>-75.373999999999995</v>
      </c>
      <c r="J1932" t="s">
        <v>129</v>
      </c>
      <c r="K1932" t="s">
        <v>97</v>
      </c>
      <c r="L1932" t="s">
        <v>1273</v>
      </c>
      <c r="P1932" s="13">
        <v>248.9</v>
      </c>
      <c r="Q1932" s="13">
        <v>48.8</v>
      </c>
      <c r="R1932">
        <v>38</v>
      </c>
      <c r="S1932">
        <v>68</v>
      </c>
      <c r="T1932" s="13">
        <v>37.9</v>
      </c>
      <c r="U1932" s="13">
        <v>69.099999999999994</v>
      </c>
      <c r="V1932" t="s">
        <v>99</v>
      </c>
      <c r="X1932" s="13">
        <v>248.9</v>
      </c>
    </row>
    <row r="1933" spans="1:24" x14ac:dyDescent="0.25">
      <c r="A1933" t="s">
        <v>1700</v>
      </c>
      <c r="B1933" t="s">
        <v>64</v>
      </c>
      <c r="C1933" t="s">
        <v>1664</v>
      </c>
      <c r="D1933" t="s">
        <v>1665</v>
      </c>
      <c r="E1933" t="s">
        <v>64</v>
      </c>
      <c r="F1933" t="s">
        <v>94</v>
      </c>
      <c r="G1933" t="s">
        <v>277</v>
      </c>
      <c r="H1933" s="12">
        <v>6.1449999999999996</v>
      </c>
      <c r="I1933" s="12">
        <v>-75.373999999999995</v>
      </c>
      <c r="J1933" t="s">
        <v>129</v>
      </c>
      <c r="K1933" t="s">
        <v>1269</v>
      </c>
      <c r="L1933" t="s">
        <v>1270</v>
      </c>
      <c r="P1933" s="13">
        <v>290.3</v>
      </c>
      <c r="Q1933" s="13">
        <v>53.7</v>
      </c>
      <c r="R1933">
        <v>54</v>
      </c>
      <c r="S1933">
        <v>72</v>
      </c>
      <c r="T1933" s="13">
        <v>48.3</v>
      </c>
      <c r="U1933" s="13">
        <v>70.900000000000006</v>
      </c>
      <c r="V1933" t="s">
        <v>268</v>
      </c>
      <c r="W1933" t="s">
        <v>1271</v>
      </c>
      <c r="X1933" s="13"/>
    </row>
    <row r="1934" spans="1:24" x14ac:dyDescent="0.25">
      <c r="A1934" t="s">
        <v>1701</v>
      </c>
      <c r="B1934" t="s">
        <v>64</v>
      </c>
      <c r="C1934" t="s">
        <v>1664</v>
      </c>
      <c r="D1934" t="s">
        <v>1665</v>
      </c>
      <c r="E1934" t="s">
        <v>64</v>
      </c>
      <c r="F1934" t="s">
        <v>94</v>
      </c>
      <c r="G1934" t="s">
        <v>277</v>
      </c>
      <c r="H1934" s="12">
        <v>6.1449999999999996</v>
      </c>
      <c r="I1934" s="12">
        <v>-75.373999999999995</v>
      </c>
      <c r="J1934" t="s">
        <v>129</v>
      </c>
      <c r="K1934" t="s">
        <v>97</v>
      </c>
      <c r="L1934" t="s">
        <v>1273</v>
      </c>
      <c r="P1934" s="13">
        <v>305</v>
      </c>
      <c r="Q1934" s="13">
        <v>70.7</v>
      </c>
      <c r="R1934">
        <v>44</v>
      </c>
      <c r="S1934">
        <v>62</v>
      </c>
      <c r="T1934" s="13">
        <v>60.3</v>
      </c>
      <c r="U1934" s="13">
        <v>81.8</v>
      </c>
      <c r="V1934" t="s">
        <v>99</v>
      </c>
      <c r="X1934" s="13">
        <v>305</v>
      </c>
    </row>
    <row r="1935" spans="1:24" x14ac:dyDescent="0.25">
      <c r="A1935" t="s">
        <v>1701</v>
      </c>
      <c r="B1935" t="s">
        <v>64</v>
      </c>
      <c r="C1935" t="s">
        <v>1664</v>
      </c>
      <c r="D1935" t="s">
        <v>1665</v>
      </c>
      <c r="E1935" t="s">
        <v>64</v>
      </c>
      <c r="F1935" t="s">
        <v>94</v>
      </c>
      <c r="G1935" t="s">
        <v>277</v>
      </c>
      <c r="H1935" s="12">
        <v>6.1449999999999996</v>
      </c>
      <c r="I1935" s="12">
        <v>-75.373999999999995</v>
      </c>
      <c r="J1935" t="s">
        <v>129</v>
      </c>
      <c r="K1935" t="s">
        <v>1269</v>
      </c>
      <c r="L1935" t="s">
        <v>1270</v>
      </c>
      <c r="P1935" s="13">
        <v>349.2</v>
      </c>
      <c r="Q1935" s="13">
        <v>63.4</v>
      </c>
      <c r="R1935">
        <v>64</v>
      </c>
      <c r="S1935">
        <v>76</v>
      </c>
      <c r="T1935" s="13">
        <v>69</v>
      </c>
      <c r="U1935" s="13">
        <v>90.9</v>
      </c>
      <c r="V1935" t="s">
        <v>268</v>
      </c>
      <c r="W1935" t="s">
        <v>1271</v>
      </c>
      <c r="X1935" s="13"/>
    </row>
    <row r="1936" spans="1:24" x14ac:dyDescent="0.25">
      <c r="A1936" t="s">
        <v>1702</v>
      </c>
      <c r="B1936" t="s">
        <v>64</v>
      </c>
      <c r="C1936" t="s">
        <v>1664</v>
      </c>
      <c r="D1936" t="s">
        <v>1665</v>
      </c>
      <c r="E1936" t="s">
        <v>64</v>
      </c>
      <c r="F1936" t="s">
        <v>94</v>
      </c>
      <c r="G1936" t="s">
        <v>277</v>
      </c>
      <c r="H1936" s="12">
        <v>6.1449999999999996</v>
      </c>
      <c r="I1936" s="12">
        <v>-75.373999999999995</v>
      </c>
      <c r="J1936" t="s">
        <v>1666</v>
      </c>
      <c r="K1936" t="s">
        <v>97</v>
      </c>
      <c r="L1936" t="s">
        <v>1273</v>
      </c>
      <c r="P1936" s="13">
        <v>296.10000000000002</v>
      </c>
      <c r="Q1936" s="13">
        <v>70.7</v>
      </c>
      <c r="R1936">
        <v>56</v>
      </c>
      <c r="S1936">
        <v>60</v>
      </c>
      <c r="T1936" s="13">
        <v>51.7</v>
      </c>
      <c r="U1936" s="13">
        <v>54.5</v>
      </c>
      <c r="V1936" t="s">
        <v>99</v>
      </c>
      <c r="X1936" s="13">
        <v>296.10000000000002</v>
      </c>
    </row>
    <row r="1937" spans="1:24" x14ac:dyDescent="0.25">
      <c r="A1937" t="s">
        <v>1702</v>
      </c>
      <c r="B1937" t="s">
        <v>64</v>
      </c>
      <c r="C1937" t="s">
        <v>1664</v>
      </c>
      <c r="D1937" t="s">
        <v>1665</v>
      </c>
      <c r="E1937" t="s">
        <v>64</v>
      </c>
      <c r="F1937" t="s">
        <v>94</v>
      </c>
      <c r="G1937" t="s">
        <v>277</v>
      </c>
      <c r="H1937" s="12">
        <v>6.1449999999999996</v>
      </c>
      <c r="I1937" s="12">
        <v>-75.373999999999995</v>
      </c>
      <c r="J1937" t="s">
        <v>1666</v>
      </c>
      <c r="K1937" t="s">
        <v>1269</v>
      </c>
      <c r="L1937" t="s">
        <v>1270</v>
      </c>
      <c r="P1937" s="13">
        <v>294.3</v>
      </c>
      <c r="Q1937" s="13">
        <v>56.1</v>
      </c>
      <c r="R1937">
        <v>64</v>
      </c>
      <c r="S1937">
        <v>64</v>
      </c>
      <c r="T1937" s="13">
        <v>55.2</v>
      </c>
      <c r="U1937" s="13">
        <v>47.3</v>
      </c>
      <c r="V1937" t="s">
        <v>268</v>
      </c>
      <c r="W1937" t="s">
        <v>1271</v>
      </c>
      <c r="X1937" s="13"/>
    </row>
    <row r="1938" spans="1:24" x14ac:dyDescent="0.25">
      <c r="A1938" t="s">
        <v>1703</v>
      </c>
      <c r="B1938" t="s">
        <v>64</v>
      </c>
      <c r="C1938" t="s">
        <v>1664</v>
      </c>
      <c r="D1938" t="s">
        <v>1665</v>
      </c>
      <c r="E1938" t="s">
        <v>64</v>
      </c>
      <c r="F1938" t="s">
        <v>94</v>
      </c>
      <c r="G1938" t="s">
        <v>277</v>
      </c>
      <c r="H1938" s="12">
        <v>6.1449999999999996</v>
      </c>
      <c r="I1938" s="12">
        <v>-75.373999999999995</v>
      </c>
      <c r="J1938" t="s">
        <v>129</v>
      </c>
      <c r="K1938" t="s">
        <v>97</v>
      </c>
      <c r="L1938" t="s">
        <v>1273</v>
      </c>
      <c r="P1938" s="13">
        <v>240.5</v>
      </c>
      <c r="Q1938" s="13">
        <v>53.7</v>
      </c>
      <c r="R1938">
        <v>42</v>
      </c>
      <c r="S1938">
        <v>56</v>
      </c>
      <c r="T1938" s="13">
        <v>36.200000000000003</v>
      </c>
      <c r="U1938" s="13">
        <v>61.8</v>
      </c>
      <c r="V1938" t="s">
        <v>99</v>
      </c>
      <c r="X1938" s="13">
        <v>240.5</v>
      </c>
    </row>
    <row r="1939" spans="1:24" x14ac:dyDescent="0.25">
      <c r="A1939" t="s">
        <v>1703</v>
      </c>
      <c r="B1939" t="s">
        <v>64</v>
      </c>
      <c r="C1939" t="s">
        <v>1664</v>
      </c>
      <c r="D1939" t="s">
        <v>1665</v>
      </c>
      <c r="E1939" t="s">
        <v>64</v>
      </c>
      <c r="F1939" t="s">
        <v>94</v>
      </c>
      <c r="G1939" t="s">
        <v>277</v>
      </c>
      <c r="H1939" s="12">
        <v>6.1449999999999996</v>
      </c>
      <c r="I1939" s="12">
        <v>-75.373999999999995</v>
      </c>
      <c r="J1939" t="s">
        <v>129</v>
      </c>
      <c r="K1939" t="s">
        <v>1269</v>
      </c>
      <c r="L1939" t="s">
        <v>1270</v>
      </c>
      <c r="P1939" s="13">
        <v>286.8</v>
      </c>
      <c r="Q1939" s="13">
        <v>51.2</v>
      </c>
      <c r="R1939">
        <v>50</v>
      </c>
      <c r="S1939">
        <v>74</v>
      </c>
      <c r="T1939" s="13">
        <v>55.2</v>
      </c>
      <c r="U1939" s="13">
        <v>54.5</v>
      </c>
      <c r="V1939" t="s">
        <v>268</v>
      </c>
      <c r="W1939" t="s">
        <v>1271</v>
      </c>
      <c r="X1939" s="13"/>
    </row>
    <row r="1940" spans="1:24" x14ac:dyDescent="0.25">
      <c r="A1940" t="s">
        <v>1704</v>
      </c>
      <c r="B1940" t="s">
        <v>64</v>
      </c>
      <c r="C1940" t="s">
        <v>1664</v>
      </c>
      <c r="D1940" t="s">
        <v>1665</v>
      </c>
      <c r="E1940" t="s">
        <v>64</v>
      </c>
      <c r="F1940" t="s">
        <v>94</v>
      </c>
      <c r="G1940" t="s">
        <v>277</v>
      </c>
      <c r="H1940" s="12">
        <v>6.1449999999999996</v>
      </c>
      <c r="I1940" s="12">
        <v>-75.373999999999995</v>
      </c>
      <c r="J1940" t="s">
        <v>129</v>
      </c>
      <c r="K1940" t="s">
        <v>1269</v>
      </c>
      <c r="L1940" t="s">
        <v>1270</v>
      </c>
      <c r="P1940" s="13">
        <v>281.3</v>
      </c>
      <c r="Q1940" s="13">
        <v>56.1</v>
      </c>
      <c r="R1940">
        <v>60</v>
      </c>
      <c r="S1940">
        <v>62</v>
      </c>
      <c r="T1940" s="13">
        <v>51.7</v>
      </c>
      <c r="U1940" s="13">
        <v>41.8</v>
      </c>
      <c r="V1940" t="s">
        <v>268</v>
      </c>
      <c r="W1940" t="s">
        <v>1271</v>
      </c>
      <c r="X1940" s="13"/>
    </row>
    <row r="1941" spans="1:24" x14ac:dyDescent="0.25">
      <c r="A1941" t="s">
        <v>1705</v>
      </c>
      <c r="B1941" t="s">
        <v>64</v>
      </c>
      <c r="C1941" t="s">
        <v>1664</v>
      </c>
      <c r="D1941" t="s">
        <v>1665</v>
      </c>
      <c r="E1941" t="s">
        <v>64</v>
      </c>
      <c r="F1941" t="s">
        <v>94</v>
      </c>
      <c r="G1941" t="s">
        <v>277</v>
      </c>
      <c r="H1941" s="12">
        <v>6.1449999999999996</v>
      </c>
      <c r="I1941" s="12">
        <v>-75.373999999999995</v>
      </c>
      <c r="J1941" t="s">
        <v>129</v>
      </c>
      <c r="K1941" t="s">
        <v>1269</v>
      </c>
      <c r="L1941" t="s">
        <v>1270</v>
      </c>
      <c r="P1941" s="13">
        <v>351.2</v>
      </c>
      <c r="Q1941" s="13">
        <v>61</v>
      </c>
      <c r="R1941">
        <v>74</v>
      </c>
      <c r="S1941">
        <v>76</v>
      </c>
      <c r="T1941" s="13">
        <v>65.5</v>
      </c>
      <c r="U1941" s="13">
        <v>83.6</v>
      </c>
      <c r="V1941" t="s">
        <v>268</v>
      </c>
      <c r="W1941" t="s">
        <v>1271</v>
      </c>
      <c r="X1941" s="13"/>
    </row>
    <row r="1942" spans="1:24" x14ac:dyDescent="0.25">
      <c r="A1942" t="s">
        <v>1706</v>
      </c>
      <c r="B1942" t="s">
        <v>64</v>
      </c>
      <c r="C1942" t="s">
        <v>1664</v>
      </c>
      <c r="D1942" t="s">
        <v>1665</v>
      </c>
      <c r="E1942" t="s">
        <v>64</v>
      </c>
      <c r="F1942" t="s">
        <v>94</v>
      </c>
      <c r="G1942" t="s">
        <v>277</v>
      </c>
      <c r="H1942" s="12">
        <v>6.1449999999999996</v>
      </c>
      <c r="I1942" s="12">
        <v>-75.373999999999995</v>
      </c>
      <c r="J1942" t="s">
        <v>129</v>
      </c>
      <c r="K1942" t="s">
        <v>97</v>
      </c>
      <c r="L1942" t="s">
        <v>1273</v>
      </c>
      <c r="P1942" s="13">
        <v>268.39999999999998</v>
      </c>
      <c r="Q1942" s="13">
        <v>58.5</v>
      </c>
      <c r="R1942">
        <v>58</v>
      </c>
      <c r="S1942">
        <v>40</v>
      </c>
      <c r="T1942" s="13">
        <v>60.3</v>
      </c>
      <c r="U1942" s="13">
        <v>47.3</v>
      </c>
      <c r="V1942" t="s">
        <v>99</v>
      </c>
      <c r="X1942" s="13">
        <v>268.39999999999998</v>
      </c>
    </row>
    <row r="1943" spans="1:24" x14ac:dyDescent="0.25">
      <c r="A1943" t="s">
        <v>1706</v>
      </c>
      <c r="B1943" t="s">
        <v>64</v>
      </c>
      <c r="C1943" t="s">
        <v>1664</v>
      </c>
      <c r="D1943" t="s">
        <v>1665</v>
      </c>
      <c r="E1943" t="s">
        <v>64</v>
      </c>
      <c r="F1943" t="s">
        <v>94</v>
      </c>
      <c r="G1943" t="s">
        <v>277</v>
      </c>
      <c r="H1943" s="12">
        <v>6.1449999999999996</v>
      </c>
      <c r="I1943" s="12">
        <v>-75.373999999999995</v>
      </c>
      <c r="J1943" t="s">
        <v>129</v>
      </c>
      <c r="K1943" t="s">
        <v>1269</v>
      </c>
      <c r="L1943" t="s">
        <v>1270</v>
      </c>
      <c r="P1943" s="13">
        <v>307.3</v>
      </c>
      <c r="Q1943" s="13">
        <v>58.5</v>
      </c>
      <c r="R1943">
        <v>68</v>
      </c>
      <c r="S1943">
        <v>56</v>
      </c>
      <c r="T1943" s="13">
        <v>63.8</v>
      </c>
      <c r="U1943" s="13">
        <v>60</v>
      </c>
      <c r="V1943" t="s">
        <v>268</v>
      </c>
      <c r="W1943" t="s">
        <v>1271</v>
      </c>
      <c r="X1943" s="13"/>
    </row>
    <row r="1944" spans="1:24" x14ac:dyDescent="0.25">
      <c r="A1944" t="s">
        <v>1707</v>
      </c>
      <c r="B1944" t="s">
        <v>64</v>
      </c>
      <c r="C1944" t="s">
        <v>1664</v>
      </c>
      <c r="D1944" t="s">
        <v>1665</v>
      </c>
      <c r="E1944" t="s">
        <v>64</v>
      </c>
      <c r="F1944" t="s">
        <v>94</v>
      </c>
      <c r="G1944" t="s">
        <v>277</v>
      </c>
      <c r="H1944" s="12">
        <v>6.1449999999999996</v>
      </c>
      <c r="I1944" s="12">
        <v>-75.373999999999995</v>
      </c>
      <c r="J1944" t="s">
        <v>129</v>
      </c>
      <c r="K1944" t="s">
        <v>97</v>
      </c>
      <c r="L1944" t="s">
        <v>1273</v>
      </c>
      <c r="P1944" s="13">
        <v>249</v>
      </c>
      <c r="Q1944" s="13">
        <v>75.599999999999994</v>
      </c>
      <c r="R1944">
        <v>56</v>
      </c>
      <c r="S1944">
        <v>48</v>
      </c>
      <c r="T1944" s="13">
        <v>36.200000000000003</v>
      </c>
      <c r="U1944" s="13">
        <v>0</v>
      </c>
      <c r="V1944" t="s">
        <v>99</v>
      </c>
      <c r="X1944" s="13">
        <v>249</v>
      </c>
    </row>
    <row r="1945" spans="1:24" x14ac:dyDescent="0.25">
      <c r="A1945" t="s">
        <v>1707</v>
      </c>
      <c r="B1945" t="s">
        <v>64</v>
      </c>
      <c r="C1945" t="s">
        <v>1664</v>
      </c>
      <c r="D1945" t="s">
        <v>1665</v>
      </c>
      <c r="E1945" t="s">
        <v>64</v>
      </c>
      <c r="F1945" t="s">
        <v>94</v>
      </c>
      <c r="G1945" t="s">
        <v>277</v>
      </c>
      <c r="H1945" s="12">
        <v>6.1449999999999996</v>
      </c>
      <c r="I1945" s="12">
        <v>-75.373999999999995</v>
      </c>
      <c r="J1945" t="s">
        <v>129</v>
      </c>
      <c r="K1945" t="s">
        <v>1269</v>
      </c>
      <c r="L1945" t="s">
        <v>1270</v>
      </c>
      <c r="P1945" s="13">
        <v>331.4</v>
      </c>
      <c r="Q1945" s="13">
        <v>58.5</v>
      </c>
      <c r="R1945">
        <v>58</v>
      </c>
      <c r="S1945">
        <v>80</v>
      </c>
      <c r="T1945" s="13">
        <v>70.7</v>
      </c>
      <c r="U1945" s="13">
        <v>60</v>
      </c>
      <c r="V1945" t="s">
        <v>268</v>
      </c>
      <c r="W1945" t="s">
        <v>1271</v>
      </c>
      <c r="X1945" s="13"/>
    </row>
    <row r="1946" spans="1:24" x14ac:dyDescent="0.25">
      <c r="A1946" t="s">
        <v>1708</v>
      </c>
      <c r="B1946" t="s">
        <v>64</v>
      </c>
      <c r="C1946" t="s">
        <v>1664</v>
      </c>
      <c r="D1946" t="s">
        <v>1665</v>
      </c>
      <c r="E1946" t="s">
        <v>64</v>
      </c>
      <c r="F1946" t="s">
        <v>94</v>
      </c>
      <c r="G1946" t="s">
        <v>277</v>
      </c>
      <c r="H1946" s="12">
        <v>6.1449999999999996</v>
      </c>
      <c r="I1946" s="12">
        <v>-75.373999999999995</v>
      </c>
      <c r="J1946" t="s">
        <v>129</v>
      </c>
      <c r="K1946" t="s">
        <v>97</v>
      </c>
      <c r="L1946" t="s">
        <v>1273</v>
      </c>
      <c r="P1946" s="13">
        <v>207.2</v>
      </c>
      <c r="Q1946" s="13">
        <v>46.3</v>
      </c>
      <c r="R1946">
        <v>22</v>
      </c>
      <c r="S1946">
        <v>50</v>
      </c>
      <c r="T1946" s="13">
        <v>44.8</v>
      </c>
      <c r="U1946" s="13">
        <v>49.1</v>
      </c>
      <c r="V1946" t="s">
        <v>99</v>
      </c>
      <c r="X1946" s="13">
        <v>207.2</v>
      </c>
    </row>
    <row r="1947" spans="1:24" x14ac:dyDescent="0.25">
      <c r="A1947" t="s">
        <v>1708</v>
      </c>
      <c r="B1947" t="s">
        <v>64</v>
      </c>
      <c r="C1947" t="s">
        <v>1664</v>
      </c>
      <c r="D1947" t="s">
        <v>1665</v>
      </c>
      <c r="E1947" t="s">
        <v>64</v>
      </c>
      <c r="F1947" t="s">
        <v>94</v>
      </c>
      <c r="G1947" t="s">
        <v>277</v>
      </c>
      <c r="H1947" s="12">
        <v>6.1449999999999996</v>
      </c>
      <c r="I1947" s="12">
        <v>-75.373999999999995</v>
      </c>
      <c r="J1947" t="s">
        <v>129</v>
      </c>
      <c r="K1947" t="s">
        <v>1269</v>
      </c>
      <c r="L1947" t="s">
        <v>1270</v>
      </c>
      <c r="P1947" s="13">
        <v>229.6</v>
      </c>
      <c r="Q1947" s="13">
        <v>41.5</v>
      </c>
      <c r="R1947">
        <v>46</v>
      </c>
      <c r="S1947">
        <v>44</v>
      </c>
      <c r="T1947" s="13">
        <v>51.7</v>
      </c>
      <c r="U1947" s="13">
        <v>47.3</v>
      </c>
      <c r="V1947" t="s">
        <v>268</v>
      </c>
      <c r="W1947" t="s">
        <v>1271</v>
      </c>
      <c r="X1947" s="13"/>
    </row>
    <row r="1948" spans="1:24" x14ac:dyDescent="0.25">
      <c r="A1948" t="s">
        <v>1709</v>
      </c>
      <c r="B1948" t="s">
        <v>64</v>
      </c>
      <c r="C1948" t="s">
        <v>1664</v>
      </c>
      <c r="D1948" t="s">
        <v>1665</v>
      </c>
      <c r="E1948" t="s">
        <v>64</v>
      </c>
      <c r="F1948" t="s">
        <v>94</v>
      </c>
      <c r="G1948" t="s">
        <v>277</v>
      </c>
      <c r="H1948" s="12">
        <v>6.1449999999999996</v>
      </c>
      <c r="I1948" s="12">
        <v>-75.373999999999995</v>
      </c>
      <c r="J1948" t="s">
        <v>129</v>
      </c>
      <c r="K1948" t="s">
        <v>97</v>
      </c>
      <c r="L1948" t="s">
        <v>1273</v>
      </c>
      <c r="P1948" s="13">
        <v>261.2</v>
      </c>
      <c r="Q1948" s="13">
        <v>63.4</v>
      </c>
      <c r="R1948">
        <v>34</v>
      </c>
      <c r="S1948">
        <v>52</v>
      </c>
      <c r="T1948" s="13">
        <v>55.2</v>
      </c>
      <c r="U1948" s="13">
        <v>65.5</v>
      </c>
      <c r="V1948" t="s">
        <v>99</v>
      </c>
      <c r="X1948" s="13">
        <v>261.2</v>
      </c>
    </row>
    <row r="1949" spans="1:24" x14ac:dyDescent="0.25">
      <c r="A1949" t="s">
        <v>1709</v>
      </c>
      <c r="B1949" t="s">
        <v>64</v>
      </c>
      <c r="C1949" t="s">
        <v>1664</v>
      </c>
      <c r="D1949" t="s">
        <v>1665</v>
      </c>
      <c r="E1949" t="s">
        <v>64</v>
      </c>
      <c r="F1949" t="s">
        <v>94</v>
      </c>
      <c r="G1949" t="s">
        <v>277</v>
      </c>
      <c r="H1949" s="12">
        <v>6.1449999999999996</v>
      </c>
      <c r="I1949" s="12">
        <v>-75.373999999999995</v>
      </c>
      <c r="J1949" t="s">
        <v>129</v>
      </c>
      <c r="K1949" t="s">
        <v>1269</v>
      </c>
      <c r="L1949" t="s">
        <v>1270</v>
      </c>
      <c r="P1949" s="13">
        <v>267.89999999999998</v>
      </c>
      <c r="Q1949" s="13">
        <v>48.8</v>
      </c>
      <c r="R1949">
        <v>58</v>
      </c>
      <c r="S1949">
        <v>54</v>
      </c>
      <c r="T1949" s="13">
        <v>46.6</v>
      </c>
      <c r="U1949" s="13">
        <v>74.5</v>
      </c>
      <c r="V1949" t="s">
        <v>268</v>
      </c>
      <c r="W1949" t="s">
        <v>1271</v>
      </c>
      <c r="X1949" s="13"/>
    </row>
    <row r="1950" spans="1:24" x14ac:dyDescent="0.25">
      <c r="A1950" t="s">
        <v>1710</v>
      </c>
      <c r="B1950" t="s">
        <v>64</v>
      </c>
      <c r="C1950" t="s">
        <v>1664</v>
      </c>
      <c r="D1950" t="s">
        <v>1665</v>
      </c>
      <c r="E1950" t="s">
        <v>64</v>
      </c>
      <c r="F1950" t="s">
        <v>94</v>
      </c>
      <c r="G1950" t="s">
        <v>277</v>
      </c>
      <c r="H1950" s="12">
        <v>6.1449999999999996</v>
      </c>
      <c r="I1950" s="12">
        <v>-75.373999999999995</v>
      </c>
      <c r="J1950" t="s">
        <v>129</v>
      </c>
      <c r="K1950" t="s">
        <v>97</v>
      </c>
      <c r="L1950" t="s">
        <v>1273</v>
      </c>
      <c r="P1950" s="13">
        <v>203.7</v>
      </c>
      <c r="Q1950" s="13">
        <v>43.9</v>
      </c>
      <c r="R1950">
        <v>36</v>
      </c>
      <c r="S1950">
        <v>28</v>
      </c>
      <c r="T1950" s="13">
        <v>53.4</v>
      </c>
      <c r="U1950" s="13">
        <v>45.5</v>
      </c>
      <c r="V1950" t="s">
        <v>99</v>
      </c>
      <c r="X1950" s="13">
        <v>203.7</v>
      </c>
    </row>
    <row r="1951" spans="1:24" x14ac:dyDescent="0.25">
      <c r="A1951" t="s">
        <v>1710</v>
      </c>
      <c r="B1951" t="s">
        <v>64</v>
      </c>
      <c r="C1951" t="s">
        <v>1664</v>
      </c>
      <c r="D1951" t="s">
        <v>1665</v>
      </c>
      <c r="E1951" t="s">
        <v>64</v>
      </c>
      <c r="F1951" t="s">
        <v>94</v>
      </c>
      <c r="G1951" t="s">
        <v>277</v>
      </c>
      <c r="H1951" s="12">
        <v>6.1449999999999996</v>
      </c>
      <c r="I1951" s="12">
        <v>-75.373999999999995</v>
      </c>
      <c r="J1951" t="s">
        <v>129</v>
      </c>
      <c r="K1951" t="s">
        <v>1269</v>
      </c>
      <c r="L1951" t="s">
        <v>1270</v>
      </c>
      <c r="P1951" s="13">
        <v>295.7</v>
      </c>
      <c r="Q1951" s="13">
        <v>53.7</v>
      </c>
      <c r="R1951">
        <v>68</v>
      </c>
      <c r="S1951">
        <v>58</v>
      </c>
      <c r="T1951" s="13">
        <v>62.1</v>
      </c>
      <c r="U1951" s="13">
        <v>43.6</v>
      </c>
      <c r="V1951" t="s">
        <v>268</v>
      </c>
      <c r="W1951" t="s">
        <v>1271</v>
      </c>
      <c r="X1951" s="13"/>
    </row>
    <row r="1952" spans="1:24" x14ac:dyDescent="0.25">
      <c r="A1952" t="s">
        <v>1711</v>
      </c>
      <c r="B1952" t="s">
        <v>64</v>
      </c>
      <c r="C1952" t="s">
        <v>1664</v>
      </c>
      <c r="D1952" t="s">
        <v>1665</v>
      </c>
      <c r="E1952" t="s">
        <v>64</v>
      </c>
      <c r="F1952" t="s">
        <v>94</v>
      </c>
      <c r="G1952" t="s">
        <v>277</v>
      </c>
      <c r="H1952" s="12">
        <v>6.1449999999999996</v>
      </c>
      <c r="I1952" s="12">
        <v>-75.373999999999995</v>
      </c>
      <c r="J1952" t="s">
        <v>129</v>
      </c>
      <c r="K1952" t="s">
        <v>1269</v>
      </c>
      <c r="L1952" t="s">
        <v>1270</v>
      </c>
      <c r="P1952" s="13">
        <v>274.3</v>
      </c>
      <c r="Q1952" s="13">
        <v>56.1</v>
      </c>
      <c r="R1952">
        <v>52</v>
      </c>
      <c r="S1952">
        <v>62</v>
      </c>
      <c r="T1952" s="13">
        <v>48.3</v>
      </c>
      <c r="U1952" s="13">
        <v>58.2</v>
      </c>
      <c r="V1952" t="s">
        <v>268</v>
      </c>
      <c r="W1952" t="s">
        <v>1271</v>
      </c>
      <c r="X1952" s="13"/>
    </row>
    <row r="1953" spans="1:24" x14ac:dyDescent="0.25">
      <c r="A1953" t="s">
        <v>1712</v>
      </c>
      <c r="B1953" t="s">
        <v>64</v>
      </c>
      <c r="C1953" t="s">
        <v>1664</v>
      </c>
      <c r="D1953" t="s">
        <v>1665</v>
      </c>
      <c r="E1953" t="s">
        <v>64</v>
      </c>
      <c r="F1953" t="s">
        <v>94</v>
      </c>
      <c r="G1953" t="s">
        <v>277</v>
      </c>
      <c r="H1953" s="12">
        <v>6.1449999999999996</v>
      </c>
      <c r="I1953" s="12">
        <v>-75.373999999999995</v>
      </c>
      <c r="J1953" t="s">
        <v>129</v>
      </c>
      <c r="K1953" t="s">
        <v>97</v>
      </c>
      <c r="L1953" t="s">
        <v>1273</v>
      </c>
      <c r="P1953" s="13">
        <v>257.60000000000002</v>
      </c>
      <c r="Q1953" s="13">
        <v>53.7</v>
      </c>
      <c r="R1953">
        <v>56</v>
      </c>
      <c r="S1953">
        <v>32</v>
      </c>
      <c r="T1953" s="13">
        <v>60.3</v>
      </c>
      <c r="U1953" s="13">
        <v>63.6</v>
      </c>
      <c r="V1953" t="s">
        <v>99</v>
      </c>
      <c r="X1953" s="13">
        <v>257.60000000000002</v>
      </c>
    </row>
    <row r="1954" spans="1:24" x14ac:dyDescent="0.25">
      <c r="A1954" t="s">
        <v>1712</v>
      </c>
      <c r="B1954" t="s">
        <v>64</v>
      </c>
      <c r="C1954" t="s">
        <v>1664</v>
      </c>
      <c r="D1954" t="s">
        <v>1665</v>
      </c>
      <c r="E1954" t="s">
        <v>64</v>
      </c>
      <c r="F1954" t="s">
        <v>94</v>
      </c>
      <c r="G1954" t="s">
        <v>277</v>
      </c>
      <c r="H1954" s="12">
        <v>6.1449999999999996</v>
      </c>
      <c r="I1954" s="12">
        <v>-75.373999999999995</v>
      </c>
      <c r="J1954" t="s">
        <v>129</v>
      </c>
      <c r="K1954" t="s">
        <v>1269</v>
      </c>
      <c r="L1954" t="s">
        <v>1270</v>
      </c>
      <c r="P1954" s="13">
        <v>295.89999999999998</v>
      </c>
      <c r="Q1954" s="13">
        <v>61</v>
      </c>
      <c r="R1954">
        <v>58</v>
      </c>
      <c r="S1954">
        <v>54</v>
      </c>
      <c r="T1954" s="13">
        <v>58.6</v>
      </c>
      <c r="U1954" s="13">
        <v>74.5</v>
      </c>
      <c r="V1954" t="s">
        <v>268</v>
      </c>
      <c r="W1954" t="s">
        <v>1271</v>
      </c>
      <c r="X1954" s="13"/>
    </row>
    <row r="1955" spans="1:24" x14ac:dyDescent="0.25">
      <c r="A1955" t="s">
        <v>1713</v>
      </c>
      <c r="B1955" t="s">
        <v>64</v>
      </c>
      <c r="C1955" t="s">
        <v>1664</v>
      </c>
      <c r="D1955" t="s">
        <v>1665</v>
      </c>
      <c r="E1955" t="s">
        <v>64</v>
      </c>
      <c r="F1955" t="s">
        <v>94</v>
      </c>
      <c r="G1955" t="s">
        <v>277</v>
      </c>
      <c r="H1955" s="12">
        <v>6.1449999999999996</v>
      </c>
      <c r="I1955" s="12">
        <v>-75.373999999999995</v>
      </c>
      <c r="J1955" t="s">
        <v>1666</v>
      </c>
      <c r="K1955" t="s">
        <v>97</v>
      </c>
      <c r="L1955" t="s">
        <v>1273</v>
      </c>
      <c r="P1955" s="13">
        <v>145</v>
      </c>
      <c r="Q1955" s="13">
        <v>39</v>
      </c>
      <c r="R1955">
        <v>32</v>
      </c>
      <c r="S1955">
        <v>20</v>
      </c>
      <c r="T1955" s="13">
        <v>20.7</v>
      </c>
      <c r="U1955" s="13">
        <v>41.8</v>
      </c>
      <c r="V1955" t="s">
        <v>99</v>
      </c>
      <c r="X1955" s="13">
        <v>145</v>
      </c>
    </row>
    <row r="1956" spans="1:24" x14ac:dyDescent="0.25">
      <c r="A1956" t="s">
        <v>1713</v>
      </c>
      <c r="B1956" t="s">
        <v>64</v>
      </c>
      <c r="C1956" t="s">
        <v>1664</v>
      </c>
      <c r="D1956" t="s">
        <v>1665</v>
      </c>
      <c r="E1956" t="s">
        <v>64</v>
      </c>
      <c r="F1956" t="s">
        <v>94</v>
      </c>
      <c r="G1956" t="s">
        <v>277</v>
      </c>
      <c r="H1956" s="12">
        <v>6.1449999999999996</v>
      </c>
      <c r="I1956" s="12">
        <v>-75.373999999999995</v>
      </c>
      <c r="J1956" t="s">
        <v>1666</v>
      </c>
      <c r="K1956" t="s">
        <v>1269</v>
      </c>
      <c r="L1956" t="s">
        <v>1270</v>
      </c>
      <c r="P1956" s="13">
        <v>256.3</v>
      </c>
      <c r="Q1956" s="13">
        <v>53.7</v>
      </c>
      <c r="R1956">
        <v>64</v>
      </c>
      <c r="S1956">
        <v>46</v>
      </c>
      <c r="T1956" s="13">
        <v>39.700000000000003</v>
      </c>
      <c r="U1956" s="13">
        <v>56.4</v>
      </c>
      <c r="V1956" t="s">
        <v>268</v>
      </c>
      <c r="W1956" t="s">
        <v>1271</v>
      </c>
      <c r="X1956" s="13"/>
    </row>
    <row r="1957" spans="1:24" x14ac:dyDescent="0.25">
      <c r="A1957" t="s">
        <v>1714</v>
      </c>
      <c r="B1957" t="s">
        <v>64</v>
      </c>
      <c r="C1957" t="s">
        <v>1664</v>
      </c>
      <c r="D1957" t="s">
        <v>1665</v>
      </c>
      <c r="E1957" t="s">
        <v>64</v>
      </c>
      <c r="F1957" t="s">
        <v>94</v>
      </c>
      <c r="G1957" t="s">
        <v>277</v>
      </c>
      <c r="H1957" s="12">
        <v>6.1449999999999996</v>
      </c>
      <c r="I1957" s="12">
        <v>-75.373999999999995</v>
      </c>
      <c r="J1957" t="s">
        <v>129</v>
      </c>
      <c r="K1957" t="s">
        <v>97</v>
      </c>
      <c r="L1957" t="s">
        <v>1273</v>
      </c>
      <c r="P1957" s="13">
        <v>318.3</v>
      </c>
      <c r="Q1957" s="13">
        <v>68.3</v>
      </c>
      <c r="R1957">
        <v>40</v>
      </c>
      <c r="S1957">
        <v>74</v>
      </c>
      <c r="T1957" s="13">
        <v>62.1</v>
      </c>
      <c r="U1957" s="13">
        <v>94.5</v>
      </c>
      <c r="V1957" t="s">
        <v>99</v>
      </c>
      <c r="X1957" s="13">
        <v>318.3</v>
      </c>
    </row>
    <row r="1958" spans="1:24" x14ac:dyDescent="0.25">
      <c r="A1958" t="s">
        <v>1714</v>
      </c>
      <c r="B1958" t="s">
        <v>64</v>
      </c>
      <c r="C1958" t="s">
        <v>1664</v>
      </c>
      <c r="D1958" t="s">
        <v>1665</v>
      </c>
      <c r="E1958" t="s">
        <v>64</v>
      </c>
      <c r="F1958" t="s">
        <v>94</v>
      </c>
      <c r="G1958" t="s">
        <v>277</v>
      </c>
      <c r="H1958" s="12">
        <v>6.1449999999999996</v>
      </c>
      <c r="I1958" s="12">
        <v>-75.373999999999995</v>
      </c>
      <c r="J1958" t="s">
        <v>129</v>
      </c>
      <c r="K1958" t="s">
        <v>1269</v>
      </c>
      <c r="L1958" t="s">
        <v>1270</v>
      </c>
      <c r="P1958" s="13">
        <v>332.8</v>
      </c>
      <c r="Q1958" s="13">
        <v>63.4</v>
      </c>
      <c r="R1958">
        <v>46</v>
      </c>
      <c r="S1958">
        <v>78</v>
      </c>
      <c r="T1958" s="13">
        <v>70.7</v>
      </c>
      <c r="U1958" s="13">
        <v>90.9</v>
      </c>
      <c r="V1958" t="s">
        <v>268</v>
      </c>
      <c r="W1958" t="s">
        <v>1271</v>
      </c>
      <c r="X1958" s="13"/>
    </row>
    <row r="1959" spans="1:24" x14ac:dyDescent="0.25">
      <c r="A1959" t="s">
        <v>1715</v>
      </c>
      <c r="B1959" t="s">
        <v>64</v>
      </c>
      <c r="C1959" t="s">
        <v>1664</v>
      </c>
      <c r="D1959" t="s">
        <v>1665</v>
      </c>
      <c r="E1959" t="s">
        <v>64</v>
      </c>
      <c r="F1959" t="s">
        <v>94</v>
      </c>
      <c r="G1959" t="s">
        <v>277</v>
      </c>
      <c r="H1959" s="12">
        <v>6.1449999999999996</v>
      </c>
      <c r="I1959" s="12">
        <v>-75.373999999999995</v>
      </c>
      <c r="J1959" t="s">
        <v>129</v>
      </c>
      <c r="K1959" t="s">
        <v>97</v>
      </c>
      <c r="L1959" t="s">
        <v>1273</v>
      </c>
      <c r="P1959" s="13">
        <v>285.2</v>
      </c>
      <c r="Q1959" s="13">
        <v>65.900000000000006</v>
      </c>
      <c r="R1959">
        <v>40</v>
      </c>
      <c r="S1959">
        <v>68</v>
      </c>
      <c r="T1959" s="13">
        <v>55.2</v>
      </c>
      <c r="U1959" s="13">
        <v>54.5</v>
      </c>
      <c r="V1959" t="s">
        <v>99</v>
      </c>
      <c r="X1959" s="13">
        <v>285.2</v>
      </c>
    </row>
    <row r="1960" spans="1:24" x14ac:dyDescent="0.25">
      <c r="A1960" t="s">
        <v>1715</v>
      </c>
      <c r="B1960" t="s">
        <v>64</v>
      </c>
      <c r="C1960" t="s">
        <v>1664</v>
      </c>
      <c r="D1960" t="s">
        <v>1665</v>
      </c>
      <c r="E1960" t="s">
        <v>64</v>
      </c>
      <c r="F1960" t="s">
        <v>94</v>
      </c>
      <c r="G1960" t="s">
        <v>277</v>
      </c>
      <c r="H1960" s="12">
        <v>6.1449999999999996</v>
      </c>
      <c r="I1960" s="12">
        <v>-75.373999999999995</v>
      </c>
      <c r="J1960" t="s">
        <v>129</v>
      </c>
      <c r="K1960" t="s">
        <v>1269</v>
      </c>
      <c r="L1960" t="s">
        <v>1270</v>
      </c>
      <c r="P1960" s="13">
        <v>294.2</v>
      </c>
      <c r="Q1960" s="13">
        <v>58.5</v>
      </c>
      <c r="R1960">
        <v>60</v>
      </c>
      <c r="S1960">
        <v>60</v>
      </c>
      <c r="T1960" s="13">
        <v>53.4</v>
      </c>
      <c r="U1960" s="13">
        <v>69.099999999999994</v>
      </c>
      <c r="V1960" t="s">
        <v>268</v>
      </c>
      <c r="W1960" t="s">
        <v>1271</v>
      </c>
      <c r="X1960" s="13"/>
    </row>
    <row r="1961" spans="1:24" x14ac:dyDescent="0.25">
      <c r="A1961" t="s">
        <v>1716</v>
      </c>
      <c r="B1961" t="s">
        <v>64</v>
      </c>
      <c r="C1961" t="s">
        <v>1664</v>
      </c>
      <c r="D1961" t="s">
        <v>1665</v>
      </c>
      <c r="E1961" t="s">
        <v>64</v>
      </c>
      <c r="F1961" t="s">
        <v>94</v>
      </c>
      <c r="G1961" t="s">
        <v>277</v>
      </c>
      <c r="H1961" s="12">
        <v>6.1449999999999996</v>
      </c>
      <c r="I1961" s="12">
        <v>-75.373999999999995</v>
      </c>
      <c r="J1961" t="s">
        <v>129</v>
      </c>
      <c r="K1961" t="s">
        <v>1269</v>
      </c>
      <c r="L1961" t="s">
        <v>1270</v>
      </c>
      <c r="P1961" s="13">
        <v>302.60000000000002</v>
      </c>
      <c r="Q1961" s="13">
        <v>58.5</v>
      </c>
      <c r="R1961">
        <v>58</v>
      </c>
      <c r="S1961">
        <v>60</v>
      </c>
      <c r="T1961" s="13">
        <v>62.1</v>
      </c>
      <c r="U1961" s="13">
        <v>70.900000000000006</v>
      </c>
      <c r="V1961" t="s">
        <v>268</v>
      </c>
      <c r="W1961" t="s">
        <v>1271</v>
      </c>
      <c r="X1961" s="13"/>
    </row>
    <row r="1962" spans="1:24" x14ac:dyDescent="0.25">
      <c r="A1962" t="s">
        <v>1717</v>
      </c>
      <c r="B1962" t="s">
        <v>64</v>
      </c>
      <c r="C1962" t="s">
        <v>1664</v>
      </c>
      <c r="D1962" t="s">
        <v>1665</v>
      </c>
      <c r="E1962" t="s">
        <v>64</v>
      </c>
      <c r="F1962" t="s">
        <v>94</v>
      </c>
      <c r="G1962" t="s">
        <v>277</v>
      </c>
      <c r="H1962" s="12">
        <v>6.1449999999999996</v>
      </c>
      <c r="I1962" s="12">
        <v>-75.373999999999995</v>
      </c>
      <c r="J1962" t="s">
        <v>129</v>
      </c>
      <c r="K1962" t="s">
        <v>97</v>
      </c>
      <c r="L1962" t="s">
        <v>1273</v>
      </c>
      <c r="P1962" s="13">
        <v>237.6</v>
      </c>
      <c r="Q1962" s="13">
        <v>58.5</v>
      </c>
      <c r="R1962">
        <v>50</v>
      </c>
      <c r="S1962">
        <v>42</v>
      </c>
      <c r="T1962" s="13">
        <v>39.700000000000003</v>
      </c>
      <c r="U1962" s="13">
        <v>47.3</v>
      </c>
      <c r="V1962" t="s">
        <v>99</v>
      </c>
      <c r="X1962" s="13">
        <v>237.6</v>
      </c>
    </row>
    <row r="1963" spans="1:24" x14ac:dyDescent="0.25">
      <c r="A1963" t="s">
        <v>1717</v>
      </c>
      <c r="B1963" t="s">
        <v>64</v>
      </c>
      <c r="C1963" t="s">
        <v>1664</v>
      </c>
      <c r="D1963" t="s">
        <v>1665</v>
      </c>
      <c r="E1963" t="s">
        <v>64</v>
      </c>
      <c r="F1963" t="s">
        <v>94</v>
      </c>
      <c r="G1963" t="s">
        <v>277</v>
      </c>
      <c r="H1963" s="12">
        <v>6.1449999999999996</v>
      </c>
      <c r="I1963" s="12">
        <v>-75.373999999999995</v>
      </c>
      <c r="J1963" t="s">
        <v>129</v>
      </c>
      <c r="K1963" t="s">
        <v>1269</v>
      </c>
      <c r="L1963" t="s">
        <v>1270</v>
      </c>
      <c r="P1963" s="13">
        <v>282</v>
      </c>
      <c r="Q1963" s="13">
        <v>56.1</v>
      </c>
      <c r="R1963">
        <v>58</v>
      </c>
      <c r="S1963">
        <v>56</v>
      </c>
      <c r="T1963" s="13">
        <v>60.3</v>
      </c>
      <c r="U1963" s="13">
        <v>41.8</v>
      </c>
      <c r="V1963" t="s">
        <v>268</v>
      </c>
      <c r="W1963" t="s">
        <v>1271</v>
      </c>
      <c r="X1963" s="13"/>
    </row>
    <row r="1964" spans="1:24" x14ac:dyDescent="0.25">
      <c r="A1964" t="s">
        <v>1718</v>
      </c>
      <c r="B1964" t="s">
        <v>64</v>
      </c>
      <c r="C1964" t="s">
        <v>1664</v>
      </c>
      <c r="D1964" t="s">
        <v>1665</v>
      </c>
      <c r="E1964" t="s">
        <v>64</v>
      </c>
      <c r="F1964" t="s">
        <v>94</v>
      </c>
      <c r="G1964" t="s">
        <v>277</v>
      </c>
      <c r="H1964" s="12">
        <v>6.1449999999999996</v>
      </c>
      <c r="I1964" s="12">
        <v>-75.373999999999995</v>
      </c>
      <c r="J1964" t="s">
        <v>129</v>
      </c>
      <c r="K1964" t="s">
        <v>97</v>
      </c>
      <c r="L1964" t="s">
        <v>1273</v>
      </c>
      <c r="P1964" s="13">
        <v>260.2</v>
      </c>
      <c r="Q1964" s="13">
        <v>43.9</v>
      </c>
      <c r="R1964">
        <v>56</v>
      </c>
      <c r="S1964">
        <v>56</v>
      </c>
      <c r="T1964" s="13">
        <v>46.6</v>
      </c>
      <c r="U1964" s="13">
        <v>69.099999999999994</v>
      </c>
      <c r="V1964" t="s">
        <v>99</v>
      </c>
      <c r="X1964" s="13">
        <v>260.2</v>
      </c>
    </row>
    <row r="1965" spans="1:24" x14ac:dyDescent="0.25">
      <c r="A1965" t="s">
        <v>1718</v>
      </c>
      <c r="B1965" t="s">
        <v>64</v>
      </c>
      <c r="C1965" t="s">
        <v>1664</v>
      </c>
      <c r="D1965" t="s">
        <v>1665</v>
      </c>
      <c r="E1965" t="s">
        <v>64</v>
      </c>
      <c r="F1965" t="s">
        <v>94</v>
      </c>
      <c r="G1965" t="s">
        <v>277</v>
      </c>
      <c r="H1965" s="12">
        <v>6.1449999999999996</v>
      </c>
      <c r="I1965" s="12">
        <v>-75.373999999999995</v>
      </c>
      <c r="J1965" t="s">
        <v>129</v>
      </c>
      <c r="K1965" t="s">
        <v>1269</v>
      </c>
      <c r="L1965" t="s">
        <v>1270</v>
      </c>
      <c r="P1965" s="13">
        <v>278.2</v>
      </c>
      <c r="Q1965" s="13">
        <v>41.5</v>
      </c>
      <c r="R1965">
        <v>58</v>
      </c>
      <c r="S1965">
        <v>50</v>
      </c>
      <c r="T1965" s="13">
        <v>63.8</v>
      </c>
      <c r="U1965" s="13">
        <v>83.6</v>
      </c>
      <c r="V1965" t="s">
        <v>268</v>
      </c>
      <c r="W1965" t="s">
        <v>1271</v>
      </c>
      <c r="X1965" s="13"/>
    </row>
    <row r="1966" spans="1:24" x14ac:dyDescent="0.25">
      <c r="A1966" t="s">
        <v>1719</v>
      </c>
      <c r="B1966" t="s">
        <v>64</v>
      </c>
      <c r="C1966" t="s">
        <v>1664</v>
      </c>
      <c r="D1966" t="s">
        <v>1665</v>
      </c>
      <c r="E1966" t="s">
        <v>64</v>
      </c>
      <c r="F1966" t="s">
        <v>94</v>
      </c>
      <c r="G1966" t="s">
        <v>277</v>
      </c>
      <c r="H1966" s="12">
        <v>6.1449999999999996</v>
      </c>
      <c r="I1966" s="12">
        <v>-75.373999999999995</v>
      </c>
      <c r="J1966" t="s">
        <v>129</v>
      </c>
      <c r="K1966" t="s">
        <v>97</v>
      </c>
      <c r="L1966" t="s">
        <v>1273</v>
      </c>
      <c r="P1966" s="13">
        <v>228</v>
      </c>
      <c r="Q1966" s="13">
        <v>48.8</v>
      </c>
      <c r="R1966">
        <v>50</v>
      </c>
      <c r="S1966">
        <v>40</v>
      </c>
      <c r="T1966" s="13">
        <v>43.1</v>
      </c>
      <c r="U1966" s="13">
        <v>47.3</v>
      </c>
      <c r="V1966" t="s">
        <v>99</v>
      </c>
      <c r="X1966" s="13">
        <v>228</v>
      </c>
    </row>
    <row r="1967" spans="1:24" x14ac:dyDescent="0.25">
      <c r="A1967" t="s">
        <v>1719</v>
      </c>
      <c r="B1967" t="s">
        <v>64</v>
      </c>
      <c r="C1967" t="s">
        <v>1664</v>
      </c>
      <c r="D1967" t="s">
        <v>1665</v>
      </c>
      <c r="E1967" t="s">
        <v>64</v>
      </c>
      <c r="F1967" t="s">
        <v>94</v>
      </c>
      <c r="G1967" t="s">
        <v>277</v>
      </c>
      <c r="H1967" s="12">
        <v>6.1449999999999996</v>
      </c>
      <c r="I1967" s="12">
        <v>-75.373999999999995</v>
      </c>
      <c r="J1967" t="s">
        <v>129</v>
      </c>
      <c r="K1967" t="s">
        <v>1269</v>
      </c>
      <c r="L1967" t="s">
        <v>1270</v>
      </c>
      <c r="P1967" s="13">
        <v>267.2</v>
      </c>
      <c r="Q1967" s="13">
        <v>53.7</v>
      </c>
      <c r="R1967">
        <v>54</v>
      </c>
      <c r="S1967">
        <v>48</v>
      </c>
      <c r="T1967" s="13">
        <v>63.8</v>
      </c>
      <c r="U1967" s="13">
        <v>36.4</v>
      </c>
      <c r="V1967" t="s">
        <v>268</v>
      </c>
      <c r="W1967" t="s">
        <v>1271</v>
      </c>
      <c r="X1967" s="13"/>
    </row>
    <row r="1968" spans="1:24" x14ac:dyDescent="0.25">
      <c r="A1968" t="s">
        <v>1720</v>
      </c>
      <c r="B1968" t="s">
        <v>64</v>
      </c>
      <c r="C1968" t="s">
        <v>1664</v>
      </c>
      <c r="D1968" t="s">
        <v>1665</v>
      </c>
      <c r="E1968" t="s">
        <v>64</v>
      </c>
      <c r="F1968" t="s">
        <v>94</v>
      </c>
      <c r="G1968" t="s">
        <v>277</v>
      </c>
      <c r="H1968" s="12">
        <v>6.1449999999999996</v>
      </c>
      <c r="I1968" s="12">
        <v>-75.373999999999995</v>
      </c>
      <c r="J1968" t="s">
        <v>129</v>
      </c>
      <c r="K1968" t="s">
        <v>97</v>
      </c>
      <c r="L1968" t="s">
        <v>1273</v>
      </c>
      <c r="P1968" s="13">
        <v>309.60000000000002</v>
      </c>
      <c r="Q1968" s="13">
        <v>68.3</v>
      </c>
      <c r="R1968">
        <v>42</v>
      </c>
      <c r="S1968">
        <v>72</v>
      </c>
      <c r="T1968" s="13">
        <v>56.9</v>
      </c>
      <c r="U1968" s="13">
        <v>87.3</v>
      </c>
      <c r="V1968" t="s">
        <v>99</v>
      </c>
      <c r="X1968" s="13">
        <v>309.60000000000002</v>
      </c>
    </row>
    <row r="1969" spans="1:24" x14ac:dyDescent="0.25">
      <c r="A1969" t="s">
        <v>1720</v>
      </c>
      <c r="B1969" t="s">
        <v>64</v>
      </c>
      <c r="C1969" t="s">
        <v>1664</v>
      </c>
      <c r="D1969" t="s">
        <v>1665</v>
      </c>
      <c r="E1969" t="s">
        <v>64</v>
      </c>
      <c r="F1969" t="s">
        <v>94</v>
      </c>
      <c r="G1969" t="s">
        <v>277</v>
      </c>
      <c r="H1969" s="12">
        <v>6.1449999999999996</v>
      </c>
      <c r="I1969" s="12">
        <v>-75.373999999999995</v>
      </c>
      <c r="J1969" t="s">
        <v>129</v>
      </c>
      <c r="K1969" t="s">
        <v>1269</v>
      </c>
      <c r="L1969" t="s">
        <v>1270</v>
      </c>
      <c r="P1969" s="13">
        <v>360.8</v>
      </c>
      <c r="Q1969" s="13">
        <v>63.4</v>
      </c>
      <c r="R1969">
        <v>66</v>
      </c>
      <c r="S1969">
        <v>84</v>
      </c>
      <c r="T1969" s="13">
        <v>69</v>
      </c>
      <c r="U1969" s="13">
        <v>90.9</v>
      </c>
      <c r="V1969" t="s">
        <v>268</v>
      </c>
      <c r="W1969" t="s">
        <v>1271</v>
      </c>
      <c r="X1969" s="13"/>
    </row>
    <row r="1970" spans="1:24" x14ac:dyDescent="0.25">
      <c r="A1970" t="s">
        <v>1721</v>
      </c>
      <c r="B1970" t="s">
        <v>64</v>
      </c>
      <c r="C1970" t="s">
        <v>1664</v>
      </c>
      <c r="D1970" t="s">
        <v>1665</v>
      </c>
      <c r="E1970" t="s">
        <v>64</v>
      </c>
      <c r="F1970" t="s">
        <v>94</v>
      </c>
      <c r="G1970" t="s">
        <v>277</v>
      </c>
      <c r="H1970" s="12">
        <v>6.1449999999999996</v>
      </c>
      <c r="I1970" s="12">
        <v>-75.373999999999995</v>
      </c>
      <c r="J1970" t="s">
        <v>129</v>
      </c>
      <c r="K1970" t="s">
        <v>97</v>
      </c>
      <c r="L1970" t="s">
        <v>1273</v>
      </c>
      <c r="P1970" s="13">
        <v>290.60000000000002</v>
      </c>
      <c r="Q1970" s="13">
        <v>46.3</v>
      </c>
      <c r="R1970">
        <v>70</v>
      </c>
      <c r="S1970">
        <v>58</v>
      </c>
      <c r="T1970" s="13">
        <v>56.9</v>
      </c>
      <c r="U1970" s="13">
        <v>61.8</v>
      </c>
      <c r="V1970" t="s">
        <v>99</v>
      </c>
      <c r="X1970" s="13">
        <v>290.60000000000002</v>
      </c>
    </row>
    <row r="1971" spans="1:24" x14ac:dyDescent="0.25">
      <c r="A1971" t="s">
        <v>1721</v>
      </c>
      <c r="B1971" t="s">
        <v>64</v>
      </c>
      <c r="C1971" t="s">
        <v>1664</v>
      </c>
      <c r="D1971" t="s">
        <v>1665</v>
      </c>
      <c r="E1971" t="s">
        <v>64</v>
      </c>
      <c r="F1971" t="s">
        <v>94</v>
      </c>
      <c r="G1971" t="s">
        <v>277</v>
      </c>
      <c r="H1971" s="12">
        <v>6.1449999999999996</v>
      </c>
      <c r="I1971" s="12">
        <v>-75.373999999999995</v>
      </c>
      <c r="J1971" t="s">
        <v>129</v>
      </c>
      <c r="K1971" t="s">
        <v>1269</v>
      </c>
      <c r="L1971" t="s">
        <v>1270</v>
      </c>
      <c r="P1971" s="13">
        <v>338.6</v>
      </c>
      <c r="Q1971" s="13">
        <v>43.9</v>
      </c>
      <c r="R1971">
        <v>70</v>
      </c>
      <c r="S1971">
        <v>84</v>
      </c>
      <c r="T1971" s="13">
        <v>70.7</v>
      </c>
      <c r="U1971" s="13">
        <v>74.5</v>
      </c>
      <c r="V1971" t="s">
        <v>268</v>
      </c>
      <c r="W1971" t="s">
        <v>1271</v>
      </c>
      <c r="X1971" s="13"/>
    </row>
    <row r="1972" spans="1:24" x14ac:dyDescent="0.25">
      <c r="A1972" t="s">
        <v>1722</v>
      </c>
      <c r="B1972" t="s">
        <v>64</v>
      </c>
      <c r="C1972" t="s">
        <v>1664</v>
      </c>
      <c r="D1972" t="s">
        <v>1665</v>
      </c>
      <c r="E1972" t="s">
        <v>64</v>
      </c>
      <c r="F1972" t="s">
        <v>94</v>
      </c>
      <c r="G1972" t="s">
        <v>277</v>
      </c>
      <c r="H1972" s="12">
        <v>6.1449999999999996</v>
      </c>
      <c r="I1972" s="12">
        <v>-75.373999999999995</v>
      </c>
      <c r="J1972" t="s">
        <v>129</v>
      </c>
      <c r="K1972" t="s">
        <v>97</v>
      </c>
      <c r="L1972" t="s">
        <v>1273</v>
      </c>
      <c r="P1972" s="13">
        <v>374.3</v>
      </c>
      <c r="Q1972" s="13">
        <v>75.599999999999994</v>
      </c>
      <c r="R1972">
        <v>72</v>
      </c>
      <c r="S1972">
        <v>80</v>
      </c>
      <c r="T1972" s="13">
        <v>70.7</v>
      </c>
      <c r="U1972" s="13">
        <v>78.2</v>
      </c>
      <c r="V1972" t="s">
        <v>99</v>
      </c>
      <c r="X1972" s="13">
        <v>374.3</v>
      </c>
    </row>
    <row r="1973" spans="1:24" x14ac:dyDescent="0.25">
      <c r="A1973" t="s">
        <v>1722</v>
      </c>
      <c r="B1973" t="s">
        <v>64</v>
      </c>
      <c r="C1973" t="s">
        <v>1664</v>
      </c>
      <c r="D1973" t="s">
        <v>1665</v>
      </c>
      <c r="E1973" t="s">
        <v>64</v>
      </c>
      <c r="F1973" t="s">
        <v>94</v>
      </c>
      <c r="G1973" t="s">
        <v>277</v>
      </c>
      <c r="H1973" s="12">
        <v>6.1449999999999996</v>
      </c>
      <c r="I1973" s="12">
        <v>-75.373999999999995</v>
      </c>
      <c r="J1973" t="s">
        <v>129</v>
      </c>
      <c r="K1973" t="s">
        <v>1269</v>
      </c>
      <c r="L1973" t="s">
        <v>1270</v>
      </c>
      <c r="P1973" s="13">
        <v>384.5</v>
      </c>
      <c r="Q1973" s="13">
        <v>61</v>
      </c>
      <c r="R1973">
        <v>86</v>
      </c>
      <c r="S1973">
        <v>90</v>
      </c>
      <c r="T1973" s="13">
        <v>69</v>
      </c>
      <c r="U1973" s="13">
        <v>81.8</v>
      </c>
      <c r="V1973" t="s">
        <v>268</v>
      </c>
      <c r="W1973" t="s">
        <v>1271</v>
      </c>
      <c r="X1973" s="13"/>
    </row>
    <row r="1974" spans="1:24" x14ac:dyDescent="0.25">
      <c r="A1974" t="s">
        <v>1723</v>
      </c>
      <c r="B1974" t="s">
        <v>64</v>
      </c>
      <c r="C1974" t="s">
        <v>1664</v>
      </c>
      <c r="D1974" t="s">
        <v>1665</v>
      </c>
      <c r="E1974" t="s">
        <v>64</v>
      </c>
      <c r="F1974" t="s">
        <v>94</v>
      </c>
      <c r="G1974" t="s">
        <v>277</v>
      </c>
      <c r="H1974" s="12">
        <v>6.1449999999999996</v>
      </c>
      <c r="I1974" s="12">
        <v>-75.373999999999995</v>
      </c>
      <c r="J1974" t="s">
        <v>129</v>
      </c>
      <c r="K1974" t="s">
        <v>97</v>
      </c>
      <c r="L1974" t="s">
        <v>1273</v>
      </c>
      <c r="P1974" s="13">
        <v>295.89999999999998</v>
      </c>
      <c r="Q1974" s="13">
        <v>70.7</v>
      </c>
      <c r="R1974">
        <v>52</v>
      </c>
      <c r="S1974">
        <v>48</v>
      </c>
      <c r="T1974" s="13">
        <v>72.400000000000006</v>
      </c>
      <c r="U1974" s="13">
        <v>40</v>
      </c>
      <c r="V1974" t="s">
        <v>99</v>
      </c>
      <c r="X1974" s="13">
        <v>295.89999999999998</v>
      </c>
    </row>
    <row r="1975" spans="1:24" x14ac:dyDescent="0.25">
      <c r="A1975" t="s">
        <v>1723</v>
      </c>
      <c r="B1975" t="s">
        <v>64</v>
      </c>
      <c r="C1975" t="s">
        <v>1664</v>
      </c>
      <c r="D1975" t="s">
        <v>1665</v>
      </c>
      <c r="E1975" t="s">
        <v>64</v>
      </c>
      <c r="F1975" t="s">
        <v>94</v>
      </c>
      <c r="G1975" t="s">
        <v>277</v>
      </c>
      <c r="H1975" s="12">
        <v>6.1449999999999996</v>
      </c>
      <c r="I1975" s="12">
        <v>-75.373999999999995</v>
      </c>
      <c r="J1975" t="s">
        <v>129</v>
      </c>
      <c r="K1975" t="s">
        <v>1269</v>
      </c>
      <c r="L1975" t="s">
        <v>1270</v>
      </c>
      <c r="P1975" s="13">
        <v>299.89999999999998</v>
      </c>
      <c r="Q1975" s="13">
        <v>53.7</v>
      </c>
      <c r="R1975">
        <v>58</v>
      </c>
      <c r="S1975">
        <v>76</v>
      </c>
      <c r="T1975" s="13">
        <v>63.8</v>
      </c>
      <c r="U1975" s="13">
        <v>25.5</v>
      </c>
      <c r="V1975" t="s">
        <v>268</v>
      </c>
      <c r="W1975" t="s">
        <v>1271</v>
      </c>
      <c r="X1975" s="13"/>
    </row>
    <row r="1976" spans="1:24" x14ac:dyDescent="0.25">
      <c r="A1976" t="s">
        <v>1724</v>
      </c>
      <c r="B1976" t="s">
        <v>64</v>
      </c>
      <c r="C1976" t="s">
        <v>1664</v>
      </c>
      <c r="D1976" t="s">
        <v>1665</v>
      </c>
      <c r="E1976" t="s">
        <v>64</v>
      </c>
      <c r="F1976" t="s">
        <v>94</v>
      </c>
      <c r="G1976" t="s">
        <v>277</v>
      </c>
      <c r="H1976" s="12">
        <v>6.1449999999999996</v>
      </c>
      <c r="I1976" s="12">
        <v>-75.373999999999995</v>
      </c>
      <c r="J1976" t="s">
        <v>1666</v>
      </c>
      <c r="K1976" t="s">
        <v>97</v>
      </c>
      <c r="L1976" t="s">
        <v>1273</v>
      </c>
      <c r="P1976" s="13">
        <v>301.2</v>
      </c>
      <c r="Q1976" s="13">
        <v>68.3</v>
      </c>
      <c r="R1976">
        <v>44</v>
      </c>
      <c r="S1976">
        <v>70</v>
      </c>
      <c r="T1976" s="13">
        <v>56.9</v>
      </c>
      <c r="U1976" s="13">
        <v>65.5</v>
      </c>
      <c r="V1976" t="s">
        <v>99</v>
      </c>
      <c r="X1976" s="13">
        <v>301.2</v>
      </c>
    </row>
    <row r="1977" spans="1:24" x14ac:dyDescent="0.25">
      <c r="A1977" t="s">
        <v>1724</v>
      </c>
      <c r="B1977" t="s">
        <v>64</v>
      </c>
      <c r="C1977" t="s">
        <v>1664</v>
      </c>
      <c r="D1977" t="s">
        <v>1665</v>
      </c>
      <c r="E1977" t="s">
        <v>64</v>
      </c>
      <c r="F1977" t="s">
        <v>94</v>
      </c>
      <c r="G1977" t="s">
        <v>277</v>
      </c>
      <c r="H1977" s="12">
        <v>6.1449999999999996</v>
      </c>
      <c r="I1977" s="12">
        <v>-75.373999999999995</v>
      </c>
      <c r="J1977" t="s">
        <v>1666</v>
      </c>
      <c r="K1977" t="s">
        <v>1269</v>
      </c>
      <c r="L1977" t="s">
        <v>1270</v>
      </c>
      <c r="P1977" s="13">
        <v>349.3</v>
      </c>
      <c r="Q1977" s="13">
        <v>65.900000000000006</v>
      </c>
      <c r="R1977">
        <v>68</v>
      </c>
      <c r="S1977">
        <v>82</v>
      </c>
      <c r="T1977" s="13">
        <v>74.099999999999994</v>
      </c>
      <c r="U1977" s="13">
        <v>38.200000000000003</v>
      </c>
      <c r="V1977" t="s">
        <v>268</v>
      </c>
      <c r="W1977" t="s">
        <v>1271</v>
      </c>
      <c r="X1977" s="13"/>
    </row>
    <row r="1978" spans="1:24" x14ac:dyDescent="0.25">
      <c r="A1978" t="s">
        <v>1725</v>
      </c>
      <c r="B1978" t="s">
        <v>64</v>
      </c>
      <c r="C1978" t="s">
        <v>1664</v>
      </c>
      <c r="D1978" t="s">
        <v>1665</v>
      </c>
      <c r="E1978" t="s">
        <v>64</v>
      </c>
      <c r="F1978" t="s">
        <v>94</v>
      </c>
      <c r="G1978" t="s">
        <v>277</v>
      </c>
      <c r="H1978" s="12">
        <v>6.1449999999999996</v>
      </c>
      <c r="I1978" s="12">
        <v>-75.373999999999995</v>
      </c>
      <c r="J1978" t="s">
        <v>129</v>
      </c>
      <c r="K1978" t="s">
        <v>97</v>
      </c>
      <c r="L1978" t="s">
        <v>1273</v>
      </c>
      <c r="P1978" s="13">
        <v>173.4</v>
      </c>
      <c r="Q1978" s="13">
        <v>61</v>
      </c>
      <c r="R1978">
        <v>34</v>
      </c>
      <c r="S1978">
        <v>26</v>
      </c>
      <c r="T1978" s="13">
        <v>29.3</v>
      </c>
      <c r="U1978" s="13">
        <v>0</v>
      </c>
      <c r="V1978" t="s">
        <v>99</v>
      </c>
      <c r="X1978" s="13">
        <v>173.4</v>
      </c>
    </row>
    <row r="1979" spans="1:24" x14ac:dyDescent="0.25">
      <c r="A1979" t="s">
        <v>1725</v>
      </c>
      <c r="B1979" t="s">
        <v>64</v>
      </c>
      <c r="C1979" t="s">
        <v>1664</v>
      </c>
      <c r="D1979" t="s">
        <v>1665</v>
      </c>
      <c r="E1979" t="s">
        <v>64</v>
      </c>
      <c r="F1979" t="s">
        <v>94</v>
      </c>
      <c r="G1979" t="s">
        <v>277</v>
      </c>
      <c r="H1979" s="12">
        <v>6.1449999999999996</v>
      </c>
      <c r="I1979" s="12">
        <v>-75.373999999999995</v>
      </c>
      <c r="J1979" t="s">
        <v>129</v>
      </c>
      <c r="K1979" t="s">
        <v>1269</v>
      </c>
      <c r="L1979" t="s">
        <v>1270</v>
      </c>
      <c r="P1979" s="13">
        <v>320.5</v>
      </c>
      <c r="Q1979" s="13">
        <v>61</v>
      </c>
      <c r="R1979">
        <v>60</v>
      </c>
      <c r="S1979">
        <v>74</v>
      </c>
      <c r="T1979" s="13">
        <v>70.7</v>
      </c>
      <c r="U1979" s="13">
        <v>36.4</v>
      </c>
      <c r="V1979" t="s">
        <v>268</v>
      </c>
      <c r="W1979" t="s">
        <v>1271</v>
      </c>
      <c r="X1979" s="13"/>
    </row>
    <row r="1980" spans="1:24" x14ac:dyDescent="0.25">
      <c r="A1980" t="s">
        <v>1726</v>
      </c>
      <c r="B1980" t="s">
        <v>64</v>
      </c>
      <c r="C1980" t="s">
        <v>1664</v>
      </c>
      <c r="D1980" t="s">
        <v>1665</v>
      </c>
      <c r="E1980" t="s">
        <v>64</v>
      </c>
      <c r="F1980" t="s">
        <v>94</v>
      </c>
      <c r="G1980" t="s">
        <v>277</v>
      </c>
      <c r="H1980" s="12">
        <v>6.1449999999999996</v>
      </c>
      <c r="I1980" s="12">
        <v>-75.373999999999995</v>
      </c>
      <c r="J1980" t="s">
        <v>129</v>
      </c>
      <c r="K1980" t="s">
        <v>97</v>
      </c>
      <c r="L1980" t="s">
        <v>1273</v>
      </c>
      <c r="P1980" s="13">
        <v>220.7</v>
      </c>
      <c r="Q1980" s="13">
        <v>56.1</v>
      </c>
      <c r="R1980">
        <v>32</v>
      </c>
      <c r="S1980">
        <v>38</v>
      </c>
      <c r="T1980" s="13">
        <v>37.9</v>
      </c>
      <c r="U1980" s="13">
        <v>81.8</v>
      </c>
      <c r="V1980" t="s">
        <v>99</v>
      </c>
      <c r="X1980" s="13">
        <v>220.7</v>
      </c>
    </row>
    <row r="1981" spans="1:24" x14ac:dyDescent="0.25">
      <c r="A1981" t="s">
        <v>1726</v>
      </c>
      <c r="B1981" t="s">
        <v>64</v>
      </c>
      <c r="C1981" t="s">
        <v>1664</v>
      </c>
      <c r="D1981" t="s">
        <v>1665</v>
      </c>
      <c r="E1981" t="s">
        <v>64</v>
      </c>
      <c r="F1981" t="s">
        <v>94</v>
      </c>
      <c r="G1981" t="s">
        <v>277</v>
      </c>
      <c r="H1981" s="12">
        <v>6.1449999999999996</v>
      </c>
      <c r="I1981" s="12">
        <v>-75.373999999999995</v>
      </c>
      <c r="J1981" t="s">
        <v>129</v>
      </c>
      <c r="K1981" t="s">
        <v>1269</v>
      </c>
      <c r="L1981" t="s">
        <v>1270</v>
      </c>
      <c r="P1981" s="13">
        <v>136</v>
      </c>
      <c r="Q1981" s="13">
        <v>0</v>
      </c>
      <c r="R1981">
        <v>26</v>
      </c>
      <c r="S1981">
        <v>30</v>
      </c>
      <c r="T1981" s="13">
        <v>32.799999999999997</v>
      </c>
      <c r="U1981" s="13">
        <v>87.3</v>
      </c>
      <c r="V1981" t="s">
        <v>268</v>
      </c>
      <c r="W1981" t="s">
        <v>1271</v>
      </c>
      <c r="X1981" s="13"/>
    </row>
    <row r="1982" spans="1:24" x14ac:dyDescent="0.25">
      <c r="A1982" t="s">
        <v>1727</v>
      </c>
      <c r="B1982" t="s">
        <v>64</v>
      </c>
      <c r="C1982" t="s">
        <v>1664</v>
      </c>
      <c r="D1982" t="s">
        <v>1665</v>
      </c>
      <c r="E1982" t="s">
        <v>64</v>
      </c>
      <c r="F1982" t="s">
        <v>94</v>
      </c>
      <c r="G1982" t="s">
        <v>277</v>
      </c>
      <c r="H1982" s="12">
        <v>6.1449999999999996</v>
      </c>
      <c r="I1982" s="12">
        <v>-75.373999999999995</v>
      </c>
      <c r="J1982" t="s">
        <v>129</v>
      </c>
      <c r="K1982" t="s">
        <v>97</v>
      </c>
      <c r="L1982" t="s">
        <v>1273</v>
      </c>
      <c r="P1982" s="13">
        <v>299</v>
      </c>
      <c r="Q1982" s="13">
        <v>65.900000000000006</v>
      </c>
      <c r="R1982">
        <v>42</v>
      </c>
      <c r="S1982">
        <v>74</v>
      </c>
      <c r="T1982" s="13">
        <v>50</v>
      </c>
      <c r="U1982" s="13">
        <v>81.8</v>
      </c>
      <c r="V1982" t="s">
        <v>99</v>
      </c>
      <c r="X1982" s="13">
        <v>299</v>
      </c>
    </row>
    <row r="1983" spans="1:24" x14ac:dyDescent="0.25">
      <c r="A1983" t="s">
        <v>1727</v>
      </c>
      <c r="B1983" t="s">
        <v>64</v>
      </c>
      <c r="C1983" t="s">
        <v>1664</v>
      </c>
      <c r="D1983" t="s">
        <v>1665</v>
      </c>
      <c r="E1983" t="s">
        <v>64</v>
      </c>
      <c r="F1983" t="s">
        <v>94</v>
      </c>
      <c r="G1983" t="s">
        <v>277</v>
      </c>
      <c r="H1983" s="12">
        <v>6.1449999999999996</v>
      </c>
      <c r="I1983" s="12">
        <v>-75.373999999999995</v>
      </c>
      <c r="J1983" t="s">
        <v>129</v>
      </c>
      <c r="K1983" t="s">
        <v>1269</v>
      </c>
      <c r="L1983" t="s">
        <v>1270</v>
      </c>
      <c r="P1983" s="13">
        <v>339.3</v>
      </c>
      <c r="Q1983" s="13">
        <v>63.4</v>
      </c>
      <c r="R1983">
        <v>60</v>
      </c>
      <c r="S1983">
        <v>76</v>
      </c>
      <c r="T1983" s="13">
        <v>65.5</v>
      </c>
      <c r="U1983" s="13">
        <v>87.3</v>
      </c>
      <c r="V1983" t="s">
        <v>268</v>
      </c>
      <c r="W1983" t="s">
        <v>1271</v>
      </c>
      <c r="X1983" s="13"/>
    </row>
    <row r="1984" spans="1:24" x14ac:dyDescent="0.25">
      <c r="A1984" t="s">
        <v>1728</v>
      </c>
      <c r="B1984" t="s">
        <v>64</v>
      </c>
      <c r="C1984" t="s">
        <v>1664</v>
      </c>
      <c r="D1984" t="s">
        <v>1665</v>
      </c>
      <c r="E1984" t="s">
        <v>64</v>
      </c>
      <c r="F1984" t="s">
        <v>94</v>
      </c>
      <c r="G1984" t="s">
        <v>277</v>
      </c>
      <c r="H1984" s="12">
        <v>6.1449999999999996</v>
      </c>
      <c r="I1984" s="12">
        <v>-75.373999999999995</v>
      </c>
      <c r="J1984" t="s">
        <v>129</v>
      </c>
      <c r="K1984" t="s">
        <v>97</v>
      </c>
      <c r="L1984" t="s">
        <v>1273</v>
      </c>
      <c r="P1984" s="13">
        <v>343.2</v>
      </c>
      <c r="Q1984" s="13">
        <v>75.599999999999994</v>
      </c>
      <c r="R1984">
        <v>50</v>
      </c>
      <c r="S1984">
        <v>76</v>
      </c>
      <c r="T1984" s="13">
        <v>65.5</v>
      </c>
      <c r="U1984" s="13">
        <v>90.9</v>
      </c>
      <c r="V1984" t="s">
        <v>99</v>
      </c>
      <c r="X1984" s="13">
        <v>343.2</v>
      </c>
    </row>
    <row r="1985" spans="1:24" x14ac:dyDescent="0.25">
      <c r="A1985" t="s">
        <v>1728</v>
      </c>
      <c r="B1985" t="s">
        <v>64</v>
      </c>
      <c r="C1985" t="s">
        <v>1664</v>
      </c>
      <c r="D1985" t="s">
        <v>1665</v>
      </c>
      <c r="E1985" t="s">
        <v>64</v>
      </c>
      <c r="F1985" t="s">
        <v>94</v>
      </c>
      <c r="G1985" t="s">
        <v>277</v>
      </c>
      <c r="H1985" s="12">
        <v>6.1449999999999996</v>
      </c>
      <c r="I1985" s="12">
        <v>-75.373999999999995</v>
      </c>
      <c r="J1985" t="s">
        <v>129</v>
      </c>
      <c r="K1985" t="s">
        <v>1269</v>
      </c>
      <c r="L1985" t="s">
        <v>1270</v>
      </c>
      <c r="P1985" s="13">
        <v>372.5</v>
      </c>
      <c r="Q1985" s="13">
        <v>61</v>
      </c>
      <c r="R1985">
        <v>72</v>
      </c>
      <c r="S1985">
        <v>82</v>
      </c>
      <c r="T1985" s="13">
        <v>77.599999999999994</v>
      </c>
      <c r="U1985" s="13">
        <v>90.9</v>
      </c>
      <c r="V1985" t="s">
        <v>268</v>
      </c>
      <c r="W1985" t="s">
        <v>1271</v>
      </c>
      <c r="X1985" s="13"/>
    </row>
    <row r="1986" spans="1:24" x14ac:dyDescent="0.25">
      <c r="A1986" t="s">
        <v>1729</v>
      </c>
      <c r="B1986" t="s">
        <v>64</v>
      </c>
      <c r="C1986" t="s">
        <v>1664</v>
      </c>
      <c r="D1986" t="s">
        <v>1665</v>
      </c>
      <c r="E1986" t="s">
        <v>64</v>
      </c>
      <c r="F1986" t="s">
        <v>94</v>
      </c>
      <c r="G1986" t="s">
        <v>277</v>
      </c>
      <c r="H1986" s="12">
        <v>6.1449999999999996</v>
      </c>
      <c r="I1986" s="12">
        <v>-75.373999999999995</v>
      </c>
      <c r="J1986" t="s">
        <v>129</v>
      </c>
      <c r="K1986" t="s">
        <v>97</v>
      </c>
      <c r="L1986" t="s">
        <v>1273</v>
      </c>
      <c r="P1986" s="13">
        <v>333.8</v>
      </c>
      <c r="Q1986" s="13">
        <v>68.3</v>
      </c>
      <c r="R1986">
        <v>48</v>
      </c>
      <c r="S1986">
        <v>82</v>
      </c>
      <c r="T1986" s="13">
        <v>65.5</v>
      </c>
      <c r="U1986" s="13">
        <v>76.400000000000006</v>
      </c>
      <c r="V1986" t="s">
        <v>99</v>
      </c>
      <c r="X1986" s="13">
        <v>333.8</v>
      </c>
    </row>
    <row r="1987" spans="1:24" x14ac:dyDescent="0.25">
      <c r="A1987" t="s">
        <v>1729</v>
      </c>
      <c r="B1987" t="s">
        <v>64</v>
      </c>
      <c r="C1987" t="s">
        <v>1664</v>
      </c>
      <c r="D1987" t="s">
        <v>1665</v>
      </c>
      <c r="E1987" t="s">
        <v>64</v>
      </c>
      <c r="F1987" t="s">
        <v>94</v>
      </c>
      <c r="G1987" t="s">
        <v>277</v>
      </c>
      <c r="H1987" s="12">
        <v>6.1449999999999996</v>
      </c>
      <c r="I1987" s="12">
        <v>-75.373999999999995</v>
      </c>
      <c r="J1987" t="s">
        <v>129</v>
      </c>
      <c r="K1987" t="s">
        <v>1269</v>
      </c>
      <c r="L1987" t="s">
        <v>1270</v>
      </c>
      <c r="P1987" s="13">
        <v>338.1</v>
      </c>
      <c r="Q1987" s="13">
        <v>61</v>
      </c>
      <c r="R1987">
        <v>54</v>
      </c>
      <c r="S1987">
        <v>82</v>
      </c>
      <c r="T1987" s="13">
        <v>72.400000000000006</v>
      </c>
      <c r="U1987" s="13">
        <v>70.900000000000006</v>
      </c>
      <c r="V1987" t="s">
        <v>268</v>
      </c>
      <c r="W1987" t="s">
        <v>1271</v>
      </c>
      <c r="X1987" s="13"/>
    </row>
    <row r="1988" spans="1:24" x14ac:dyDescent="0.25">
      <c r="A1988" t="s">
        <v>1730</v>
      </c>
      <c r="B1988" t="s">
        <v>64</v>
      </c>
      <c r="C1988" t="s">
        <v>1664</v>
      </c>
      <c r="D1988" t="s">
        <v>1665</v>
      </c>
      <c r="E1988" t="s">
        <v>64</v>
      </c>
      <c r="F1988" t="s">
        <v>94</v>
      </c>
      <c r="G1988" t="s">
        <v>277</v>
      </c>
      <c r="H1988" s="12">
        <v>6.1449999999999996</v>
      </c>
      <c r="I1988" s="12">
        <v>-75.373999999999995</v>
      </c>
      <c r="J1988" t="s">
        <v>129</v>
      </c>
      <c r="K1988" t="s">
        <v>97</v>
      </c>
      <c r="L1988" t="s">
        <v>1273</v>
      </c>
      <c r="P1988" s="13">
        <v>133.4</v>
      </c>
      <c r="Q1988" s="13">
        <v>51.2</v>
      </c>
      <c r="R1988">
        <v>28</v>
      </c>
      <c r="S1988">
        <v>14</v>
      </c>
      <c r="T1988" s="13">
        <v>22.4</v>
      </c>
      <c r="U1988" s="13">
        <v>0</v>
      </c>
      <c r="V1988" t="s">
        <v>99</v>
      </c>
      <c r="X1988" s="13">
        <v>133.4</v>
      </c>
    </row>
    <row r="1989" spans="1:24" x14ac:dyDescent="0.25">
      <c r="A1989" t="s">
        <v>1730</v>
      </c>
      <c r="B1989" t="s">
        <v>64</v>
      </c>
      <c r="C1989" t="s">
        <v>1664</v>
      </c>
      <c r="D1989" t="s">
        <v>1665</v>
      </c>
      <c r="E1989" t="s">
        <v>64</v>
      </c>
      <c r="F1989" t="s">
        <v>94</v>
      </c>
      <c r="G1989" t="s">
        <v>277</v>
      </c>
      <c r="H1989" s="12">
        <v>6.1449999999999996</v>
      </c>
      <c r="I1989" s="12">
        <v>-75.373999999999995</v>
      </c>
      <c r="J1989" t="s">
        <v>129</v>
      </c>
      <c r="K1989" t="s">
        <v>1269</v>
      </c>
      <c r="L1989" t="s">
        <v>1270</v>
      </c>
      <c r="P1989" s="13">
        <v>301.60000000000002</v>
      </c>
      <c r="Q1989" s="13">
        <v>56.1</v>
      </c>
      <c r="R1989">
        <v>54</v>
      </c>
      <c r="S1989">
        <v>58</v>
      </c>
      <c r="T1989" s="13">
        <v>67.2</v>
      </c>
      <c r="U1989" s="13">
        <v>78.2</v>
      </c>
      <c r="V1989" t="s">
        <v>268</v>
      </c>
      <c r="W1989" t="s">
        <v>1271</v>
      </c>
      <c r="X1989" s="13"/>
    </row>
    <row r="1990" spans="1:24" x14ac:dyDescent="0.25">
      <c r="A1990" t="s">
        <v>1731</v>
      </c>
      <c r="B1990" t="s">
        <v>64</v>
      </c>
      <c r="C1990" t="s">
        <v>1664</v>
      </c>
      <c r="D1990" t="s">
        <v>1665</v>
      </c>
      <c r="E1990" t="s">
        <v>64</v>
      </c>
      <c r="F1990" t="s">
        <v>94</v>
      </c>
      <c r="G1990" t="s">
        <v>277</v>
      </c>
      <c r="H1990" s="12">
        <v>6.1449999999999996</v>
      </c>
      <c r="I1990" s="12">
        <v>-75.373999999999995</v>
      </c>
      <c r="J1990" t="s">
        <v>129</v>
      </c>
      <c r="K1990" t="s">
        <v>97</v>
      </c>
      <c r="L1990" t="s">
        <v>1273</v>
      </c>
      <c r="P1990" s="13">
        <v>273.3</v>
      </c>
      <c r="Q1990" s="13">
        <v>68.3</v>
      </c>
      <c r="R1990">
        <v>46</v>
      </c>
      <c r="S1990">
        <v>44</v>
      </c>
      <c r="T1990" s="13">
        <v>48.3</v>
      </c>
      <c r="U1990" s="13">
        <v>90.9</v>
      </c>
      <c r="V1990" t="s">
        <v>99</v>
      </c>
      <c r="X1990" s="13">
        <v>273.3</v>
      </c>
    </row>
    <row r="1991" spans="1:24" x14ac:dyDescent="0.25">
      <c r="A1991" t="s">
        <v>1731</v>
      </c>
      <c r="B1991" t="s">
        <v>64</v>
      </c>
      <c r="C1991" t="s">
        <v>1664</v>
      </c>
      <c r="D1991" t="s">
        <v>1665</v>
      </c>
      <c r="E1991" t="s">
        <v>64</v>
      </c>
      <c r="F1991" t="s">
        <v>94</v>
      </c>
      <c r="G1991" t="s">
        <v>277</v>
      </c>
      <c r="H1991" s="12">
        <v>6.1449999999999996</v>
      </c>
      <c r="I1991" s="12">
        <v>-75.373999999999995</v>
      </c>
      <c r="J1991" t="s">
        <v>129</v>
      </c>
      <c r="K1991" t="s">
        <v>1269</v>
      </c>
      <c r="L1991" t="s">
        <v>1270</v>
      </c>
      <c r="P1991" s="13">
        <v>310</v>
      </c>
      <c r="Q1991" s="13">
        <v>56.1</v>
      </c>
      <c r="R1991">
        <v>66</v>
      </c>
      <c r="S1991">
        <v>64</v>
      </c>
      <c r="T1991" s="13">
        <v>53.4</v>
      </c>
      <c r="U1991" s="13">
        <v>87.3</v>
      </c>
      <c r="V1991" t="s">
        <v>268</v>
      </c>
      <c r="W1991" t="s">
        <v>1271</v>
      </c>
      <c r="X1991" s="13"/>
    </row>
    <row r="1992" spans="1:24" x14ac:dyDescent="0.25">
      <c r="A1992" t="s">
        <v>1732</v>
      </c>
      <c r="B1992" t="s">
        <v>64</v>
      </c>
      <c r="C1992" t="s">
        <v>1664</v>
      </c>
      <c r="D1992" t="s">
        <v>1665</v>
      </c>
      <c r="E1992" t="s">
        <v>64</v>
      </c>
      <c r="F1992" t="s">
        <v>94</v>
      </c>
      <c r="G1992" t="s">
        <v>277</v>
      </c>
      <c r="H1992" s="12">
        <v>6.1449999999999996</v>
      </c>
      <c r="I1992" s="12">
        <v>-75.373999999999995</v>
      </c>
      <c r="J1992" t="s">
        <v>129</v>
      </c>
      <c r="K1992" t="s">
        <v>97</v>
      </c>
      <c r="L1992" t="s">
        <v>1273</v>
      </c>
      <c r="P1992" s="13">
        <v>289.39999999999998</v>
      </c>
      <c r="Q1992" s="13">
        <v>58.5</v>
      </c>
      <c r="R1992">
        <v>56</v>
      </c>
      <c r="S1992">
        <v>64</v>
      </c>
      <c r="T1992" s="13">
        <v>53.4</v>
      </c>
      <c r="U1992" s="13">
        <v>56.4</v>
      </c>
      <c r="V1992" t="s">
        <v>99</v>
      </c>
      <c r="X1992" s="13">
        <v>289.39999999999998</v>
      </c>
    </row>
    <row r="1993" spans="1:24" x14ac:dyDescent="0.25">
      <c r="A1993" t="s">
        <v>1732</v>
      </c>
      <c r="B1993" t="s">
        <v>64</v>
      </c>
      <c r="C1993" t="s">
        <v>1664</v>
      </c>
      <c r="D1993" t="s">
        <v>1665</v>
      </c>
      <c r="E1993" t="s">
        <v>64</v>
      </c>
      <c r="F1993" t="s">
        <v>94</v>
      </c>
      <c r="G1993" t="s">
        <v>277</v>
      </c>
      <c r="H1993" s="12">
        <v>6.1449999999999996</v>
      </c>
      <c r="I1993" s="12">
        <v>-75.373999999999995</v>
      </c>
      <c r="J1993" t="s">
        <v>129</v>
      </c>
      <c r="K1993" t="s">
        <v>1269</v>
      </c>
      <c r="L1993" t="s">
        <v>1270</v>
      </c>
      <c r="P1993" s="13">
        <v>314.89999999999998</v>
      </c>
      <c r="Q1993" s="13">
        <v>58.5</v>
      </c>
      <c r="R1993">
        <v>68</v>
      </c>
      <c r="S1993">
        <v>64</v>
      </c>
      <c r="T1993" s="13">
        <v>67.2</v>
      </c>
      <c r="U1993" s="13">
        <v>45.5</v>
      </c>
      <c r="V1993" t="s">
        <v>268</v>
      </c>
      <c r="W1993" t="s">
        <v>1271</v>
      </c>
      <c r="X1993" s="13"/>
    </row>
    <row r="1994" spans="1:24" x14ac:dyDescent="0.25">
      <c r="A1994" t="s">
        <v>1733</v>
      </c>
      <c r="B1994" t="s">
        <v>64</v>
      </c>
      <c r="C1994" t="s">
        <v>1664</v>
      </c>
      <c r="D1994" t="s">
        <v>1665</v>
      </c>
      <c r="E1994" t="s">
        <v>64</v>
      </c>
      <c r="F1994" t="s">
        <v>94</v>
      </c>
      <c r="G1994" t="s">
        <v>277</v>
      </c>
      <c r="H1994" s="12">
        <v>6.1449999999999996</v>
      </c>
      <c r="I1994" s="12">
        <v>-75.373999999999995</v>
      </c>
      <c r="J1994" t="s">
        <v>129</v>
      </c>
      <c r="K1994" t="s">
        <v>97</v>
      </c>
      <c r="L1994" t="s">
        <v>1273</v>
      </c>
      <c r="P1994" s="13">
        <v>286</v>
      </c>
      <c r="Q1994" s="13">
        <v>68.3</v>
      </c>
      <c r="R1994">
        <v>30</v>
      </c>
      <c r="S1994">
        <v>74</v>
      </c>
      <c r="T1994" s="13">
        <v>48.3</v>
      </c>
      <c r="U1994" s="13">
        <v>81.8</v>
      </c>
      <c r="V1994" t="s">
        <v>99</v>
      </c>
      <c r="X1994" s="13">
        <v>286</v>
      </c>
    </row>
    <row r="1995" spans="1:24" x14ac:dyDescent="0.25">
      <c r="A1995" t="s">
        <v>1733</v>
      </c>
      <c r="B1995" t="s">
        <v>64</v>
      </c>
      <c r="C1995" t="s">
        <v>1664</v>
      </c>
      <c r="D1995" t="s">
        <v>1665</v>
      </c>
      <c r="E1995" t="s">
        <v>64</v>
      </c>
      <c r="F1995" t="s">
        <v>94</v>
      </c>
      <c r="G1995" t="s">
        <v>277</v>
      </c>
      <c r="H1995" s="12">
        <v>6.1449999999999996</v>
      </c>
      <c r="I1995" s="12">
        <v>-75.373999999999995</v>
      </c>
      <c r="J1995" t="s">
        <v>129</v>
      </c>
      <c r="K1995" t="s">
        <v>1269</v>
      </c>
      <c r="L1995" t="s">
        <v>1270</v>
      </c>
      <c r="P1995" s="13">
        <v>325.2</v>
      </c>
      <c r="Q1995" s="13">
        <v>61</v>
      </c>
      <c r="R1995">
        <v>48</v>
      </c>
      <c r="S1995">
        <v>80</v>
      </c>
      <c r="T1995" s="13">
        <v>63.8</v>
      </c>
      <c r="U1995" s="13">
        <v>87.3</v>
      </c>
      <c r="V1995" t="s">
        <v>268</v>
      </c>
      <c r="W1995" t="s">
        <v>1271</v>
      </c>
      <c r="X1995" s="13"/>
    </row>
    <row r="1996" spans="1:24" x14ac:dyDescent="0.25">
      <c r="A1996" t="s">
        <v>1734</v>
      </c>
      <c r="B1996" t="s">
        <v>64</v>
      </c>
      <c r="C1996" t="s">
        <v>1664</v>
      </c>
      <c r="D1996" t="s">
        <v>1665</v>
      </c>
      <c r="E1996" t="s">
        <v>64</v>
      </c>
      <c r="F1996" t="s">
        <v>94</v>
      </c>
      <c r="G1996" t="s">
        <v>277</v>
      </c>
      <c r="H1996" s="12">
        <v>6.1449999999999996</v>
      </c>
      <c r="I1996" s="12">
        <v>-75.373999999999995</v>
      </c>
      <c r="J1996" t="s">
        <v>96</v>
      </c>
      <c r="K1996" t="s">
        <v>97</v>
      </c>
      <c r="L1996" t="s">
        <v>1273</v>
      </c>
      <c r="P1996" s="13">
        <v>171.7</v>
      </c>
      <c r="Q1996" s="13">
        <v>31.7</v>
      </c>
      <c r="R1996">
        <v>24</v>
      </c>
      <c r="S1996">
        <v>20</v>
      </c>
      <c r="T1996" s="13">
        <v>48.3</v>
      </c>
      <c r="U1996" s="13">
        <v>74.5</v>
      </c>
      <c r="V1996" t="s">
        <v>99</v>
      </c>
      <c r="X1996" s="13">
        <v>171.7</v>
      </c>
    </row>
    <row r="1997" spans="1:24" x14ac:dyDescent="0.25">
      <c r="A1997" t="s">
        <v>1734</v>
      </c>
      <c r="B1997" t="s">
        <v>64</v>
      </c>
      <c r="C1997" t="s">
        <v>1664</v>
      </c>
      <c r="D1997" t="s">
        <v>1665</v>
      </c>
      <c r="E1997" t="s">
        <v>64</v>
      </c>
      <c r="F1997" t="s">
        <v>94</v>
      </c>
      <c r="G1997" t="s">
        <v>277</v>
      </c>
      <c r="H1997" s="12">
        <v>6.1449999999999996</v>
      </c>
      <c r="I1997" s="12">
        <v>-75.373999999999995</v>
      </c>
      <c r="J1997" t="s">
        <v>96</v>
      </c>
      <c r="K1997" t="s">
        <v>1269</v>
      </c>
      <c r="L1997" t="s">
        <v>1270</v>
      </c>
      <c r="P1997" s="13">
        <v>216.1</v>
      </c>
      <c r="Q1997" s="13">
        <v>46.3</v>
      </c>
      <c r="R1997">
        <v>46</v>
      </c>
      <c r="S1997">
        <v>36</v>
      </c>
      <c r="T1997" s="13">
        <v>41.4</v>
      </c>
      <c r="U1997" s="13">
        <v>52.7</v>
      </c>
      <c r="V1997" t="s">
        <v>268</v>
      </c>
      <c r="W1997" t="s">
        <v>1271</v>
      </c>
      <c r="X1997" s="13"/>
    </row>
    <row r="1998" spans="1:24" x14ac:dyDescent="0.25">
      <c r="A1998" t="s">
        <v>1735</v>
      </c>
      <c r="B1998" t="s">
        <v>64</v>
      </c>
      <c r="C1998" t="s">
        <v>1664</v>
      </c>
      <c r="D1998" t="s">
        <v>1665</v>
      </c>
      <c r="E1998" t="s">
        <v>64</v>
      </c>
      <c r="F1998" t="s">
        <v>94</v>
      </c>
      <c r="G1998" t="s">
        <v>277</v>
      </c>
      <c r="H1998" s="12">
        <v>6.1449999999999996</v>
      </c>
      <c r="I1998" s="12">
        <v>-75.373999999999995</v>
      </c>
      <c r="J1998" t="s">
        <v>1666</v>
      </c>
      <c r="K1998" t="s">
        <v>97</v>
      </c>
      <c r="L1998" t="s">
        <v>1273</v>
      </c>
      <c r="P1998" s="13">
        <v>256.2</v>
      </c>
      <c r="Q1998" s="13">
        <v>68.3</v>
      </c>
      <c r="R1998">
        <v>52</v>
      </c>
      <c r="S1998">
        <v>44</v>
      </c>
      <c r="T1998" s="13">
        <v>41.4</v>
      </c>
      <c r="U1998" s="13">
        <v>49.1</v>
      </c>
      <c r="V1998" t="s">
        <v>99</v>
      </c>
      <c r="X1998" s="13">
        <v>256.2</v>
      </c>
    </row>
    <row r="1999" spans="1:24" x14ac:dyDescent="0.25">
      <c r="A1999" t="s">
        <v>1735</v>
      </c>
      <c r="B1999" t="s">
        <v>64</v>
      </c>
      <c r="C1999" t="s">
        <v>1664</v>
      </c>
      <c r="D1999" t="s">
        <v>1665</v>
      </c>
      <c r="E1999" t="s">
        <v>64</v>
      </c>
      <c r="F1999" t="s">
        <v>94</v>
      </c>
      <c r="G1999" t="s">
        <v>277</v>
      </c>
      <c r="H1999" s="12">
        <v>6.1449999999999996</v>
      </c>
      <c r="I1999" s="12">
        <v>-75.373999999999995</v>
      </c>
      <c r="J1999" t="s">
        <v>1666</v>
      </c>
      <c r="K1999" t="s">
        <v>1269</v>
      </c>
      <c r="L1999" t="s">
        <v>1270</v>
      </c>
      <c r="P1999" s="13">
        <v>307.8</v>
      </c>
      <c r="Q1999" s="13">
        <v>65.900000000000006</v>
      </c>
      <c r="R1999">
        <v>54</v>
      </c>
      <c r="S1999">
        <v>62</v>
      </c>
      <c r="T1999" s="13">
        <v>65.5</v>
      </c>
      <c r="U1999" s="13">
        <v>58.2</v>
      </c>
      <c r="V1999" t="s">
        <v>268</v>
      </c>
      <c r="W1999" t="s">
        <v>1271</v>
      </c>
      <c r="X1999" s="13"/>
    </row>
    <row r="2000" spans="1:24" x14ac:dyDescent="0.25">
      <c r="A2000" t="s">
        <v>1736</v>
      </c>
      <c r="B2000" t="s">
        <v>64</v>
      </c>
      <c r="C2000" t="s">
        <v>1664</v>
      </c>
      <c r="D2000" t="s">
        <v>1665</v>
      </c>
      <c r="E2000" t="s">
        <v>64</v>
      </c>
      <c r="F2000" t="s">
        <v>94</v>
      </c>
      <c r="G2000" t="s">
        <v>277</v>
      </c>
      <c r="H2000" s="12">
        <v>6.1449999999999996</v>
      </c>
      <c r="I2000" s="12">
        <v>-75.373999999999995</v>
      </c>
      <c r="J2000" t="s">
        <v>96</v>
      </c>
      <c r="K2000" t="s">
        <v>97</v>
      </c>
      <c r="L2000" t="s">
        <v>1273</v>
      </c>
      <c r="P2000" s="13">
        <v>286.5</v>
      </c>
      <c r="Q2000" s="13">
        <v>75.599999999999994</v>
      </c>
      <c r="R2000">
        <v>32</v>
      </c>
      <c r="S2000">
        <v>68</v>
      </c>
      <c r="T2000" s="13">
        <v>56.9</v>
      </c>
      <c r="U2000" s="13">
        <v>47.3</v>
      </c>
      <c r="V2000" t="s">
        <v>99</v>
      </c>
      <c r="X2000" s="13">
        <v>286.5</v>
      </c>
    </row>
    <row r="2001" spans="1:24" x14ac:dyDescent="0.25">
      <c r="A2001" t="s">
        <v>1736</v>
      </c>
      <c r="B2001" t="s">
        <v>64</v>
      </c>
      <c r="C2001" t="s">
        <v>1664</v>
      </c>
      <c r="D2001" t="s">
        <v>1665</v>
      </c>
      <c r="E2001" t="s">
        <v>64</v>
      </c>
      <c r="F2001" t="s">
        <v>94</v>
      </c>
      <c r="G2001" t="s">
        <v>277</v>
      </c>
      <c r="H2001" s="12">
        <v>6.1449999999999996</v>
      </c>
      <c r="I2001" s="12">
        <v>-75.373999999999995</v>
      </c>
      <c r="J2001" t="s">
        <v>96</v>
      </c>
      <c r="K2001" t="s">
        <v>1269</v>
      </c>
      <c r="L2001" t="s">
        <v>1270</v>
      </c>
      <c r="P2001" s="13">
        <v>270.3</v>
      </c>
      <c r="Q2001" s="13">
        <v>48.8</v>
      </c>
      <c r="R2001">
        <v>42</v>
      </c>
      <c r="S2001">
        <v>76</v>
      </c>
      <c r="T2001" s="13">
        <v>51.7</v>
      </c>
      <c r="U2001" s="13">
        <v>47.3</v>
      </c>
      <c r="V2001" t="s">
        <v>268</v>
      </c>
      <c r="W2001" t="s">
        <v>1271</v>
      </c>
      <c r="X2001" s="13"/>
    </row>
    <row r="2002" spans="1:24" x14ac:dyDescent="0.25">
      <c r="A2002" t="s">
        <v>1737</v>
      </c>
      <c r="B2002" t="s">
        <v>64</v>
      </c>
      <c r="C2002" t="s">
        <v>1664</v>
      </c>
      <c r="D2002" t="s">
        <v>1665</v>
      </c>
      <c r="E2002" t="s">
        <v>64</v>
      </c>
      <c r="F2002" t="s">
        <v>94</v>
      </c>
      <c r="G2002" t="s">
        <v>277</v>
      </c>
      <c r="H2002" s="12">
        <v>6.1449999999999996</v>
      </c>
      <c r="I2002" s="12">
        <v>-75.373999999999995</v>
      </c>
      <c r="J2002" t="s">
        <v>96</v>
      </c>
      <c r="K2002" t="s">
        <v>97</v>
      </c>
      <c r="L2002" t="s">
        <v>1273</v>
      </c>
      <c r="P2002" s="13">
        <v>316.89999999999998</v>
      </c>
      <c r="Q2002" s="13">
        <v>63.4</v>
      </c>
      <c r="R2002">
        <v>64</v>
      </c>
      <c r="S2002">
        <v>72</v>
      </c>
      <c r="T2002" s="13">
        <v>53.4</v>
      </c>
      <c r="U2002" s="13">
        <v>65.5</v>
      </c>
      <c r="V2002" t="s">
        <v>99</v>
      </c>
      <c r="X2002" s="13">
        <v>316.89999999999998</v>
      </c>
    </row>
    <row r="2003" spans="1:24" x14ac:dyDescent="0.25">
      <c r="A2003" t="s">
        <v>1737</v>
      </c>
      <c r="B2003" t="s">
        <v>64</v>
      </c>
      <c r="C2003" t="s">
        <v>1664</v>
      </c>
      <c r="D2003" t="s">
        <v>1665</v>
      </c>
      <c r="E2003" t="s">
        <v>64</v>
      </c>
      <c r="F2003" t="s">
        <v>94</v>
      </c>
      <c r="G2003" t="s">
        <v>277</v>
      </c>
      <c r="H2003" s="12">
        <v>6.1449999999999996</v>
      </c>
      <c r="I2003" s="12">
        <v>-75.373999999999995</v>
      </c>
      <c r="J2003" t="s">
        <v>96</v>
      </c>
      <c r="K2003" t="s">
        <v>1269</v>
      </c>
      <c r="L2003" t="s">
        <v>1270</v>
      </c>
      <c r="P2003" s="13">
        <v>354.6</v>
      </c>
      <c r="Q2003" s="13">
        <v>51.2</v>
      </c>
      <c r="R2003">
        <v>74</v>
      </c>
      <c r="S2003">
        <v>88</v>
      </c>
      <c r="T2003" s="13">
        <v>74.099999999999994</v>
      </c>
      <c r="U2003" s="13">
        <v>60</v>
      </c>
      <c r="V2003" t="s">
        <v>268</v>
      </c>
      <c r="W2003" t="s">
        <v>1271</v>
      </c>
      <c r="X2003" s="13"/>
    </row>
    <row r="2004" spans="1:24" x14ac:dyDescent="0.25">
      <c r="A2004" t="s">
        <v>1738</v>
      </c>
      <c r="B2004" t="s">
        <v>64</v>
      </c>
      <c r="C2004" t="s">
        <v>1664</v>
      </c>
      <c r="D2004" t="s">
        <v>1665</v>
      </c>
      <c r="E2004" t="s">
        <v>64</v>
      </c>
      <c r="F2004" t="s">
        <v>94</v>
      </c>
      <c r="G2004" t="s">
        <v>277</v>
      </c>
      <c r="H2004" s="12">
        <v>6.1449999999999996</v>
      </c>
      <c r="I2004" s="12">
        <v>-75.373999999999995</v>
      </c>
      <c r="J2004" t="s">
        <v>96</v>
      </c>
      <c r="K2004" t="s">
        <v>97</v>
      </c>
      <c r="L2004" t="s">
        <v>1273</v>
      </c>
      <c r="P2004" s="13">
        <v>237.6</v>
      </c>
      <c r="Q2004" s="13">
        <v>24.4</v>
      </c>
      <c r="R2004">
        <v>46</v>
      </c>
      <c r="S2004">
        <v>66</v>
      </c>
      <c r="T2004" s="13">
        <v>48.3</v>
      </c>
      <c r="U2004" s="13">
        <v>63.6</v>
      </c>
      <c r="V2004" t="s">
        <v>99</v>
      </c>
      <c r="X2004" s="13">
        <v>237.6</v>
      </c>
    </row>
    <row r="2005" spans="1:24" x14ac:dyDescent="0.25">
      <c r="A2005" t="s">
        <v>1738</v>
      </c>
      <c r="B2005" t="s">
        <v>64</v>
      </c>
      <c r="C2005" t="s">
        <v>1664</v>
      </c>
      <c r="D2005" t="s">
        <v>1665</v>
      </c>
      <c r="E2005" t="s">
        <v>64</v>
      </c>
      <c r="F2005" t="s">
        <v>94</v>
      </c>
      <c r="G2005" t="s">
        <v>277</v>
      </c>
      <c r="H2005" s="12">
        <v>6.1449999999999996</v>
      </c>
      <c r="I2005" s="12">
        <v>-75.373999999999995</v>
      </c>
      <c r="J2005" t="s">
        <v>96</v>
      </c>
      <c r="K2005" t="s">
        <v>1269</v>
      </c>
      <c r="L2005" t="s">
        <v>1270</v>
      </c>
      <c r="P2005" s="13">
        <v>255.9</v>
      </c>
      <c r="Q2005" s="13">
        <v>48.8</v>
      </c>
      <c r="R2005">
        <v>58</v>
      </c>
      <c r="S2005">
        <v>50</v>
      </c>
      <c r="T2005" s="13">
        <v>53.4</v>
      </c>
      <c r="U2005" s="13">
        <v>34.5</v>
      </c>
      <c r="V2005" t="s">
        <v>268</v>
      </c>
      <c r="W2005" t="s">
        <v>1271</v>
      </c>
      <c r="X2005" s="13"/>
    </row>
    <row r="2006" spans="1:24" x14ac:dyDescent="0.25">
      <c r="A2006" t="s">
        <v>1739</v>
      </c>
      <c r="B2006" t="s">
        <v>64</v>
      </c>
      <c r="C2006" t="s">
        <v>1664</v>
      </c>
      <c r="D2006" t="s">
        <v>1665</v>
      </c>
      <c r="E2006" t="s">
        <v>64</v>
      </c>
      <c r="F2006" t="s">
        <v>94</v>
      </c>
      <c r="G2006" t="s">
        <v>277</v>
      </c>
      <c r="H2006" s="12">
        <v>6.1449999999999996</v>
      </c>
      <c r="I2006" s="12">
        <v>-75.373999999999995</v>
      </c>
      <c r="J2006" t="s">
        <v>96</v>
      </c>
      <c r="K2006" t="s">
        <v>97</v>
      </c>
      <c r="L2006" t="s">
        <v>1273</v>
      </c>
      <c r="P2006" s="13">
        <v>295.7</v>
      </c>
      <c r="Q2006" s="13">
        <v>53.7</v>
      </c>
      <c r="R2006">
        <v>48</v>
      </c>
      <c r="S2006">
        <v>66</v>
      </c>
      <c r="T2006" s="13">
        <v>63.8</v>
      </c>
      <c r="U2006" s="13">
        <v>74.5</v>
      </c>
      <c r="V2006" t="s">
        <v>99</v>
      </c>
      <c r="X2006" s="13">
        <v>295.7</v>
      </c>
    </row>
    <row r="2007" spans="1:24" x14ac:dyDescent="0.25">
      <c r="A2007" t="s">
        <v>1739</v>
      </c>
      <c r="B2007" t="s">
        <v>64</v>
      </c>
      <c r="C2007" t="s">
        <v>1664</v>
      </c>
      <c r="D2007" t="s">
        <v>1665</v>
      </c>
      <c r="E2007" t="s">
        <v>64</v>
      </c>
      <c r="F2007" t="s">
        <v>94</v>
      </c>
      <c r="G2007" t="s">
        <v>277</v>
      </c>
      <c r="H2007" s="12">
        <v>6.1449999999999996</v>
      </c>
      <c r="I2007" s="12">
        <v>-75.373999999999995</v>
      </c>
      <c r="J2007" t="s">
        <v>96</v>
      </c>
      <c r="K2007" t="s">
        <v>1269</v>
      </c>
      <c r="L2007" t="s">
        <v>1270</v>
      </c>
      <c r="P2007" s="13">
        <v>355</v>
      </c>
      <c r="Q2007" s="13">
        <v>58.5</v>
      </c>
      <c r="R2007">
        <v>72</v>
      </c>
      <c r="S2007">
        <v>74</v>
      </c>
      <c r="T2007" s="13">
        <v>75.900000000000006</v>
      </c>
      <c r="U2007" s="13">
        <v>81.8</v>
      </c>
      <c r="V2007" t="s">
        <v>268</v>
      </c>
      <c r="W2007" t="s">
        <v>1271</v>
      </c>
      <c r="X2007" s="13"/>
    </row>
    <row r="2008" spans="1:24" x14ac:dyDescent="0.25">
      <c r="A2008" t="s">
        <v>1740</v>
      </c>
      <c r="B2008" t="s">
        <v>64</v>
      </c>
      <c r="C2008" t="s">
        <v>1664</v>
      </c>
      <c r="D2008" t="s">
        <v>1665</v>
      </c>
      <c r="E2008" t="s">
        <v>64</v>
      </c>
      <c r="F2008" t="s">
        <v>94</v>
      </c>
      <c r="G2008" t="s">
        <v>277</v>
      </c>
      <c r="H2008" s="12">
        <v>6.1449999999999996</v>
      </c>
      <c r="I2008" s="12">
        <v>-75.373999999999995</v>
      </c>
      <c r="J2008" t="s">
        <v>96</v>
      </c>
      <c r="K2008" t="s">
        <v>97</v>
      </c>
      <c r="L2008" t="s">
        <v>1273</v>
      </c>
      <c r="P2008" s="13">
        <v>256.7</v>
      </c>
      <c r="Q2008" s="13">
        <v>34.1</v>
      </c>
      <c r="R2008">
        <v>52</v>
      </c>
      <c r="S2008">
        <v>46</v>
      </c>
      <c r="T2008" s="13">
        <v>65.5</v>
      </c>
      <c r="U2008" s="13">
        <v>74.5</v>
      </c>
      <c r="V2008" t="s">
        <v>99</v>
      </c>
      <c r="X2008" s="13">
        <v>256.7</v>
      </c>
    </row>
    <row r="2009" spans="1:24" x14ac:dyDescent="0.25">
      <c r="A2009" t="s">
        <v>1740</v>
      </c>
      <c r="B2009" t="s">
        <v>64</v>
      </c>
      <c r="C2009" t="s">
        <v>1664</v>
      </c>
      <c r="D2009" t="s">
        <v>1665</v>
      </c>
      <c r="E2009" t="s">
        <v>64</v>
      </c>
      <c r="F2009" t="s">
        <v>94</v>
      </c>
      <c r="G2009" t="s">
        <v>277</v>
      </c>
      <c r="H2009" s="12">
        <v>6.1449999999999996</v>
      </c>
      <c r="I2009" s="12">
        <v>-75.373999999999995</v>
      </c>
      <c r="J2009" t="s">
        <v>96</v>
      </c>
      <c r="K2009" t="s">
        <v>1269</v>
      </c>
      <c r="L2009" t="s">
        <v>1270</v>
      </c>
      <c r="P2009" s="13">
        <v>283.2</v>
      </c>
      <c r="Q2009" s="13">
        <v>51.2</v>
      </c>
      <c r="R2009">
        <v>58</v>
      </c>
      <c r="S2009">
        <v>52</v>
      </c>
      <c r="T2009" s="13">
        <v>67.2</v>
      </c>
      <c r="U2009" s="13">
        <v>50.9</v>
      </c>
      <c r="V2009" t="s">
        <v>268</v>
      </c>
      <c r="W2009" t="s">
        <v>1271</v>
      </c>
      <c r="X2009" s="13"/>
    </row>
    <row r="2010" spans="1:24" x14ac:dyDescent="0.25">
      <c r="A2010" t="s">
        <v>1741</v>
      </c>
      <c r="B2010" t="s">
        <v>64</v>
      </c>
      <c r="C2010" t="s">
        <v>1664</v>
      </c>
      <c r="D2010" t="s">
        <v>1665</v>
      </c>
      <c r="E2010" t="s">
        <v>64</v>
      </c>
      <c r="F2010" t="s">
        <v>94</v>
      </c>
      <c r="G2010" t="s">
        <v>277</v>
      </c>
      <c r="H2010" s="12">
        <v>6.1449999999999996</v>
      </c>
      <c r="I2010" s="12">
        <v>-75.373999999999995</v>
      </c>
      <c r="J2010" t="s">
        <v>96</v>
      </c>
      <c r="K2010" t="s">
        <v>97</v>
      </c>
      <c r="L2010" t="s">
        <v>1273</v>
      </c>
      <c r="P2010" s="13">
        <v>153.5</v>
      </c>
      <c r="Q2010" s="13">
        <v>31.7</v>
      </c>
      <c r="R2010">
        <v>28</v>
      </c>
      <c r="S2010">
        <v>44</v>
      </c>
      <c r="T2010" s="13">
        <v>29.3</v>
      </c>
      <c r="U2010" s="13">
        <v>0</v>
      </c>
      <c r="V2010" t="s">
        <v>99</v>
      </c>
      <c r="X2010" s="13">
        <v>153.5</v>
      </c>
    </row>
    <row r="2011" spans="1:24" x14ac:dyDescent="0.25">
      <c r="A2011" t="s">
        <v>1741</v>
      </c>
      <c r="B2011" t="s">
        <v>64</v>
      </c>
      <c r="C2011" t="s">
        <v>1664</v>
      </c>
      <c r="D2011" t="s">
        <v>1665</v>
      </c>
      <c r="E2011" t="s">
        <v>64</v>
      </c>
      <c r="F2011" t="s">
        <v>94</v>
      </c>
      <c r="G2011" t="s">
        <v>277</v>
      </c>
      <c r="H2011" s="12">
        <v>6.1449999999999996</v>
      </c>
      <c r="I2011" s="12">
        <v>-75.373999999999995</v>
      </c>
      <c r="J2011" t="s">
        <v>96</v>
      </c>
      <c r="K2011" t="s">
        <v>1269</v>
      </c>
      <c r="L2011" t="s">
        <v>1270</v>
      </c>
      <c r="P2011" s="13">
        <v>276.60000000000002</v>
      </c>
      <c r="Q2011" s="13">
        <v>58.5</v>
      </c>
      <c r="R2011">
        <v>48</v>
      </c>
      <c r="S2011">
        <v>64</v>
      </c>
      <c r="T2011" s="13">
        <v>53.4</v>
      </c>
      <c r="U2011" s="13">
        <v>47.3</v>
      </c>
      <c r="V2011" t="s">
        <v>268</v>
      </c>
      <c r="W2011" t="s">
        <v>1271</v>
      </c>
      <c r="X2011" s="13"/>
    </row>
    <row r="2012" spans="1:24" x14ac:dyDescent="0.25">
      <c r="A2012" t="s">
        <v>1742</v>
      </c>
      <c r="B2012" t="s">
        <v>64</v>
      </c>
      <c r="C2012" t="s">
        <v>1664</v>
      </c>
      <c r="D2012" t="s">
        <v>1665</v>
      </c>
      <c r="E2012" t="s">
        <v>64</v>
      </c>
      <c r="F2012" t="s">
        <v>94</v>
      </c>
      <c r="G2012" t="s">
        <v>277</v>
      </c>
      <c r="H2012" s="12">
        <v>6.1449999999999996</v>
      </c>
      <c r="I2012" s="12">
        <v>-75.373999999999995</v>
      </c>
      <c r="J2012" t="s">
        <v>96</v>
      </c>
      <c r="K2012" t="s">
        <v>97</v>
      </c>
      <c r="L2012" t="s">
        <v>1273</v>
      </c>
      <c r="P2012" s="13">
        <v>231.9</v>
      </c>
      <c r="Q2012" s="13">
        <v>65.900000000000006</v>
      </c>
      <c r="R2012">
        <v>38</v>
      </c>
      <c r="S2012">
        <v>52</v>
      </c>
      <c r="T2012" s="13">
        <v>27.6</v>
      </c>
      <c r="U2012" s="13">
        <v>52.7</v>
      </c>
      <c r="V2012" t="s">
        <v>99</v>
      </c>
      <c r="X2012" s="13">
        <v>231.9</v>
      </c>
    </row>
    <row r="2013" spans="1:24" x14ac:dyDescent="0.25">
      <c r="A2013" t="s">
        <v>1742</v>
      </c>
      <c r="B2013" t="s">
        <v>64</v>
      </c>
      <c r="C2013" t="s">
        <v>1664</v>
      </c>
      <c r="D2013" t="s">
        <v>1665</v>
      </c>
      <c r="E2013" t="s">
        <v>64</v>
      </c>
      <c r="F2013" t="s">
        <v>94</v>
      </c>
      <c r="G2013" t="s">
        <v>277</v>
      </c>
      <c r="H2013" s="12">
        <v>6.1449999999999996</v>
      </c>
      <c r="I2013" s="12">
        <v>-75.373999999999995</v>
      </c>
      <c r="J2013" t="s">
        <v>96</v>
      </c>
      <c r="K2013" t="s">
        <v>1269</v>
      </c>
      <c r="L2013" t="s">
        <v>1270</v>
      </c>
      <c r="P2013" s="13">
        <v>265.39999999999998</v>
      </c>
      <c r="Q2013" s="13">
        <v>63.4</v>
      </c>
      <c r="R2013">
        <v>38</v>
      </c>
      <c r="S2013">
        <v>68</v>
      </c>
      <c r="T2013" s="13">
        <v>44.8</v>
      </c>
      <c r="U2013" s="13">
        <v>47.3</v>
      </c>
      <c r="V2013" t="s">
        <v>268</v>
      </c>
      <c r="W2013" t="s">
        <v>1271</v>
      </c>
      <c r="X2013" s="13"/>
    </row>
    <row r="2014" spans="1:24" x14ac:dyDescent="0.25">
      <c r="A2014" t="s">
        <v>1743</v>
      </c>
      <c r="B2014" t="s">
        <v>64</v>
      </c>
      <c r="C2014" t="s">
        <v>1664</v>
      </c>
      <c r="D2014" t="s">
        <v>1665</v>
      </c>
      <c r="E2014" t="s">
        <v>64</v>
      </c>
      <c r="F2014" t="s">
        <v>94</v>
      </c>
      <c r="G2014" t="s">
        <v>277</v>
      </c>
      <c r="H2014" s="12">
        <v>6.1449999999999996</v>
      </c>
      <c r="I2014" s="12">
        <v>-75.373999999999995</v>
      </c>
      <c r="J2014" t="s">
        <v>96</v>
      </c>
      <c r="K2014" t="s">
        <v>97</v>
      </c>
      <c r="L2014" t="s">
        <v>1273</v>
      </c>
      <c r="P2014" s="13">
        <v>380.3</v>
      </c>
      <c r="Q2014" s="13">
        <v>82.9</v>
      </c>
      <c r="R2014">
        <v>70</v>
      </c>
      <c r="S2014">
        <v>78</v>
      </c>
      <c r="T2014" s="13">
        <v>69</v>
      </c>
      <c r="U2014" s="13">
        <v>89.1</v>
      </c>
      <c r="V2014" t="s">
        <v>99</v>
      </c>
      <c r="X2014" s="13">
        <v>380.3</v>
      </c>
    </row>
    <row r="2015" spans="1:24" x14ac:dyDescent="0.25">
      <c r="A2015" t="s">
        <v>1743</v>
      </c>
      <c r="B2015" t="s">
        <v>64</v>
      </c>
      <c r="C2015" t="s">
        <v>1664</v>
      </c>
      <c r="D2015" t="s">
        <v>1665</v>
      </c>
      <c r="E2015" t="s">
        <v>64</v>
      </c>
      <c r="F2015" t="s">
        <v>94</v>
      </c>
      <c r="G2015" t="s">
        <v>277</v>
      </c>
      <c r="H2015" s="12">
        <v>6.1449999999999996</v>
      </c>
      <c r="I2015" s="12">
        <v>-75.373999999999995</v>
      </c>
      <c r="J2015" t="s">
        <v>96</v>
      </c>
      <c r="K2015" t="s">
        <v>1269</v>
      </c>
      <c r="L2015" t="s">
        <v>1270</v>
      </c>
      <c r="P2015" s="13">
        <v>344.1</v>
      </c>
      <c r="Q2015" s="13">
        <v>53.7</v>
      </c>
      <c r="R2015">
        <v>66</v>
      </c>
      <c r="S2015">
        <v>80</v>
      </c>
      <c r="T2015" s="13">
        <v>70.7</v>
      </c>
      <c r="U2015" s="13">
        <v>83.6</v>
      </c>
      <c r="V2015" t="s">
        <v>268</v>
      </c>
      <c r="W2015" t="s">
        <v>1271</v>
      </c>
      <c r="X2015" s="13"/>
    </row>
    <row r="2016" spans="1:24" x14ac:dyDescent="0.25">
      <c r="A2016" t="s">
        <v>1744</v>
      </c>
      <c r="B2016" t="s">
        <v>64</v>
      </c>
      <c r="C2016" t="s">
        <v>1664</v>
      </c>
      <c r="D2016" t="s">
        <v>1665</v>
      </c>
      <c r="E2016" t="s">
        <v>64</v>
      </c>
      <c r="F2016" t="s">
        <v>94</v>
      </c>
      <c r="G2016" t="s">
        <v>277</v>
      </c>
      <c r="H2016" s="12">
        <v>6.1449999999999996</v>
      </c>
      <c r="I2016" s="12">
        <v>-75.373999999999995</v>
      </c>
      <c r="J2016" t="s">
        <v>96</v>
      </c>
      <c r="K2016" t="s">
        <v>97</v>
      </c>
      <c r="L2016" t="s">
        <v>1273</v>
      </c>
      <c r="P2016" s="13">
        <v>298.2</v>
      </c>
      <c r="Q2016" s="13">
        <v>65.900000000000006</v>
      </c>
      <c r="R2016">
        <v>44</v>
      </c>
      <c r="S2016">
        <v>76</v>
      </c>
      <c r="T2016" s="13">
        <v>46.6</v>
      </c>
      <c r="U2016" s="13">
        <v>78.2</v>
      </c>
      <c r="V2016" t="s">
        <v>99</v>
      </c>
      <c r="X2016" s="13">
        <v>298.2</v>
      </c>
    </row>
    <row r="2017" spans="1:24" x14ac:dyDescent="0.25">
      <c r="A2017" t="s">
        <v>1744</v>
      </c>
      <c r="B2017" t="s">
        <v>64</v>
      </c>
      <c r="C2017" t="s">
        <v>1664</v>
      </c>
      <c r="D2017" t="s">
        <v>1665</v>
      </c>
      <c r="E2017" t="s">
        <v>64</v>
      </c>
      <c r="F2017" t="s">
        <v>94</v>
      </c>
      <c r="G2017" t="s">
        <v>277</v>
      </c>
      <c r="H2017" s="12">
        <v>6.1449999999999996</v>
      </c>
      <c r="I2017" s="12">
        <v>-75.373999999999995</v>
      </c>
      <c r="J2017" t="s">
        <v>96</v>
      </c>
      <c r="K2017" t="s">
        <v>1269</v>
      </c>
      <c r="L2017" t="s">
        <v>1270</v>
      </c>
      <c r="P2017" s="13">
        <v>339</v>
      </c>
      <c r="Q2017" s="13">
        <v>56.1</v>
      </c>
      <c r="R2017">
        <v>64</v>
      </c>
      <c r="S2017">
        <v>70</v>
      </c>
      <c r="T2017" s="13">
        <v>75.900000000000006</v>
      </c>
      <c r="U2017" s="13">
        <v>83.6</v>
      </c>
      <c r="V2017" t="s">
        <v>268</v>
      </c>
      <c r="W2017" t="s">
        <v>1271</v>
      </c>
      <c r="X2017" s="13"/>
    </row>
    <row r="2018" spans="1:24" x14ac:dyDescent="0.25">
      <c r="A2018" t="s">
        <v>1745</v>
      </c>
      <c r="B2018" t="s">
        <v>64</v>
      </c>
      <c r="C2018" t="s">
        <v>1664</v>
      </c>
      <c r="D2018" t="s">
        <v>1665</v>
      </c>
      <c r="E2018" t="s">
        <v>64</v>
      </c>
      <c r="F2018" t="s">
        <v>94</v>
      </c>
      <c r="G2018" t="s">
        <v>277</v>
      </c>
      <c r="H2018" s="12">
        <v>6.1449999999999996</v>
      </c>
      <c r="I2018" s="12">
        <v>-75.373999999999995</v>
      </c>
      <c r="J2018" t="s">
        <v>96</v>
      </c>
      <c r="K2018" t="s">
        <v>97</v>
      </c>
      <c r="L2018" t="s">
        <v>1273</v>
      </c>
      <c r="P2018" s="13">
        <v>324</v>
      </c>
      <c r="Q2018" s="13">
        <v>68.3</v>
      </c>
      <c r="R2018">
        <v>58</v>
      </c>
      <c r="S2018">
        <v>70</v>
      </c>
      <c r="T2018" s="13">
        <v>62.1</v>
      </c>
      <c r="U2018" s="13">
        <v>67.3</v>
      </c>
      <c r="V2018" t="s">
        <v>99</v>
      </c>
      <c r="X2018" s="13">
        <v>324</v>
      </c>
    </row>
    <row r="2019" spans="1:24" x14ac:dyDescent="0.25">
      <c r="A2019" t="s">
        <v>1745</v>
      </c>
      <c r="B2019" t="s">
        <v>64</v>
      </c>
      <c r="C2019" t="s">
        <v>1664</v>
      </c>
      <c r="D2019" t="s">
        <v>1665</v>
      </c>
      <c r="E2019" t="s">
        <v>64</v>
      </c>
      <c r="F2019" t="s">
        <v>94</v>
      </c>
      <c r="G2019" t="s">
        <v>277</v>
      </c>
      <c r="H2019" s="12">
        <v>6.1449999999999996</v>
      </c>
      <c r="I2019" s="12">
        <v>-75.373999999999995</v>
      </c>
      <c r="J2019" t="s">
        <v>96</v>
      </c>
      <c r="K2019" t="s">
        <v>1269</v>
      </c>
      <c r="L2019" t="s">
        <v>1270</v>
      </c>
      <c r="P2019" s="13">
        <v>323.8</v>
      </c>
      <c r="Q2019" s="13">
        <v>56.1</v>
      </c>
      <c r="R2019">
        <v>64</v>
      </c>
      <c r="S2019">
        <v>76</v>
      </c>
      <c r="T2019" s="13">
        <v>62.1</v>
      </c>
      <c r="U2019" s="13">
        <v>67.3</v>
      </c>
      <c r="V2019" t="s">
        <v>268</v>
      </c>
      <c r="W2019" t="s">
        <v>1271</v>
      </c>
      <c r="X2019" s="13"/>
    </row>
    <row r="2020" spans="1:24" x14ac:dyDescent="0.25">
      <c r="A2020" t="s">
        <v>1746</v>
      </c>
      <c r="B2020" t="s">
        <v>64</v>
      </c>
      <c r="C2020" t="s">
        <v>1664</v>
      </c>
      <c r="D2020" t="s">
        <v>1665</v>
      </c>
      <c r="E2020" t="s">
        <v>64</v>
      </c>
      <c r="F2020" t="s">
        <v>94</v>
      </c>
      <c r="G2020" t="s">
        <v>277</v>
      </c>
      <c r="H2020" s="12">
        <v>6.1449999999999996</v>
      </c>
      <c r="I2020" s="12">
        <v>-75.373999999999995</v>
      </c>
      <c r="J2020" t="s">
        <v>1666</v>
      </c>
      <c r="K2020" t="s">
        <v>97</v>
      </c>
      <c r="L2020" t="s">
        <v>1273</v>
      </c>
      <c r="P2020" s="13">
        <v>270.7</v>
      </c>
      <c r="Q2020" s="13">
        <v>53.7</v>
      </c>
      <c r="R2020">
        <v>52</v>
      </c>
      <c r="S2020">
        <v>58</v>
      </c>
      <c r="T2020" s="13">
        <v>55.2</v>
      </c>
      <c r="U2020" s="13">
        <v>47.3</v>
      </c>
      <c r="V2020" t="s">
        <v>99</v>
      </c>
      <c r="X2020" s="13">
        <v>270.7</v>
      </c>
    </row>
    <row r="2021" spans="1:24" x14ac:dyDescent="0.25">
      <c r="A2021" t="s">
        <v>1746</v>
      </c>
      <c r="B2021" t="s">
        <v>64</v>
      </c>
      <c r="C2021" t="s">
        <v>1664</v>
      </c>
      <c r="D2021" t="s">
        <v>1665</v>
      </c>
      <c r="E2021" t="s">
        <v>64</v>
      </c>
      <c r="F2021" t="s">
        <v>94</v>
      </c>
      <c r="G2021" t="s">
        <v>277</v>
      </c>
      <c r="H2021" s="12">
        <v>6.1449999999999996</v>
      </c>
      <c r="I2021" s="12">
        <v>-75.373999999999995</v>
      </c>
      <c r="J2021" t="s">
        <v>1666</v>
      </c>
      <c r="K2021" t="s">
        <v>1269</v>
      </c>
      <c r="L2021" t="s">
        <v>1270</v>
      </c>
      <c r="P2021" s="13">
        <v>298.2</v>
      </c>
      <c r="Q2021" s="13">
        <v>48.8</v>
      </c>
      <c r="R2021">
        <v>62</v>
      </c>
      <c r="S2021">
        <v>74</v>
      </c>
      <c r="T2021" s="13">
        <v>60.3</v>
      </c>
      <c r="U2021" s="13">
        <v>40</v>
      </c>
      <c r="V2021" t="s">
        <v>268</v>
      </c>
      <c r="W2021" t="s">
        <v>1271</v>
      </c>
      <c r="X2021" s="13"/>
    </row>
    <row r="2022" spans="1:24" x14ac:dyDescent="0.25">
      <c r="A2022" t="s">
        <v>1747</v>
      </c>
      <c r="B2022" t="s">
        <v>64</v>
      </c>
      <c r="C2022" t="s">
        <v>1664</v>
      </c>
      <c r="D2022" t="s">
        <v>1665</v>
      </c>
      <c r="E2022" t="s">
        <v>64</v>
      </c>
      <c r="F2022" t="s">
        <v>94</v>
      </c>
      <c r="G2022" t="s">
        <v>277</v>
      </c>
      <c r="H2022" s="12">
        <v>6.1449999999999996</v>
      </c>
      <c r="I2022" s="12">
        <v>-75.373999999999995</v>
      </c>
      <c r="J2022" t="s">
        <v>96</v>
      </c>
      <c r="K2022" t="s">
        <v>97</v>
      </c>
      <c r="L2022" t="s">
        <v>1273</v>
      </c>
      <c r="P2022" s="13">
        <v>261.39999999999998</v>
      </c>
      <c r="Q2022" s="13">
        <v>58.5</v>
      </c>
      <c r="R2022">
        <v>60</v>
      </c>
      <c r="S2022">
        <v>46</v>
      </c>
      <c r="T2022" s="13">
        <v>41.4</v>
      </c>
      <c r="U2022" s="13">
        <v>61.8</v>
      </c>
      <c r="V2022" t="s">
        <v>99</v>
      </c>
      <c r="X2022" s="13">
        <v>261.39999999999998</v>
      </c>
    </row>
    <row r="2023" spans="1:24" x14ac:dyDescent="0.25">
      <c r="A2023" t="s">
        <v>1747</v>
      </c>
      <c r="B2023" t="s">
        <v>64</v>
      </c>
      <c r="C2023" t="s">
        <v>1664</v>
      </c>
      <c r="D2023" t="s">
        <v>1665</v>
      </c>
      <c r="E2023" t="s">
        <v>64</v>
      </c>
      <c r="F2023" t="s">
        <v>94</v>
      </c>
      <c r="G2023" t="s">
        <v>277</v>
      </c>
      <c r="H2023" s="12">
        <v>6.1449999999999996</v>
      </c>
      <c r="I2023" s="12">
        <v>-75.373999999999995</v>
      </c>
      <c r="J2023" t="s">
        <v>96</v>
      </c>
      <c r="K2023" t="s">
        <v>1269</v>
      </c>
      <c r="L2023" t="s">
        <v>1270</v>
      </c>
      <c r="P2023" s="13">
        <v>301.2</v>
      </c>
      <c r="Q2023" s="13">
        <v>53.7</v>
      </c>
      <c r="R2023">
        <v>54</v>
      </c>
      <c r="S2023">
        <v>80</v>
      </c>
      <c r="T2023" s="13">
        <v>55.2</v>
      </c>
      <c r="U2023" s="13">
        <v>54.5</v>
      </c>
      <c r="V2023" t="s">
        <v>268</v>
      </c>
      <c r="W2023" t="s">
        <v>1271</v>
      </c>
      <c r="X2023" s="13"/>
    </row>
    <row r="2024" spans="1:24" x14ac:dyDescent="0.25">
      <c r="A2024" t="s">
        <v>1748</v>
      </c>
      <c r="B2024" t="s">
        <v>64</v>
      </c>
      <c r="C2024" t="s">
        <v>1664</v>
      </c>
      <c r="D2024" t="s">
        <v>1665</v>
      </c>
      <c r="E2024" t="s">
        <v>64</v>
      </c>
      <c r="F2024" t="s">
        <v>94</v>
      </c>
      <c r="G2024" t="s">
        <v>277</v>
      </c>
      <c r="H2024" s="12">
        <v>6.1449999999999996</v>
      </c>
      <c r="I2024" s="12">
        <v>-75.373999999999995</v>
      </c>
      <c r="J2024" t="s">
        <v>96</v>
      </c>
      <c r="K2024" t="s">
        <v>97</v>
      </c>
      <c r="L2024" t="s">
        <v>1273</v>
      </c>
      <c r="P2024" s="13">
        <v>209.3</v>
      </c>
      <c r="Q2024" s="13">
        <v>46.3</v>
      </c>
      <c r="R2024">
        <v>30</v>
      </c>
      <c r="S2024">
        <v>48</v>
      </c>
      <c r="T2024" s="13">
        <v>31</v>
      </c>
      <c r="U2024" s="13">
        <v>78.2</v>
      </c>
      <c r="V2024" t="s">
        <v>99</v>
      </c>
      <c r="X2024" s="13">
        <v>209.3</v>
      </c>
    </row>
    <row r="2025" spans="1:24" x14ac:dyDescent="0.25">
      <c r="A2025" t="s">
        <v>1748</v>
      </c>
      <c r="B2025" t="s">
        <v>64</v>
      </c>
      <c r="C2025" t="s">
        <v>1664</v>
      </c>
      <c r="D2025" t="s">
        <v>1665</v>
      </c>
      <c r="E2025" t="s">
        <v>64</v>
      </c>
      <c r="F2025" t="s">
        <v>94</v>
      </c>
      <c r="G2025" t="s">
        <v>277</v>
      </c>
      <c r="H2025" s="12">
        <v>6.1449999999999996</v>
      </c>
      <c r="I2025" s="12">
        <v>-75.373999999999995</v>
      </c>
      <c r="J2025" t="s">
        <v>96</v>
      </c>
      <c r="K2025" t="s">
        <v>1269</v>
      </c>
      <c r="L2025" t="s">
        <v>1270</v>
      </c>
      <c r="P2025" s="13">
        <v>297.2</v>
      </c>
      <c r="Q2025" s="13">
        <v>51.2</v>
      </c>
      <c r="R2025">
        <v>56</v>
      </c>
      <c r="S2025">
        <v>78</v>
      </c>
      <c r="T2025" s="13">
        <v>51.7</v>
      </c>
      <c r="U2025" s="13">
        <v>61.8</v>
      </c>
      <c r="V2025" t="s">
        <v>268</v>
      </c>
      <c r="W2025" t="s">
        <v>1271</v>
      </c>
      <c r="X2025" s="13"/>
    </row>
    <row r="2026" spans="1:24" x14ac:dyDescent="0.25">
      <c r="A2026" t="s">
        <v>1749</v>
      </c>
      <c r="B2026" t="s">
        <v>64</v>
      </c>
      <c r="C2026" t="s">
        <v>1664</v>
      </c>
      <c r="D2026" t="s">
        <v>1665</v>
      </c>
      <c r="E2026" t="s">
        <v>64</v>
      </c>
      <c r="F2026" t="s">
        <v>94</v>
      </c>
      <c r="G2026" t="s">
        <v>277</v>
      </c>
      <c r="H2026" s="12">
        <v>6.1449999999999996</v>
      </c>
      <c r="I2026" s="12">
        <v>-75.373999999999995</v>
      </c>
      <c r="J2026" t="s">
        <v>96</v>
      </c>
      <c r="K2026" t="s">
        <v>97</v>
      </c>
      <c r="L2026" t="s">
        <v>1273</v>
      </c>
      <c r="P2026" s="13">
        <v>265.3</v>
      </c>
      <c r="Q2026" s="13">
        <v>34.1</v>
      </c>
      <c r="R2026">
        <v>48</v>
      </c>
      <c r="S2026">
        <v>60</v>
      </c>
      <c r="T2026" s="13">
        <v>69</v>
      </c>
      <c r="U2026" s="13">
        <v>56.4</v>
      </c>
      <c r="V2026" t="s">
        <v>99</v>
      </c>
      <c r="X2026" s="13">
        <v>265.3</v>
      </c>
    </row>
    <row r="2027" spans="1:24" x14ac:dyDescent="0.25">
      <c r="A2027" t="s">
        <v>1749</v>
      </c>
      <c r="B2027" t="s">
        <v>64</v>
      </c>
      <c r="C2027" t="s">
        <v>1664</v>
      </c>
      <c r="D2027" t="s">
        <v>1665</v>
      </c>
      <c r="E2027" t="s">
        <v>64</v>
      </c>
      <c r="F2027" t="s">
        <v>94</v>
      </c>
      <c r="G2027" t="s">
        <v>277</v>
      </c>
      <c r="H2027" s="12">
        <v>6.1449999999999996</v>
      </c>
      <c r="I2027" s="12">
        <v>-75.373999999999995</v>
      </c>
      <c r="J2027" t="s">
        <v>96</v>
      </c>
      <c r="K2027" t="s">
        <v>1269</v>
      </c>
      <c r="L2027" t="s">
        <v>1270</v>
      </c>
      <c r="P2027" s="13">
        <v>246.7</v>
      </c>
      <c r="Q2027" s="13">
        <v>51.2</v>
      </c>
      <c r="R2027">
        <v>42</v>
      </c>
      <c r="S2027">
        <v>52</v>
      </c>
      <c r="T2027" s="13">
        <v>53.4</v>
      </c>
      <c r="U2027" s="13">
        <v>45.5</v>
      </c>
      <c r="V2027" t="s">
        <v>268</v>
      </c>
      <c r="W2027" t="s">
        <v>1271</v>
      </c>
      <c r="X2027" s="13"/>
    </row>
    <row r="2028" spans="1:24" x14ac:dyDescent="0.25">
      <c r="A2028" t="s">
        <v>1750</v>
      </c>
      <c r="B2028" t="s">
        <v>64</v>
      </c>
      <c r="C2028" t="s">
        <v>1664</v>
      </c>
      <c r="D2028" t="s">
        <v>1665</v>
      </c>
      <c r="E2028" t="s">
        <v>64</v>
      </c>
      <c r="F2028" t="s">
        <v>94</v>
      </c>
      <c r="G2028" t="s">
        <v>277</v>
      </c>
      <c r="H2028" s="12">
        <v>6.1449999999999996</v>
      </c>
      <c r="I2028" s="12">
        <v>-75.373999999999995</v>
      </c>
      <c r="J2028" t="s">
        <v>96</v>
      </c>
      <c r="K2028" t="s">
        <v>97</v>
      </c>
      <c r="L2028" t="s">
        <v>1273</v>
      </c>
      <c r="P2028" s="13">
        <v>310.5</v>
      </c>
      <c r="Q2028" s="13">
        <v>65.900000000000006</v>
      </c>
      <c r="R2028">
        <v>52</v>
      </c>
      <c r="S2028">
        <v>68</v>
      </c>
      <c r="T2028" s="13">
        <v>62.1</v>
      </c>
      <c r="U2028" s="13">
        <v>63.6</v>
      </c>
      <c r="V2028" t="s">
        <v>99</v>
      </c>
      <c r="X2028" s="13">
        <v>310.5</v>
      </c>
    </row>
    <row r="2029" spans="1:24" x14ac:dyDescent="0.25">
      <c r="A2029" t="s">
        <v>1750</v>
      </c>
      <c r="B2029" t="s">
        <v>64</v>
      </c>
      <c r="C2029" t="s">
        <v>1664</v>
      </c>
      <c r="D2029" t="s">
        <v>1665</v>
      </c>
      <c r="E2029" t="s">
        <v>64</v>
      </c>
      <c r="F2029" t="s">
        <v>94</v>
      </c>
      <c r="G2029" t="s">
        <v>277</v>
      </c>
      <c r="H2029" s="12">
        <v>6.1449999999999996</v>
      </c>
      <c r="I2029" s="12">
        <v>-75.373999999999995</v>
      </c>
      <c r="J2029" t="s">
        <v>96</v>
      </c>
      <c r="K2029" t="s">
        <v>1269</v>
      </c>
      <c r="L2029" t="s">
        <v>1270</v>
      </c>
      <c r="P2029" s="13">
        <v>344.5</v>
      </c>
      <c r="Q2029" s="13">
        <v>61</v>
      </c>
      <c r="R2029">
        <v>60</v>
      </c>
      <c r="S2029">
        <v>84</v>
      </c>
      <c r="T2029" s="13">
        <v>72.400000000000006</v>
      </c>
      <c r="U2029" s="13">
        <v>63.6</v>
      </c>
      <c r="V2029" t="s">
        <v>268</v>
      </c>
      <c r="W2029" t="s">
        <v>1271</v>
      </c>
      <c r="X2029" s="13"/>
    </row>
    <row r="2030" spans="1:24" x14ac:dyDescent="0.25">
      <c r="A2030" t="s">
        <v>1751</v>
      </c>
      <c r="B2030" t="s">
        <v>64</v>
      </c>
      <c r="C2030" t="s">
        <v>1664</v>
      </c>
      <c r="D2030" t="s">
        <v>1665</v>
      </c>
      <c r="E2030" t="s">
        <v>64</v>
      </c>
      <c r="F2030" t="s">
        <v>94</v>
      </c>
      <c r="G2030" t="s">
        <v>277</v>
      </c>
      <c r="H2030" s="12">
        <v>6.1449999999999996</v>
      </c>
      <c r="I2030" s="12">
        <v>-75.373999999999995</v>
      </c>
      <c r="J2030" t="s">
        <v>96</v>
      </c>
      <c r="K2030" t="s">
        <v>97</v>
      </c>
      <c r="L2030" t="s">
        <v>1273</v>
      </c>
      <c r="P2030" s="13">
        <v>236</v>
      </c>
      <c r="Q2030" s="13">
        <v>39</v>
      </c>
      <c r="R2030">
        <v>44</v>
      </c>
      <c r="S2030">
        <v>38</v>
      </c>
      <c r="T2030" s="13">
        <v>58.6</v>
      </c>
      <c r="U2030" s="13">
        <v>74.5</v>
      </c>
      <c r="V2030" t="s">
        <v>99</v>
      </c>
      <c r="X2030" s="13">
        <v>236</v>
      </c>
    </row>
    <row r="2031" spans="1:24" x14ac:dyDescent="0.25">
      <c r="A2031" t="s">
        <v>1751</v>
      </c>
      <c r="B2031" t="s">
        <v>64</v>
      </c>
      <c r="C2031" t="s">
        <v>1664</v>
      </c>
      <c r="D2031" t="s">
        <v>1665</v>
      </c>
      <c r="E2031" t="s">
        <v>64</v>
      </c>
      <c r="F2031" t="s">
        <v>94</v>
      </c>
      <c r="G2031" t="s">
        <v>277</v>
      </c>
      <c r="H2031" s="12">
        <v>6.1449999999999996</v>
      </c>
      <c r="I2031" s="12">
        <v>-75.373999999999995</v>
      </c>
      <c r="J2031" t="s">
        <v>96</v>
      </c>
      <c r="K2031" t="s">
        <v>1269</v>
      </c>
      <c r="L2031" t="s">
        <v>1270</v>
      </c>
      <c r="P2031" s="13">
        <v>266.3</v>
      </c>
      <c r="Q2031" s="13">
        <v>46.3</v>
      </c>
      <c r="R2031">
        <v>48</v>
      </c>
      <c r="S2031">
        <v>70</v>
      </c>
      <c r="T2031" s="13">
        <v>48.3</v>
      </c>
      <c r="U2031" s="13">
        <v>54.5</v>
      </c>
      <c r="V2031" t="s">
        <v>268</v>
      </c>
      <c r="W2031" t="s">
        <v>1271</v>
      </c>
      <c r="X2031" s="13"/>
    </row>
    <row r="2032" spans="1:24" x14ac:dyDescent="0.25">
      <c r="A2032" t="s">
        <v>1752</v>
      </c>
      <c r="B2032" t="s">
        <v>64</v>
      </c>
      <c r="C2032" t="s">
        <v>1664</v>
      </c>
      <c r="D2032" t="s">
        <v>1665</v>
      </c>
      <c r="E2032" t="s">
        <v>64</v>
      </c>
      <c r="F2032" t="s">
        <v>94</v>
      </c>
      <c r="G2032" t="s">
        <v>277</v>
      </c>
      <c r="H2032" s="12">
        <v>6.1449999999999996</v>
      </c>
      <c r="I2032" s="12">
        <v>-75.373999999999995</v>
      </c>
      <c r="J2032" t="s">
        <v>96</v>
      </c>
      <c r="K2032" t="s">
        <v>97</v>
      </c>
      <c r="L2032" t="s">
        <v>1273</v>
      </c>
      <c r="P2032" s="13">
        <v>316.2</v>
      </c>
      <c r="Q2032" s="13">
        <v>70.7</v>
      </c>
      <c r="R2032">
        <v>44</v>
      </c>
      <c r="S2032">
        <v>76</v>
      </c>
      <c r="T2032" s="13">
        <v>62.1</v>
      </c>
      <c r="U2032" s="13">
        <v>63.6</v>
      </c>
      <c r="V2032" t="s">
        <v>99</v>
      </c>
      <c r="X2032" s="13">
        <v>316.2</v>
      </c>
    </row>
    <row r="2033" spans="1:24" x14ac:dyDescent="0.25">
      <c r="A2033" t="s">
        <v>1752</v>
      </c>
      <c r="B2033" t="s">
        <v>64</v>
      </c>
      <c r="C2033" t="s">
        <v>1664</v>
      </c>
      <c r="D2033" t="s">
        <v>1665</v>
      </c>
      <c r="E2033" t="s">
        <v>64</v>
      </c>
      <c r="F2033" t="s">
        <v>94</v>
      </c>
      <c r="G2033" t="s">
        <v>277</v>
      </c>
      <c r="H2033" s="12">
        <v>6.1449999999999996</v>
      </c>
      <c r="I2033" s="12">
        <v>-75.373999999999995</v>
      </c>
      <c r="J2033" t="s">
        <v>96</v>
      </c>
      <c r="K2033" t="s">
        <v>1269</v>
      </c>
      <c r="L2033" t="s">
        <v>1270</v>
      </c>
      <c r="P2033" s="13">
        <v>364.5</v>
      </c>
      <c r="Q2033" s="13">
        <v>58.5</v>
      </c>
      <c r="R2033">
        <v>76</v>
      </c>
      <c r="S2033">
        <v>94</v>
      </c>
      <c r="T2033" s="13">
        <v>65.5</v>
      </c>
      <c r="U2033" s="13">
        <v>65.5</v>
      </c>
      <c r="V2033" t="s">
        <v>268</v>
      </c>
      <c r="W2033" t="s">
        <v>1271</v>
      </c>
      <c r="X2033" s="13"/>
    </row>
    <row r="2034" spans="1:24" x14ac:dyDescent="0.25">
      <c r="A2034" t="s">
        <v>1753</v>
      </c>
      <c r="B2034" t="s">
        <v>64</v>
      </c>
      <c r="C2034" t="s">
        <v>1664</v>
      </c>
      <c r="D2034" t="s">
        <v>1665</v>
      </c>
      <c r="E2034" t="s">
        <v>64</v>
      </c>
      <c r="F2034" t="s">
        <v>94</v>
      </c>
      <c r="G2034" t="s">
        <v>277</v>
      </c>
      <c r="H2034" s="12">
        <v>6.1449999999999996</v>
      </c>
      <c r="I2034" s="12">
        <v>-75.373999999999995</v>
      </c>
      <c r="J2034" t="s">
        <v>96</v>
      </c>
      <c r="K2034" t="s">
        <v>97</v>
      </c>
      <c r="L2034" t="s">
        <v>1273</v>
      </c>
      <c r="P2034" s="13">
        <v>240.3</v>
      </c>
      <c r="Q2034" s="13">
        <v>48.8</v>
      </c>
      <c r="R2034">
        <v>46</v>
      </c>
      <c r="S2034">
        <v>22</v>
      </c>
      <c r="T2034" s="13">
        <v>67.2</v>
      </c>
      <c r="U2034" s="13">
        <v>72.7</v>
      </c>
      <c r="V2034" t="s">
        <v>99</v>
      </c>
      <c r="X2034" s="13">
        <v>240.3</v>
      </c>
    </row>
    <row r="2035" spans="1:24" x14ac:dyDescent="0.25">
      <c r="A2035" t="s">
        <v>1753</v>
      </c>
      <c r="B2035" t="s">
        <v>64</v>
      </c>
      <c r="C2035" t="s">
        <v>1664</v>
      </c>
      <c r="D2035" t="s">
        <v>1665</v>
      </c>
      <c r="E2035" t="s">
        <v>64</v>
      </c>
      <c r="F2035" t="s">
        <v>94</v>
      </c>
      <c r="G2035" t="s">
        <v>277</v>
      </c>
      <c r="H2035" s="12">
        <v>6.1449999999999996</v>
      </c>
      <c r="I2035" s="12">
        <v>-75.373999999999995</v>
      </c>
      <c r="J2035" t="s">
        <v>96</v>
      </c>
      <c r="K2035" t="s">
        <v>1269</v>
      </c>
      <c r="L2035" t="s">
        <v>1270</v>
      </c>
      <c r="P2035" s="13">
        <v>345.8</v>
      </c>
      <c r="Q2035" s="13">
        <v>61</v>
      </c>
      <c r="R2035">
        <v>70</v>
      </c>
      <c r="S2035">
        <v>72</v>
      </c>
      <c r="T2035" s="13">
        <v>70.7</v>
      </c>
      <c r="U2035" s="13">
        <v>78.2</v>
      </c>
      <c r="V2035" t="s">
        <v>268</v>
      </c>
      <c r="W2035" t="s">
        <v>1271</v>
      </c>
      <c r="X2035" s="13"/>
    </row>
    <row r="2036" spans="1:24" x14ac:dyDescent="0.25">
      <c r="A2036" t="s">
        <v>1754</v>
      </c>
      <c r="B2036" t="s">
        <v>64</v>
      </c>
      <c r="C2036" t="s">
        <v>1664</v>
      </c>
      <c r="D2036" t="s">
        <v>1665</v>
      </c>
      <c r="E2036" t="s">
        <v>64</v>
      </c>
      <c r="F2036" t="s">
        <v>94</v>
      </c>
      <c r="G2036" t="s">
        <v>277</v>
      </c>
      <c r="H2036" s="12">
        <v>6.1449999999999996</v>
      </c>
      <c r="I2036" s="12">
        <v>-75.373999999999995</v>
      </c>
      <c r="J2036" t="s">
        <v>96</v>
      </c>
      <c r="K2036" t="s">
        <v>97</v>
      </c>
      <c r="L2036" t="s">
        <v>1273</v>
      </c>
      <c r="P2036" s="13">
        <v>244.6</v>
      </c>
      <c r="Q2036" s="13">
        <v>26.8</v>
      </c>
      <c r="R2036">
        <v>36</v>
      </c>
      <c r="S2036">
        <v>68</v>
      </c>
      <c r="T2036" s="13">
        <v>56.9</v>
      </c>
      <c r="U2036" s="13">
        <v>72.7</v>
      </c>
      <c r="V2036" t="s">
        <v>99</v>
      </c>
      <c r="X2036" s="13">
        <v>244.6</v>
      </c>
    </row>
    <row r="2037" spans="1:24" x14ac:dyDescent="0.25">
      <c r="A2037" t="s">
        <v>1754</v>
      </c>
      <c r="B2037" t="s">
        <v>64</v>
      </c>
      <c r="C2037" t="s">
        <v>1664</v>
      </c>
      <c r="D2037" t="s">
        <v>1665</v>
      </c>
      <c r="E2037" t="s">
        <v>64</v>
      </c>
      <c r="F2037" t="s">
        <v>94</v>
      </c>
      <c r="G2037" t="s">
        <v>277</v>
      </c>
      <c r="H2037" s="12">
        <v>6.1449999999999996</v>
      </c>
      <c r="I2037" s="12">
        <v>-75.373999999999995</v>
      </c>
      <c r="J2037" t="s">
        <v>96</v>
      </c>
      <c r="K2037" t="s">
        <v>1269</v>
      </c>
      <c r="L2037" t="s">
        <v>1270</v>
      </c>
      <c r="P2037" s="13">
        <v>284.7</v>
      </c>
      <c r="Q2037" s="13">
        <v>58.5</v>
      </c>
      <c r="R2037">
        <v>66</v>
      </c>
      <c r="S2037">
        <v>52</v>
      </c>
      <c r="T2037" s="13">
        <v>56.9</v>
      </c>
      <c r="U2037" s="13">
        <v>40</v>
      </c>
      <c r="V2037" t="s">
        <v>268</v>
      </c>
      <c r="W2037" t="s">
        <v>1271</v>
      </c>
      <c r="X2037" s="13"/>
    </row>
    <row r="2038" spans="1:24" x14ac:dyDescent="0.25">
      <c r="A2038" t="s">
        <v>1755</v>
      </c>
      <c r="B2038" t="s">
        <v>64</v>
      </c>
      <c r="C2038" t="s">
        <v>1664</v>
      </c>
      <c r="D2038" t="s">
        <v>1665</v>
      </c>
      <c r="E2038" t="s">
        <v>64</v>
      </c>
      <c r="F2038" t="s">
        <v>94</v>
      </c>
      <c r="G2038" t="s">
        <v>277</v>
      </c>
      <c r="H2038" s="12">
        <v>6.1449999999999996</v>
      </c>
      <c r="I2038" s="12">
        <v>-75.373999999999995</v>
      </c>
      <c r="J2038" t="s">
        <v>96</v>
      </c>
      <c r="K2038" t="s">
        <v>97</v>
      </c>
      <c r="L2038" t="s">
        <v>1273</v>
      </c>
      <c r="P2038" s="13">
        <v>255.3</v>
      </c>
      <c r="Q2038" s="13">
        <v>46.3</v>
      </c>
      <c r="R2038">
        <v>42</v>
      </c>
      <c r="S2038">
        <v>62</v>
      </c>
      <c r="T2038" s="13">
        <v>55.2</v>
      </c>
      <c r="U2038" s="13">
        <v>47.3</v>
      </c>
      <c r="V2038" t="s">
        <v>99</v>
      </c>
      <c r="X2038" s="13">
        <v>255.3</v>
      </c>
    </row>
    <row r="2039" spans="1:24" x14ac:dyDescent="0.25">
      <c r="A2039" t="s">
        <v>1755</v>
      </c>
      <c r="B2039" t="s">
        <v>64</v>
      </c>
      <c r="C2039" t="s">
        <v>1664</v>
      </c>
      <c r="D2039" t="s">
        <v>1665</v>
      </c>
      <c r="E2039" t="s">
        <v>64</v>
      </c>
      <c r="F2039" t="s">
        <v>94</v>
      </c>
      <c r="G2039" t="s">
        <v>277</v>
      </c>
      <c r="H2039" s="12">
        <v>6.1449999999999996</v>
      </c>
      <c r="I2039" s="12">
        <v>-75.373999999999995</v>
      </c>
      <c r="J2039" t="s">
        <v>96</v>
      </c>
      <c r="K2039" t="s">
        <v>1269</v>
      </c>
      <c r="L2039" t="s">
        <v>1270</v>
      </c>
      <c r="P2039" s="13">
        <v>313.5</v>
      </c>
      <c r="Q2039" s="13">
        <v>58.5</v>
      </c>
      <c r="R2039">
        <v>68</v>
      </c>
      <c r="S2039">
        <v>70</v>
      </c>
      <c r="T2039" s="13">
        <v>55.2</v>
      </c>
      <c r="U2039" s="13">
        <v>60</v>
      </c>
      <c r="V2039" t="s">
        <v>268</v>
      </c>
      <c r="W2039" t="s">
        <v>1271</v>
      </c>
      <c r="X2039" s="13"/>
    </row>
    <row r="2040" spans="1:24" x14ac:dyDescent="0.25">
      <c r="A2040" t="s">
        <v>1756</v>
      </c>
      <c r="B2040" t="s">
        <v>64</v>
      </c>
      <c r="C2040" t="s">
        <v>1664</v>
      </c>
      <c r="D2040" t="s">
        <v>1665</v>
      </c>
      <c r="E2040" t="s">
        <v>64</v>
      </c>
      <c r="F2040" t="s">
        <v>94</v>
      </c>
      <c r="G2040" t="s">
        <v>277</v>
      </c>
      <c r="H2040" s="12">
        <v>6.1449999999999996</v>
      </c>
      <c r="I2040" s="12">
        <v>-75.373999999999995</v>
      </c>
      <c r="J2040" t="s">
        <v>96</v>
      </c>
      <c r="K2040" t="s">
        <v>97</v>
      </c>
      <c r="L2040" t="s">
        <v>1273</v>
      </c>
      <c r="P2040" s="13">
        <v>366.5</v>
      </c>
      <c r="Q2040" s="13">
        <v>51.2</v>
      </c>
      <c r="R2040">
        <v>70</v>
      </c>
      <c r="S2040">
        <v>94</v>
      </c>
      <c r="T2040" s="13">
        <v>77.599999999999994</v>
      </c>
      <c r="U2040" s="13">
        <v>74.5</v>
      </c>
      <c r="V2040" t="s">
        <v>99</v>
      </c>
      <c r="X2040" s="13">
        <v>366.5</v>
      </c>
    </row>
    <row r="2041" spans="1:24" x14ac:dyDescent="0.25">
      <c r="A2041" t="s">
        <v>1756</v>
      </c>
      <c r="B2041" t="s">
        <v>64</v>
      </c>
      <c r="C2041" t="s">
        <v>1664</v>
      </c>
      <c r="D2041" t="s">
        <v>1665</v>
      </c>
      <c r="E2041" t="s">
        <v>64</v>
      </c>
      <c r="F2041" t="s">
        <v>94</v>
      </c>
      <c r="G2041" t="s">
        <v>277</v>
      </c>
      <c r="H2041" s="12">
        <v>6.1449999999999996</v>
      </c>
      <c r="I2041" s="12">
        <v>-75.373999999999995</v>
      </c>
      <c r="J2041" t="s">
        <v>96</v>
      </c>
      <c r="K2041" t="s">
        <v>1269</v>
      </c>
      <c r="L2041" t="s">
        <v>1270</v>
      </c>
      <c r="P2041" s="13">
        <v>383.9</v>
      </c>
      <c r="Q2041" s="13">
        <v>65.900000000000006</v>
      </c>
      <c r="R2041">
        <v>78</v>
      </c>
      <c r="S2041">
        <v>90</v>
      </c>
      <c r="T2041" s="13">
        <v>75.900000000000006</v>
      </c>
      <c r="U2041" s="13">
        <v>69.099999999999994</v>
      </c>
      <c r="V2041" t="s">
        <v>268</v>
      </c>
      <c r="W2041" t="s">
        <v>1271</v>
      </c>
      <c r="X2041" s="13"/>
    </row>
    <row r="2042" spans="1:24" x14ac:dyDescent="0.25">
      <c r="A2042" t="s">
        <v>1757</v>
      </c>
      <c r="B2042" t="s">
        <v>64</v>
      </c>
      <c r="C2042" t="s">
        <v>1664</v>
      </c>
      <c r="D2042" t="s">
        <v>1665</v>
      </c>
      <c r="E2042" t="s">
        <v>64</v>
      </c>
      <c r="F2042" t="s">
        <v>94</v>
      </c>
      <c r="G2042" t="s">
        <v>277</v>
      </c>
      <c r="H2042" s="12">
        <v>6.1449999999999996</v>
      </c>
      <c r="I2042" s="12">
        <v>-75.373999999999995</v>
      </c>
      <c r="J2042" t="s">
        <v>1666</v>
      </c>
      <c r="K2042" t="s">
        <v>97</v>
      </c>
      <c r="L2042" t="s">
        <v>1273</v>
      </c>
      <c r="P2042" s="13">
        <v>228.6</v>
      </c>
      <c r="Q2042" s="13">
        <v>48.8</v>
      </c>
      <c r="R2042">
        <v>44</v>
      </c>
      <c r="S2042">
        <v>34</v>
      </c>
      <c r="T2042" s="13">
        <v>58.6</v>
      </c>
      <c r="U2042" s="13">
        <v>38.200000000000003</v>
      </c>
      <c r="V2042" t="s">
        <v>99</v>
      </c>
      <c r="X2042" s="13">
        <v>228.6</v>
      </c>
    </row>
    <row r="2043" spans="1:24" x14ac:dyDescent="0.25">
      <c r="A2043" t="s">
        <v>1757</v>
      </c>
      <c r="B2043" t="s">
        <v>64</v>
      </c>
      <c r="C2043" t="s">
        <v>1664</v>
      </c>
      <c r="D2043" t="s">
        <v>1665</v>
      </c>
      <c r="E2043" t="s">
        <v>64</v>
      </c>
      <c r="F2043" t="s">
        <v>94</v>
      </c>
      <c r="G2043" t="s">
        <v>277</v>
      </c>
      <c r="H2043" s="12">
        <v>6.1449999999999996</v>
      </c>
      <c r="I2043" s="12">
        <v>-75.373999999999995</v>
      </c>
      <c r="J2043" t="s">
        <v>1666</v>
      </c>
      <c r="K2043" t="s">
        <v>1269</v>
      </c>
      <c r="L2043" t="s">
        <v>1270</v>
      </c>
      <c r="P2043" s="13">
        <v>250.7</v>
      </c>
      <c r="Q2043" s="13">
        <v>43.9</v>
      </c>
      <c r="R2043">
        <v>42</v>
      </c>
      <c r="S2043">
        <v>64</v>
      </c>
      <c r="T2043" s="13">
        <v>53.4</v>
      </c>
      <c r="U2043" s="13">
        <v>41.8</v>
      </c>
      <c r="V2043" t="s">
        <v>268</v>
      </c>
      <c r="W2043" t="s">
        <v>1271</v>
      </c>
      <c r="X2043" s="13"/>
    </row>
    <row r="2044" spans="1:24" x14ac:dyDescent="0.25">
      <c r="A2044" t="s">
        <v>1758</v>
      </c>
      <c r="B2044" t="s">
        <v>64</v>
      </c>
      <c r="C2044" t="s">
        <v>1664</v>
      </c>
      <c r="D2044" t="s">
        <v>1665</v>
      </c>
      <c r="E2044" t="s">
        <v>64</v>
      </c>
      <c r="F2044" t="s">
        <v>94</v>
      </c>
      <c r="G2044" t="s">
        <v>277</v>
      </c>
      <c r="H2044" s="12">
        <v>6.1449999999999996</v>
      </c>
      <c r="I2044" s="12">
        <v>-75.373999999999995</v>
      </c>
      <c r="J2044" t="s">
        <v>96</v>
      </c>
      <c r="K2044" t="s">
        <v>97</v>
      </c>
      <c r="L2044" t="s">
        <v>1273</v>
      </c>
      <c r="P2044" s="13">
        <v>262.8</v>
      </c>
      <c r="Q2044" s="13">
        <v>56.1</v>
      </c>
      <c r="R2044">
        <v>54</v>
      </c>
      <c r="S2044">
        <v>44</v>
      </c>
      <c r="T2044" s="13">
        <v>50</v>
      </c>
      <c r="U2044" s="13">
        <v>70.900000000000006</v>
      </c>
      <c r="V2044" t="s">
        <v>99</v>
      </c>
      <c r="X2044" s="13">
        <v>262.8</v>
      </c>
    </row>
    <row r="2045" spans="1:24" x14ac:dyDescent="0.25">
      <c r="A2045" t="s">
        <v>1758</v>
      </c>
      <c r="B2045" t="s">
        <v>64</v>
      </c>
      <c r="C2045" t="s">
        <v>1664</v>
      </c>
      <c r="D2045" t="s">
        <v>1665</v>
      </c>
      <c r="E2045" t="s">
        <v>64</v>
      </c>
      <c r="F2045" t="s">
        <v>94</v>
      </c>
      <c r="G2045" t="s">
        <v>277</v>
      </c>
      <c r="H2045" s="12">
        <v>6.1449999999999996</v>
      </c>
      <c r="I2045" s="12">
        <v>-75.373999999999995</v>
      </c>
      <c r="J2045" t="s">
        <v>96</v>
      </c>
      <c r="K2045" t="s">
        <v>1269</v>
      </c>
      <c r="L2045" t="s">
        <v>1270</v>
      </c>
      <c r="P2045" s="13">
        <v>304.7</v>
      </c>
      <c r="Q2045" s="13">
        <v>58.5</v>
      </c>
      <c r="R2045">
        <v>66</v>
      </c>
      <c r="S2045">
        <v>58</v>
      </c>
      <c r="T2045" s="13">
        <v>60.3</v>
      </c>
      <c r="U2045" s="13">
        <v>63.6</v>
      </c>
      <c r="V2045" t="s">
        <v>268</v>
      </c>
      <c r="W2045" t="s">
        <v>1271</v>
      </c>
      <c r="X2045" s="13"/>
    </row>
    <row r="2046" spans="1:24" x14ac:dyDescent="0.25">
      <c r="A2046" t="s">
        <v>1759</v>
      </c>
      <c r="B2046" t="s">
        <v>64</v>
      </c>
      <c r="C2046" t="s">
        <v>1664</v>
      </c>
      <c r="D2046" t="s">
        <v>1665</v>
      </c>
      <c r="E2046" t="s">
        <v>64</v>
      </c>
      <c r="F2046" t="s">
        <v>94</v>
      </c>
      <c r="G2046" t="s">
        <v>277</v>
      </c>
      <c r="H2046" s="12">
        <v>6.1449999999999996</v>
      </c>
      <c r="I2046" s="12">
        <v>-75.373999999999995</v>
      </c>
      <c r="J2046" t="s">
        <v>96</v>
      </c>
      <c r="K2046" t="s">
        <v>97</v>
      </c>
      <c r="L2046" t="s">
        <v>1273</v>
      </c>
      <c r="P2046" s="13">
        <v>200.9</v>
      </c>
      <c r="Q2046" s="13">
        <v>51.2</v>
      </c>
      <c r="R2046">
        <v>38</v>
      </c>
      <c r="S2046">
        <v>30</v>
      </c>
      <c r="T2046" s="13">
        <v>37.9</v>
      </c>
      <c r="U2046" s="13">
        <v>50.9</v>
      </c>
      <c r="V2046" t="s">
        <v>99</v>
      </c>
      <c r="X2046" s="13">
        <v>200.9</v>
      </c>
    </row>
    <row r="2047" spans="1:24" x14ac:dyDescent="0.25">
      <c r="A2047" t="s">
        <v>1759</v>
      </c>
      <c r="B2047" t="s">
        <v>64</v>
      </c>
      <c r="C2047" t="s">
        <v>1664</v>
      </c>
      <c r="D2047" t="s">
        <v>1665</v>
      </c>
      <c r="E2047" t="s">
        <v>64</v>
      </c>
      <c r="F2047" t="s">
        <v>94</v>
      </c>
      <c r="G2047" t="s">
        <v>277</v>
      </c>
      <c r="H2047" s="12">
        <v>6.1449999999999996</v>
      </c>
      <c r="I2047" s="12">
        <v>-75.373999999999995</v>
      </c>
      <c r="J2047" t="s">
        <v>96</v>
      </c>
      <c r="K2047" t="s">
        <v>1269</v>
      </c>
      <c r="L2047" t="s">
        <v>1270</v>
      </c>
      <c r="P2047" s="13">
        <v>298.5</v>
      </c>
      <c r="Q2047" s="13">
        <v>53.7</v>
      </c>
      <c r="R2047">
        <v>52</v>
      </c>
      <c r="S2047">
        <v>78</v>
      </c>
      <c r="T2047" s="13">
        <v>56.9</v>
      </c>
      <c r="U2047" s="13">
        <v>54.5</v>
      </c>
      <c r="V2047" t="s">
        <v>268</v>
      </c>
      <c r="W2047" t="s">
        <v>1271</v>
      </c>
      <c r="X2047" s="13"/>
    </row>
    <row r="2048" spans="1:24" x14ac:dyDescent="0.25">
      <c r="A2048" t="s">
        <v>1760</v>
      </c>
      <c r="B2048" t="s">
        <v>64</v>
      </c>
      <c r="C2048" t="s">
        <v>1664</v>
      </c>
      <c r="D2048" t="s">
        <v>1665</v>
      </c>
      <c r="E2048" t="s">
        <v>64</v>
      </c>
      <c r="F2048" t="s">
        <v>94</v>
      </c>
      <c r="G2048" t="s">
        <v>277</v>
      </c>
      <c r="H2048" s="12">
        <v>6.1449999999999996</v>
      </c>
      <c r="I2048" s="12">
        <v>-75.373999999999995</v>
      </c>
      <c r="J2048" t="s">
        <v>96</v>
      </c>
      <c r="K2048" t="s">
        <v>97</v>
      </c>
      <c r="L2048" t="s">
        <v>1273</v>
      </c>
      <c r="P2048" s="13">
        <v>370.1</v>
      </c>
      <c r="Q2048" s="13">
        <v>80.5</v>
      </c>
      <c r="R2048">
        <v>52</v>
      </c>
      <c r="S2048">
        <v>88</v>
      </c>
      <c r="T2048" s="13">
        <v>72.400000000000006</v>
      </c>
      <c r="U2048" s="13">
        <v>83.6</v>
      </c>
      <c r="V2048" t="s">
        <v>99</v>
      </c>
      <c r="X2048" s="13">
        <v>370.1</v>
      </c>
    </row>
    <row r="2049" spans="1:24" x14ac:dyDescent="0.25">
      <c r="A2049" t="s">
        <v>1760</v>
      </c>
      <c r="B2049" t="s">
        <v>64</v>
      </c>
      <c r="C2049" t="s">
        <v>1664</v>
      </c>
      <c r="D2049" t="s">
        <v>1665</v>
      </c>
      <c r="E2049" t="s">
        <v>64</v>
      </c>
      <c r="F2049" t="s">
        <v>94</v>
      </c>
      <c r="G2049" t="s">
        <v>277</v>
      </c>
      <c r="H2049" s="12">
        <v>6.1449999999999996</v>
      </c>
      <c r="I2049" s="12">
        <v>-75.373999999999995</v>
      </c>
      <c r="J2049" t="s">
        <v>96</v>
      </c>
      <c r="K2049" t="s">
        <v>1269</v>
      </c>
      <c r="L2049" t="s">
        <v>1270</v>
      </c>
      <c r="P2049" s="13">
        <v>375.5</v>
      </c>
      <c r="Q2049" s="13">
        <v>56.1</v>
      </c>
      <c r="R2049">
        <v>66</v>
      </c>
      <c r="S2049">
        <v>92</v>
      </c>
      <c r="T2049" s="13">
        <v>81</v>
      </c>
      <c r="U2049" s="13">
        <v>90.9</v>
      </c>
      <c r="V2049" t="s">
        <v>268</v>
      </c>
      <c r="W2049" t="s">
        <v>1271</v>
      </c>
      <c r="X2049" s="13"/>
    </row>
    <row r="2050" spans="1:24" x14ac:dyDescent="0.25">
      <c r="A2050" t="s">
        <v>1761</v>
      </c>
      <c r="B2050" t="s">
        <v>64</v>
      </c>
      <c r="C2050" t="s">
        <v>1664</v>
      </c>
      <c r="D2050" t="s">
        <v>1665</v>
      </c>
      <c r="E2050" t="s">
        <v>64</v>
      </c>
      <c r="F2050" t="s">
        <v>94</v>
      </c>
      <c r="G2050" t="s">
        <v>277</v>
      </c>
      <c r="H2050" s="12">
        <v>6.1449999999999996</v>
      </c>
      <c r="I2050" s="12">
        <v>-75.373999999999995</v>
      </c>
      <c r="J2050" t="s">
        <v>96</v>
      </c>
      <c r="K2050" t="s">
        <v>97</v>
      </c>
      <c r="L2050" t="s">
        <v>1273</v>
      </c>
      <c r="P2050" s="13">
        <v>277.60000000000002</v>
      </c>
      <c r="Q2050" s="13">
        <v>51.2</v>
      </c>
      <c r="R2050">
        <v>44</v>
      </c>
      <c r="S2050">
        <v>64</v>
      </c>
      <c r="T2050" s="13">
        <v>53.4</v>
      </c>
      <c r="U2050" s="13">
        <v>83.6</v>
      </c>
      <c r="V2050" t="s">
        <v>99</v>
      </c>
      <c r="X2050" s="13">
        <v>277.60000000000002</v>
      </c>
    </row>
    <row r="2051" spans="1:24" x14ac:dyDescent="0.25">
      <c r="A2051" t="s">
        <v>1761</v>
      </c>
      <c r="B2051" t="s">
        <v>64</v>
      </c>
      <c r="C2051" t="s">
        <v>1664</v>
      </c>
      <c r="D2051" t="s">
        <v>1665</v>
      </c>
      <c r="E2051" t="s">
        <v>64</v>
      </c>
      <c r="F2051" t="s">
        <v>94</v>
      </c>
      <c r="G2051" t="s">
        <v>277</v>
      </c>
      <c r="H2051" s="12">
        <v>6.1449999999999996</v>
      </c>
      <c r="I2051" s="12">
        <v>-75.373999999999995</v>
      </c>
      <c r="J2051" t="s">
        <v>96</v>
      </c>
      <c r="K2051" t="s">
        <v>1269</v>
      </c>
      <c r="L2051" t="s">
        <v>1270</v>
      </c>
      <c r="P2051" s="13">
        <v>333.6</v>
      </c>
      <c r="Q2051" s="13">
        <v>61</v>
      </c>
      <c r="R2051">
        <v>54</v>
      </c>
      <c r="S2051">
        <v>68</v>
      </c>
      <c r="T2051" s="13">
        <v>75.900000000000006</v>
      </c>
      <c r="U2051" s="13">
        <v>90.9</v>
      </c>
      <c r="V2051" t="s">
        <v>268</v>
      </c>
      <c r="W2051" t="s">
        <v>1271</v>
      </c>
      <c r="X2051" s="13"/>
    </row>
    <row r="2052" spans="1:24" x14ac:dyDescent="0.25">
      <c r="A2052" t="s">
        <v>1762</v>
      </c>
      <c r="B2052" t="s">
        <v>64</v>
      </c>
      <c r="C2052" t="s">
        <v>1664</v>
      </c>
      <c r="D2052" t="s">
        <v>1665</v>
      </c>
      <c r="E2052" t="s">
        <v>64</v>
      </c>
      <c r="F2052" t="s">
        <v>94</v>
      </c>
      <c r="G2052" t="s">
        <v>277</v>
      </c>
      <c r="H2052" s="12">
        <v>6.1449999999999996</v>
      </c>
      <c r="I2052" s="12">
        <v>-75.373999999999995</v>
      </c>
      <c r="J2052" t="s">
        <v>96</v>
      </c>
      <c r="K2052" t="s">
        <v>97</v>
      </c>
      <c r="L2052" t="s">
        <v>1273</v>
      </c>
      <c r="P2052" s="13">
        <v>262.8</v>
      </c>
      <c r="Q2052" s="13">
        <v>65.900000000000006</v>
      </c>
      <c r="R2052">
        <v>52</v>
      </c>
      <c r="S2052">
        <v>32</v>
      </c>
      <c r="T2052" s="13">
        <v>50</v>
      </c>
      <c r="U2052" s="13">
        <v>83.6</v>
      </c>
      <c r="V2052" t="s">
        <v>99</v>
      </c>
      <c r="X2052" s="13">
        <v>262.8</v>
      </c>
    </row>
    <row r="2053" spans="1:24" x14ac:dyDescent="0.25">
      <c r="A2053" t="s">
        <v>1762</v>
      </c>
      <c r="B2053" t="s">
        <v>64</v>
      </c>
      <c r="C2053" t="s">
        <v>1664</v>
      </c>
      <c r="D2053" t="s">
        <v>1665</v>
      </c>
      <c r="E2053" t="s">
        <v>64</v>
      </c>
      <c r="F2053" t="s">
        <v>94</v>
      </c>
      <c r="G2053" t="s">
        <v>277</v>
      </c>
      <c r="H2053" s="12">
        <v>6.1449999999999996</v>
      </c>
      <c r="I2053" s="12">
        <v>-75.373999999999995</v>
      </c>
      <c r="J2053" t="s">
        <v>96</v>
      </c>
      <c r="K2053" t="s">
        <v>1269</v>
      </c>
      <c r="L2053" t="s">
        <v>1270</v>
      </c>
      <c r="P2053" s="13">
        <v>331.6</v>
      </c>
      <c r="Q2053" s="13">
        <v>58.5</v>
      </c>
      <c r="R2053">
        <v>54</v>
      </c>
      <c r="S2053">
        <v>82</v>
      </c>
      <c r="T2053" s="13">
        <v>63.8</v>
      </c>
      <c r="U2053" s="13">
        <v>87.3</v>
      </c>
      <c r="V2053" t="s">
        <v>268</v>
      </c>
      <c r="W2053" t="s">
        <v>1271</v>
      </c>
      <c r="X2053" s="13"/>
    </row>
    <row r="2054" spans="1:24" x14ac:dyDescent="0.25">
      <c r="A2054" t="s">
        <v>1763</v>
      </c>
      <c r="B2054" t="s">
        <v>64</v>
      </c>
      <c r="C2054" t="s">
        <v>1664</v>
      </c>
      <c r="D2054" t="s">
        <v>1665</v>
      </c>
      <c r="E2054" t="s">
        <v>64</v>
      </c>
      <c r="F2054" t="s">
        <v>94</v>
      </c>
      <c r="G2054" t="s">
        <v>277</v>
      </c>
      <c r="H2054" s="12">
        <v>6.1449999999999996</v>
      </c>
      <c r="I2054" s="12">
        <v>-75.373999999999995</v>
      </c>
      <c r="J2054" t="s">
        <v>96</v>
      </c>
      <c r="K2054" t="s">
        <v>97</v>
      </c>
      <c r="L2054" t="s">
        <v>1273</v>
      </c>
      <c r="P2054" s="13">
        <v>261.3</v>
      </c>
      <c r="Q2054" s="13">
        <v>63.4</v>
      </c>
      <c r="R2054">
        <v>38</v>
      </c>
      <c r="S2054">
        <v>48</v>
      </c>
      <c r="T2054" s="13">
        <v>53.4</v>
      </c>
      <c r="U2054" s="13">
        <v>70.900000000000006</v>
      </c>
      <c r="V2054" t="s">
        <v>99</v>
      </c>
      <c r="X2054" s="13">
        <v>261.3</v>
      </c>
    </row>
    <row r="2055" spans="1:24" x14ac:dyDescent="0.25">
      <c r="A2055" t="s">
        <v>1763</v>
      </c>
      <c r="B2055" t="s">
        <v>64</v>
      </c>
      <c r="C2055" t="s">
        <v>1664</v>
      </c>
      <c r="D2055" t="s">
        <v>1665</v>
      </c>
      <c r="E2055" t="s">
        <v>64</v>
      </c>
      <c r="F2055" t="s">
        <v>94</v>
      </c>
      <c r="G2055" t="s">
        <v>277</v>
      </c>
      <c r="H2055" s="12">
        <v>6.1449999999999996</v>
      </c>
      <c r="I2055" s="12">
        <v>-75.373999999999995</v>
      </c>
      <c r="J2055" t="s">
        <v>96</v>
      </c>
      <c r="K2055" t="s">
        <v>1269</v>
      </c>
      <c r="L2055" t="s">
        <v>1270</v>
      </c>
      <c r="P2055" s="13">
        <v>311.5</v>
      </c>
      <c r="Q2055" s="13">
        <v>61</v>
      </c>
      <c r="R2055">
        <v>56</v>
      </c>
      <c r="S2055">
        <v>64</v>
      </c>
      <c r="T2055" s="13">
        <v>69</v>
      </c>
      <c r="U2055" s="13">
        <v>60</v>
      </c>
      <c r="V2055" t="s">
        <v>268</v>
      </c>
      <c r="W2055" t="s">
        <v>1271</v>
      </c>
      <c r="X2055" s="13"/>
    </row>
    <row r="2056" spans="1:24" x14ac:dyDescent="0.25">
      <c r="A2056" t="s">
        <v>1764</v>
      </c>
      <c r="B2056" t="s">
        <v>64</v>
      </c>
      <c r="C2056" t="s">
        <v>1664</v>
      </c>
      <c r="D2056" t="s">
        <v>1665</v>
      </c>
      <c r="E2056" t="s">
        <v>64</v>
      </c>
      <c r="F2056" t="s">
        <v>94</v>
      </c>
      <c r="G2056" t="s">
        <v>277</v>
      </c>
      <c r="H2056" s="12">
        <v>6.1449999999999996</v>
      </c>
      <c r="I2056" s="12">
        <v>-75.373999999999995</v>
      </c>
      <c r="J2056" t="s">
        <v>96</v>
      </c>
      <c r="K2056" t="s">
        <v>97</v>
      </c>
      <c r="L2056" t="s">
        <v>1273</v>
      </c>
      <c r="P2056" s="13">
        <v>235.5</v>
      </c>
      <c r="Q2056" s="13">
        <v>39</v>
      </c>
      <c r="R2056">
        <v>42</v>
      </c>
      <c r="S2056">
        <v>56</v>
      </c>
      <c r="T2056" s="13">
        <v>48.3</v>
      </c>
      <c r="U2056" s="13">
        <v>56.4</v>
      </c>
      <c r="V2056" t="s">
        <v>99</v>
      </c>
      <c r="X2056" s="13">
        <v>235.5</v>
      </c>
    </row>
    <row r="2057" spans="1:24" x14ac:dyDescent="0.25">
      <c r="A2057" t="s">
        <v>1764</v>
      </c>
      <c r="B2057" t="s">
        <v>64</v>
      </c>
      <c r="C2057" t="s">
        <v>1664</v>
      </c>
      <c r="D2057" t="s">
        <v>1665</v>
      </c>
      <c r="E2057" t="s">
        <v>64</v>
      </c>
      <c r="F2057" t="s">
        <v>94</v>
      </c>
      <c r="G2057" t="s">
        <v>277</v>
      </c>
      <c r="H2057" s="12">
        <v>6.1449999999999996</v>
      </c>
      <c r="I2057" s="12">
        <v>-75.373999999999995</v>
      </c>
      <c r="J2057" t="s">
        <v>96</v>
      </c>
      <c r="K2057" t="s">
        <v>1269</v>
      </c>
      <c r="L2057" t="s">
        <v>1270</v>
      </c>
      <c r="P2057" s="13">
        <v>283.10000000000002</v>
      </c>
      <c r="Q2057" s="13">
        <v>48.8</v>
      </c>
      <c r="R2057">
        <v>60</v>
      </c>
      <c r="S2057">
        <v>52</v>
      </c>
      <c r="T2057" s="13">
        <v>60.3</v>
      </c>
      <c r="U2057" s="13">
        <v>72.7</v>
      </c>
      <c r="V2057" t="s">
        <v>268</v>
      </c>
      <c r="W2057" t="s">
        <v>1271</v>
      </c>
      <c r="X2057" s="13"/>
    </row>
    <row r="2058" spans="1:24" x14ac:dyDescent="0.25">
      <c r="A2058" t="s">
        <v>1765</v>
      </c>
      <c r="B2058" t="s">
        <v>64</v>
      </c>
      <c r="C2058" t="s">
        <v>1664</v>
      </c>
      <c r="D2058" t="s">
        <v>1665</v>
      </c>
      <c r="E2058" t="s">
        <v>64</v>
      </c>
      <c r="F2058" t="s">
        <v>94</v>
      </c>
      <c r="G2058" t="s">
        <v>277</v>
      </c>
      <c r="H2058" s="12">
        <v>6.1449999999999996</v>
      </c>
      <c r="I2058" s="12">
        <v>-75.373999999999995</v>
      </c>
      <c r="J2058" t="s">
        <v>96</v>
      </c>
      <c r="K2058" t="s">
        <v>97</v>
      </c>
      <c r="L2058" t="s">
        <v>1273</v>
      </c>
      <c r="P2058" s="13">
        <v>323.3</v>
      </c>
      <c r="Q2058" s="13">
        <v>36.6</v>
      </c>
      <c r="R2058">
        <v>56</v>
      </c>
      <c r="S2058">
        <v>88</v>
      </c>
      <c r="T2058" s="13">
        <v>74.099999999999994</v>
      </c>
      <c r="U2058" s="13">
        <v>76.400000000000006</v>
      </c>
      <c r="V2058" t="s">
        <v>99</v>
      </c>
      <c r="X2058" s="13">
        <v>323.3</v>
      </c>
    </row>
    <row r="2059" spans="1:24" x14ac:dyDescent="0.25">
      <c r="A2059" t="s">
        <v>1765</v>
      </c>
      <c r="B2059" t="s">
        <v>64</v>
      </c>
      <c r="C2059" t="s">
        <v>1664</v>
      </c>
      <c r="D2059" t="s">
        <v>1665</v>
      </c>
      <c r="E2059" t="s">
        <v>64</v>
      </c>
      <c r="F2059" t="s">
        <v>94</v>
      </c>
      <c r="G2059" t="s">
        <v>277</v>
      </c>
      <c r="H2059" s="12">
        <v>6.1449999999999996</v>
      </c>
      <c r="I2059" s="12">
        <v>-75.373999999999995</v>
      </c>
      <c r="J2059" t="s">
        <v>96</v>
      </c>
      <c r="K2059" t="s">
        <v>1269</v>
      </c>
      <c r="L2059" t="s">
        <v>1270</v>
      </c>
      <c r="P2059" s="13">
        <v>178.7</v>
      </c>
      <c r="Q2059" s="13">
        <v>56.1</v>
      </c>
      <c r="R2059">
        <v>42</v>
      </c>
      <c r="S2059">
        <v>24</v>
      </c>
      <c r="T2059" s="13">
        <v>32.799999999999997</v>
      </c>
      <c r="U2059" s="13">
        <v>0</v>
      </c>
      <c r="V2059" t="s">
        <v>268</v>
      </c>
      <c r="W2059" t="s">
        <v>1271</v>
      </c>
      <c r="X2059" s="13"/>
    </row>
    <row r="2060" spans="1:24" x14ac:dyDescent="0.25">
      <c r="A2060" t="s">
        <v>1766</v>
      </c>
      <c r="B2060" t="s">
        <v>64</v>
      </c>
      <c r="C2060" t="s">
        <v>1664</v>
      </c>
      <c r="D2060" t="s">
        <v>1665</v>
      </c>
      <c r="E2060" t="s">
        <v>64</v>
      </c>
      <c r="F2060" t="s">
        <v>94</v>
      </c>
      <c r="G2060" t="s">
        <v>277</v>
      </c>
      <c r="H2060" s="12">
        <v>6.1449999999999996</v>
      </c>
      <c r="I2060" s="12">
        <v>-75.373999999999995</v>
      </c>
      <c r="J2060" t="s">
        <v>96</v>
      </c>
      <c r="K2060" t="s">
        <v>97</v>
      </c>
      <c r="L2060" t="s">
        <v>1273</v>
      </c>
      <c r="P2060" s="13">
        <v>290.39999999999998</v>
      </c>
      <c r="Q2060" s="13">
        <v>73.2</v>
      </c>
      <c r="R2060">
        <v>42</v>
      </c>
      <c r="S2060">
        <v>56</v>
      </c>
      <c r="T2060" s="13">
        <v>56.9</v>
      </c>
      <c r="U2060" s="13">
        <v>70.900000000000006</v>
      </c>
      <c r="V2060" t="s">
        <v>99</v>
      </c>
      <c r="X2060" s="13">
        <v>290.39999999999998</v>
      </c>
    </row>
    <row r="2061" spans="1:24" x14ac:dyDescent="0.25">
      <c r="A2061" t="s">
        <v>1766</v>
      </c>
      <c r="B2061" t="s">
        <v>64</v>
      </c>
      <c r="C2061" t="s">
        <v>1664</v>
      </c>
      <c r="D2061" t="s">
        <v>1665</v>
      </c>
      <c r="E2061" t="s">
        <v>64</v>
      </c>
      <c r="F2061" t="s">
        <v>94</v>
      </c>
      <c r="G2061" t="s">
        <v>277</v>
      </c>
      <c r="H2061" s="12">
        <v>6.1449999999999996</v>
      </c>
      <c r="I2061" s="12">
        <v>-75.373999999999995</v>
      </c>
      <c r="J2061" t="s">
        <v>96</v>
      </c>
      <c r="K2061" t="s">
        <v>1269</v>
      </c>
      <c r="L2061" t="s">
        <v>1270</v>
      </c>
      <c r="P2061" s="13">
        <v>301.60000000000002</v>
      </c>
      <c r="Q2061" s="13">
        <v>53.7</v>
      </c>
      <c r="R2061">
        <v>58</v>
      </c>
      <c r="S2061">
        <v>62</v>
      </c>
      <c r="T2061" s="13">
        <v>69</v>
      </c>
      <c r="U2061" s="13">
        <v>56.4</v>
      </c>
      <c r="V2061" t="s">
        <v>268</v>
      </c>
      <c r="W2061" t="s">
        <v>1271</v>
      </c>
      <c r="X2061" s="13"/>
    </row>
    <row r="2062" spans="1:24" x14ac:dyDescent="0.25">
      <c r="A2062" t="s">
        <v>1767</v>
      </c>
      <c r="B2062" t="s">
        <v>64</v>
      </c>
      <c r="C2062" t="s">
        <v>1664</v>
      </c>
      <c r="D2062" t="s">
        <v>1665</v>
      </c>
      <c r="E2062" t="s">
        <v>64</v>
      </c>
      <c r="F2062" t="s">
        <v>94</v>
      </c>
      <c r="G2062" t="s">
        <v>277</v>
      </c>
      <c r="H2062" s="12">
        <v>6.1449999999999996</v>
      </c>
      <c r="I2062" s="12">
        <v>-75.373999999999995</v>
      </c>
      <c r="J2062" t="s">
        <v>96</v>
      </c>
      <c r="K2062" t="s">
        <v>97</v>
      </c>
      <c r="L2062" t="s">
        <v>1273</v>
      </c>
      <c r="P2062" s="13">
        <v>247.1</v>
      </c>
      <c r="Q2062" s="13">
        <v>51.2</v>
      </c>
      <c r="R2062">
        <v>44</v>
      </c>
      <c r="S2062">
        <v>56</v>
      </c>
      <c r="T2062" s="13">
        <v>46.6</v>
      </c>
      <c r="U2062" s="13">
        <v>49.1</v>
      </c>
      <c r="V2062" t="s">
        <v>99</v>
      </c>
      <c r="X2062" s="13">
        <v>247.1</v>
      </c>
    </row>
    <row r="2063" spans="1:24" x14ac:dyDescent="0.25">
      <c r="A2063" t="s">
        <v>1767</v>
      </c>
      <c r="B2063" t="s">
        <v>64</v>
      </c>
      <c r="C2063" t="s">
        <v>1664</v>
      </c>
      <c r="D2063" t="s">
        <v>1665</v>
      </c>
      <c r="E2063" t="s">
        <v>64</v>
      </c>
      <c r="F2063" t="s">
        <v>94</v>
      </c>
      <c r="G2063" t="s">
        <v>277</v>
      </c>
      <c r="H2063" s="12">
        <v>6.1449999999999996</v>
      </c>
      <c r="I2063" s="12">
        <v>-75.373999999999995</v>
      </c>
      <c r="J2063" t="s">
        <v>96</v>
      </c>
      <c r="K2063" t="s">
        <v>1269</v>
      </c>
      <c r="L2063" t="s">
        <v>1270</v>
      </c>
      <c r="P2063" s="13">
        <v>276.3</v>
      </c>
      <c r="Q2063" s="13">
        <v>39</v>
      </c>
      <c r="R2063">
        <v>62</v>
      </c>
      <c r="S2063">
        <v>66</v>
      </c>
      <c r="T2063" s="13">
        <v>50</v>
      </c>
      <c r="U2063" s="13">
        <v>67.3</v>
      </c>
      <c r="V2063" t="s">
        <v>268</v>
      </c>
      <c r="W2063" t="s">
        <v>1271</v>
      </c>
      <c r="X2063" s="13"/>
    </row>
    <row r="2064" spans="1:24" x14ac:dyDescent="0.25">
      <c r="A2064" t="s">
        <v>1768</v>
      </c>
      <c r="B2064" t="s">
        <v>65</v>
      </c>
      <c r="C2064" t="s">
        <v>1769</v>
      </c>
      <c r="D2064" t="s">
        <v>1770</v>
      </c>
      <c r="E2064" t="s">
        <v>1771</v>
      </c>
      <c r="F2064" t="s">
        <v>94</v>
      </c>
      <c r="G2064" t="s">
        <v>277</v>
      </c>
      <c r="H2064" s="12">
        <v>8.0944000000000003</v>
      </c>
      <c r="I2064" s="12">
        <v>-74.7761</v>
      </c>
      <c r="J2064" t="s">
        <v>1772</v>
      </c>
      <c r="K2064" t="s">
        <v>97</v>
      </c>
      <c r="L2064" t="s">
        <v>1273</v>
      </c>
      <c r="M2064">
        <v>11</v>
      </c>
      <c r="P2064" s="13">
        <v>240</v>
      </c>
      <c r="Q2064" s="13">
        <v>54</v>
      </c>
      <c r="R2064">
        <v>32</v>
      </c>
      <c r="S2064">
        <v>64</v>
      </c>
      <c r="T2064" s="13">
        <v>40</v>
      </c>
      <c r="U2064" s="13">
        <v>56</v>
      </c>
      <c r="V2064" t="s">
        <v>99</v>
      </c>
      <c r="X2064" s="13">
        <v>240</v>
      </c>
    </row>
    <row r="2065" spans="1:24" x14ac:dyDescent="0.25">
      <c r="A2065" t="s">
        <v>1773</v>
      </c>
      <c r="B2065" t="s">
        <v>65</v>
      </c>
      <c r="C2065" t="s">
        <v>1769</v>
      </c>
      <c r="D2065" t="s">
        <v>1770</v>
      </c>
      <c r="E2065" t="s">
        <v>1771</v>
      </c>
      <c r="F2065" t="s">
        <v>94</v>
      </c>
      <c r="G2065" t="s">
        <v>277</v>
      </c>
      <c r="H2065" s="12">
        <v>8.0944000000000003</v>
      </c>
      <c r="I2065" s="12">
        <v>-74.7761</v>
      </c>
      <c r="J2065" t="s">
        <v>1772</v>
      </c>
      <c r="K2065" t="s">
        <v>97</v>
      </c>
      <c r="L2065" t="s">
        <v>1273</v>
      </c>
      <c r="M2065">
        <v>11</v>
      </c>
      <c r="P2065" s="13">
        <v>203</v>
      </c>
      <c r="Q2065" s="13">
        <v>56</v>
      </c>
      <c r="R2065">
        <v>28</v>
      </c>
      <c r="S2065">
        <v>46</v>
      </c>
      <c r="T2065" s="13">
        <v>29</v>
      </c>
      <c r="U2065" s="13">
        <v>49</v>
      </c>
      <c r="V2065" t="s">
        <v>99</v>
      </c>
      <c r="X2065" s="13">
        <v>203</v>
      </c>
    </row>
    <row r="2066" spans="1:24" x14ac:dyDescent="0.25">
      <c r="A2066" t="s">
        <v>1774</v>
      </c>
      <c r="B2066" t="s">
        <v>65</v>
      </c>
      <c r="C2066" t="s">
        <v>1769</v>
      </c>
      <c r="D2066" t="s">
        <v>1770</v>
      </c>
      <c r="E2066" t="s">
        <v>1771</v>
      </c>
      <c r="F2066" t="s">
        <v>94</v>
      </c>
      <c r="G2066" t="s">
        <v>277</v>
      </c>
      <c r="H2066" s="12">
        <v>8.0944000000000003</v>
      </c>
      <c r="I2066" s="12">
        <v>-74.7761</v>
      </c>
      <c r="J2066" t="s">
        <v>1772</v>
      </c>
      <c r="K2066" t="s">
        <v>97</v>
      </c>
      <c r="L2066" t="s">
        <v>1273</v>
      </c>
      <c r="M2066">
        <v>11</v>
      </c>
      <c r="P2066" s="13">
        <v>179</v>
      </c>
      <c r="Q2066" s="13">
        <v>46</v>
      </c>
      <c r="R2066">
        <v>38</v>
      </c>
      <c r="S2066">
        <v>34</v>
      </c>
      <c r="T2066" s="13">
        <v>29</v>
      </c>
      <c r="U2066" s="13">
        <v>24</v>
      </c>
      <c r="V2066" t="s">
        <v>99</v>
      </c>
      <c r="X2066" s="13">
        <v>179</v>
      </c>
    </row>
    <row r="2067" spans="1:24" x14ac:dyDescent="0.25">
      <c r="A2067" t="s">
        <v>1775</v>
      </c>
      <c r="B2067" t="s">
        <v>65</v>
      </c>
      <c r="C2067" t="s">
        <v>1769</v>
      </c>
      <c r="D2067" t="s">
        <v>1770</v>
      </c>
      <c r="E2067" t="s">
        <v>1771</v>
      </c>
      <c r="F2067" t="s">
        <v>94</v>
      </c>
      <c r="G2067" t="s">
        <v>277</v>
      </c>
      <c r="H2067" s="12">
        <v>8.0944000000000003</v>
      </c>
      <c r="I2067" s="12">
        <v>-74.7761</v>
      </c>
      <c r="J2067" t="s">
        <v>1772</v>
      </c>
      <c r="K2067" t="s">
        <v>97</v>
      </c>
      <c r="L2067" t="s">
        <v>1273</v>
      </c>
      <c r="M2067">
        <v>11</v>
      </c>
      <c r="P2067" s="13">
        <v>165</v>
      </c>
      <c r="Q2067" s="13">
        <v>39</v>
      </c>
      <c r="R2067">
        <v>26</v>
      </c>
      <c r="S2067">
        <v>44</v>
      </c>
      <c r="T2067" s="13">
        <v>28</v>
      </c>
      <c r="U2067" s="13">
        <v>20</v>
      </c>
      <c r="V2067" t="s">
        <v>99</v>
      </c>
      <c r="X2067" s="13">
        <v>165</v>
      </c>
    </row>
    <row r="2068" spans="1:24" x14ac:dyDescent="0.25">
      <c r="A2068" t="s">
        <v>1776</v>
      </c>
      <c r="B2068" t="s">
        <v>65</v>
      </c>
      <c r="C2068" t="s">
        <v>1769</v>
      </c>
      <c r="D2068" t="s">
        <v>1770</v>
      </c>
      <c r="E2068" t="s">
        <v>1771</v>
      </c>
      <c r="F2068" t="s">
        <v>94</v>
      </c>
      <c r="G2068" t="s">
        <v>277</v>
      </c>
      <c r="H2068" s="12">
        <v>8.0944000000000003</v>
      </c>
      <c r="I2068" s="12">
        <v>-74.7761</v>
      </c>
      <c r="J2068" t="s">
        <v>1772</v>
      </c>
      <c r="K2068" t="s">
        <v>97</v>
      </c>
      <c r="L2068" t="s">
        <v>1273</v>
      </c>
      <c r="M2068">
        <v>11</v>
      </c>
      <c r="P2068" s="13">
        <v>159</v>
      </c>
      <c r="Q2068" s="13">
        <v>34</v>
      </c>
      <c r="R2068">
        <v>24</v>
      </c>
      <c r="S2068">
        <v>36</v>
      </c>
      <c r="T2068" s="13">
        <v>29</v>
      </c>
      <c r="U2068" s="13">
        <v>44</v>
      </c>
      <c r="V2068" t="s">
        <v>99</v>
      </c>
      <c r="X2068" s="13">
        <v>159</v>
      </c>
    </row>
    <row r="2069" spans="1:24" x14ac:dyDescent="0.25">
      <c r="A2069" t="s">
        <v>1777</v>
      </c>
      <c r="B2069" t="s">
        <v>65</v>
      </c>
      <c r="C2069" t="s">
        <v>1769</v>
      </c>
      <c r="D2069" t="s">
        <v>1770</v>
      </c>
      <c r="E2069" t="s">
        <v>1771</v>
      </c>
      <c r="F2069" t="s">
        <v>94</v>
      </c>
      <c r="G2069" t="s">
        <v>277</v>
      </c>
      <c r="H2069" s="12">
        <v>8.0944000000000003</v>
      </c>
      <c r="I2069" s="12">
        <v>-74.7761</v>
      </c>
      <c r="J2069" t="s">
        <v>1772</v>
      </c>
      <c r="K2069" t="s">
        <v>97</v>
      </c>
      <c r="L2069" t="s">
        <v>1273</v>
      </c>
      <c r="M2069">
        <v>11</v>
      </c>
      <c r="P2069" s="13">
        <v>157</v>
      </c>
      <c r="Q2069" s="13">
        <v>44</v>
      </c>
      <c r="R2069">
        <v>24</v>
      </c>
      <c r="S2069">
        <v>36</v>
      </c>
      <c r="T2069" s="13">
        <v>22</v>
      </c>
      <c r="U2069" s="13">
        <v>29</v>
      </c>
      <c r="V2069" t="s">
        <v>99</v>
      </c>
      <c r="X2069" s="13">
        <v>157</v>
      </c>
    </row>
    <row r="2070" spans="1:24" x14ac:dyDescent="0.25">
      <c r="A2070" t="s">
        <v>1778</v>
      </c>
      <c r="B2070" t="s">
        <v>65</v>
      </c>
      <c r="C2070" t="s">
        <v>1769</v>
      </c>
      <c r="D2070" t="s">
        <v>1770</v>
      </c>
      <c r="E2070" t="s">
        <v>1771</v>
      </c>
      <c r="F2070" t="s">
        <v>94</v>
      </c>
      <c r="G2070" t="s">
        <v>277</v>
      </c>
      <c r="H2070" s="12">
        <v>8.0944000000000003</v>
      </c>
      <c r="I2070" s="12">
        <v>-74.7761</v>
      </c>
      <c r="J2070" t="s">
        <v>1772</v>
      </c>
      <c r="K2070" t="s">
        <v>97</v>
      </c>
      <c r="L2070" t="s">
        <v>1273</v>
      </c>
      <c r="M2070">
        <v>11</v>
      </c>
      <c r="P2070" s="13">
        <v>156</v>
      </c>
      <c r="Q2070" s="13">
        <v>41</v>
      </c>
      <c r="R2070">
        <v>34</v>
      </c>
      <c r="S2070">
        <v>28</v>
      </c>
      <c r="T2070" s="13">
        <v>26</v>
      </c>
      <c r="U2070" s="13">
        <v>16</v>
      </c>
      <c r="V2070" t="s">
        <v>99</v>
      </c>
      <c r="X2070" s="13">
        <v>156</v>
      </c>
    </row>
    <row r="2071" spans="1:24" x14ac:dyDescent="0.25">
      <c r="A2071" t="s">
        <v>1779</v>
      </c>
      <c r="B2071" t="s">
        <v>65</v>
      </c>
      <c r="C2071" t="s">
        <v>1769</v>
      </c>
      <c r="D2071" t="s">
        <v>1770</v>
      </c>
      <c r="E2071" t="s">
        <v>1771</v>
      </c>
      <c r="F2071" t="s">
        <v>94</v>
      </c>
      <c r="G2071" t="s">
        <v>277</v>
      </c>
      <c r="H2071" s="12">
        <v>8.0944000000000003</v>
      </c>
      <c r="I2071" s="12">
        <v>-74.7761</v>
      </c>
      <c r="J2071" t="s">
        <v>1772</v>
      </c>
      <c r="K2071" t="s">
        <v>97</v>
      </c>
      <c r="L2071" t="s">
        <v>1273</v>
      </c>
      <c r="M2071">
        <v>11</v>
      </c>
      <c r="P2071" s="13">
        <v>151</v>
      </c>
      <c r="Q2071" s="13">
        <v>37</v>
      </c>
      <c r="R2071">
        <v>26</v>
      </c>
      <c r="S2071">
        <v>44</v>
      </c>
      <c r="T2071" s="13">
        <v>14</v>
      </c>
      <c r="U2071" s="13">
        <v>31</v>
      </c>
      <c r="V2071" t="s">
        <v>99</v>
      </c>
      <c r="X2071" s="13">
        <v>151</v>
      </c>
    </row>
    <row r="2072" spans="1:24" x14ac:dyDescent="0.25">
      <c r="A2072" t="s">
        <v>1780</v>
      </c>
      <c r="B2072" t="s">
        <v>65</v>
      </c>
      <c r="C2072" t="s">
        <v>1769</v>
      </c>
      <c r="D2072" t="s">
        <v>1770</v>
      </c>
      <c r="E2072" t="s">
        <v>1771</v>
      </c>
      <c r="F2072" t="s">
        <v>94</v>
      </c>
      <c r="G2072" t="s">
        <v>277</v>
      </c>
      <c r="H2072" s="12">
        <v>8.0944000000000003</v>
      </c>
      <c r="I2072" s="12">
        <v>-74.7761</v>
      </c>
      <c r="J2072" t="s">
        <v>1772</v>
      </c>
      <c r="K2072" t="s">
        <v>97</v>
      </c>
      <c r="L2072" t="s">
        <v>1273</v>
      </c>
      <c r="M2072">
        <v>11</v>
      </c>
      <c r="P2072" s="13">
        <v>150</v>
      </c>
      <c r="Q2072" s="13">
        <v>37</v>
      </c>
      <c r="R2072">
        <v>32</v>
      </c>
      <c r="S2072">
        <v>28</v>
      </c>
      <c r="T2072" s="13">
        <v>24</v>
      </c>
      <c r="U2072" s="13">
        <v>27</v>
      </c>
      <c r="V2072" t="s">
        <v>99</v>
      </c>
      <c r="X2072" s="13">
        <v>150</v>
      </c>
    </row>
    <row r="2073" spans="1:24" x14ac:dyDescent="0.25">
      <c r="A2073" t="s">
        <v>1781</v>
      </c>
      <c r="B2073" t="s">
        <v>65</v>
      </c>
      <c r="C2073" t="s">
        <v>1769</v>
      </c>
      <c r="D2073" t="s">
        <v>1770</v>
      </c>
      <c r="E2073" t="s">
        <v>1771</v>
      </c>
      <c r="F2073" t="s">
        <v>94</v>
      </c>
      <c r="G2073" t="s">
        <v>277</v>
      </c>
      <c r="H2073" s="12">
        <v>8.0944000000000003</v>
      </c>
      <c r="I2073" s="12">
        <v>-74.7761</v>
      </c>
      <c r="J2073" t="s">
        <v>1772</v>
      </c>
      <c r="K2073" t="s">
        <v>97</v>
      </c>
      <c r="L2073" t="s">
        <v>1273</v>
      </c>
      <c r="M2073">
        <v>11</v>
      </c>
      <c r="P2073" s="13">
        <v>148</v>
      </c>
      <c r="Q2073" s="13">
        <v>51</v>
      </c>
      <c r="R2073">
        <v>30</v>
      </c>
      <c r="S2073">
        <v>22</v>
      </c>
      <c r="T2073" s="13">
        <v>16</v>
      </c>
      <c r="U2073" s="13">
        <v>29</v>
      </c>
      <c r="V2073" t="s">
        <v>99</v>
      </c>
      <c r="X2073" s="13">
        <v>148</v>
      </c>
    </row>
    <row r="2074" spans="1:24" x14ac:dyDescent="0.25">
      <c r="A2074" t="s">
        <v>1782</v>
      </c>
      <c r="B2074" t="s">
        <v>65</v>
      </c>
      <c r="C2074" t="s">
        <v>1769</v>
      </c>
      <c r="D2074" t="s">
        <v>1770</v>
      </c>
      <c r="E2074" t="s">
        <v>1771</v>
      </c>
      <c r="F2074" t="s">
        <v>94</v>
      </c>
      <c r="G2074" t="s">
        <v>277</v>
      </c>
      <c r="H2074" s="12">
        <v>8.0944000000000003</v>
      </c>
      <c r="I2074" s="12">
        <v>-74.7761</v>
      </c>
      <c r="J2074" t="s">
        <v>1772</v>
      </c>
      <c r="K2074" t="s">
        <v>97</v>
      </c>
      <c r="L2074" t="s">
        <v>1273</v>
      </c>
      <c r="M2074">
        <v>11</v>
      </c>
      <c r="P2074" s="13">
        <v>146</v>
      </c>
      <c r="Q2074" s="13">
        <v>29</v>
      </c>
      <c r="R2074">
        <v>16</v>
      </c>
      <c r="S2074">
        <v>42</v>
      </c>
      <c r="T2074" s="13">
        <v>28</v>
      </c>
      <c r="U2074" s="13">
        <v>35</v>
      </c>
      <c r="V2074" t="s">
        <v>99</v>
      </c>
      <c r="X2074" s="13">
        <v>146</v>
      </c>
    </row>
    <row r="2075" spans="1:24" x14ac:dyDescent="0.25">
      <c r="A2075" t="s">
        <v>1783</v>
      </c>
      <c r="B2075" t="s">
        <v>65</v>
      </c>
      <c r="C2075" t="s">
        <v>1769</v>
      </c>
      <c r="D2075" t="s">
        <v>1770</v>
      </c>
      <c r="E2075" t="s">
        <v>1771</v>
      </c>
      <c r="F2075" t="s">
        <v>94</v>
      </c>
      <c r="G2075" t="s">
        <v>277</v>
      </c>
      <c r="H2075" s="12">
        <v>8.0944000000000003</v>
      </c>
      <c r="I2075" s="12">
        <v>-74.7761</v>
      </c>
      <c r="J2075" t="s">
        <v>1772</v>
      </c>
      <c r="K2075" t="s">
        <v>97</v>
      </c>
      <c r="L2075" t="s">
        <v>1273</v>
      </c>
      <c r="M2075">
        <v>11</v>
      </c>
      <c r="P2075" s="13">
        <v>145</v>
      </c>
      <c r="Q2075" s="13">
        <v>29</v>
      </c>
      <c r="R2075">
        <v>34</v>
      </c>
      <c r="S2075">
        <v>28</v>
      </c>
      <c r="T2075" s="13">
        <v>21</v>
      </c>
      <c r="U2075" s="13">
        <v>42</v>
      </c>
      <c r="V2075" t="s">
        <v>99</v>
      </c>
      <c r="X2075" s="13">
        <v>145</v>
      </c>
    </row>
    <row r="2076" spans="1:24" x14ac:dyDescent="0.25">
      <c r="A2076" t="s">
        <v>1784</v>
      </c>
      <c r="B2076" t="s">
        <v>65</v>
      </c>
      <c r="C2076" t="s">
        <v>1769</v>
      </c>
      <c r="D2076" t="s">
        <v>1770</v>
      </c>
      <c r="E2076" t="s">
        <v>1771</v>
      </c>
      <c r="F2076" t="s">
        <v>94</v>
      </c>
      <c r="G2076" t="s">
        <v>277</v>
      </c>
      <c r="H2076" s="12">
        <v>8.0944000000000003</v>
      </c>
      <c r="I2076" s="12">
        <v>-74.7761</v>
      </c>
      <c r="J2076" t="s">
        <v>1772</v>
      </c>
      <c r="K2076" t="s">
        <v>97</v>
      </c>
      <c r="L2076" t="s">
        <v>1273</v>
      </c>
      <c r="M2076">
        <v>11</v>
      </c>
      <c r="P2076" s="13">
        <v>142</v>
      </c>
      <c r="Q2076" s="13">
        <v>37</v>
      </c>
      <c r="R2076">
        <v>26</v>
      </c>
      <c r="S2076">
        <v>22</v>
      </c>
      <c r="T2076" s="13">
        <v>28</v>
      </c>
      <c r="U2076" s="13">
        <v>33</v>
      </c>
      <c r="V2076" t="s">
        <v>99</v>
      </c>
      <c r="X2076" s="13">
        <v>142</v>
      </c>
    </row>
    <row r="2077" spans="1:24" x14ac:dyDescent="0.25">
      <c r="A2077" t="s">
        <v>1785</v>
      </c>
      <c r="B2077" t="s">
        <v>65</v>
      </c>
      <c r="C2077" t="s">
        <v>1769</v>
      </c>
      <c r="D2077" t="s">
        <v>1770</v>
      </c>
      <c r="E2077" t="s">
        <v>1771</v>
      </c>
      <c r="F2077" t="s">
        <v>94</v>
      </c>
      <c r="G2077" t="s">
        <v>277</v>
      </c>
      <c r="H2077" s="12">
        <v>8.0944000000000003</v>
      </c>
      <c r="I2077" s="12">
        <v>-74.7761</v>
      </c>
      <c r="J2077" t="s">
        <v>1772</v>
      </c>
      <c r="K2077" t="s">
        <v>97</v>
      </c>
      <c r="L2077" t="s">
        <v>1273</v>
      </c>
      <c r="M2077">
        <v>11</v>
      </c>
      <c r="P2077" s="13">
        <v>142</v>
      </c>
      <c r="Q2077" s="13">
        <v>39</v>
      </c>
      <c r="R2077">
        <v>20</v>
      </c>
      <c r="S2077">
        <v>26</v>
      </c>
      <c r="T2077" s="13">
        <v>31</v>
      </c>
      <c r="U2077" s="13">
        <v>20</v>
      </c>
      <c r="V2077" t="s">
        <v>99</v>
      </c>
      <c r="X2077" s="13">
        <v>142</v>
      </c>
    </row>
    <row r="2078" spans="1:24" x14ac:dyDescent="0.25">
      <c r="A2078" t="s">
        <v>1786</v>
      </c>
      <c r="B2078" t="s">
        <v>65</v>
      </c>
      <c r="C2078" t="s">
        <v>1769</v>
      </c>
      <c r="D2078" t="s">
        <v>1770</v>
      </c>
      <c r="E2078" t="s">
        <v>1771</v>
      </c>
      <c r="F2078" t="s">
        <v>94</v>
      </c>
      <c r="G2078" t="s">
        <v>277</v>
      </c>
      <c r="H2078" s="12">
        <v>8.0944000000000003</v>
      </c>
      <c r="I2078" s="12">
        <v>-74.7761</v>
      </c>
      <c r="J2078" t="s">
        <v>1772</v>
      </c>
      <c r="K2078" t="s">
        <v>97</v>
      </c>
      <c r="L2078" t="s">
        <v>1273</v>
      </c>
      <c r="M2078">
        <v>11</v>
      </c>
      <c r="P2078" s="13">
        <v>140</v>
      </c>
      <c r="Q2078" s="13">
        <v>37</v>
      </c>
      <c r="R2078">
        <v>22</v>
      </c>
      <c r="S2078">
        <v>26</v>
      </c>
      <c r="T2078" s="13">
        <v>31</v>
      </c>
      <c r="U2078" s="13">
        <v>16</v>
      </c>
      <c r="V2078" t="s">
        <v>99</v>
      </c>
      <c r="X2078" s="13">
        <v>140</v>
      </c>
    </row>
    <row r="2079" spans="1:24" x14ac:dyDescent="0.25">
      <c r="A2079" t="s">
        <v>1787</v>
      </c>
      <c r="B2079" t="s">
        <v>65</v>
      </c>
      <c r="C2079" t="s">
        <v>1769</v>
      </c>
      <c r="D2079" t="s">
        <v>1770</v>
      </c>
      <c r="E2079" t="s">
        <v>1771</v>
      </c>
      <c r="F2079" t="s">
        <v>94</v>
      </c>
      <c r="G2079" t="s">
        <v>277</v>
      </c>
      <c r="H2079" s="12">
        <v>8.0944000000000003</v>
      </c>
      <c r="I2079" s="12">
        <v>-74.7761</v>
      </c>
      <c r="J2079" t="s">
        <v>1772</v>
      </c>
      <c r="K2079" t="s">
        <v>97</v>
      </c>
      <c r="L2079" t="s">
        <v>1273</v>
      </c>
      <c r="M2079">
        <v>11</v>
      </c>
      <c r="P2079" s="13">
        <v>139</v>
      </c>
      <c r="Q2079" s="13">
        <v>24</v>
      </c>
      <c r="R2079">
        <v>30</v>
      </c>
      <c r="S2079">
        <v>26</v>
      </c>
      <c r="T2079" s="13">
        <v>33</v>
      </c>
      <c r="U2079" s="13">
        <v>22</v>
      </c>
      <c r="V2079" t="s">
        <v>99</v>
      </c>
      <c r="X2079" s="13">
        <v>139</v>
      </c>
    </row>
    <row r="2080" spans="1:24" x14ac:dyDescent="0.25">
      <c r="A2080" t="s">
        <v>1788</v>
      </c>
      <c r="B2080" t="s">
        <v>65</v>
      </c>
      <c r="C2080" t="s">
        <v>1769</v>
      </c>
      <c r="D2080" t="s">
        <v>1770</v>
      </c>
      <c r="E2080" t="s">
        <v>1771</v>
      </c>
      <c r="F2080" t="s">
        <v>94</v>
      </c>
      <c r="G2080" t="s">
        <v>277</v>
      </c>
      <c r="H2080" s="12">
        <v>8.0944000000000003</v>
      </c>
      <c r="I2080" s="12">
        <v>-74.7761</v>
      </c>
      <c r="J2080" t="s">
        <v>1772</v>
      </c>
      <c r="K2080" t="s">
        <v>97</v>
      </c>
      <c r="L2080" t="s">
        <v>1273</v>
      </c>
      <c r="M2080">
        <v>11</v>
      </c>
      <c r="P2080" s="13">
        <v>137</v>
      </c>
      <c r="Q2080" s="13">
        <v>34</v>
      </c>
      <c r="R2080">
        <v>16</v>
      </c>
      <c r="S2080">
        <v>30</v>
      </c>
      <c r="T2080" s="13">
        <v>31</v>
      </c>
      <c r="U2080" s="13">
        <v>24</v>
      </c>
      <c r="V2080" t="s">
        <v>99</v>
      </c>
      <c r="X2080" s="13">
        <v>137</v>
      </c>
    </row>
    <row r="2081" spans="1:24" x14ac:dyDescent="0.25">
      <c r="A2081" t="s">
        <v>1789</v>
      </c>
      <c r="B2081" t="s">
        <v>65</v>
      </c>
      <c r="C2081" t="s">
        <v>1769</v>
      </c>
      <c r="D2081" t="s">
        <v>1770</v>
      </c>
      <c r="E2081" t="s">
        <v>1771</v>
      </c>
      <c r="F2081" t="s">
        <v>94</v>
      </c>
      <c r="G2081" t="s">
        <v>277</v>
      </c>
      <c r="H2081" s="12">
        <v>8.0944000000000003</v>
      </c>
      <c r="I2081" s="12">
        <v>-74.7761</v>
      </c>
      <c r="J2081" t="s">
        <v>1772</v>
      </c>
      <c r="K2081" t="s">
        <v>97</v>
      </c>
      <c r="L2081" t="s">
        <v>1273</v>
      </c>
      <c r="M2081">
        <v>11</v>
      </c>
      <c r="P2081" s="13">
        <v>135</v>
      </c>
      <c r="Q2081" s="13">
        <v>34</v>
      </c>
      <c r="R2081">
        <v>22</v>
      </c>
      <c r="S2081">
        <v>30</v>
      </c>
      <c r="T2081" s="13">
        <v>26</v>
      </c>
      <c r="U2081" s="13">
        <v>15</v>
      </c>
      <c r="V2081" t="s">
        <v>99</v>
      </c>
      <c r="X2081" s="13">
        <v>135</v>
      </c>
    </row>
    <row r="2082" spans="1:24" x14ac:dyDescent="0.25">
      <c r="A2082" t="s">
        <v>1790</v>
      </c>
      <c r="B2082" t="s">
        <v>65</v>
      </c>
      <c r="C2082" t="s">
        <v>1769</v>
      </c>
      <c r="D2082" t="s">
        <v>1770</v>
      </c>
      <c r="E2082" t="s">
        <v>1771</v>
      </c>
      <c r="F2082" t="s">
        <v>94</v>
      </c>
      <c r="G2082" t="s">
        <v>277</v>
      </c>
      <c r="H2082" s="12">
        <v>8.0944000000000003</v>
      </c>
      <c r="I2082" s="12">
        <v>-74.7761</v>
      </c>
      <c r="J2082" t="s">
        <v>1772</v>
      </c>
      <c r="K2082" t="s">
        <v>97</v>
      </c>
      <c r="L2082" t="s">
        <v>1273</v>
      </c>
      <c r="M2082">
        <v>11</v>
      </c>
      <c r="P2082" s="13">
        <v>135</v>
      </c>
      <c r="Q2082" s="13">
        <v>22</v>
      </c>
      <c r="R2082">
        <v>42</v>
      </c>
      <c r="S2082">
        <v>26</v>
      </c>
      <c r="T2082" s="13">
        <v>21</v>
      </c>
      <c r="U2082" s="13">
        <v>18</v>
      </c>
      <c r="V2082" t="s">
        <v>99</v>
      </c>
      <c r="X2082" s="13">
        <v>135</v>
      </c>
    </row>
    <row r="2083" spans="1:24" x14ac:dyDescent="0.25">
      <c r="A2083" t="s">
        <v>1791</v>
      </c>
      <c r="B2083" t="s">
        <v>65</v>
      </c>
      <c r="C2083" t="s">
        <v>1769</v>
      </c>
      <c r="D2083" t="s">
        <v>1770</v>
      </c>
      <c r="E2083" t="s">
        <v>1771</v>
      </c>
      <c r="F2083" t="s">
        <v>94</v>
      </c>
      <c r="G2083" t="s">
        <v>277</v>
      </c>
      <c r="H2083" s="12">
        <v>8.0944000000000003</v>
      </c>
      <c r="I2083" s="12">
        <v>-74.7761</v>
      </c>
      <c r="J2083" t="s">
        <v>1772</v>
      </c>
      <c r="K2083" t="s">
        <v>97</v>
      </c>
      <c r="L2083" t="s">
        <v>1273</v>
      </c>
      <c r="M2083">
        <v>11</v>
      </c>
      <c r="P2083" s="13">
        <v>134</v>
      </c>
      <c r="Q2083" s="13">
        <v>20</v>
      </c>
      <c r="R2083">
        <v>32</v>
      </c>
      <c r="S2083">
        <v>34</v>
      </c>
      <c r="T2083" s="13">
        <v>22</v>
      </c>
      <c r="U2083" s="13">
        <v>25</v>
      </c>
      <c r="V2083" t="s">
        <v>99</v>
      </c>
      <c r="X2083" s="13">
        <v>134</v>
      </c>
    </row>
    <row r="2084" spans="1:24" x14ac:dyDescent="0.25">
      <c r="A2084" t="s">
        <v>1792</v>
      </c>
      <c r="B2084" t="s">
        <v>65</v>
      </c>
      <c r="C2084" t="s">
        <v>1769</v>
      </c>
      <c r="D2084" t="s">
        <v>1770</v>
      </c>
      <c r="E2084" t="s">
        <v>1771</v>
      </c>
      <c r="F2084" t="s">
        <v>94</v>
      </c>
      <c r="G2084" t="s">
        <v>277</v>
      </c>
      <c r="H2084" s="12">
        <v>8.0944000000000003</v>
      </c>
      <c r="I2084" s="12">
        <v>-74.7761</v>
      </c>
      <c r="J2084" t="s">
        <v>1772</v>
      </c>
      <c r="K2084" t="s">
        <v>97</v>
      </c>
      <c r="L2084" t="s">
        <v>1273</v>
      </c>
      <c r="M2084">
        <v>11</v>
      </c>
      <c r="P2084" s="13">
        <v>133</v>
      </c>
      <c r="Q2084" s="13">
        <v>27</v>
      </c>
      <c r="R2084">
        <v>16</v>
      </c>
      <c r="S2084">
        <v>32</v>
      </c>
      <c r="T2084" s="13">
        <v>28</v>
      </c>
      <c r="U2084" s="13">
        <v>38</v>
      </c>
      <c r="V2084" t="s">
        <v>99</v>
      </c>
      <c r="X2084" s="13">
        <v>133</v>
      </c>
    </row>
    <row r="2085" spans="1:24" x14ac:dyDescent="0.25">
      <c r="A2085" t="s">
        <v>1793</v>
      </c>
      <c r="B2085" t="s">
        <v>65</v>
      </c>
      <c r="C2085" t="s">
        <v>1769</v>
      </c>
      <c r="D2085" t="s">
        <v>1770</v>
      </c>
      <c r="E2085" t="s">
        <v>1771</v>
      </c>
      <c r="F2085" t="s">
        <v>94</v>
      </c>
      <c r="G2085" t="s">
        <v>277</v>
      </c>
      <c r="H2085" s="12">
        <v>8.0944000000000003</v>
      </c>
      <c r="I2085" s="12">
        <v>-74.7761</v>
      </c>
      <c r="J2085" t="s">
        <v>1772</v>
      </c>
      <c r="K2085" t="s">
        <v>97</v>
      </c>
      <c r="L2085" t="s">
        <v>1273</v>
      </c>
      <c r="M2085">
        <v>11</v>
      </c>
      <c r="P2085" s="13">
        <v>130</v>
      </c>
      <c r="Q2085" s="13">
        <v>34</v>
      </c>
      <c r="R2085">
        <v>26</v>
      </c>
      <c r="S2085">
        <v>26</v>
      </c>
      <c r="T2085" s="13">
        <v>16</v>
      </c>
      <c r="U2085" s="13">
        <v>33</v>
      </c>
      <c r="V2085" t="s">
        <v>99</v>
      </c>
      <c r="X2085" s="13">
        <v>130</v>
      </c>
    </row>
    <row r="2086" spans="1:24" x14ac:dyDescent="0.25">
      <c r="A2086" t="s">
        <v>1794</v>
      </c>
      <c r="B2086" t="s">
        <v>65</v>
      </c>
      <c r="C2086" t="s">
        <v>1769</v>
      </c>
      <c r="D2086" t="s">
        <v>1770</v>
      </c>
      <c r="E2086" t="s">
        <v>1771</v>
      </c>
      <c r="F2086" t="s">
        <v>94</v>
      </c>
      <c r="G2086" t="s">
        <v>277</v>
      </c>
      <c r="H2086" s="12">
        <v>8.0944000000000003</v>
      </c>
      <c r="I2086" s="12">
        <v>-74.7761</v>
      </c>
      <c r="J2086" t="s">
        <v>1772</v>
      </c>
      <c r="K2086" t="s">
        <v>97</v>
      </c>
      <c r="L2086" t="s">
        <v>1273</v>
      </c>
      <c r="M2086">
        <v>11</v>
      </c>
      <c r="P2086" s="13">
        <v>129</v>
      </c>
      <c r="Q2086" s="13">
        <v>27</v>
      </c>
      <c r="R2086">
        <v>24</v>
      </c>
      <c r="S2086">
        <v>30</v>
      </c>
      <c r="T2086" s="13">
        <v>16</v>
      </c>
      <c r="U2086" s="13">
        <v>45</v>
      </c>
      <c r="V2086" t="s">
        <v>99</v>
      </c>
      <c r="X2086" s="13">
        <v>129</v>
      </c>
    </row>
    <row r="2087" spans="1:24" x14ac:dyDescent="0.25">
      <c r="A2087" t="s">
        <v>1795</v>
      </c>
      <c r="B2087" t="s">
        <v>65</v>
      </c>
      <c r="C2087" t="s">
        <v>1769</v>
      </c>
      <c r="D2087" t="s">
        <v>1770</v>
      </c>
      <c r="E2087" t="s">
        <v>1771</v>
      </c>
      <c r="F2087" t="s">
        <v>94</v>
      </c>
      <c r="G2087" t="s">
        <v>277</v>
      </c>
      <c r="H2087" s="12">
        <v>8.0944000000000003</v>
      </c>
      <c r="I2087" s="12">
        <v>-74.7761</v>
      </c>
      <c r="J2087" t="s">
        <v>1772</v>
      </c>
      <c r="K2087" t="s">
        <v>97</v>
      </c>
      <c r="L2087" t="s">
        <v>1273</v>
      </c>
      <c r="M2087">
        <v>11</v>
      </c>
      <c r="P2087" s="13">
        <v>126</v>
      </c>
      <c r="Q2087" s="13">
        <v>27</v>
      </c>
      <c r="R2087">
        <v>24</v>
      </c>
      <c r="S2087">
        <v>28</v>
      </c>
      <c r="T2087" s="13">
        <v>24</v>
      </c>
      <c r="U2087" s="13">
        <v>18</v>
      </c>
      <c r="V2087" t="s">
        <v>99</v>
      </c>
      <c r="X2087" s="13">
        <v>126</v>
      </c>
    </row>
    <row r="2088" spans="1:24" x14ac:dyDescent="0.25">
      <c r="A2088" t="s">
        <v>1796</v>
      </c>
      <c r="B2088" t="s">
        <v>65</v>
      </c>
      <c r="C2088" t="s">
        <v>1769</v>
      </c>
      <c r="D2088" t="s">
        <v>1770</v>
      </c>
      <c r="E2088" t="s">
        <v>1771</v>
      </c>
      <c r="F2088" t="s">
        <v>94</v>
      </c>
      <c r="G2088" t="s">
        <v>277</v>
      </c>
      <c r="H2088" s="12">
        <v>8.0944000000000003</v>
      </c>
      <c r="I2088" s="12">
        <v>-74.7761</v>
      </c>
      <c r="J2088" t="s">
        <v>1772</v>
      </c>
      <c r="K2088" t="s">
        <v>97</v>
      </c>
      <c r="L2088" t="s">
        <v>1273</v>
      </c>
      <c r="M2088">
        <v>11</v>
      </c>
      <c r="P2088" s="13">
        <v>125</v>
      </c>
      <c r="Q2088" s="13">
        <v>29</v>
      </c>
      <c r="R2088">
        <v>18</v>
      </c>
      <c r="S2088">
        <v>40</v>
      </c>
      <c r="T2088" s="13">
        <v>14</v>
      </c>
      <c r="U2088" s="13">
        <v>22</v>
      </c>
      <c r="V2088" t="s">
        <v>99</v>
      </c>
      <c r="X2088" s="13">
        <v>125</v>
      </c>
    </row>
    <row r="2089" spans="1:24" x14ac:dyDescent="0.25">
      <c r="A2089" t="s">
        <v>1797</v>
      </c>
      <c r="B2089" t="s">
        <v>65</v>
      </c>
      <c r="C2089" t="s">
        <v>1769</v>
      </c>
      <c r="D2089" t="s">
        <v>1770</v>
      </c>
      <c r="E2089" t="s">
        <v>1771</v>
      </c>
      <c r="F2089" t="s">
        <v>94</v>
      </c>
      <c r="G2089" t="s">
        <v>277</v>
      </c>
      <c r="H2089" s="12">
        <v>8.0944000000000003</v>
      </c>
      <c r="I2089" s="12">
        <v>-74.7761</v>
      </c>
      <c r="J2089" t="s">
        <v>1772</v>
      </c>
      <c r="K2089" t="s">
        <v>97</v>
      </c>
      <c r="L2089" t="s">
        <v>1273</v>
      </c>
      <c r="M2089">
        <v>11</v>
      </c>
      <c r="P2089" s="13">
        <v>124</v>
      </c>
      <c r="Q2089" s="13">
        <v>29</v>
      </c>
      <c r="R2089">
        <v>20</v>
      </c>
      <c r="S2089">
        <v>20</v>
      </c>
      <c r="T2089" s="13">
        <v>28</v>
      </c>
      <c r="U2089" s="13">
        <v>31</v>
      </c>
      <c r="V2089" t="s">
        <v>99</v>
      </c>
      <c r="X2089" s="13">
        <v>124</v>
      </c>
    </row>
    <row r="2090" spans="1:24" x14ac:dyDescent="0.25">
      <c r="A2090" t="s">
        <v>1798</v>
      </c>
      <c r="B2090" t="s">
        <v>65</v>
      </c>
      <c r="C2090" t="s">
        <v>1769</v>
      </c>
      <c r="D2090" t="s">
        <v>1770</v>
      </c>
      <c r="E2090" t="s">
        <v>1771</v>
      </c>
      <c r="F2090" t="s">
        <v>94</v>
      </c>
      <c r="G2090" t="s">
        <v>277</v>
      </c>
      <c r="H2090" s="12">
        <v>8.0944000000000003</v>
      </c>
      <c r="I2090" s="12">
        <v>-74.7761</v>
      </c>
      <c r="J2090" t="s">
        <v>1772</v>
      </c>
      <c r="K2090" t="s">
        <v>97</v>
      </c>
      <c r="L2090" t="s">
        <v>1273</v>
      </c>
      <c r="M2090">
        <v>11</v>
      </c>
      <c r="P2090" s="13">
        <v>123</v>
      </c>
      <c r="Q2090" s="13">
        <v>34</v>
      </c>
      <c r="R2090">
        <v>26</v>
      </c>
      <c r="S2090">
        <v>24</v>
      </c>
      <c r="T2090" s="13">
        <v>21</v>
      </c>
      <c r="U2090" s="13">
        <v>5</v>
      </c>
      <c r="V2090" t="s">
        <v>99</v>
      </c>
      <c r="X2090" s="13">
        <v>123</v>
      </c>
    </row>
    <row r="2091" spans="1:24" x14ac:dyDescent="0.25">
      <c r="A2091" t="s">
        <v>1799</v>
      </c>
      <c r="B2091" t="s">
        <v>65</v>
      </c>
      <c r="C2091" t="s">
        <v>1769</v>
      </c>
      <c r="D2091" t="s">
        <v>1770</v>
      </c>
      <c r="E2091" t="s">
        <v>1771</v>
      </c>
      <c r="F2091" t="s">
        <v>94</v>
      </c>
      <c r="G2091" t="s">
        <v>277</v>
      </c>
      <c r="H2091" s="12">
        <v>8.0944000000000003</v>
      </c>
      <c r="I2091" s="12">
        <v>-74.7761</v>
      </c>
      <c r="J2091" t="s">
        <v>1772</v>
      </c>
      <c r="K2091" t="s">
        <v>97</v>
      </c>
      <c r="L2091" t="s">
        <v>1273</v>
      </c>
      <c r="M2091">
        <v>11</v>
      </c>
      <c r="P2091" s="13">
        <v>122</v>
      </c>
      <c r="Q2091" s="13">
        <v>34</v>
      </c>
      <c r="R2091">
        <v>26</v>
      </c>
      <c r="S2091">
        <v>18</v>
      </c>
      <c r="T2091" s="13">
        <v>17</v>
      </c>
      <c r="U2091" s="13">
        <v>31</v>
      </c>
      <c r="V2091" t="s">
        <v>99</v>
      </c>
      <c r="X2091" s="13">
        <v>122</v>
      </c>
    </row>
    <row r="2092" spans="1:24" x14ac:dyDescent="0.25">
      <c r="A2092" t="s">
        <v>1800</v>
      </c>
      <c r="B2092" t="s">
        <v>65</v>
      </c>
      <c r="C2092" t="s">
        <v>1769</v>
      </c>
      <c r="D2092" t="s">
        <v>1770</v>
      </c>
      <c r="E2092" t="s">
        <v>1771</v>
      </c>
      <c r="F2092" t="s">
        <v>94</v>
      </c>
      <c r="G2092" t="s">
        <v>277</v>
      </c>
      <c r="H2092" s="12">
        <v>8.0944000000000003</v>
      </c>
      <c r="I2092" s="12">
        <v>-74.7761</v>
      </c>
      <c r="J2092" t="s">
        <v>1772</v>
      </c>
      <c r="K2092" t="s">
        <v>97</v>
      </c>
      <c r="L2092" t="s">
        <v>1273</v>
      </c>
      <c r="M2092">
        <v>11</v>
      </c>
      <c r="P2092" s="13">
        <v>118</v>
      </c>
      <c r="Q2092" s="13">
        <v>39</v>
      </c>
      <c r="R2092">
        <v>14</v>
      </c>
      <c r="S2092">
        <v>16</v>
      </c>
      <c r="T2092" s="13">
        <v>28</v>
      </c>
      <c r="U2092" s="13">
        <v>16</v>
      </c>
      <c r="V2092" t="s">
        <v>99</v>
      </c>
      <c r="X2092" s="13">
        <v>118</v>
      </c>
    </row>
    <row r="2093" spans="1:24" x14ac:dyDescent="0.25">
      <c r="A2093" t="s">
        <v>1801</v>
      </c>
      <c r="B2093" t="s">
        <v>65</v>
      </c>
      <c r="C2093" t="s">
        <v>1769</v>
      </c>
      <c r="D2093" t="s">
        <v>1770</v>
      </c>
      <c r="E2093" t="s">
        <v>1771</v>
      </c>
      <c r="F2093" t="s">
        <v>94</v>
      </c>
      <c r="G2093" t="s">
        <v>277</v>
      </c>
      <c r="H2093" s="12">
        <v>8.0944000000000003</v>
      </c>
      <c r="I2093" s="12">
        <v>-74.7761</v>
      </c>
      <c r="J2093" t="s">
        <v>1772</v>
      </c>
      <c r="K2093" t="s">
        <v>97</v>
      </c>
      <c r="L2093" t="s">
        <v>1273</v>
      </c>
      <c r="M2093">
        <v>11</v>
      </c>
      <c r="P2093" s="13">
        <v>111</v>
      </c>
      <c r="Q2093" s="13">
        <v>17</v>
      </c>
      <c r="R2093">
        <v>18</v>
      </c>
      <c r="S2093">
        <v>32</v>
      </c>
      <c r="T2093" s="13">
        <v>22</v>
      </c>
      <c r="U2093" s="13">
        <v>20</v>
      </c>
      <c r="V2093" t="s">
        <v>99</v>
      </c>
      <c r="X2093" s="13">
        <v>111</v>
      </c>
    </row>
    <row r="2094" spans="1:24" x14ac:dyDescent="0.25">
      <c r="A2094" t="s">
        <v>1802</v>
      </c>
      <c r="B2094" t="s">
        <v>65</v>
      </c>
      <c r="C2094" t="s">
        <v>1769</v>
      </c>
      <c r="D2094" t="s">
        <v>1770</v>
      </c>
      <c r="E2094" t="s">
        <v>1771</v>
      </c>
      <c r="F2094" t="s">
        <v>94</v>
      </c>
      <c r="G2094" t="s">
        <v>277</v>
      </c>
      <c r="H2094" s="12">
        <v>8.0944000000000003</v>
      </c>
      <c r="I2094" s="12">
        <v>-74.7761</v>
      </c>
      <c r="J2094" t="s">
        <v>1772</v>
      </c>
      <c r="K2094" t="s">
        <v>97</v>
      </c>
      <c r="L2094" t="s">
        <v>1273</v>
      </c>
      <c r="M2094">
        <v>11</v>
      </c>
      <c r="P2094" s="13">
        <v>110</v>
      </c>
      <c r="Q2094" s="13">
        <v>29</v>
      </c>
      <c r="R2094">
        <v>22</v>
      </c>
      <c r="S2094">
        <v>18</v>
      </c>
      <c r="T2094" s="13">
        <v>21</v>
      </c>
      <c r="U2094" s="13">
        <v>16</v>
      </c>
      <c r="V2094" t="s">
        <v>99</v>
      </c>
      <c r="X2094" s="13">
        <v>110</v>
      </c>
    </row>
    <row r="2095" spans="1:24" x14ac:dyDescent="0.25">
      <c r="A2095" t="s">
        <v>1803</v>
      </c>
      <c r="B2095" t="s">
        <v>65</v>
      </c>
      <c r="C2095" t="s">
        <v>1769</v>
      </c>
      <c r="D2095" t="s">
        <v>1770</v>
      </c>
      <c r="E2095" t="s">
        <v>1771</v>
      </c>
      <c r="F2095" t="s">
        <v>94</v>
      </c>
      <c r="G2095" t="s">
        <v>277</v>
      </c>
      <c r="H2095" s="12">
        <v>8.0944000000000003</v>
      </c>
      <c r="I2095" s="12">
        <v>-74.7761</v>
      </c>
      <c r="J2095" t="s">
        <v>1772</v>
      </c>
      <c r="K2095" t="s">
        <v>97</v>
      </c>
      <c r="L2095" t="s">
        <v>1273</v>
      </c>
      <c r="M2095">
        <v>11</v>
      </c>
      <c r="P2095" s="13">
        <v>108</v>
      </c>
      <c r="Q2095" s="13">
        <v>24</v>
      </c>
      <c r="R2095">
        <v>18</v>
      </c>
      <c r="S2095">
        <v>22</v>
      </c>
      <c r="T2095" s="13">
        <v>21</v>
      </c>
      <c r="U2095" s="13">
        <v>25</v>
      </c>
      <c r="V2095" t="s">
        <v>99</v>
      </c>
      <c r="X2095" s="13">
        <v>108</v>
      </c>
    </row>
    <row r="2096" spans="1:24" x14ac:dyDescent="0.25">
      <c r="A2096" t="s">
        <v>1804</v>
      </c>
      <c r="B2096" t="s">
        <v>65</v>
      </c>
      <c r="C2096" t="s">
        <v>1769</v>
      </c>
      <c r="D2096" t="s">
        <v>1770</v>
      </c>
      <c r="E2096" t="s">
        <v>1771</v>
      </c>
      <c r="F2096" t="s">
        <v>94</v>
      </c>
      <c r="G2096" t="s">
        <v>277</v>
      </c>
      <c r="H2096" s="12">
        <v>8.0944000000000003</v>
      </c>
      <c r="I2096" s="12">
        <v>-74.7761</v>
      </c>
      <c r="J2096" t="s">
        <v>1772</v>
      </c>
      <c r="K2096" t="s">
        <v>97</v>
      </c>
      <c r="L2096" t="s">
        <v>1273</v>
      </c>
      <c r="M2096">
        <v>11</v>
      </c>
      <c r="P2096" s="13">
        <v>96</v>
      </c>
      <c r="Q2096" s="13">
        <v>24</v>
      </c>
      <c r="R2096">
        <v>8</v>
      </c>
      <c r="S2096">
        <v>22</v>
      </c>
      <c r="T2096" s="13">
        <v>21</v>
      </c>
      <c r="U2096" s="13">
        <v>25</v>
      </c>
      <c r="V2096" t="s">
        <v>99</v>
      </c>
      <c r="X2096" s="13">
        <v>96</v>
      </c>
    </row>
    <row r="2097" spans="1:24" x14ac:dyDescent="0.25">
      <c r="A2097" t="s">
        <v>1805</v>
      </c>
      <c r="B2097" t="s">
        <v>65</v>
      </c>
      <c r="C2097" t="s">
        <v>1769</v>
      </c>
      <c r="D2097" t="s">
        <v>1770</v>
      </c>
      <c r="E2097" t="s">
        <v>1771</v>
      </c>
      <c r="F2097" t="s">
        <v>94</v>
      </c>
      <c r="G2097" t="s">
        <v>277</v>
      </c>
      <c r="H2097" s="12">
        <v>8.0944000000000003</v>
      </c>
      <c r="I2097" s="12">
        <v>-74.7761</v>
      </c>
      <c r="J2097" t="s">
        <v>1772</v>
      </c>
      <c r="K2097" t="s">
        <v>97</v>
      </c>
      <c r="L2097" t="s">
        <v>1273</v>
      </c>
      <c r="M2097">
        <v>11</v>
      </c>
      <c r="P2097" s="13">
        <v>90</v>
      </c>
      <c r="Q2097" s="13">
        <v>22</v>
      </c>
      <c r="R2097">
        <v>12</v>
      </c>
      <c r="S2097">
        <v>22</v>
      </c>
      <c r="T2097" s="13">
        <v>17</v>
      </c>
      <c r="U2097" s="13">
        <v>15</v>
      </c>
      <c r="V2097" t="s">
        <v>99</v>
      </c>
      <c r="X2097" s="13">
        <v>90</v>
      </c>
    </row>
    <row r="2098" spans="1:24" x14ac:dyDescent="0.25">
      <c r="A2098" t="s">
        <v>1806</v>
      </c>
      <c r="B2098" t="s">
        <v>65</v>
      </c>
      <c r="C2098" t="s">
        <v>1769</v>
      </c>
      <c r="D2098" t="s">
        <v>1770</v>
      </c>
      <c r="E2098" t="s">
        <v>1771</v>
      </c>
      <c r="F2098" t="s">
        <v>94</v>
      </c>
      <c r="G2098" t="s">
        <v>277</v>
      </c>
      <c r="H2098" s="12">
        <v>8.0944000000000003</v>
      </c>
      <c r="I2098" s="12">
        <v>-74.7761</v>
      </c>
      <c r="J2098" t="s">
        <v>1772</v>
      </c>
      <c r="K2098" t="s">
        <v>97</v>
      </c>
      <c r="L2098" t="s">
        <v>1273</v>
      </c>
      <c r="M2098">
        <v>11</v>
      </c>
      <c r="P2098" s="13">
        <v>85</v>
      </c>
      <c r="Q2098" s="13">
        <v>34</v>
      </c>
      <c r="R2098">
        <v>14</v>
      </c>
      <c r="S2098">
        <v>10</v>
      </c>
      <c r="T2098" s="13">
        <v>16</v>
      </c>
      <c r="U2098" s="13">
        <v>0</v>
      </c>
      <c r="V2098" t="s">
        <v>99</v>
      </c>
      <c r="X2098" s="13">
        <v>85</v>
      </c>
    </row>
    <row r="2099" spans="1:24" x14ac:dyDescent="0.25">
      <c r="A2099" t="s">
        <v>1807</v>
      </c>
      <c r="B2099" t="s">
        <v>65</v>
      </c>
      <c r="C2099" t="s">
        <v>1808</v>
      </c>
      <c r="D2099" t="s">
        <v>1809</v>
      </c>
      <c r="E2099" t="s">
        <v>1810</v>
      </c>
      <c r="F2099" t="s">
        <v>94</v>
      </c>
      <c r="G2099" t="s">
        <v>277</v>
      </c>
      <c r="H2099" s="12">
        <v>7.0735999999999999</v>
      </c>
      <c r="I2099" s="12">
        <v>-75.148099999999999</v>
      </c>
      <c r="J2099" t="s">
        <v>242</v>
      </c>
      <c r="K2099" t="s">
        <v>97</v>
      </c>
      <c r="L2099" t="s">
        <v>1273</v>
      </c>
      <c r="M2099">
        <v>11</v>
      </c>
      <c r="P2099" s="13">
        <v>246</v>
      </c>
      <c r="Q2099" s="13">
        <v>56</v>
      </c>
      <c r="R2099">
        <v>36</v>
      </c>
      <c r="S2099">
        <v>68</v>
      </c>
      <c r="T2099" s="13">
        <v>24</v>
      </c>
      <c r="U2099" s="13">
        <v>87</v>
      </c>
      <c r="V2099" t="s">
        <v>99</v>
      </c>
      <c r="X2099" s="13">
        <v>246</v>
      </c>
    </row>
    <row r="2100" spans="1:24" x14ac:dyDescent="0.25">
      <c r="A2100" t="s">
        <v>1811</v>
      </c>
      <c r="B2100" t="s">
        <v>65</v>
      </c>
      <c r="C2100" t="s">
        <v>1808</v>
      </c>
      <c r="D2100" t="s">
        <v>1809</v>
      </c>
      <c r="E2100" t="s">
        <v>1810</v>
      </c>
      <c r="F2100" t="s">
        <v>94</v>
      </c>
      <c r="G2100" t="s">
        <v>277</v>
      </c>
      <c r="H2100" s="12">
        <v>7.0735999999999999</v>
      </c>
      <c r="I2100" s="12">
        <v>-75.148099999999999</v>
      </c>
      <c r="J2100" t="s">
        <v>242</v>
      </c>
      <c r="K2100" t="s">
        <v>97</v>
      </c>
      <c r="L2100" t="s">
        <v>1273</v>
      </c>
      <c r="M2100">
        <v>11</v>
      </c>
      <c r="P2100" s="13">
        <v>229</v>
      </c>
      <c r="Q2100" s="13">
        <v>59</v>
      </c>
      <c r="R2100">
        <v>38</v>
      </c>
      <c r="S2100">
        <v>60</v>
      </c>
      <c r="T2100" s="13">
        <v>28</v>
      </c>
      <c r="U2100" s="13">
        <v>44</v>
      </c>
      <c r="V2100" t="s">
        <v>99</v>
      </c>
      <c r="X2100" s="13">
        <v>229</v>
      </c>
    </row>
    <row r="2101" spans="1:24" x14ac:dyDescent="0.25">
      <c r="A2101" t="s">
        <v>1812</v>
      </c>
      <c r="B2101" t="s">
        <v>65</v>
      </c>
      <c r="C2101" t="s">
        <v>1808</v>
      </c>
      <c r="D2101" t="s">
        <v>1809</v>
      </c>
      <c r="E2101" t="s">
        <v>1810</v>
      </c>
      <c r="F2101" t="s">
        <v>94</v>
      </c>
      <c r="G2101" t="s">
        <v>277</v>
      </c>
      <c r="H2101" s="12">
        <v>7.0735999999999999</v>
      </c>
      <c r="I2101" s="12">
        <v>-75.148099999999999</v>
      </c>
      <c r="J2101" t="s">
        <v>242</v>
      </c>
      <c r="K2101" t="s">
        <v>97</v>
      </c>
      <c r="L2101" t="s">
        <v>1273</v>
      </c>
      <c r="M2101">
        <v>11</v>
      </c>
      <c r="P2101" s="13">
        <v>207</v>
      </c>
      <c r="Q2101" s="13">
        <v>66</v>
      </c>
      <c r="R2101">
        <v>18</v>
      </c>
      <c r="S2101">
        <v>52</v>
      </c>
      <c r="T2101" s="13">
        <v>28</v>
      </c>
      <c r="U2101" s="13">
        <v>47</v>
      </c>
      <c r="V2101" t="s">
        <v>99</v>
      </c>
      <c r="X2101" s="13">
        <v>207</v>
      </c>
    </row>
    <row r="2102" spans="1:24" x14ac:dyDescent="0.25">
      <c r="A2102" t="s">
        <v>1813</v>
      </c>
      <c r="B2102" t="s">
        <v>65</v>
      </c>
      <c r="C2102" t="s">
        <v>1808</v>
      </c>
      <c r="D2102" t="s">
        <v>1809</v>
      </c>
      <c r="E2102" t="s">
        <v>1810</v>
      </c>
      <c r="F2102" t="s">
        <v>94</v>
      </c>
      <c r="G2102" t="s">
        <v>277</v>
      </c>
      <c r="H2102" s="12">
        <v>7.0735999999999999</v>
      </c>
      <c r="I2102" s="12">
        <v>-75.148099999999999</v>
      </c>
      <c r="J2102" t="s">
        <v>242</v>
      </c>
      <c r="K2102" t="s">
        <v>97</v>
      </c>
      <c r="L2102" t="s">
        <v>1273</v>
      </c>
      <c r="M2102">
        <v>11</v>
      </c>
      <c r="P2102" s="13">
        <v>199</v>
      </c>
      <c r="Q2102" s="13">
        <v>46</v>
      </c>
      <c r="R2102">
        <v>22</v>
      </c>
      <c r="S2102">
        <v>60</v>
      </c>
      <c r="T2102" s="13">
        <v>29</v>
      </c>
      <c r="U2102" s="13">
        <v>45</v>
      </c>
      <c r="V2102" t="s">
        <v>99</v>
      </c>
      <c r="X2102" s="13">
        <v>199</v>
      </c>
    </row>
    <row r="2103" spans="1:24" x14ac:dyDescent="0.25">
      <c r="A2103" t="s">
        <v>1814</v>
      </c>
      <c r="B2103" t="s">
        <v>65</v>
      </c>
      <c r="C2103" t="s">
        <v>1808</v>
      </c>
      <c r="D2103" t="s">
        <v>1809</v>
      </c>
      <c r="E2103" t="s">
        <v>1810</v>
      </c>
      <c r="F2103" t="s">
        <v>94</v>
      </c>
      <c r="G2103" t="s">
        <v>277</v>
      </c>
      <c r="H2103" s="12">
        <v>7.0735999999999999</v>
      </c>
      <c r="I2103" s="12">
        <v>-75.148099999999999</v>
      </c>
      <c r="J2103" t="s">
        <v>242</v>
      </c>
      <c r="K2103" t="s">
        <v>97</v>
      </c>
      <c r="L2103" t="s">
        <v>1273</v>
      </c>
      <c r="M2103">
        <v>11</v>
      </c>
      <c r="P2103" s="13">
        <v>199</v>
      </c>
      <c r="Q2103" s="13">
        <v>34</v>
      </c>
      <c r="R2103">
        <v>34</v>
      </c>
      <c r="S2103">
        <v>44</v>
      </c>
      <c r="T2103" s="13">
        <v>34</v>
      </c>
      <c r="U2103" s="13">
        <v>76</v>
      </c>
      <c r="V2103" t="s">
        <v>99</v>
      </c>
      <c r="X2103" s="13">
        <v>199</v>
      </c>
    </row>
    <row r="2104" spans="1:24" x14ac:dyDescent="0.25">
      <c r="A2104" t="s">
        <v>1815</v>
      </c>
      <c r="B2104" t="s">
        <v>65</v>
      </c>
      <c r="C2104" t="s">
        <v>1808</v>
      </c>
      <c r="D2104" t="s">
        <v>1809</v>
      </c>
      <c r="E2104" t="s">
        <v>1810</v>
      </c>
      <c r="F2104" t="s">
        <v>94</v>
      </c>
      <c r="G2104" t="s">
        <v>277</v>
      </c>
      <c r="H2104" s="12">
        <v>7.0735999999999999</v>
      </c>
      <c r="I2104" s="12">
        <v>-75.148099999999999</v>
      </c>
      <c r="J2104" t="s">
        <v>242</v>
      </c>
      <c r="K2104" t="s">
        <v>97</v>
      </c>
      <c r="L2104" t="s">
        <v>1273</v>
      </c>
      <c r="M2104">
        <v>11</v>
      </c>
      <c r="P2104" s="13">
        <v>197</v>
      </c>
      <c r="Q2104" s="13">
        <v>37</v>
      </c>
      <c r="R2104">
        <v>30</v>
      </c>
      <c r="S2104">
        <v>46</v>
      </c>
      <c r="T2104" s="13">
        <v>38</v>
      </c>
      <c r="U2104" s="13">
        <v>60</v>
      </c>
      <c r="V2104" t="s">
        <v>99</v>
      </c>
      <c r="X2104" s="13">
        <v>197</v>
      </c>
    </row>
    <row r="2105" spans="1:24" x14ac:dyDescent="0.25">
      <c r="A2105" t="s">
        <v>1816</v>
      </c>
      <c r="B2105" t="s">
        <v>65</v>
      </c>
      <c r="C2105" t="s">
        <v>1808</v>
      </c>
      <c r="D2105" t="s">
        <v>1809</v>
      </c>
      <c r="E2105" t="s">
        <v>1810</v>
      </c>
      <c r="F2105" t="s">
        <v>94</v>
      </c>
      <c r="G2105" t="s">
        <v>277</v>
      </c>
      <c r="H2105" s="12">
        <v>7.0735999999999999</v>
      </c>
      <c r="I2105" s="12">
        <v>-75.148099999999999</v>
      </c>
      <c r="J2105" t="s">
        <v>242</v>
      </c>
      <c r="K2105" t="s">
        <v>97</v>
      </c>
      <c r="L2105" t="s">
        <v>1273</v>
      </c>
      <c r="M2105">
        <v>11</v>
      </c>
      <c r="P2105" s="13">
        <v>191</v>
      </c>
      <c r="Q2105" s="13">
        <v>54</v>
      </c>
      <c r="R2105">
        <v>36</v>
      </c>
      <c r="S2105">
        <v>32</v>
      </c>
      <c r="T2105" s="13">
        <v>26</v>
      </c>
      <c r="U2105" s="13">
        <v>55</v>
      </c>
      <c r="V2105" t="s">
        <v>99</v>
      </c>
      <c r="X2105" s="13">
        <v>191</v>
      </c>
    </row>
    <row r="2106" spans="1:24" x14ac:dyDescent="0.25">
      <c r="A2106" t="s">
        <v>1817</v>
      </c>
      <c r="B2106" t="s">
        <v>65</v>
      </c>
      <c r="C2106" t="s">
        <v>1808</v>
      </c>
      <c r="D2106" t="s">
        <v>1809</v>
      </c>
      <c r="E2106" t="s">
        <v>1810</v>
      </c>
      <c r="F2106" t="s">
        <v>94</v>
      </c>
      <c r="G2106" t="s">
        <v>277</v>
      </c>
      <c r="H2106" s="12">
        <v>7.0735999999999999</v>
      </c>
      <c r="I2106" s="12">
        <v>-75.148099999999999</v>
      </c>
      <c r="J2106" t="s">
        <v>242</v>
      </c>
      <c r="K2106" t="s">
        <v>97</v>
      </c>
      <c r="L2106" t="s">
        <v>1273</v>
      </c>
      <c r="M2106">
        <v>11</v>
      </c>
      <c r="P2106" s="13">
        <v>188</v>
      </c>
      <c r="Q2106" s="13">
        <v>39</v>
      </c>
      <c r="R2106">
        <v>34</v>
      </c>
      <c r="S2106">
        <v>54</v>
      </c>
      <c r="T2106" s="13">
        <v>21</v>
      </c>
      <c r="U2106" s="13">
        <v>45</v>
      </c>
      <c r="V2106" t="s">
        <v>99</v>
      </c>
      <c r="X2106" s="13">
        <v>188</v>
      </c>
    </row>
    <row r="2107" spans="1:24" x14ac:dyDescent="0.25">
      <c r="A2107" t="s">
        <v>1818</v>
      </c>
      <c r="B2107" t="s">
        <v>65</v>
      </c>
      <c r="C2107" t="s">
        <v>1808</v>
      </c>
      <c r="D2107" t="s">
        <v>1809</v>
      </c>
      <c r="E2107" t="s">
        <v>1810</v>
      </c>
      <c r="F2107" t="s">
        <v>94</v>
      </c>
      <c r="G2107" t="s">
        <v>277</v>
      </c>
      <c r="H2107" s="12">
        <v>7.0735999999999999</v>
      </c>
      <c r="I2107" s="12">
        <v>-75.148099999999999</v>
      </c>
      <c r="J2107" t="s">
        <v>242</v>
      </c>
      <c r="K2107" t="s">
        <v>97</v>
      </c>
      <c r="L2107" t="s">
        <v>1273</v>
      </c>
      <c r="M2107">
        <v>11</v>
      </c>
      <c r="P2107" s="13">
        <v>187</v>
      </c>
      <c r="Q2107" s="13">
        <v>44</v>
      </c>
      <c r="R2107">
        <v>28</v>
      </c>
      <c r="S2107">
        <v>48</v>
      </c>
      <c r="T2107" s="13">
        <v>31</v>
      </c>
      <c r="U2107" s="13">
        <v>35</v>
      </c>
      <c r="V2107" t="s">
        <v>99</v>
      </c>
      <c r="X2107" s="13">
        <v>187</v>
      </c>
    </row>
    <row r="2108" spans="1:24" x14ac:dyDescent="0.25">
      <c r="A2108" t="s">
        <v>1819</v>
      </c>
      <c r="B2108" t="s">
        <v>65</v>
      </c>
      <c r="C2108" t="s">
        <v>1808</v>
      </c>
      <c r="D2108" t="s">
        <v>1809</v>
      </c>
      <c r="E2108" t="s">
        <v>1810</v>
      </c>
      <c r="F2108" t="s">
        <v>94</v>
      </c>
      <c r="G2108" t="s">
        <v>277</v>
      </c>
      <c r="H2108" s="12">
        <v>7.0735999999999999</v>
      </c>
      <c r="I2108" s="12">
        <v>-75.148099999999999</v>
      </c>
      <c r="J2108" t="s">
        <v>242</v>
      </c>
      <c r="K2108" t="s">
        <v>97</v>
      </c>
      <c r="L2108" t="s">
        <v>1273</v>
      </c>
      <c r="M2108">
        <v>11</v>
      </c>
      <c r="P2108" s="13">
        <v>187</v>
      </c>
      <c r="Q2108" s="13">
        <v>37</v>
      </c>
      <c r="R2108">
        <v>34</v>
      </c>
      <c r="S2108">
        <v>50</v>
      </c>
      <c r="T2108" s="13">
        <v>33</v>
      </c>
      <c r="U2108" s="13">
        <v>27</v>
      </c>
      <c r="V2108" t="s">
        <v>99</v>
      </c>
      <c r="X2108" s="13">
        <v>187</v>
      </c>
    </row>
    <row r="2109" spans="1:24" x14ac:dyDescent="0.25">
      <c r="A2109" t="s">
        <v>1820</v>
      </c>
      <c r="B2109" t="s">
        <v>65</v>
      </c>
      <c r="C2109" t="s">
        <v>1808</v>
      </c>
      <c r="D2109" t="s">
        <v>1809</v>
      </c>
      <c r="E2109" t="s">
        <v>1810</v>
      </c>
      <c r="F2109" t="s">
        <v>94</v>
      </c>
      <c r="G2109" t="s">
        <v>277</v>
      </c>
      <c r="H2109" s="12">
        <v>7.0735999999999999</v>
      </c>
      <c r="I2109" s="12">
        <v>-75.148099999999999</v>
      </c>
      <c r="J2109" t="s">
        <v>242</v>
      </c>
      <c r="K2109" t="s">
        <v>97</v>
      </c>
      <c r="L2109" t="s">
        <v>1273</v>
      </c>
      <c r="M2109">
        <v>11</v>
      </c>
      <c r="P2109" s="13">
        <v>187</v>
      </c>
      <c r="Q2109" s="13">
        <v>34</v>
      </c>
      <c r="R2109">
        <v>28</v>
      </c>
      <c r="S2109">
        <v>44</v>
      </c>
      <c r="T2109" s="13">
        <v>34</v>
      </c>
      <c r="U2109" s="13">
        <v>64</v>
      </c>
      <c r="V2109" t="s">
        <v>99</v>
      </c>
      <c r="X2109" s="13">
        <v>187</v>
      </c>
    </row>
    <row r="2110" spans="1:24" x14ac:dyDescent="0.25">
      <c r="A2110" t="s">
        <v>1821</v>
      </c>
      <c r="B2110" t="s">
        <v>65</v>
      </c>
      <c r="C2110" t="s">
        <v>1808</v>
      </c>
      <c r="D2110" t="s">
        <v>1809</v>
      </c>
      <c r="E2110" t="s">
        <v>1810</v>
      </c>
      <c r="F2110" t="s">
        <v>94</v>
      </c>
      <c r="G2110" t="s">
        <v>277</v>
      </c>
      <c r="H2110" s="12">
        <v>7.0735999999999999</v>
      </c>
      <c r="I2110" s="12">
        <v>-75.148099999999999</v>
      </c>
      <c r="J2110" t="s">
        <v>242</v>
      </c>
      <c r="K2110" t="s">
        <v>97</v>
      </c>
      <c r="L2110" t="s">
        <v>1273</v>
      </c>
      <c r="M2110">
        <v>11</v>
      </c>
      <c r="P2110" s="13">
        <v>185</v>
      </c>
      <c r="Q2110" s="13">
        <v>39</v>
      </c>
      <c r="R2110">
        <v>28</v>
      </c>
      <c r="S2110">
        <v>46</v>
      </c>
      <c r="T2110" s="13">
        <v>26</v>
      </c>
      <c r="U2110" s="13">
        <v>65</v>
      </c>
      <c r="V2110" t="s">
        <v>99</v>
      </c>
      <c r="X2110" s="13">
        <v>185</v>
      </c>
    </row>
    <row r="2111" spans="1:24" x14ac:dyDescent="0.25">
      <c r="A2111" t="s">
        <v>1822</v>
      </c>
      <c r="B2111" t="s">
        <v>65</v>
      </c>
      <c r="C2111" t="s">
        <v>1808</v>
      </c>
      <c r="D2111" t="s">
        <v>1809</v>
      </c>
      <c r="E2111" t="s">
        <v>1810</v>
      </c>
      <c r="F2111" t="s">
        <v>94</v>
      </c>
      <c r="G2111" t="s">
        <v>277</v>
      </c>
      <c r="H2111" s="12">
        <v>7.0735999999999999</v>
      </c>
      <c r="I2111" s="12">
        <v>-75.148099999999999</v>
      </c>
      <c r="J2111" t="s">
        <v>242</v>
      </c>
      <c r="K2111" t="s">
        <v>97</v>
      </c>
      <c r="L2111" t="s">
        <v>1273</v>
      </c>
      <c r="M2111">
        <v>11</v>
      </c>
      <c r="P2111" s="13">
        <v>185</v>
      </c>
      <c r="Q2111" s="13">
        <v>37</v>
      </c>
      <c r="R2111">
        <v>34</v>
      </c>
      <c r="S2111">
        <v>38</v>
      </c>
      <c r="T2111" s="13">
        <v>29</v>
      </c>
      <c r="U2111" s="13">
        <v>67</v>
      </c>
      <c r="V2111" t="s">
        <v>99</v>
      </c>
      <c r="X2111" s="13">
        <v>185</v>
      </c>
    </row>
    <row r="2112" spans="1:24" x14ac:dyDescent="0.25">
      <c r="A2112" t="s">
        <v>1823</v>
      </c>
      <c r="B2112" t="s">
        <v>65</v>
      </c>
      <c r="C2112" t="s">
        <v>1808</v>
      </c>
      <c r="D2112" t="s">
        <v>1809</v>
      </c>
      <c r="E2112" t="s">
        <v>1810</v>
      </c>
      <c r="F2112" t="s">
        <v>94</v>
      </c>
      <c r="G2112" t="s">
        <v>277</v>
      </c>
      <c r="H2112" s="12">
        <v>7.0735999999999999</v>
      </c>
      <c r="I2112" s="12">
        <v>-75.148099999999999</v>
      </c>
      <c r="J2112" t="s">
        <v>242</v>
      </c>
      <c r="K2112" t="s">
        <v>97</v>
      </c>
      <c r="L2112" t="s">
        <v>1273</v>
      </c>
      <c r="M2112">
        <v>11</v>
      </c>
      <c r="P2112" s="13">
        <v>181</v>
      </c>
      <c r="Q2112" s="13">
        <v>51</v>
      </c>
      <c r="R2112">
        <v>16</v>
      </c>
      <c r="S2112">
        <v>36</v>
      </c>
      <c r="T2112" s="13">
        <v>36</v>
      </c>
      <c r="U2112" s="13">
        <v>53</v>
      </c>
      <c r="V2112" t="s">
        <v>99</v>
      </c>
      <c r="X2112" s="13">
        <v>181</v>
      </c>
    </row>
    <row r="2113" spans="1:24" x14ac:dyDescent="0.25">
      <c r="A2113" t="s">
        <v>1824</v>
      </c>
      <c r="B2113" t="s">
        <v>65</v>
      </c>
      <c r="C2113" t="s">
        <v>1808</v>
      </c>
      <c r="D2113" t="s">
        <v>1809</v>
      </c>
      <c r="E2113" t="s">
        <v>1810</v>
      </c>
      <c r="F2113" t="s">
        <v>94</v>
      </c>
      <c r="G2113" t="s">
        <v>277</v>
      </c>
      <c r="H2113" s="12">
        <v>7.0735999999999999</v>
      </c>
      <c r="I2113" s="12">
        <v>-75.148099999999999</v>
      </c>
      <c r="J2113" t="s">
        <v>242</v>
      </c>
      <c r="K2113" t="s">
        <v>97</v>
      </c>
      <c r="L2113" t="s">
        <v>1273</v>
      </c>
      <c r="M2113">
        <v>11</v>
      </c>
      <c r="P2113" s="13">
        <v>181</v>
      </c>
      <c r="Q2113" s="13">
        <v>49</v>
      </c>
      <c r="R2113">
        <v>30</v>
      </c>
      <c r="S2113">
        <v>44</v>
      </c>
      <c r="T2113" s="13">
        <v>22</v>
      </c>
      <c r="U2113" s="13">
        <v>35</v>
      </c>
      <c r="V2113" t="s">
        <v>99</v>
      </c>
      <c r="X2113" s="13">
        <v>181</v>
      </c>
    </row>
    <row r="2114" spans="1:24" x14ac:dyDescent="0.25">
      <c r="A2114" t="s">
        <v>1825</v>
      </c>
      <c r="B2114" t="s">
        <v>65</v>
      </c>
      <c r="C2114" t="s">
        <v>1808</v>
      </c>
      <c r="D2114" t="s">
        <v>1809</v>
      </c>
      <c r="E2114" t="s">
        <v>1810</v>
      </c>
      <c r="F2114" t="s">
        <v>94</v>
      </c>
      <c r="G2114" t="s">
        <v>277</v>
      </c>
      <c r="H2114" s="12">
        <v>7.0735999999999999</v>
      </c>
      <c r="I2114" s="12">
        <v>-75.148099999999999</v>
      </c>
      <c r="J2114" t="s">
        <v>242</v>
      </c>
      <c r="K2114" t="s">
        <v>97</v>
      </c>
      <c r="L2114" t="s">
        <v>1273</v>
      </c>
      <c r="M2114">
        <v>11</v>
      </c>
      <c r="P2114" s="13">
        <v>179</v>
      </c>
      <c r="Q2114" s="13">
        <v>41</v>
      </c>
      <c r="R2114">
        <v>32</v>
      </c>
      <c r="S2114">
        <v>42</v>
      </c>
      <c r="T2114" s="13">
        <v>24</v>
      </c>
      <c r="U2114" s="13">
        <v>45</v>
      </c>
      <c r="V2114" t="s">
        <v>99</v>
      </c>
      <c r="X2114" s="13">
        <v>179</v>
      </c>
    </row>
    <row r="2115" spans="1:24" x14ac:dyDescent="0.25">
      <c r="A2115" t="s">
        <v>1826</v>
      </c>
      <c r="B2115" t="s">
        <v>65</v>
      </c>
      <c r="C2115" t="s">
        <v>1808</v>
      </c>
      <c r="D2115" t="s">
        <v>1809</v>
      </c>
      <c r="E2115" t="s">
        <v>1810</v>
      </c>
      <c r="F2115" t="s">
        <v>94</v>
      </c>
      <c r="G2115" t="s">
        <v>277</v>
      </c>
      <c r="H2115" s="12">
        <v>7.0735999999999999</v>
      </c>
      <c r="I2115" s="12">
        <v>-75.148099999999999</v>
      </c>
      <c r="J2115" t="s">
        <v>242</v>
      </c>
      <c r="K2115" t="s">
        <v>97</v>
      </c>
      <c r="L2115" t="s">
        <v>1273</v>
      </c>
      <c r="M2115">
        <v>11</v>
      </c>
      <c r="P2115" s="13">
        <v>178</v>
      </c>
      <c r="Q2115" s="13">
        <v>39</v>
      </c>
      <c r="R2115">
        <v>28</v>
      </c>
      <c r="S2115">
        <v>38</v>
      </c>
      <c r="T2115" s="13">
        <v>36</v>
      </c>
      <c r="U2115" s="13">
        <v>40</v>
      </c>
      <c r="V2115" t="s">
        <v>99</v>
      </c>
      <c r="X2115" s="13">
        <v>178</v>
      </c>
    </row>
    <row r="2116" spans="1:24" x14ac:dyDescent="0.25">
      <c r="A2116" t="s">
        <v>1827</v>
      </c>
      <c r="B2116" t="s">
        <v>65</v>
      </c>
      <c r="C2116" t="s">
        <v>1808</v>
      </c>
      <c r="D2116" t="s">
        <v>1809</v>
      </c>
      <c r="E2116" t="s">
        <v>1810</v>
      </c>
      <c r="F2116" t="s">
        <v>94</v>
      </c>
      <c r="G2116" t="s">
        <v>277</v>
      </c>
      <c r="H2116" s="12">
        <v>7.0735999999999999</v>
      </c>
      <c r="I2116" s="12">
        <v>-75.148099999999999</v>
      </c>
      <c r="J2116" t="s">
        <v>242</v>
      </c>
      <c r="K2116" t="s">
        <v>97</v>
      </c>
      <c r="L2116" t="s">
        <v>1273</v>
      </c>
      <c r="M2116">
        <v>11</v>
      </c>
      <c r="P2116" s="13">
        <v>177</v>
      </c>
      <c r="Q2116" s="13">
        <v>29</v>
      </c>
      <c r="R2116">
        <v>22</v>
      </c>
      <c r="S2116">
        <v>44</v>
      </c>
      <c r="T2116" s="13">
        <v>40</v>
      </c>
      <c r="U2116" s="13">
        <v>55</v>
      </c>
      <c r="V2116" t="s">
        <v>99</v>
      </c>
      <c r="X2116" s="13">
        <v>177</v>
      </c>
    </row>
    <row r="2117" spans="1:24" x14ac:dyDescent="0.25">
      <c r="A2117" t="s">
        <v>1828</v>
      </c>
      <c r="B2117" t="s">
        <v>65</v>
      </c>
      <c r="C2117" t="s">
        <v>1808</v>
      </c>
      <c r="D2117" t="s">
        <v>1809</v>
      </c>
      <c r="E2117" t="s">
        <v>1810</v>
      </c>
      <c r="F2117" t="s">
        <v>94</v>
      </c>
      <c r="G2117" t="s">
        <v>277</v>
      </c>
      <c r="H2117" s="12">
        <v>7.0735999999999999</v>
      </c>
      <c r="I2117" s="12">
        <v>-75.148099999999999</v>
      </c>
      <c r="J2117" t="s">
        <v>242</v>
      </c>
      <c r="K2117" t="s">
        <v>97</v>
      </c>
      <c r="L2117" t="s">
        <v>1273</v>
      </c>
      <c r="M2117">
        <v>11</v>
      </c>
      <c r="P2117" s="13">
        <v>176</v>
      </c>
      <c r="Q2117" s="13">
        <v>34</v>
      </c>
      <c r="R2117">
        <v>24</v>
      </c>
      <c r="S2117">
        <v>48</v>
      </c>
      <c r="T2117" s="13">
        <v>29</v>
      </c>
      <c r="U2117" s="13">
        <v>51</v>
      </c>
      <c r="V2117" t="s">
        <v>99</v>
      </c>
      <c r="X2117" s="13">
        <v>176</v>
      </c>
    </row>
    <row r="2118" spans="1:24" x14ac:dyDescent="0.25">
      <c r="A2118" t="s">
        <v>1829</v>
      </c>
      <c r="B2118" t="s">
        <v>65</v>
      </c>
      <c r="C2118" t="s">
        <v>1808</v>
      </c>
      <c r="D2118" t="s">
        <v>1809</v>
      </c>
      <c r="E2118" t="s">
        <v>1810</v>
      </c>
      <c r="F2118" t="s">
        <v>94</v>
      </c>
      <c r="G2118" t="s">
        <v>277</v>
      </c>
      <c r="H2118" s="12">
        <v>7.0735999999999999</v>
      </c>
      <c r="I2118" s="12">
        <v>-75.148099999999999</v>
      </c>
      <c r="J2118" t="s">
        <v>242</v>
      </c>
      <c r="K2118" t="s">
        <v>97</v>
      </c>
      <c r="L2118" t="s">
        <v>1273</v>
      </c>
      <c r="M2118">
        <v>11</v>
      </c>
      <c r="P2118" s="13">
        <v>171</v>
      </c>
      <c r="Q2118" s="13">
        <v>29</v>
      </c>
      <c r="R2118">
        <v>24</v>
      </c>
      <c r="S2118">
        <v>52</v>
      </c>
      <c r="T2118" s="13">
        <v>29</v>
      </c>
      <c r="U2118" s="13">
        <v>40</v>
      </c>
      <c r="V2118" t="s">
        <v>99</v>
      </c>
      <c r="X2118" s="13">
        <v>171</v>
      </c>
    </row>
    <row r="2119" spans="1:24" x14ac:dyDescent="0.25">
      <c r="A2119" t="s">
        <v>1830</v>
      </c>
      <c r="B2119" t="s">
        <v>65</v>
      </c>
      <c r="C2119" t="s">
        <v>1808</v>
      </c>
      <c r="D2119" t="s">
        <v>1809</v>
      </c>
      <c r="E2119" t="s">
        <v>1810</v>
      </c>
      <c r="F2119" t="s">
        <v>94</v>
      </c>
      <c r="G2119" t="s">
        <v>277</v>
      </c>
      <c r="H2119" s="12">
        <v>7.0735999999999999</v>
      </c>
      <c r="I2119" s="12">
        <v>-75.148099999999999</v>
      </c>
      <c r="J2119" t="s">
        <v>242</v>
      </c>
      <c r="K2119" t="s">
        <v>97</v>
      </c>
      <c r="L2119" t="s">
        <v>1273</v>
      </c>
      <c r="M2119">
        <v>11</v>
      </c>
      <c r="P2119" s="13">
        <v>166</v>
      </c>
      <c r="Q2119" s="13">
        <v>41</v>
      </c>
      <c r="R2119">
        <v>30</v>
      </c>
      <c r="S2119">
        <v>36</v>
      </c>
      <c r="T2119" s="13">
        <v>26</v>
      </c>
      <c r="U2119" s="13">
        <v>33</v>
      </c>
      <c r="V2119" t="s">
        <v>99</v>
      </c>
      <c r="X2119" s="13">
        <v>166</v>
      </c>
    </row>
    <row r="2120" spans="1:24" x14ac:dyDescent="0.25">
      <c r="A2120" t="s">
        <v>1831</v>
      </c>
      <c r="B2120" t="s">
        <v>65</v>
      </c>
      <c r="C2120" t="s">
        <v>1808</v>
      </c>
      <c r="D2120" t="s">
        <v>1809</v>
      </c>
      <c r="E2120" t="s">
        <v>1810</v>
      </c>
      <c r="F2120" t="s">
        <v>94</v>
      </c>
      <c r="G2120" t="s">
        <v>277</v>
      </c>
      <c r="H2120" s="12">
        <v>7.0735999999999999</v>
      </c>
      <c r="I2120" s="12">
        <v>-75.148099999999999</v>
      </c>
      <c r="J2120" t="s">
        <v>242</v>
      </c>
      <c r="K2120" t="s">
        <v>97</v>
      </c>
      <c r="L2120" t="s">
        <v>1273</v>
      </c>
      <c r="M2120">
        <v>11</v>
      </c>
      <c r="P2120" s="13">
        <v>163</v>
      </c>
      <c r="Q2120" s="13">
        <v>44</v>
      </c>
      <c r="R2120">
        <v>28</v>
      </c>
      <c r="S2120">
        <v>32</v>
      </c>
      <c r="T2120" s="13">
        <v>21</v>
      </c>
      <c r="U2120" s="13">
        <v>49</v>
      </c>
      <c r="V2120" t="s">
        <v>99</v>
      </c>
      <c r="X2120" s="13">
        <v>163</v>
      </c>
    </row>
    <row r="2121" spans="1:24" x14ac:dyDescent="0.25">
      <c r="A2121" t="s">
        <v>1832</v>
      </c>
      <c r="B2121" t="s">
        <v>65</v>
      </c>
      <c r="C2121" t="s">
        <v>1808</v>
      </c>
      <c r="D2121" t="s">
        <v>1809</v>
      </c>
      <c r="E2121" t="s">
        <v>1810</v>
      </c>
      <c r="F2121" t="s">
        <v>94</v>
      </c>
      <c r="G2121" t="s">
        <v>277</v>
      </c>
      <c r="H2121" s="12">
        <v>7.0735999999999999</v>
      </c>
      <c r="I2121" s="12">
        <v>-75.148099999999999</v>
      </c>
      <c r="J2121" t="s">
        <v>242</v>
      </c>
      <c r="K2121" t="s">
        <v>97</v>
      </c>
      <c r="L2121" t="s">
        <v>1273</v>
      </c>
      <c r="M2121">
        <v>11</v>
      </c>
      <c r="P2121" s="13">
        <v>162</v>
      </c>
      <c r="Q2121" s="13">
        <v>29</v>
      </c>
      <c r="R2121">
        <v>26</v>
      </c>
      <c r="S2121">
        <v>42</v>
      </c>
      <c r="T2121" s="13">
        <v>33</v>
      </c>
      <c r="U2121" s="13">
        <v>31</v>
      </c>
      <c r="V2121" t="s">
        <v>99</v>
      </c>
      <c r="X2121" s="13">
        <v>162</v>
      </c>
    </row>
    <row r="2122" spans="1:24" x14ac:dyDescent="0.25">
      <c r="A2122" t="s">
        <v>1833</v>
      </c>
      <c r="B2122" t="s">
        <v>65</v>
      </c>
      <c r="C2122" t="s">
        <v>1808</v>
      </c>
      <c r="D2122" t="s">
        <v>1809</v>
      </c>
      <c r="E2122" t="s">
        <v>1810</v>
      </c>
      <c r="F2122" t="s">
        <v>94</v>
      </c>
      <c r="G2122" t="s">
        <v>277</v>
      </c>
      <c r="H2122" s="12">
        <v>7.0735999999999999</v>
      </c>
      <c r="I2122" s="12">
        <v>-75.148099999999999</v>
      </c>
      <c r="J2122" t="s">
        <v>242</v>
      </c>
      <c r="K2122" t="s">
        <v>97</v>
      </c>
      <c r="L2122" t="s">
        <v>1273</v>
      </c>
      <c r="M2122">
        <v>11</v>
      </c>
      <c r="P2122" s="13">
        <v>151</v>
      </c>
      <c r="Q2122" s="13">
        <v>37</v>
      </c>
      <c r="R2122">
        <v>26</v>
      </c>
      <c r="S2122">
        <v>26</v>
      </c>
      <c r="T2122" s="13">
        <v>29</v>
      </c>
      <c r="U2122" s="13">
        <v>40</v>
      </c>
      <c r="V2122" t="s">
        <v>99</v>
      </c>
      <c r="X2122" s="13">
        <v>151</v>
      </c>
    </row>
    <row r="2123" spans="1:24" x14ac:dyDescent="0.25">
      <c r="A2123" t="s">
        <v>1834</v>
      </c>
      <c r="B2123" t="s">
        <v>65</v>
      </c>
      <c r="C2123" t="s">
        <v>1808</v>
      </c>
      <c r="D2123" t="s">
        <v>1809</v>
      </c>
      <c r="E2123" t="s">
        <v>1810</v>
      </c>
      <c r="F2123" t="s">
        <v>94</v>
      </c>
      <c r="G2123" t="s">
        <v>277</v>
      </c>
      <c r="H2123" s="12">
        <v>7.0735999999999999</v>
      </c>
      <c r="I2123" s="12">
        <v>-75.148099999999999</v>
      </c>
      <c r="J2123" t="s">
        <v>242</v>
      </c>
      <c r="K2123" t="s">
        <v>97</v>
      </c>
      <c r="L2123" t="s">
        <v>1273</v>
      </c>
      <c r="M2123">
        <v>11</v>
      </c>
      <c r="P2123" s="13">
        <v>148</v>
      </c>
      <c r="Q2123" s="13">
        <v>37</v>
      </c>
      <c r="R2123">
        <v>24</v>
      </c>
      <c r="S2123">
        <v>22</v>
      </c>
      <c r="T2123" s="13">
        <v>33</v>
      </c>
      <c r="U2123" s="13">
        <v>38</v>
      </c>
      <c r="V2123" t="s">
        <v>99</v>
      </c>
      <c r="X2123" s="13">
        <v>148</v>
      </c>
    </row>
    <row r="2124" spans="1:24" x14ac:dyDescent="0.25">
      <c r="A2124" t="s">
        <v>1835</v>
      </c>
      <c r="B2124" t="s">
        <v>65</v>
      </c>
      <c r="C2124" t="s">
        <v>1808</v>
      </c>
      <c r="D2124" t="s">
        <v>1809</v>
      </c>
      <c r="E2124" t="s">
        <v>1810</v>
      </c>
      <c r="F2124" t="s">
        <v>94</v>
      </c>
      <c r="G2124" t="s">
        <v>277</v>
      </c>
      <c r="H2124" s="12">
        <v>7.0735999999999999</v>
      </c>
      <c r="I2124" s="12">
        <v>-75.148099999999999</v>
      </c>
      <c r="J2124" t="s">
        <v>242</v>
      </c>
      <c r="K2124" t="s">
        <v>97</v>
      </c>
      <c r="L2124" t="s">
        <v>1273</v>
      </c>
      <c r="M2124">
        <v>11</v>
      </c>
      <c r="P2124" s="13">
        <v>147</v>
      </c>
      <c r="Q2124" s="13">
        <v>32</v>
      </c>
      <c r="R2124">
        <v>18</v>
      </c>
      <c r="S2124">
        <v>34</v>
      </c>
      <c r="T2124" s="13">
        <v>28</v>
      </c>
      <c r="U2124" s="13">
        <v>49</v>
      </c>
      <c r="V2124" t="s">
        <v>99</v>
      </c>
      <c r="X2124" s="13">
        <v>147</v>
      </c>
    </row>
    <row r="2125" spans="1:24" x14ac:dyDescent="0.25">
      <c r="A2125" t="s">
        <v>1836</v>
      </c>
      <c r="B2125" t="s">
        <v>65</v>
      </c>
      <c r="C2125" t="s">
        <v>1808</v>
      </c>
      <c r="D2125" t="s">
        <v>1809</v>
      </c>
      <c r="E2125" t="s">
        <v>1810</v>
      </c>
      <c r="F2125" t="s">
        <v>94</v>
      </c>
      <c r="G2125" t="s">
        <v>277</v>
      </c>
      <c r="H2125" s="12">
        <v>7.0735999999999999</v>
      </c>
      <c r="I2125" s="12">
        <v>-75.148099999999999</v>
      </c>
      <c r="J2125" t="s">
        <v>242</v>
      </c>
      <c r="K2125" t="s">
        <v>97</v>
      </c>
      <c r="L2125" t="s">
        <v>1273</v>
      </c>
      <c r="M2125">
        <v>11</v>
      </c>
      <c r="P2125" s="13">
        <v>146</v>
      </c>
      <c r="Q2125" s="13">
        <v>39</v>
      </c>
      <c r="R2125">
        <v>20</v>
      </c>
      <c r="S2125">
        <v>26</v>
      </c>
      <c r="T2125" s="13">
        <v>29</v>
      </c>
      <c r="U2125" s="13">
        <v>36</v>
      </c>
      <c r="V2125" t="s">
        <v>99</v>
      </c>
      <c r="X2125" s="13">
        <v>146</v>
      </c>
    </row>
    <row r="2126" spans="1:24" x14ac:dyDescent="0.25">
      <c r="A2126" t="s">
        <v>1837</v>
      </c>
      <c r="B2126" t="s">
        <v>65</v>
      </c>
      <c r="C2126" t="s">
        <v>1808</v>
      </c>
      <c r="D2126" t="s">
        <v>1809</v>
      </c>
      <c r="E2126" t="s">
        <v>1810</v>
      </c>
      <c r="F2126" t="s">
        <v>94</v>
      </c>
      <c r="G2126" t="s">
        <v>277</v>
      </c>
      <c r="H2126" s="12">
        <v>7.0735999999999999</v>
      </c>
      <c r="I2126" s="12">
        <v>-75.148099999999999</v>
      </c>
      <c r="J2126" t="s">
        <v>242</v>
      </c>
      <c r="K2126" t="s">
        <v>97</v>
      </c>
      <c r="L2126" t="s">
        <v>1273</v>
      </c>
      <c r="M2126">
        <v>11</v>
      </c>
      <c r="P2126" s="13">
        <v>133</v>
      </c>
      <c r="Q2126" s="13">
        <v>24</v>
      </c>
      <c r="R2126">
        <v>24</v>
      </c>
      <c r="S2126">
        <v>30</v>
      </c>
      <c r="T2126" s="13">
        <v>24</v>
      </c>
      <c r="U2126" s="13">
        <v>38</v>
      </c>
      <c r="V2126" t="s">
        <v>99</v>
      </c>
      <c r="X2126" s="13">
        <v>133</v>
      </c>
    </row>
    <row r="2127" spans="1:24" x14ac:dyDescent="0.25">
      <c r="A2127" t="s">
        <v>1838</v>
      </c>
      <c r="B2127" t="s">
        <v>65</v>
      </c>
      <c r="C2127" t="s">
        <v>1839</v>
      </c>
      <c r="D2127" t="s">
        <v>1840</v>
      </c>
      <c r="E2127" t="s">
        <v>1841</v>
      </c>
      <c r="F2127" t="s">
        <v>94</v>
      </c>
      <c r="G2127" t="s">
        <v>277</v>
      </c>
      <c r="H2127" s="12">
        <v>6.4913999999999996</v>
      </c>
      <c r="I2127" s="12">
        <v>-74.405799999999999</v>
      </c>
      <c r="J2127" t="s">
        <v>1842</v>
      </c>
      <c r="K2127" t="s">
        <v>97</v>
      </c>
      <c r="L2127" t="s">
        <v>1273</v>
      </c>
      <c r="M2127">
        <v>11</v>
      </c>
      <c r="P2127" s="13">
        <v>195</v>
      </c>
      <c r="Q2127" s="13">
        <v>46</v>
      </c>
      <c r="R2127">
        <v>20</v>
      </c>
      <c r="S2127">
        <v>54</v>
      </c>
      <c r="T2127" s="13">
        <v>34</v>
      </c>
      <c r="U2127" s="13">
        <v>42</v>
      </c>
      <c r="V2127" t="s">
        <v>99</v>
      </c>
      <c r="X2127" s="13">
        <v>195</v>
      </c>
    </row>
    <row r="2128" spans="1:24" x14ac:dyDescent="0.25">
      <c r="A2128" t="s">
        <v>1843</v>
      </c>
      <c r="B2128" t="s">
        <v>65</v>
      </c>
      <c r="C2128" t="s">
        <v>1839</v>
      </c>
      <c r="D2128" t="s">
        <v>1840</v>
      </c>
      <c r="E2128" t="s">
        <v>1841</v>
      </c>
      <c r="F2128" t="s">
        <v>94</v>
      </c>
      <c r="G2128" t="s">
        <v>277</v>
      </c>
      <c r="H2128" s="12">
        <v>6.4913999999999996</v>
      </c>
      <c r="I2128" s="12">
        <v>-74.405799999999999</v>
      </c>
      <c r="J2128" t="s">
        <v>1842</v>
      </c>
      <c r="K2128" t="s">
        <v>97</v>
      </c>
      <c r="L2128" t="s">
        <v>1273</v>
      </c>
      <c r="M2128">
        <v>11</v>
      </c>
      <c r="P2128" s="13">
        <v>192</v>
      </c>
      <c r="Q2128" s="13">
        <v>51</v>
      </c>
      <c r="R2128">
        <v>24</v>
      </c>
      <c r="S2128">
        <v>44</v>
      </c>
      <c r="T2128" s="13">
        <v>29</v>
      </c>
      <c r="U2128" s="13">
        <v>53</v>
      </c>
      <c r="V2128" t="s">
        <v>99</v>
      </c>
      <c r="X2128" s="13">
        <v>192</v>
      </c>
    </row>
    <row r="2129" spans="1:24" x14ac:dyDescent="0.25">
      <c r="A2129" t="s">
        <v>1844</v>
      </c>
      <c r="B2129" t="s">
        <v>65</v>
      </c>
      <c r="C2129" t="s">
        <v>1839</v>
      </c>
      <c r="D2129" t="s">
        <v>1840</v>
      </c>
      <c r="E2129" t="s">
        <v>1841</v>
      </c>
      <c r="F2129" t="s">
        <v>94</v>
      </c>
      <c r="G2129" t="s">
        <v>277</v>
      </c>
      <c r="H2129" s="12">
        <v>6.4913999999999996</v>
      </c>
      <c r="I2129" s="12">
        <v>-74.405799999999999</v>
      </c>
      <c r="J2129" t="s">
        <v>1842</v>
      </c>
      <c r="K2129" t="s">
        <v>97</v>
      </c>
      <c r="L2129" t="s">
        <v>1273</v>
      </c>
      <c r="M2129">
        <v>11</v>
      </c>
      <c r="P2129" s="13">
        <v>190</v>
      </c>
      <c r="Q2129" s="13">
        <v>66</v>
      </c>
      <c r="R2129">
        <v>30</v>
      </c>
      <c r="S2129">
        <v>38</v>
      </c>
      <c r="T2129" s="13">
        <v>17</v>
      </c>
      <c r="U2129" s="13">
        <v>42</v>
      </c>
      <c r="V2129" t="s">
        <v>99</v>
      </c>
      <c r="X2129" s="13">
        <v>190</v>
      </c>
    </row>
    <row r="2130" spans="1:24" x14ac:dyDescent="0.25">
      <c r="A2130" t="s">
        <v>1845</v>
      </c>
      <c r="B2130" t="s">
        <v>65</v>
      </c>
      <c r="C2130" t="s">
        <v>1839</v>
      </c>
      <c r="D2130" t="s">
        <v>1840</v>
      </c>
      <c r="E2130" t="s">
        <v>1841</v>
      </c>
      <c r="F2130" t="s">
        <v>94</v>
      </c>
      <c r="G2130" t="s">
        <v>277</v>
      </c>
      <c r="H2130" s="12">
        <v>6.4913999999999996</v>
      </c>
      <c r="I2130" s="12">
        <v>-74.405799999999999</v>
      </c>
      <c r="J2130" t="s">
        <v>1842</v>
      </c>
      <c r="K2130" t="s">
        <v>97</v>
      </c>
      <c r="L2130" t="s">
        <v>1273</v>
      </c>
      <c r="M2130">
        <v>11</v>
      </c>
      <c r="P2130" s="13">
        <v>184</v>
      </c>
      <c r="Q2130" s="13">
        <v>51</v>
      </c>
      <c r="R2130">
        <v>24</v>
      </c>
      <c r="S2130">
        <v>40</v>
      </c>
      <c r="T2130" s="13">
        <v>28</v>
      </c>
      <c r="U2130" s="13">
        <v>49</v>
      </c>
      <c r="V2130" t="s">
        <v>99</v>
      </c>
      <c r="X2130" s="13">
        <v>184</v>
      </c>
    </row>
    <row r="2131" spans="1:24" x14ac:dyDescent="0.25">
      <c r="A2131" t="s">
        <v>1846</v>
      </c>
      <c r="B2131" t="s">
        <v>65</v>
      </c>
      <c r="C2131" t="s">
        <v>1839</v>
      </c>
      <c r="D2131" t="s">
        <v>1840</v>
      </c>
      <c r="E2131" t="s">
        <v>1841</v>
      </c>
      <c r="F2131" t="s">
        <v>94</v>
      </c>
      <c r="G2131" t="s">
        <v>277</v>
      </c>
      <c r="H2131" s="12">
        <v>6.4913999999999996</v>
      </c>
      <c r="I2131" s="12">
        <v>-74.405799999999999</v>
      </c>
      <c r="J2131" t="s">
        <v>1842</v>
      </c>
      <c r="K2131" t="s">
        <v>97</v>
      </c>
      <c r="L2131" t="s">
        <v>1273</v>
      </c>
      <c r="M2131">
        <v>11</v>
      </c>
      <c r="P2131" s="13">
        <v>176</v>
      </c>
      <c r="Q2131" s="13">
        <v>49</v>
      </c>
      <c r="R2131">
        <v>16</v>
      </c>
      <c r="S2131">
        <v>38</v>
      </c>
      <c r="T2131" s="13">
        <v>38</v>
      </c>
      <c r="U2131" s="13">
        <v>35</v>
      </c>
      <c r="V2131" t="s">
        <v>99</v>
      </c>
      <c r="X2131" s="13">
        <v>176</v>
      </c>
    </row>
    <row r="2132" spans="1:24" x14ac:dyDescent="0.25">
      <c r="A2132" t="s">
        <v>1847</v>
      </c>
      <c r="B2132" t="s">
        <v>65</v>
      </c>
      <c r="C2132" t="s">
        <v>1839</v>
      </c>
      <c r="D2132" t="s">
        <v>1840</v>
      </c>
      <c r="E2132" t="s">
        <v>1841</v>
      </c>
      <c r="F2132" t="s">
        <v>94</v>
      </c>
      <c r="G2132" t="s">
        <v>277</v>
      </c>
      <c r="H2132" s="12">
        <v>6.4913999999999996</v>
      </c>
      <c r="I2132" s="12">
        <v>-74.405799999999999</v>
      </c>
      <c r="J2132" t="s">
        <v>1842</v>
      </c>
      <c r="K2132" t="s">
        <v>97</v>
      </c>
      <c r="L2132" t="s">
        <v>1273</v>
      </c>
      <c r="M2132">
        <v>11</v>
      </c>
      <c r="P2132" s="13">
        <v>163</v>
      </c>
      <c r="Q2132" s="13">
        <v>29</v>
      </c>
      <c r="R2132">
        <v>28</v>
      </c>
      <c r="S2132">
        <v>48</v>
      </c>
      <c r="T2132" s="13">
        <v>22</v>
      </c>
      <c r="U2132" s="13">
        <v>42</v>
      </c>
      <c r="V2132" t="s">
        <v>99</v>
      </c>
      <c r="X2132" s="13">
        <v>163</v>
      </c>
    </row>
    <row r="2133" spans="1:24" x14ac:dyDescent="0.25">
      <c r="A2133" t="s">
        <v>1848</v>
      </c>
      <c r="B2133" t="s">
        <v>65</v>
      </c>
      <c r="C2133" t="s">
        <v>1839</v>
      </c>
      <c r="D2133" t="s">
        <v>1840</v>
      </c>
      <c r="E2133" t="s">
        <v>1841</v>
      </c>
      <c r="F2133" t="s">
        <v>94</v>
      </c>
      <c r="G2133" t="s">
        <v>277</v>
      </c>
      <c r="H2133" s="12">
        <v>6.4913999999999996</v>
      </c>
      <c r="I2133" s="12">
        <v>-74.405799999999999</v>
      </c>
      <c r="J2133" t="s">
        <v>1842</v>
      </c>
      <c r="K2133" t="s">
        <v>97</v>
      </c>
      <c r="L2133" t="s">
        <v>1273</v>
      </c>
      <c r="M2133">
        <v>11</v>
      </c>
      <c r="P2133" s="13">
        <v>163</v>
      </c>
      <c r="Q2133" s="13">
        <v>37</v>
      </c>
      <c r="R2133">
        <v>36</v>
      </c>
      <c r="S2133">
        <v>30</v>
      </c>
      <c r="T2133" s="13">
        <v>29</v>
      </c>
      <c r="U2133" s="13">
        <v>29</v>
      </c>
      <c r="V2133" t="s">
        <v>99</v>
      </c>
      <c r="X2133" s="13">
        <v>163</v>
      </c>
    </row>
    <row r="2134" spans="1:24" x14ac:dyDescent="0.25">
      <c r="A2134" t="s">
        <v>1849</v>
      </c>
      <c r="B2134" t="s">
        <v>65</v>
      </c>
      <c r="C2134" t="s">
        <v>1839</v>
      </c>
      <c r="D2134" t="s">
        <v>1840</v>
      </c>
      <c r="E2134" t="s">
        <v>1841</v>
      </c>
      <c r="F2134" t="s">
        <v>94</v>
      </c>
      <c r="G2134" t="s">
        <v>277</v>
      </c>
      <c r="H2134" s="12">
        <v>6.4913999999999996</v>
      </c>
      <c r="I2134" s="12">
        <v>-74.405799999999999</v>
      </c>
      <c r="J2134" t="s">
        <v>1842</v>
      </c>
      <c r="K2134" t="s">
        <v>97</v>
      </c>
      <c r="L2134" t="s">
        <v>1273</v>
      </c>
      <c r="M2134">
        <v>11</v>
      </c>
      <c r="P2134" s="13">
        <v>158</v>
      </c>
      <c r="Q2134" s="13">
        <v>29</v>
      </c>
      <c r="R2134">
        <v>28</v>
      </c>
      <c r="S2134">
        <v>36</v>
      </c>
      <c r="T2134" s="13">
        <v>33</v>
      </c>
      <c r="U2134" s="13">
        <v>33</v>
      </c>
      <c r="V2134" t="s">
        <v>99</v>
      </c>
      <c r="X2134" s="13">
        <v>158</v>
      </c>
    </row>
    <row r="2135" spans="1:24" x14ac:dyDescent="0.25">
      <c r="A2135" t="s">
        <v>1850</v>
      </c>
      <c r="B2135" t="s">
        <v>65</v>
      </c>
      <c r="C2135" t="s">
        <v>1839</v>
      </c>
      <c r="D2135" t="s">
        <v>1840</v>
      </c>
      <c r="E2135" t="s">
        <v>1841</v>
      </c>
      <c r="F2135" t="s">
        <v>94</v>
      </c>
      <c r="G2135" t="s">
        <v>277</v>
      </c>
      <c r="H2135" s="12">
        <v>6.4913999999999996</v>
      </c>
      <c r="I2135" s="12">
        <v>-74.405799999999999</v>
      </c>
      <c r="J2135" t="s">
        <v>1842</v>
      </c>
      <c r="K2135" t="s">
        <v>97</v>
      </c>
      <c r="L2135" t="s">
        <v>1273</v>
      </c>
      <c r="M2135">
        <v>11</v>
      </c>
      <c r="P2135" s="13">
        <v>151</v>
      </c>
      <c r="Q2135" s="13">
        <v>34</v>
      </c>
      <c r="R2135">
        <v>28</v>
      </c>
      <c r="S2135">
        <v>30</v>
      </c>
      <c r="T2135" s="13">
        <v>26</v>
      </c>
      <c r="U2135" s="13">
        <v>38</v>
      </c>
      <c r="V2135" t="s">
        <v>99</v>
      </c>
      <c r="X2135" s="13">
        <v>151</v>
      </c>
    </row>
    <row r="2136" spans="1:24" x14ac:dyDescent="0.25">
      <c r="A2136" t="s">
        <v>1851</v>
      </c>
      <c r="B2136" t="s">
        <v>65</v>
      </c>
      <c r="C2136" t="s">
        <v>1839</v>
      </c>
      <c r="D2136" t="s">
        <v>1840</v>
      </c>
      <c r="E2136" t="s">
        <v>1841</v>
      </c>
      <c r="F2136" t="s">
        <v>94</v>
      </c>
      <c r="G2136" t="s">
        <v>277</v>
      </c>
      <c r="H2136" s="12">
        <v>6.4913999999999996</v>
      </c>
      <c r="I2136" s="12">
        <v>-74.405799999999999</v>
      </c>
      <c r="J2136" t="s">
        <v>1842</v>
      </c>
      <c r="K2136" t="s">
        <v>97</v>
      </c>
      <c r="L2136" t="s">
        <v>1273</v>
      </c>
      <c r="M2136">
        <v>11</v>
      </c>
      <c r="P2136" s="13">
        <v>149</v>
      </c>
      <c r="Q2136" s="13">
        <v>32</v>
      </c>
      <c r="R2136">
        <v>30</v>
      </c>
      <c r="S2136">
        <v>38</v>
      </c>
      <c r="T2136" s="13">
        <v>22</v>
      </c>
      <c r="U2136" s="13">
        <v>22</v>
      </c>
      <c r="V2136" t="s">
        <v>99</v>
      </c>
      <c r="X2136" s="13">
        <v>149</v>
      </c>
    </row>
    <row r="2137" spans="1:24" x14ac:dyDescent="0.25">
      <c r="A2137" t="s">
        <v>1852</v>
      </c>
      <c r="B2137" t="s">
        <v>65</v>
      </c>
      <c r="C2137" t="s">
        <v>1839</v>
      </c>
      <c r="D2137" t="s">
        <v>1840</v>
      </c>
      <c r="E2137" t="s">
        <v>1841</v>
      </c>
      <c r="F2137" t="s">
        <v>94</v>
      </c>
      <c r="G2137" t="s">
        <v>277</v>
      </c>
      <c r="H2137" s="12">
        <v>6.4913999999999996</v>
      </c>
      <c r="I2137" s="12">
        <v>-74.405799999999999</v>
      </c>
      <c r="J2137" t="s">
        <v>1842</v>
      </c>
      <c r="K2137" t="s">
        <v>97</v>
      </c>
      <c r="L2137" t="s">
        <v>1273</v>
      </c>
      <c r="M2137">
        <v>11</v>
      </c>
      <c r="P2137" s="13">
        <v>149</v>
      </c>
      <c r="Q2137" s="13">
        <v>44</v>
      </c>
      <c r="R2137">
        <v>22</v>
      </c>
      <c r="S2137">
        <v>22</v>
      </c>
      <c r="T2137" s="13">
        <v>31</v>
      </c>
      <c r="U2137" s="13">
        <v>31</v>
      </c>
      <c r="V2137" t="s">
        <v>99</v>
      </c>
      <c r="X2137" s="13">
        <v>149</v>
      </c>
    </row>
    <row r="2138" spans="1:24" x14ac:dyDescent="0.25">
      <c r="A2138" t="s">
        <v>1853</v>
      </c>
      <c r="B2138" t="s">
        <v>65</v>
      </c>
      <c r="C2138" t="s">
        <v>1839</v>
      </c>
      <c r="D2138" t="s">
        <v>1840</v>
      </c>
      <c r="E2138" t="s">
        <v>1841</v>
      </c>
      <c r="F2138" t="s">
        <v>94</v>
      </c>
      <c r="G2138" t="s">
        <v>277</v>
      </c>
      <c r="H2138" s="12">
        <v>6.4913999999999996</v>
      </c>
      <c r="I2138" s="12">
        <v>-74.405799999999999</v>
      </c>
      <c r="J2138" t="s">
        <v>1842</v>
      </c>
      <c r="K2138" t="s">
        <v>97</v>
      </c>
      <c r="L2138" t="s">
        <v>1273</v>
      </c>
      <c r="M2138">
        <v>11</v>
      </c>
      <c r="P2138" s="13">
        <v>149</v>
      </c>
      <c r="Q2138" s="13">
        <v>32</v>
      </c>
      <c r="R2138">
        <v>32</v>
      </c>
      <c r="S2138">
        <v>28</v>
      </c>
      <c r="T2138" s="13">
        <v>21</v>
      </c>
      <c r="U2138" s="13">
        <v>49</v>
      </c>
      <c r="V2138" t="s">
        <v>99</v>
      </c>
      <c r="X2138" s="13">
        <v>149</v>
      </c>
    </row>
    <row r="2139" spans="1:24" x14ac:dyDescent="0.25">
      <c r="A2139" t="s">
        <v>1854</v>
      </c>
      <c r="B2139" t="s">
        <v>65</v>
      </c>
      <c r="C2139" t="s">
        <v>1839</v>
      </c>
      <c r="D2139" t="s">
        <v>1840</v>
      </c>
      <c r="E2139" t="s">
        <v>1841</v>
      </c>
      <c r="F2139" t="s">
        <v>94</v>
      </c>
      <c r="G2139" t="s">
        <v>277</v>
      </c>
      <c r="H2139" s="12">
        <v>6.4913999999999996</v>
      </c>
      <c r="I2139" s="12">
        <v>-74.405799999999999</v>
      </c>
      <c r="J2139" t="s">
        <v>1842</v>
      </c>
      <c r="K2139" t="s">
        <v>97</v>
      </c>
      <c r="L2139" t="s">
        <v>1273</v>
      </c>
      <c r="M2139">
        <v>11</v>
      </c>
      <c r="P2139" s="13">
        <v>141</v>
      </c>
      <c r="Q2139" s="13">
        <v>22</v>
      </c>
      <c r="R2139">
        <v>40</v>
      </c>
      <c r="S2139">
        <v>28</v>
      </c>
      <c r="T2139" s="13">
        <v>22</v>
      </c>
      <c r="U2139" s="13">
        <v>29</v>
      </c>
      <c r="V2139" t="s">
        <v>99</v>
      </c>
      <c r="X2139" s="13">
        <v>141</v>
      </c>
    </row>
    <row r="2140" spans="1:24" x14ac:dyDescent="0.25">
      <c r="A2140" t="s">
        <v>1855</v>
      </c>
      <c r="B2140" t="s">
        <v>65</v>
      </c>
      <c r="C2140" t="s">
        <v>1839</v>
      </c>
      <c r="D2140" t="s">
        <v>1840</v>
      </c>
      <c r="E2140" t="s">
        <v>1841</v>
      </c>
      <c r="F2140" t="s">
        <v>94</v>
      </c>
      <c r="G2140" t="s">
        <v>277</v>
      </c>
      <c r="H2140" s="12">
        <v>6.4913999999999996</v>
      </c>
      <c r="I2140" s="12">
        <v>-74.405799999999999</v>
      </c>
      <c r="J2140" t="s">
        <v>1842</v>
      </c>
      <c r="K2140" t="s">
        <v>97</v>
      </c>
      <c r="L2140" t="s">
        <v>1273</v>
      </c>
      <c r="M2140">
        <v>11</v>
      </c>
      <c r="P2140" s="13">
        <v>141</v>
      </c>
      <c r="Q2140" s="13">
        <v>17</v>
      </c>
      <c r="R2140">
        <v>34</v>
      </c>
      <c r="S2140">
        <v>26</v>
      </c>
      <c r="T2140" s="13">
        <v>34</v>
      </c>
      <c r="U2140" s="13">
        <v>31</v>
      </c>
      <c r="V2140" t="s">
        <v>99</v>
      </c>
      <c r="X2140" s="13">
        <v>141</v>
      </c>
    </row>
    <row r="2141" spans="1:24" x14ac:dyDescent="0.25">
      <c r="A2141" t="s">
        <v>1856</v>
      </c>
      <c r="B2141" t="s">
        <v>65</v>
      </c>
      <c r="C2141" t="s">
        <v>1839</v>
      </c>
      <c r="D2141" t="s">
        <v>1840</v>
      </c>
      <c r="E2141" t="s">
        <v>1841</v>
      </c>
      <c r="F2141" t="s">
        <v>94</v>
      </c>
      <c r="G2141" t="s">
        <v>277</v>
      </c>
      <c r="H2141" s="12">
        <v>6.4913999999999996</v>
      </c>
      <c r="I2141" s="12">
        <v>-74.405799999999999</v>
      </c>
      <c r="J2141" t="s">
        <v>1842</v>
      </c>
      <c r="K2141" t="s">
        <v>97</v>
      </c>
      <c r="L2141" t="s">
        <v>1273</v>
      </c>
      <c r="M2141">
        <v>11</v>
      </c>
      <c r="P2141" s="13">
        <v>139</v>
      </c>
      <c r="Q2141" s="13">
        <v>27</v>
      </c>
      <c r="R2141">
        <v>16</v>
      </c>
      <c r="S2141">
        <v>34</v>
      </c>
      <c r="T2141" s="13">
        <v>31</v>
      </c>
      <c r="U2141" s="13">
        <v>38</v>
      </c>
      <c r="V2141" t="s">
        <v>99</v>
      </c>
      <c r="X2141" s="13">
        <v>139</v>
      </c>
    </row>
    <row r="2142" spans="1:24" x14ac:dyDescent="0.25">
      <c r="A2142" t="s">
        <v>1857</v>
      </c>
      <c r="B2142" t="s">
        <v>65</v>
      </c>
      <c r="C2142" t="s">
        <v>1839</v>
      </c>
      <c r="D2142" t="s">
        <v>1840</v>
      </c>
      <c r="E2142" t="s">
        <v>1841</v>
      </c>
      <c r="F2142" t="s">
        <v>94</v>
      </c>
      <c r="G2142" t="s">
        <v>277</v>
      </c>
      <c r="H2142" s="12">
        <v>6.4913999999999996</v>
      </c>
      <c r="I2142" s="12">
        <v>-74.405799999999999</v>
      </c>
      <c r="J2142" t="s">
        <v>1842</v>
      </c>
      <c r="K2142" t="s">
        <v>97</v>
      </c>
      <c r="L2142" t="s">
        <v>1273</v>
      </c>
      <c r="M2142">
        <v>11</v>
      </c>
      <c r="P2142" s="13">
        <v>139</v>
      </c>
      <c r="Q2142" s="13">
        <v>17</v>
      </c>
      <c r="R2142">
        <v>34</v>
      </c>
      <c r="S2142">
        <v>38</v>
      </c>
      <c r="T2142" s="13">
        <v>24</v>
      </c>
      <c r="U2142" s="13">
        <v>22</v>
      </c>
      <c r="V2142" t="s">
        <v>99</v>
      </c>
      <c r="X2142" s="13">
        <v>139</v>
      </c>
    </row>
    <row r="2143" spans="1:24" x14ac:dyDescent="0.25">
      <c r="A2143" t="s">
        <v>1858</v>
      </c>
      <c r="B2143" t="s">
        <v>65</v>
      </c>
      <c r="C2143" t="s">
        <v>1839</v>
      </c>
      <c r="D2143" t="s">
        <v>1840</v>
      </c>
      <c r="E2143" t="s">
        <v>1841</v>
      </c>
      <c r="F2143" t="s">
        <v>94</v>
      </c>
      <c r="G2143" t="s">
        <v>277</v>
      </c>
      <c r="H2143" s="12">
        <v>6.4913999999999996</v>
      </c>
      <c r="I2143" s="12">
        <v>-74.405799999999999</v>
      </c>
      <c r="J2143" t="s">
        <v>1842</v>
      </c>
      <c r="K2143" t="s">
        <v>97</v>
      </c>
      <c r="L2143" t="s">
        <v>1273</v>
      </c>
      <c r="M2143">
        <v>11</v>
      </c>
      <c r="P2143" s="13">
        <v>138</v>
      </c>
      <c r="Q2143" s="13">
        <v>32</v>
      </c>
      <c r="R2143">
        <v>28</v>
      </c>
      <c r="S2143">
        <v>26</v>
      </c>
      <c r="T2143" s="13">
        <v>22</v>
      </c>
      <c r="U2143" s="13">
        <v>35</v>
      </c>
      <c r="V2143" t="s">
        <v>99</v>
      </c>
      <c r="X2143" s="13">
        <v>138</v>
      </c>
    </row>
    <row r="2144" spans="1:24" x14ac:dyDescent="0.25">
      <c r="A2144" t="s">
        <v>1859</v>
      </c>
      <c r="B2144" t="s">
        <v>65</v>
      </c>
      <c r="C2144" t="s">
        <v>1839</v>
      </c>
      <c r="D2144" t="s">
        <v>1840</v>
      </c>
      <c r="E2144" t="s">
        <v>1841</v>
      </c>
      <c r="F2144" t="s">
        <v>94</v>
      </c>
      <c r="G2144" t="s">
        <v>277</v>
      </c>
      <c r="H2144" s="12">
        <v>6.4913999999999996</v>
      </c>
      <c r="I2144" s="12">
        <v>-74.405799999999999</v>
      </c>
      <c r="J2144" t="s">
        <v>1842</v>
      </c>
      <c r="K2144" t="s">
        <v>97</v>
      </c>
      <c r="L2144" t="s">
        <v>1273</v>
      </c>
      <c r="M2144">
        <v>11</v>
      </c>
      <c r="P2144" s="13">
        <v>137</v>
      </c>
      <c r="Q2144" s="13">
        <v>27</v>
      </c>
      <c r="R2144">
        <v>28</v>
      </c>
      <c r="S2144">
        <v>22</v>
      </c>
      <c r="T2144" s="13">
        <v>31</v>
      </c>
      <c r="U2144" s="13">
        <v>33</v>
      </c>
      <c r="V2144" t="s">
        <v>99</v>
      </c>
      <c r="X2144" s="13">
        <v>137</v>
      </c>
    </row>
    <row r="2145" spans="1:24" x14ac:dyDescent="0.25">
      <c r="A2145" t="s">
        <v>1860</v>
      </c>
      <c r="B2145" t="s">
        <v>65</v>
      </c>
      <c r="C2145" t="s">
        <v>1839</v>
      </c>
      <c r="D2145" t="s">
        <v>1840</v>
      </c>
      <c r="E2145" t="s">
        <v>1841</v>
      </c>
      <c r="F2145" t="s">
        <v>94</v>
      </c>
      <c r="G2145" t="s">
        <v>277</v>
      </c>
      <c r="H2145" s="12">
        <v>6.4913999999999996</v>
      </c>
      <c r="I2145" s="12">
        <v>-74.405799999999999</v>
      </c>
      <c r="J2145" t="s">
        <v>1842</v>
      </c>
      <c r="K2145" t="s">
        <v>97</v>
      </c>
      <c r="L2145" t="s">
        <v>1273</v>
      </c>
      <c r="M2145">
        <v>11</v>
      </c>
      <c r="P2145" s="13">
        <v>137</v>
      </c>
      <c r="Q2145" s="13">
        <v>44</v>
      </c>
      <c r="R2145">
        <v>20</v>
      </c>
      <c r="S2145">
        <v>24</v>
      </c>
      <c r="T2145" s="13">
        <v>24</v>
      </c>
      <c r="U2145" s="13">
        <v>20</v>
      </c>
      <c r="V2145" t="s">
        <v>99</v>
      </c>
      <c r="X2145" s="13">
        <v>137</v>
      </c>
    </row>
    <row r="2146" spans="1:24" x14ac:dyDescent="0.25">
      <c r="A2146" t="s">
        <v>1861</v>
      </c>
      <c r="B2146" t="s">
        <v>65</v>
      </c>
      <c r="C2146" t="s">
        <v>1839</v>
      </c>
      <c r="D2146" t="s">
        <v>1840</v>
      </c>
      <c r="E2146" t="s">
        <v>1841</v>
      </c>
      <c r="F2146" t="s">
        <v>94</v>
      </c>
      <c r="G2146" t="s">
        <v>277</v>
      </c>
      <c r="H2146" s="12">
        <v>6.4913999999999996</v>
      </c>
      <c r="I2146" s="12">
        <v>-74.405799999999999</v>
      </c>
      <c r="J2146" t="s">
        <v>1842</v>
      </c>
      <c r="K2146" t="s">
        <v>97</v>
      </c>
      <c r="L2146" t="s">
        <v>1273</v>
      </c>
      <c r="M2146">
        <v>11</v>
      </c>
      <c r="P2146" s="13">
        <v>137</v>
      </c>
      <c r="Q2146" s="13">
        <v>29</v>
      </c>
      <c r="R2146">
        <v>34</v>
      </c>
      <c r="S2146">
        <v>26</v>
      </c>
      <c r="T2146" s="13">
        <v>22</v>
      </c>
      <c r="U2146" s="13">
        <v>20</v>
      </c>
      <c r="V2146" t="s">
        <v>99</v>
      </c>
      <c r="X2146" s="13">
        <v>137</v>
      </c>
    </row>
    <row r="2147" spans="1:24" x14ac:dyDescent="0.25">
      <c r="A2147" t="s">
        <v>1862</v>
      </c>
      <c r="B2147" t="s">
        <v>65</v>
      </c>
      <c r="C2147" t="s">
        <v>1839</v>
      </c>
      <c r="D2147" t="s">
        <v>1840</v>
      </c>
      <c r="E2147" t="s">
        <v>1841</v>
      </c>
      <c r="F2147" t="s">
        <v>94</v>
      </c>
      <c r="G2147" t="s">
        <v>277</v>
      </c>
      <c r="H2147" s="12">
        <v>6.4913999999999996</v>
      </c>
      <c r="I2147" s="12">
        <v>-74.405799999999999</v>
      </c>
      <c r="J2147" t="s">
        <v>1842</v>
      </c>
      <c r="K2147" t="s">
        <v>97</v>
      </c>
      <c r="L2147" t="s">
        <v>1273</v>
      </c>
      <c r="M2147">
        <v>11</v>
      </c>
      <c r="P2147" s="13">
        <v>135</v>
      </c>
      <c r="Q2147" s="13">
        <v>44</v>
      </c>
      <c r="R2147">
        <v>22</v>
      </c>
      <c r="S2147">
        <v>20</v>
      </c>
      <c r="T2147" s="13">
        <v>22</v>
      </c>
      <c r="U2147" s="13">
        <v>25</v>
      </c>
      <c r="V2147" t="s">
        <v>99</v>
      </c>
      <c r="X2147" s="13">
        <v>135</v>
      </c>
    </row>
    <row r="2148" spans="1:24" x14ac:dyDescent="0.25">
      <c r="A2148" t="s">
        <v>1863</v>
      </c>
      <c r="B2148" t="s">
        <v>65</v>
      </c>
      <c r="C2148" t="s">
        <v>1839</v>
      </c>
      <c r="D2148" t="s">
        <v>1840</v>
      </c>
      <c r="E2148" t="s">
        <v>1841</v>
      </c>
      <c r="F2148" t="s">
        <v>94</v>
      </c>
      <c r="G2148" t="s">
        <v>277</v>
      </c>
      <c r="H2148" s="12">
        <v>6.4913999999999996</v>
      </c>
      <c r="I2148" s="12">
        <v>-74.405799999999999</v>
      </c>
      <c r="J2148" t="s">
        <v>1842</v>
      </c>
      <c r="K2148" t="s">
        <v>97</v>
      </c>
      <c r="L2148" t="s">
        <v>1273</v>
      </c>
      <c r="M2148">
        <v>11</v>
      </c>
      <c r="P2148" s="13">
        <v>130</v>
      </c>
      <c r="Q2148" s="13">
        <v>27</v>
      </c>
      <c r="R2148">
        <v>38</v>
      </c>
      <c r="S2148">
        <v>22</v>
      </c>
      <c r="T2148" s="13">
        <v>19</v>
      </c>
      <c r="U2148" s="13">
        <v>22</v>
      </c>
      <c r="V2148" t="s">
        <v>99</v>
      </c>
      <c r="X2148" s="13">
        <v>130</v>
      </c>
    </row>
    <row r="2149" spans="1:24" x14ac:dyDescent="0.25">
      <c r="A2149" t="s">
        <v>1864</v>
      </c>
      <c r="B2149" t="s">
        <v>65</v>
      </c>
      <c r="C2149" t="s">
        <v>1839</v>
      </c>
      <c r="D2149" t="s">
        <v>1840</v>
      </c>
      <c r="E2149" t="s">
        <v>1841</v>
      </c>
      <c r="F2149" t="s">
        <v>94</v>
      </c>
      <c r="G2149" t="s">
        <v>277</v>
      </c>
      <c r="H2149" s="12">
        <v>6.4913999999999996</v>
      </c>
      <c r="I2149" s="12">
        <v>-74.405799999999999</v>
      </c>
      <c r="J2149" t="s">
        <v>1842</v>
      </c>
      <c r="K2149" t="s">
        <v>97</v>
      </c>
      <c r="L2149" t="s">
        <v>1273</v>
      </c>
      <c r="M2149">
        <v>11</v>
      </c>
      <c r="P2149" s="13">
        <v>130</v>
      </c>
      <c r="Q2149" s="13">
        <v>29</v>
      </c>
      <c r="R2149">
        <v>26</v>
      </c>
      <c r="S2149">
        <v>26</v>
      </c>
      <c r="T2149" s="13">
        <v>21</v>
      </c>
      <c r="U2149" s="13">
        <v>33</v>
      </c>
      <c r="V2149" t="s">
        <v>99</v>
      </c>
      <c r="X2149" s="13">
        <v>130</v>
      </c>
    </row>
    <row r="2150" spans="1:24" x14ac:dyDescent="0.25">
      <c r="A2150" t="s">
        <v>1865</v>
      </c>
      <c r="B2150" t="s">
        <v>65</v>
      </c>
      <c r="C2150" t="s">
        <v>1839</v>
      </c>
      <c r="D2150" t="s">
        <v>1840</v>
      </c>
      <c r="E2150" t="s">
        <v>1841</v>
      </c>
      <c r="F2150" t="s">
        <v>94</v>
      </c>
      <c r="G2150" t="s">
        <v>277</v>
      </c>
      <c r="H2150" s="12">
        <v>6.4913999999999996</v>
      </c>
      <c r="I2150" s="12">
        <v>-74.405799999999999</v>
      </c>
      <c r="J2150" t="s">
        <v>1842</v>
      </c>
      <c r="K2150" t="s">
        <v>97</v>
      </c>
      <c r="L2150" t="s">
        <v>1273</v>
      </c>
      <c r="M2150">
        <v>11</v>
      </c>
      <c r="P2150" s="13">
        <v>122</v>
      </c>
      <c r="Q2150" s="13">
        <v>22</v>
      </c>
      <c r="R2150">
        <v>24</v>
      </c>
      <c r="S2150">
        <v>34</v>
      </c>
      <c r="T2150" s="13">
        <v>14</v>
      </c>
      <c r="U2150" s="13">
        <v>36</v>
      </c>
      <c r="V2150" t="s">
        <v>99</v>
      </c>
      <c r="X2150" s="13">
        <v>122</v>
      </c>
    </row>
    <row r="2151" spans="1:24" x14ac:dyDescent="0.25">
      <c r="A2151" t="s">
        <v>1866</v>
      </c>
      <c r="B2151" t="s">
        <v>65</v>
      </c>
      <c r="C2151" t="s">
        <v>1839</v>
      </c>
      <c r="D2151" t="s">
        <v>1840</v>
      </c>
      <c r="E2151" t="s">
        <v>1841</v>
      </c>
      <c r="F2151" t="s">
        <v>94</v>
      </c>
      <c r="G2151" t="s">
        <v>277</v>
      </c>
      <c r="H2151" s="12">
        <v>6.4913999999999996</v>
      </c>
      <c r="I2151" s="12">
        <v>-74.405799999999999</v>
      </c>
      <c r="J2151" t="s">
        <v>1842</v>
      </c>
      <c r="K2151" t="s">
        <v>97</v>
      </c>
      <c r="L2151" t="s">
        <v>1273</v>
      </c>
      <c r="M2151">
        <v>11</v>
      </c>
      <c r="P2151" s="13">
        <v>120</v>
      </c>
      <c r="Q2151" s="13">
        <v>20</v>
      </c>
      <c r="R2151">
        <v>30</v>
      </c>
      <c r="S2151">
        <v>26</v>
      </c>
      <c r="T2151" s="13">
        <v>21</v>
      </c>
      <c r="U2151" s="13">
        <v>24</v>
      </c>
      <c r="V2151" t="s">
        <v>99</v>
      </c>
      <c r="X2151" s="13">
        <v>120</v>
      </c>
    </row>
    <row r="2152" spans="1:24" x14ac:dyDescent="0.25">
      <c r="A2152" t="s">
        <v>1867</v>
      </c>
      <c r="B2152" t="s">
        <v>65</v>
      </c>
      <c r="C2152" t="s">
        <v>1839</v>
      </c>
      <c r="D2152" t="s">
        <v>1840</v>
      </c>
      <c r="E2152" t="s">
        <v>1841</v>
      </c>
      <c r="F2152" t="s">
        <v>94</v>
      </c>
      <c r="G2152" t="s">
        <v>277</v>
      </c>
      <c r="H2152" s="12">
        <v>6.4913999999999996</v>
      </c>
      <c r="I2152" s="12">
        <v>-74.405799999999999</v>
      </c>
      <c r="J2152" t="s">
        <v>1842</v>
      </c>
      <c r="K2152" t="s">
        <v>97</v>
      </c>
      <c r="L2152" t="s">
        <v>1273</v>
      </c>
      <c r="M2152">
        <v>11</v>
      </c>
      <c r="P2152" s="13">
        <v>118</v>
      </c>
      <c r="Q2152" s="13">
        <v>29</v>
      </c>
      <c r="R2152">
        <v>26</v>
      </c>
      <c r="S2152">
        <v>18</v>
      </c>
      <c r="T2152" s="13">
        <v>21</v>
      </c>
      <c r="U2152" s="13">
        <v>25</v>
      </c>
      <c r="V2152" t="s">
        <v>99</v>
      </c>
      <c r="X2152" s="13">
        <v>118</v>
      </c>
    </row>
    <row r="2153" spans="1:24" x14ac:dyDescent="0.25">
      <c r="A2153" t="s">
        <v>1868</v>
      </c>
      <c r="B2153" t="s">
        <v>65</v>
      </c>
      <c r="C2153" t="s">
        <v>1839</v>
      </c>
      <c r="D2153" t="s">
        <v>1840</v>
      </c>
      <c r="E2153" t="s">
        <v>1841</v>
      </c>
      <c r="F2153" t="s">
        <v>94</v>
      </c>
      <c r="G2153" t="s">
        <v>277</v>
      </c>
      <c r="H2153" s="12">
        <v>6.4913999999999996</v>
      </c>
      <c r="I2153" s="12">
        <v>-74.405799999999999</v>
      </c>
      <c r="J2153" t="s">
        <v>1842</v>
      </c>
      <c r="K2153" t="s">
        <v>97</v>
      </c>
      <c r="L2153" t="s">
        <v>1273</v>
      </c>
      <c r="M2153">
        <v>11</v>
      </c>
      <c r="P2153" s="13">
        <v>114</v>
      </c>
      <c r="Q2153" s="13">
        <v>34</v>
      </c>
      <c r="R2153">
        <v>26</v>
      </c>
      <c r="S2153">
        <v>18</v>
      </c>
      <c r="T2153" s="13">
        <v>10</v>
      </c>
      <c r="U2153" s="13">
        <v>31</v>
      </c>
      <c r="V2153" t="s">
        <v>99</v>
      </c>
      <c r="X2153" s="13">
        <v>114</v>
      </c>
    </row>
    <row r="2154" spans="1:24" x14ac:dyDescent="0.25">
      <c r="A2154" t="s">
        <v>1869</v>
      </c>
      <c r="B2154" t="s">
        <v>65</v>
      </c>
      <c r="C2154" t="s">
        <v>1839</v>
      </c>
      <c r="D2154" t="s">
        <v>1840</v>
      </c>
      <c r="E2154" t="s">
        <v>1841</v>
      </c>
      <c r="F2154" t="s">
        <v>94</v>
      </c>
      <c r="G2154" t="s">
        <v>277</v>
      </c>
      <c r="H2154" s="12">
        <v>6.4913999999999996</v>
      </c>
      <c r="I2154" s="12">
        <v>-74.405799999999999</v>
      </c>
      <c r="J2154" t="s">
        <v>1842</v>
      </c>
      <c r="K2154" t="s">
        <v>97</v>
      </c>
      <c r="L2154" t="s">
        <v>1273</v>
      </c>
      <c r="M2154">
        <v>11</v>
      </c>
      <c r="P2154" s="13">
        <v>114</v>
      </c>
      <c r="Q2154" s="13">
        <v>12</v>
      </c>
      <c r="R2154">
        <v>26</v>
      </c>
      <c r="S2154">
        <v>20</v>
      </c>
      <c r="T2154" s="13">
        <v>29</v>
      </c>
      <c r="U2154" s="13">
        <v>33</v>
      </c>
      <c r="V2154" t="s">
        <v>99</v>
      </c>
      <c r="X2154" s="13">
        <v>114</v>
      </c>
    </row>
    <row r="2155" spans="1:24" x14ac:dyDescent="0.25">
      <c r="A2155" t="s">
        <v>1870</v>
      </c>
      <c r="B2155" t="s">
        <v>65</v>
      </c>
      <c r="C2155" t="s">
        <v>1839</v>
      </c>
      <c r="D2155" t="s">
        <v>1840</v>
      </c>
      <c r="E2155" t="s">
        <v>1841</v>
      </c>
      <c r="F2155" t="s">
        <v>94</v>
      </c>
      <c r="G2155" t="s">
        <v>277</v>
      </c>
      <c r="H2155" s="12">
        <v>6.4913999999999996</v>
      </c>
      <c r="I2155" s="12">
        <v>-74.405799999999999</v>
      </c>
      <c r="J2155" t="s">
        <v>1842</v>
      </c>
      <c r="K2155" t="s">
        <v>97</v>
      </c>
      <c r="L2155" t="s">
        <v>1273</v>
      </c>
      <c r="M2155">
        <v>11</v>
      </c>
      <c r="P2155" s="13">
        <v>95</v>
      </c>
      <c r="Q2155" s="13">
        <v>17</v>
      </c>
      <c r="R2155">
        <v>8</v>
      </c>
      <c r="S2155">
        <v>22</v>
      </c>
      <c r="T2155" s="13">
        <v>22</v>
      </c>
      <c r="U2155" s="13">
        <v>38</v>
      </c>
      <c r="V2155" t="s">
        <v>99</v>
      </c>
      <c r="X2155" s="13">
        <v>95</v>
      </c>
    </row>
    <row r="2156" spans="1:24" x14ac:dyDescent="0.25">
      <c r="A2156" t="s">
        <v>1871</v>
      </c>
      <c r="B2156" t="s">
        <v>65</v>
      </c>
      <c r="C2156" t="s">
        <v>1839</v>
      </c>
      <c r="D2156" t="s">
        <v>1840</v>
      </c>
      <c r="E2156" t="s">
        <v>1841</v>
      </c>
      <c r="F2156" t="s">
        <v>94</v>
      </c>
      <c r="G2156" t="s">
        <v>277</v>
      </c>
      <c r="H2156" s="12">
        <v>6.4913999999999996</v>
      </c>
      <c r="I2156" s="12">
        <v>-74.405799999999999</v>
      </c>
      <c r="J2156" t="s">
        <v>1842</v>
      </c>
      <c r="K2156" t="s">
        <v>97</v>
      </c>
      <c r="L2156" t="s">
        <v>1273</v>
      </c>
      <c r="M2156">
        <v>11</v>
      </c>
      <c r="P2156" s="13">
        <v>92</v>
      </c>
      <c r="Q2156" s="13">
        <v>27</v>
      </c>
      <c r="R2156">
        <v>10</v>
      </c>
      <c r="S2156">
        <v>26</v>
      </c>
      <c r="T2156" s="13">
        <v>17</v>
      </c>
      <c r="U2156" s="13">
        <v>0</v>
      </c>
      <c r="V2156" t="s">
        <v>99</v>
      </c>
      <c r="X2156" s="13">
        <v>92</v>
      </c>
    </row>
    <row r="2157" spans="1:24" x14ac:dyDescent="0.25">
      <c r="A2157" t="s">
        <v>1872</v>
      </c>
      <c r="B2157" t="s">
        <v>65</v>
      </c>
      <c r="C2157" t="s">
        <v>1839</v>
      </c>
      <c r="D2157" t="s">
        <v>1840</v>
      </c>
      <c r="E2157" t="s">
        <v>1841</v>
      </c>
      <c r="F2157" t="s">
        <v>94</v>
      </c>
      <c r="G2157" t="s">
        <v>277</v>
      </c>
      <c r="H2157" s="12">
        <v>6.4913999999999996</v>
      </c>
      <c r="I2157" s="12">
        <v>-74.405799999999999</v>
      </c>
      <c r="J2157" t="s">
        <v>1842</v>
      </c>
      <c r="K2157" t="s">
        <v>97</v>
      </c>
      <c r="L2157" t="s">
        <v>1273</v>
      </c>
      <c r="M2157">
        <v>11</v>
      </c>
      <c r="P2157" s="13">
        <v>89</v>
      </c>
      <c r="Q2157" s="13">
        <v>37</v>
      </c>
      <c r="R2157">
        <v>18</v>
      </c>
      <c r="S2157">
        <v>16</v>
      </c>
      <c r="T2157" s="13">
        <v>7</v>
      </c>
      <c r="U2157" s="13">
        <v>0</v>
      </c>
      <c r="V2157" t="s">
        <v>99</v>
      </c>
      <c r="X2157" s="13">
        <v>89</v>
      </c>
    </row>
    <row r="2158" spans="1:24" x14ac:dyDescent="0.25">
      <c r="A2158" t="s">
        <v>1873</v>
      </c>
      <c r="B2158" t="s">
        <v>65</v>
      </c>
      <c r="C2158" t="s">
        <v>1839</v>
      </c>
      <c r="D2158" t="s">
        <v>1840</v>
      </c>
      <c r="E2158" t="s">
        <v>1841</v>
      </c>
      <c r="F2158" t="s">
        <v>94</v>
      </c>
      <c r="G2158" t="s">
        <v>277</v>
      </c>
      <c r="H2158" s="12">
        <v>6.4913999999999996</v>
      </c>
      <c r="I2158" s="12">
        <v>-74.405799999999999</v>
      </c>
      <c r="J2158" t="s">
        <v>1842</v>
      </c>
      <c r="K2158" t="s">
        <v>97</v>
      </c>
      <c r="L2158" t="s">
        <v>1273</v>
      </c>
      <c r="M2158">
        <v>11</v>
      </c>
      <c r="P2158" s="13">
        <v>75</v>
      </c>
      <c r="Q2158" s="13">
        <v>29</v>
      </c>
      <c r="R2158">
        <v>14</v>
      </c>
      <c r="S2158">
        <v>8</v>
      </c>
      <c r="T2158" s="13">
        <v>14</v>
      </c>
      <c r="U2158" s="13">
        <v>0</v>
      </c>
      <c r="V2158" t="s">
        <v>99</v>
      </c>
      <c r="X2158" s="13">
        <v>75</v>
      </c>
    </row>
    <row r="2159" spans="1:24" x14ac:dyDescent="0.25">
      <c r="A2159" t="s">
        <v>1874</v>
      </c>
      <c r="B2159" t="s">
        <v>65</v>
      </c>
      <c r="C2159" t="s">
        <v>1839</v>
      </c>
      <c r="D2159" t="s">
        <v>1840</v>
      </c>
      <c r="E2159" t="s">
        <v>1841</v>
      </c>
      <c r="F2159" t="s">
        <v>94</v>
      </c>
      <c r="G2159" t="s">
        <v>277</v>
      </c>
      <c r="H2159" s="12">
        <v>6.4913999999999996</v>
      </c>
      <c r="I2159" s="12">
        <v>-74.405799999999999</v>
      </c>
      <c r="J2159" t="s">
        <v>1842</v>
      </c>
      <c r="K2159" t="s">
        <v>97</v>
      </c>
      <c r="L2159" t="s">
        <v>1273</v>
      </c>
      <c r="M2159">
        <v>11</v>
      </c>
      <c r="P2159" s="13">
        <v>60</v>
      </c>
      <c r="Q2159" s="13">
        <v>22</v>
      </c>
      <c r="R2159">
        <v>12</v>
      </c>
      <c r="S2159">
        <v>8</v>
      </c>
      <c r="T2159" s="13">
        <v>10</v>
      </c>
      <c r="U2159" s="13">
        <v>0</v>
      </c>
      <c r="V2159" t="s">
        <v>99</v>
      </c>
      <c r="X2159" s="13">
        <v>60</v>
      </c>
    </row>
    <row r="2160" spans="1:24" x14ac:dyDescent="0.25">
      <c r="A2160" t="s">
        <v>1875</v>
      </c>
      <c r="B2160" t="s">
        <v>65</v>
      </c>
      <c r="C2160" t="s">
        <v>1839</v>
      </c>
      <c r="D2160" t="s">
        <v>1840</v>
      </c>
      <c r="E2160" t="s">
        <v>1841</v>
      </c>
      <c r="F2160" t="s">
        <v>94</v>
      </c>
      <c r="G2160" t="s">
        <v>277</v>
      </c>
      <c r="H2160" s="12">
        <v>6.4913999999999996</v>
      </c>
      <c r="I2160" s="12">
        <v>-74.405799999999999</v>
      </c>
      <c r="J2160" t="s">
        <v>1842</v>
      </c>
      <c r="K2160" t="s">
        <v>97</v>
      </c>
      <c r="L2160" t="s">
        <v>1273</v>
      </c>
      <c r="M2160">
        <v>11</v>
      </c>
      <c r="P2160" s="13">
        <v>51</v>
      </c>
      <c r="Q2160" s="13">
        <v>0</v>
      </c>
      <c r="R2160">
        <v>8</v>
      </c>
      <c r="S2160">
        <v>12</v>
      </c>
      <c r="T2160" s="13">
        <v>7</v>
      </c>
      <c r="U2160" s="13">
        <v>53</v>
      </c>
      <c r="V2160" t="s">
        <v>99</v>
      </c>
      <c r="X2160" s="13">
        <v>51</v>
      </c>
    </row>
    <row r="2161" spans="1:24" x14ac:dyDescent="0.25">
      <c r="A2161" t="s">
        <v>1876</v>
      </c>
      <c r="B2161" t="s">
        <v>65</v>
      </c>
      <c r="C2161" t="s">
        <v>1877</v>
      </c>
      <c r="D2161" t="s">
        <v>1878</v>
      </c>
      <c r="E2161" t="s">
        <v>1879</v>
      </c>
      <c r="F2161" t="s">
        <v>94</v>
      </c>
      <c r="G2161" t="s">
        <v>277</v>
      </c>
      <c r="H2161" s="12">
        <v>7.1108000000000002</v>
      </c>
      <c r="I2161" s="12">
        <v>-75.551100000000005</v>
      </c>
      <c r="J2161" t="s">
        <v>1880</v>
      </c>
      <c r="K2161" t="s">
        <v>97</v>
      </c>
      <c r="L2161" t="s">
        <v>1273</v>
      </c>
      <c r="M2161">
        <v>11</v>
      </c>
      <c r="P2161" s="13">
        <v>242</v>
      </c>
      <c r="Q2161" s="13">
        <v>59</v>
      </c>
      <c r="R2161">
        <v>34</v>
      </c>
      <c r="S2161">
        <v>56</v>
      </c>
      <c r="T2161" s="13">
        <v>43</v>
      </c>
      <c r="U2161" s="13">
        <v>55</v>
      </c>
      <c r="V2161" t="s">
        <v>99</v>
      </c>
      <c r="X2161" s="13">
        <v>242</v>
      </c>
    </row>
    <row r="2162" spans="1:24" x14ac:dyDescent="0.25">
      <c r="A2162" t="s">
        <v>1881</v>
      </c>
      <c r="B2162" t="s">
        <v>65</v>
      </c>
      <c r="C2162" t="s">
        <v>1877</v>
      </c>
      <c r="D2162" t="s">
        <v>1878</v>
      </c>
      <c r="E2162" t="s">
        <v>1879</v>
      </c>
      <c r="F2162" t="s">
        <v>94</v>
      </c>
      <c r="G2162" t="s">
        <v>277</v>
      </c>
      <c r="H2162" s="12">
        <v>7.1108000000000002</v>
      </c>
      <c r="I2162" s="12">
        <v>-75.551100000000005</v>
      </c>
      <c r="J2162" t="s">
        <v>1880</v>
      </c>
      <c r="K2162" t="s">
        <v>97</v>
      </c>
      <c r="L2162" t="s">
        <v>1273</v>
      </c>
      <c r="M2162">
        <v>11</v>
      </c>
      <c r="P2162" s="13">
        <v>229</v>
      </c>
      <c r="Q2162" s="13">
        <v>49</v>
      </c>
      <c r="R2162">
        <v>38</v>
      </c>
      <c r="S2162">
        <v>60</v>
      </c>
      <c r="T2162" s="13">
        <v>36</v>
      </c>
      <c r="U2162" s="13">
        <v>47</v>
      </c>
      <c r="V2162" t="s">
        <v>99</v>
      </c>
      <c r="X2162" s="13">
        <v>229</v>
      </c>
    </row>
    <row r="2163" spans="1:24" x14ac:dyDescent="0.25">
      <c r="A2163" t="s">
        <v>1882</v>
      </c>
      <c r="B2163" t="s">
        <v>65</v>
      </c>
      <c r="C2163" t="s">
        <v>1877</v>
      </c>
      <c r="D2163" t="s">
        <v>1878</v>
      </c>
      <c r="E2163" t="s">
        <v>1879</v>
      </c>
      <c r="F2163" t="s">
        <v>94</v>
      </c>
      <c r="G2163" t="s">
        <v>277</v>
      </c>
      <c r="H2163" s="12">
        <v>7.1108000000000002</v>
      </c>
      <c r="I2163" s="12">
        <v>-75.551100000000005</v>
      </c>
      <c r="J2163" t="s">
        <v>1880</v>
      </c>
      <c r="K2163" t="s">
        <v>97</v>
      </c>
      <c r="L2163" t="s">
        <v>1273</v>
      </c>
      <c r="M2163">
        <v>11</v>
      </c>
      <c r="P2163" s="13">
        <v>206</v>
      </c>
      <c r="Q2163" s="13">
        <v>51</v>
      </c>
      <c r="R2163">
        <v>32</v>
      </c>
      <c r="S2163">
        <v>48</v>
      </c>
      <c r="T2163" s="13">
        <v>34</v>
      </c>
      <c r="U2163" s="13">
        <v>38</v>
      </c>
      <c r="V2163" t="s">
        <v>99</v>
      </c>
      <c r="X2163" s="13">
        <v>206</v>
      </c>
    </row>
    <row r="2164" spans="1:24" x14ac:dyDescent="0.25">
      <c r="A2164" t="s">
        <v>1883</v>
      </c>
      <c r="B2164" t="s">
        <v>65</v>
      </c>
      <c r="C2164" t="s">
        <v>1877</v>
      </c>
      <c r="D2164" t="s">
        <v>1878</v>
      </c>
      <c r="E2164" t="s">
        <v>1879</v>
      </c>
      <c r="F2164" t="s">
        <v>94</v>
      </c>
      <c r="G2164" t="s">
        <v>277</v>
      </c>
      <c r="H2164" s="12">
        <v>7.1108000000000002</v>
      </c>
      <c r="I2164" s="12">
        <v>-75.551100000000005</v>
      </c>
      <c r="J2164" t="s">
        <v>1880</v>
      </c>
      <c r="K2164" t="s">
        <v>97</v>
      </c>
      <c r="L2164" t="s">
        <v>1273</v>
      </c>
      <c r="M2164">
        <v>11</v>
      </c>
      <c r="P2164" s="13">
        <v>185</v>
      </c>
      <c r="Q2164" s="13">
        <v>37</v>
      </c>
      <c r="R2164">
        <v>38</v>
      </c>
      <c r="S2164">
        <v>50</v>
      </c>
      <c r="T2164" s="13">
        <v>24</v>
      </c>
      <c r="U2164" s="13">
        <v>35</v>
      </c>
      <c r="V2164" t="s">
        <v>99</v>
      </c>
      <c r="X2164" s="13">
        <v>185</v>
      </c>
    </row>
    <row r="2165" spans="1:24" x14ac:dyDescent="0.25">
      <c r="A2165" t="s">
        <v>1884</v>
      </c>
      <c r="B2165" t="s">
        <v>65</v>
      </c>
      <c r="C2165" t="s">
        <v>1877</v>
      </c>
      <c r="D2165" t="s">
        <v>1878</v>
      </c>
      <c r="E2165" t="s">
        <v>1879</v>
      </c>
      <c r="F2165" t="s">
        <v>94</v>
      </c>
      <c r="G2165" t="s">
        <v>277</v>
      </c>
      <c r="H2165" s="12">
        <v>7.1108000000000002</v>
      </c>
      <c r="I2165" s="12">
        <v>-75.551100000000005</v>
      </c>
      <c r="J2165" t="s">
        <v>1880</v>
      </c>
      <c r="K2165" t="s">
        <v>97</v>
      </c>
      <c r="L2165" t="s">
        <v>1273</v>
      </c>
      <c r="M2165">
        <v>11</v>
      </c>
      <c r="P2165" s="13">
        <v>184</v>
      </c>
      <c r="Q2165" s="13">
        <v>34</v>
      </c>
      <c r="R2165">
        <v>28</v>
      </c>
      <c r="S2165">
        <v>58</v>
      </c>
      <c r="T2165" s="13">
        <v>31</v>
      </c>
      <c r="U2165" s="13">
        <v>25</v>
      </c>
      <c r="V2165" t="s">
        <v>99</v>
      </c>
      <c r="X2165" s="13">
        <v>184</v>
      </c>
    </row>
    <row r="2166" spans="1:24" x14ac:dyDescent="0.25">
      <c r="A2166" t="s">
        <v>1885</v>
      </c>
      <c r="B2166" t="s">
        <v>65</v>
      </c>
      <c r="C2166" t="s">
        <v>1877</v>
      </c>
      <c r="D2166" t="s">
        <v>1878</v>
      </c>
      <c r="E2166" t="s">
        <v>1879</v>
      </c>
      <c r="F2166" t="s">
        <v>94</v>
      </c>
      <c r="G2166" t="s">
        <v>277</v>
      </c>
      <c r="H2166" s="12">
        <v>7.1108000000000002</v>
      </c>
      <c r="I2166" s="12">
        <v>-75.551100000000005</v>
      </c>
      <c r="J2166" t="s">
        <v>1880</v>
      </c>
      <c r="K2166" t="s">
        <v>97</v>
      </c>
      <c r="L2166" t="s">
        <v>1273</v>
      </c>
      <c r="M2166">
        <v>11</v>
      </c>
      <c r="P2166" s="13">
        <v>183</v>
      </c>
      <c r="Q2166" s="13">
        <v>41</v>
      </c>
      <c r="R2166">
        <v>22</v>
      </c>
      <c r="S2166">
        <v>44</v>
      </c>
      <c r="T2166" s="13">
        <v>36</v>
      </c>
      <c r="U2166" s="13">
        <v>44</v>
      </c>
      <c r="V2166" t="s">
        <v>99</v>
      </c>
      <c r="X2166" s="13">
        <v>183</v>
      </c>
    </row>
    <row r="2167" spans="1:24" x14ac:dyDescent="0.25">
      <c r="A2167" t="s">
        <v>1886</v>
      </c>
      <c r="B2167" t="s">
        <v>65</v>
      </c>
      <c r="C2167" t="s">
        <v>1877</v>
      </c>
      <c r="D2167" t="s">
        <v>1878</v>
      </c>
      <c r="E2167" t="s">
        <v>1879</v>
      </c>
      <c r="F2167" t="s">
        <v>94</v>
      </c>
      <c r="G2167" t="s">
        <v>277</v>
      </c>
      <c r="H2167" s="12">
        <v>7.1108000000000002</v>
      </c>
      <c r="I2167" s="12">
        <v>-75.551100000000005</v>
      </c>
      <c r="J2167" t="s">
        <v>1880</v>
      </c>
      <c r="K2167" t="s">
        <v>97</v>
      </c>
      <c r="L2167" t="s">
        <v>1273</v>
      </c>
      <c r="M2167">
        <v>11</v>
      </c>
      <c r="P2167" s="13">
        <v>183</v>
      </c>
      <c r="Q2167" s="13">
        <v>44</v>
      </c>
      <c r="R2167">
        <v>28</v>
      </c>
      <c r="S2167">
        <v>40</v>
      </c>
      <c r="T2167" s="13">
        <v>29</v>
      </c>
      <c r="U2167" s="13">
        <v>51</v>
      </c>
      <c r="V2167" t="s">
        <v>99</v>
      </c>
      <c r="X2167" s="13">
        <v>183</v>
      </c>
    </row>
    <row r="2168" spans="1:24" x14ac:dyDescent="0.25">
      <c r="A2168" t="s">
        <v>1887</v>
      </c>
      <c r="B2168" t="s">
        <v>65</v>
      </c>
      <c r="C2168" t="s">
        <v>1877</v>
      </c>
      <c r="D2168" t="s">
        <v>1878</v>
      </c>
      <c r="E2168" t="s">
        <v>1879</v>
      </c>
      <c r="F2168" t="s">
        <v>94</v>
      </c>
      <c r="G2168" t="s">
        <v>277</v>
      </c>
      <c r="H2168" s="12">
        <v>7.1108000000000002</v>
      </c>
      <c r="I2168" s="12">
        <v>-75.551100000000005</v>
      </c>
      <c r="J2168" t="s">
        <v>1880</v>
      </c>
      <c r="K2168" t="s">
        <v>97</v>
      </c>
      <c r="L2168" t="s">
        <v>1273</v>
      </c>
      <c r="M2168">
        <v>11</v>
      </c>
      <c r="P2168" s="13">
        <v>180</v>
      </c>
      <c r="Q2168" s="13">
        <v>44</v>
      </c>
      <c r="R2168">
        <v>28</v>
      </c>
      <c r="S2168">
        <v>44</v>
      </c>
      <c r="T2168" s="13">
        <v>29</v>
      </c>
      <c r="U2168" s="13">
        <v>33</v>
      </c>
      <c r="V2168" t="s">
        <v>99</v>
      </c>
      <c r="X2168" s="13">
        <v>180</v>
      </c>
    </row>
    <row r="2169" spans="1:24" x14ac:dyDescent="0.25">
      <c r="A2169" t="s">
        <v>1888</v>
      </c>
      <c r="B2169" t="s">
        <v>65</v>
      </c>
      <c r="C2169" t="s">
        <v>1877</v>
      </c>
      <c r="D2169" t="s">
        <v>1878</v>
      </c>
      <c r="E2169" t="s">
        <v>1879</v>
      </c>
      <c r="F2169" t="s">
        <v>94</v>
      </c>
      <c r="G2169" t="s">
        <v>277</v>
      </c>
      <c r="H2169" s="12">
        <v>7.1108000000000002</v>
      </c>
      <c r="I2169" s="12">
        <v>-75.551100000000005</v>
      </c>
      <c r="J2169" t="s">
        <v>1880</v>
      </c>
      <c r="K2169" t="s">
        <v>97</v>
      </c>
      <c r="L2169" t="s">
        <v>1273</v>
      </c>
      <c r="M2169">
        <v>11</v>
      </c>
      <c r="P2169" s="13">
        <v>178</v>
      </c>
      <c r="Q2169" s="13">
        <v>39</v>
      </c>
      <c r="R2169">
        <v>34</v>
      </c>
      <c r="S2169">
        <v>34</v>
      </c>
      <c r="T2169" s="13">
        <v>38</v>
      </c>
      <c r="U2169" s="13">
        <v>27</v>
      </c>
      <c r="V2169" t="s">
        <v>99</v>
      </c>
      <c r="X2169" s="13">
        <v>178</v>
      </c>
    </row>
    <row r="2170" spans="1:24" x14ac:dyDescent="0.25">
      <c r="A2170" t="s">
        <v>1889</v>
      </c>
      <c r="B2170" t="s">
        <v>65</v>
      </c>
      <c r="C2170" t="s">
        <v>1877</v>
      </c>
      <c r="D2170" t="s">
        <v>1878</v>
      </c>
      <c r="E2170" t="s">
        <v>1879</v>
      </c>
      <c r="F2170" t="s">
        <v>94</v>
      </c>
      <c r="G2170" t="s">
        <v>277</v>
      </c>
      <c r="H2170" s="12">
        <v>7.1108000000000002</v>
      </c>
      <c r="I2170" s="12">
        <v>-75.551100000000005</v>
      </c>
      <c r="J2170" t="s">
        <v>1880</v>
      </c>
      <c r="K2170" t="s">
        <v>97</v>
      </c>
      <c r="L2170" t="s">
        <v>1273</v>
      </c>
      <c r="M2170">
        <v>11</v>
      </c>
      <c r="P2170" s="13">
        <v>175</v>
      </c>
      <c r="Q2170" s="13">
        <v>39</v>
      </c>
      <c r="R2170">
        <v>26</v>
      </c>
      <c r="S2170">
        <v>38</v>
      </c>
      <c r="T2170" s="13">
        <v>38</v>
      </c>
      <c r="U2170" s="13">
        <v>33</v>
      </c>
      <c r="V2170" t="s">
        <v>99</v>
      </c>
      <c r="X2170" s="13">
        <v>175</v>
      </c>
    </row>
    <row r="2171" spans="1:24" x14ac:dyDescent="0.25">
      <c r="A2171" t="s">
        <v>1890</v>
      </c>
      <c r="B2171" t="s">
        <v>65</v>
      </c>
      <c r="C2171" t="s">
        <v>1877</v>
      </c>
      <c r="D2171" t="s">
        <v>1878</v>
      </c>
      <c r="E2171" t="s">
        <v>1879</v>
      </c>
      <c r="F2171" t="s">
        <v>94</v>
      </c>
      <c r="G2171" t="s">
        <v>277</v>
      </c>
      <c r="H2171" s="12">
        <v>7.1108000000000002</v>
      </c>
      <c r="I2171" s="12">
        <v>-75.551100000000005</v>
      </c>
      <c r="J2171" t="s">
        <v>1880</v>
      </c>
      <c r="K2171" t="s">
        <v>97</v>
      </c>
      <c r="L2171" t="s">
        <v>1273</v>
      </c>
      <c r="M2171">
        <v>11</v>
      </c>
      <c r="P2171" s="13">
        <v>174</v>
      </c>
      <c r="Q2171" s="13">
        <v>41</v>
      </c>
      <c r="R2171">
        <v>20</v>
      </c>
      <c r="S2171">
        <v>42</v>
      </c>
      <c r="T2171" s="13">
        <v>38</v>
      </c>
      <c r="U2171" s="13">
        <v>29</v>
      </c>
      <c r="V2171" t="s">
        <v>99</v>
      </c>
      <c r="X2171" s="13">
        <v>174</v>
      </c>
    </row>
    <row r="2172" spans="1:24" x14ac:dyDescent="0.25">
      <c r="A2172" t="s">
        <v>1891</v>
      </c>
      <c r="B2172" t="s">
        <v>65</v>
      </c>
      <c r="C2172" t="s">
        <v>1877</v>
      </c>
      <c r="D2172" t="s">
        <v>1878</v>
      </c>
      <c r="E2172" t="s">
        <v>1879</v>
      </c>
      <c r="F2172" t="s">
        <v>94</v>
      </c>
      <c r="G2172" t="s">
        <v>277</v>
      </c>
      <c r="H2172" s="12">
        <v>7.1108000000000002</v>
      </c>
      <c r="I2172" s="12">
        <v>-75.551100000000005</v>
      </c>
      <c r="J2172" t="s">
        <v>1880</v>
      </c>
      <c r="K2172" t="s">
        <v>97</v>
      </c>
      <c r="L2172" t="s">
        <v>1273</v>
      </c>
      <c r="M2172">
        <v>11</v>
      </c>
      <c r="P2172" s="13">
        <v>173</v>
      </c>
      <c r="Q2172" s="13">
        <v>44</v>
      </c>
      <c r="R2172">
        <v>22</v>
      </c>
      <c r="S2172">
        <v>44</v>
      </c>
      <c r="T2172" s="13">
        <v>26</v>
      </c>
      <c r="U2172" s="13">
        <v>42</v>
      </c>
      <c r="V2172" t="s">
        <v>99</v>
      </c>
      <c r="X2172" s="13">
        <v>173</v>
      </c>
    </row>
    <row r="2173" spans="1:24" x14ac:dyDescent="0.25">
      <c r="A2173" t="s">
        <v>1892</v>
      </c>
      <c r="B2173" t="s">
        <v>65</v>
      </c>
      <c r="C2173" t="s">
        <v>1877</v>
      </c>
      <c r="D2173" t="s">
        <v>1878</v>
      </c>
      <c r="E2173" t="s">
        <v>1879</v>
      </c>
      <c r="F2173" t="s">
        <v>94</v>
      </c>
      <c r="G2173" t="s">
        <v>277</v>
      </c>
      <c r="H2173" s="12">
        <v>7.1108000000000002</v>
      </c>
      <c r="I2173" s="12">
        <v>-75.551100000000005</v>
      </c>
      <c r="J2173" t="s">
        <v>1880</v>
      </c>
      <c r="K2173" t="s">
        <v>97</v>
      </c>
      <c r="L2173" t="s">
        <v>1273</v>
      </c>
      <c r="M2173">
        <v>11</v>
      </c>
      <c r="P2173" s="13">
        <v>171</v>
      </c>
      <c r="Q2173" s="13">
        <v>41</v>
      </c>
      <c r="R2173">
        <v>32</v>
      </c>
      <c r="S2173">
        <v>34</v>
      </c>
      <c r="T2173" s="13">
        <v>29</v>
      </c>
      <c r="U2173" s="13">
        <v>35</v>
      </c>
      <c r="V2173" t="s">
        <v>99</v>
      </c>
      <c r="X2173" s="13">
        <v>171</v>
      </c>
    </row>
    <row r="2174" spans="1:24" x14ac:dyDescent="0.25">
      <c r="A2174" t="s">
        <v>1893</v>
      </c>
      <c r="B2174" t="s">
        <v>65</v>
      </c>
      <c r="C2174" t="s">
        <v>1877</v>
      </c>
      <c r="D2174" t="s">
        <v>1878</v>
      </c>
      <c r="E2174" t="s">
        <v>1879</v>
      </c>
      <c r="F2174" t="s">
        <v>94</v>
      </c>
      <c r="G2174" t="s">
        <v>277</v>
      </c>
      <c r="H2174" s="12">
        <v>7.1108000000000002</v>
      </c>
      <c r="I2174" s="12">
        <v>-75.551100000000005</v>
      </c>
      <c r="J2174" t="s">
        <v>1880</v>
      </c>
      <c r="K2174" t="s">
        <v>97</v>
      </c>
      <c r="L2174" t="s">
        <v>1273</v>
      </c>
      <c r="M2174">
        <v>11</v>
      </c>
      <c r="P2174" s="13">
        <v>170</v>
      </c>
      <c r="Q2174" s="13">
        <v>34</v>
      </c>
      <c r="R2174">
        <v>22</v>
      </c>
      <c r="S2174">
        <v>52</v>
      </c>
      <c r="T2174" s="13">
        <v>29</v>
      </c>
      <c r="U2174" s="13">
        <v>31</v>
      </c>
      <c r="V2174" t="s">
        <v>99</v>
      </c>
      <c r="X2174" s="13">
        <v>170</v>
      </c>
    </row>
    <row r="2175" spans="1:24" x14ac:dyDescent="0.25">
      <c r="A2175" t="s">
        <v>1894</v>
      </c>
      <c r="B2175" t="s">
        <v>65</v>
      </c>
      <c r="C2175" t="s">
        <v>1877</v>
      </c>
      <c r="D2175" t="s">
        <v>1878</v>
      </c>
      <c r="E2175" t="s">
        <v>1879</v>
      </c>
      <c r="F2175" t="s">
        <v>94</v>
      </c>
      <c r="G2175" t="s">
        <v>277</v>
      </c>
      <c r="H2175" s="12">
        <v>7.1108000000000002</v>
      </c>
      <c r="I2175" s="12">
        <v>-75.551100000000005</v>
      </c>
      <c r="J2175" t="s">
        <v>1880</v>
      </c>
      <c r="K2175" t="s">
        <v>97</v>
      </c>
      <c r="L2175" t="s">
        <v>1273</v>
      </c>
      <c r="M2175">
        <v>11</v>
      </c>
      <c r="P2175" s="13">
        <v>169</v>
      </c>
      <c r="Q2175" s="13">
        <v>22</v>
      </c>
      <c r="R2175">
        <v>34</v>
      </c>
      <c r="S2175">
        <v>36</v>
      </c>
      <c r="T2175" s="13">
        <v>40</v>
      </c>
      <c r="U2175" s="13">
        <v>45</v>
      </c>
      <c r="V2175" t="s">
        <v>99</v>
      </c>
      <c r="X2175" s="13">
        <v>169</v>
      </c>
    </row>
    <row r="2176" spans="1:24" x14ac:dyDescent="0.25">
      <c r="A2176" t="s">
        <v>1895</v>
      </c>
      <c r="B2176" t="s">
        <v>65</v>
      </c>
      <c r="C2176" t="s">
        <v>1877</v>
      </c>
      <c r="D2176" t="s">
        <v>1878</v>
      </c>
      <c r="E2176" t="s">
        <v>1879</v>
      </c>
      <c r="F2176" t="s">
        <v>94</v>
      </c>
      <c r="G2176" t="s">
        <v>277</v>
      </c>
      <c r="H2176" s="12">
        <v>7.1108000000000002</v>
      </c>
      <c r="I2176" s="12">
        <v>-75.551100000000005</v>
      </c>
      <c r="J2176" t="s">
        <v>1880</v>
      </c>
      <c r="K2176" t="s">
        <v>97</v>
      </c>
      <c r="L2176" t="s">
        <v>1273</v>
      </c>
      <c r="M2176">
        <v>11</v>
      </c>
      <c r="P2176" s="13">
        <v>169</v>
      </c>
      <c r="Q2176" s="13">
        <v>39</v>
      </c>
      <c r="R2176">
        <v>28</v>
      </c>
      <c r="S2176">
        <v>38</v>
      </c>
      <c r="T2176" s="13">
        <v>29</v>
      </c>
      <c r="U2176" s="13">
        <v>36</v>
      </c>
      <c r="V2176" t="s">
        <v>99</v>
      </c>
      <c r="X2176" s="13">
        <v>169</v>
      </c>
    </row>
    <row r="2177" spans="1:24" x14ac:dyDescent="0.25">
      <c r="A2177" t="s">
        <v>1896</v>
      </c>
      <c r="B2177" t="s">
        <v>65</v>
      </c>
      <c r="C2177" t="s">
        <v>1877</v>
      </c>
      <c r="D2177" t="s">
        <v>1878</v>
      </c>
      <c r="E2177" t="s">
        <v>1879</v>
      </c>
      <c r="F2177" t="s">
        <v>94</v>
      </c>
      <c r="G2177" t="s">
        <v>277</v>
      </c>
      <c r="H2177" s="12">
        <v>7.1108000000000002</v>
      </c>
      <c r="I2177" s="12">
        <v>-75.551100000000005</v>
      </c>
      <c r="J2177" t="s">
        <v>1880</v>
      </c>
      <c r="K2177" t="s">
        <v>97</v>
      </c>
      <c r="L2177" t="s">
        <v>1273</v>
      </c>
      <c r="M2177">
        <v>11</v>
      </c>
      <c r="P2177" s="13">
        <v>169</v>
      </c>
      <c r="Q2177" s="13">
        <v>39</v>
      </c>
      <c r="R2177">
        <v>26</v>
      </c>
      <c r="S2177">
        <v>40</v>
      </c>
      <c r="T2177" s="13">
        <v>31</v>
      </c>
      <c r="U2177" s="13">
        <v>31</v>
      </c>
      <c r="V2177" t="s">
        <v>99</v>
      </c>
      <c r="X2177" s="13">
        <v>169</v>
      </c>
    </row>
    <row r="2178" spans="1:24" x14ac:dyDescent="0.25">
      <c r="A2178" t="s">
        <v>1897</v>
      </c>
      <c r="B2178" t="s">
        <v>65</v>
      </c>
      <c r="C2178" t="s">
        <v>1877</v>
      </c>
      <c r="D2178" t="s">
        <v>1878</v>
      </c>
      <c r="E2178" t="s">
        <v>1879</v>
      </c>
      <c r="F2178" t="s">
        <v>94</v>
      </c>
      <c r="G2178" t="s">
        <v>277</v>
      </c>
      <c r="H2178" s="12">
        <v>7.1108000000000002</v>
      </c>
      <c r="I2178" s="12">
        <v>-75.551100000000005</v>
      </c>
      <c r="J2178" t="s">
        <v>1880</v>
      </c>
      <c r="K2178" t="s">
        <v>97</v>
      </c>
      <c r="L2178" t="s">
        <v>1273</v>
      </c>
      <c r="M2178">
        <v>11</v>
      </c>
      <c r="P2178" s="13">
        <v>168</v>
      </c>
      <c r="Q2178" s="13">
        <v>34</v>
      </c>
      <c r="R2178">
        <v>22</v>
      </c>
      <c r="S2178">
        <v>42</v>
      </c>
      <c r="T2178" s="13">
        <v>36</v>
      </c>
      <c r="U2178" s="13">
        <v>33</v>
      </c>
      <c r="V2178" t="s">
        <v>99</v>
      </c>
      <c r="X2178" s="13">
        <v>168</v>
      </c>
    </row>
    <row r="2179" spans="1:24" x14ac:dyDescent="0.25">
      <c r="A2179" t="s">
        <v>1898</v>
      </c>
      <c r="B2179" t="s">
        <v>65</v>
      </c>
      <c r="C2179" t="s">
        <v>1877</v>
      </c>
      <c r="D2179" t="s">
        <v>1878</v>
      </c>
      <c r="E2179" t="s">
        <v>1879</v>
      </c>
      <c r="F2179" t="s">
        <v>94</v>
      </c>
      <c r="G2179" t="s">
        <v>277</v>
      </c>
      <c r="H2179" s="12">
        <v>7.1108000000000002</v>
      </c>
      <c r="I2179" s="12">
        <v>-75.551100000000005</v>
      </c>
      <c r="J2179" t="s">
        <v>1880</v>
      </c>
      <c r="K2179" t="s">
        <v>97</v>
      </c>
      <c r="L2179" t="s">
        <v>1273</v>
      </c>
      <c r="M2179">
        <v>11</v>
      </c>
      <c r="P2179" s="13">
        <v>166</v>
      </c>
      <c r="Q2179" s="13">
        <v>46</v>
      </c>
      <c r="R2179">
        <v>22</v>
      </c>
      <c r="S2179">
        <v>40</v>
      </c>
      <c r="T2179" s="13">
        <v>26</v>
      </c>
      <c r="U2179" s="13">
        <v>29</v>
      </c>
      <c r="V2179" t="s">
        <v>99</v>
      </c>
      <c r="X2179" s="13">
        <v>166</v>
      </c>
    </row>
    <row r="2180" spans="1:24" x14ac:dyDescent="0.25">
      <c r="A2180" t="s">
        <v>1899</v>
      </c>
      <c r="B2180" t="s">
        <v>65</v>
      </c>
      <c r="C2180" t="s">
        <v>1877</v>
      </c>
      <c r="D2180" t="s">
        <v>1878</v>
      </c>
      <c r="E2180" t="s">
        <v>1879</v>
      </c>
      <c r="F2180" t="s">
        <v>94</v>
      </c>
      <c r="G2180" t="s">
        <v>277</v>
      </c>
      <c r="H2180" s="12">
        <v>7.1108000000000002</v>
      </c>
      <c r="I2180" s="12">
        <v>-75.551100000000005</v>
      </c>
      <c r="J2180" t="s">
        <v>1880</v>
      </c>
      <c r="K2180" t="s">
        <v>97</v>
      </c>
      <c r="L2180" t="s">
        <v>1273</v>
      </c>
      <c r="M2180">
        <v>11</v>
      </c>
      <c r="P2180" s="13">
        <v>153</v>
      </c>
      <c r="Q2180" s="13">
        <v>41</v>
      </c>
      <c r="R2180">
        <v>22</v>
      </c>
      <c r="S2180">
        <v>36</v>
      </c>
      <c r="T2180" s="13">
        <v>26</v>
      </c>
      <c r="U2180" s="13">
        <v>22</v>
      </c>
      <c r="V2180" t="s">
        <v>99</v>
      </c>
      <c r="X2180" s="13">
        <v>153</v>
      </c>
    </row>
    <row r="2181" spans="1:24" x14ac:dyDescent="0.25">
      <c r="A2181" t="s">
        <v>1900</v>
      </c>
      <c r="B2181" t="s">
        <v>65</v>
      </c>
      <c r="C2181" t="s">
        <v>1877</v>
      </c>
      <c r="D2181" t="s">
        <v>1878</v>
      </c>
      <c r="E2181" t="s">
        <v>1879</v>
      </c>
      <c r="F2181" t="s">
        <v>94</v>
      </c>
      <c r="G2181" t="s">
        <v>277</v>
      </c>
      <c r="H2181" s="12">
        <v>7.1108000000000002</v>
      </c>
      <c r="I2181" s="12">
        <v>-75.551100000000005</v>
      </c>
      <c r="J2181" t="s">
        <v>1880</v>
      </c>
      <c r="K2181" t="s">
        <v>97</v>
      </c>
      <c r="L2181" t="s">
        <v>1273</v>
      </c>
      <c r="M2181">
        <v>11</v>
      </c>
      <c r="P2181" s="13">
        <v>153</v>
      </c>
      <c r="Q2181" s="13">
        <v>34</v>
      </c>
      <c r="R2181">
        <v>30</v>
      </c>
      <c r="S2181">
        <v>36</v>
      </c>
      <c r="T2181" s="13">
        <v>21</v>
      </c>
      <c r="U2181" s="13">
        <v>35</v>
      </c>
      <c r="V2181" t="s">
        <v>99</v>
      </c>
      <c r="X2181" s="13">
        <v>153</v>
      </c>
    </row>
    <row r="2182" spans="1:24" x14ac:dyDescent="0.25">
      <c r="A2182" t="s">
        <v>1901</v>
      </c>
      <c r="B2182" t="s">
        <v>65</v>
      </c>
      <c r="C2182" t="s">
        <v>1877</v>
      </c>
      <c r="D2182" t="s">
        <v>1878</v>
      </c>
      <c r="E2182" t="s">
        <v>1879</v>
      </c>
      <c r="F2182" t="s">
        <v>94</v>
      </c>
      <c r="G2182" t="s">
        <v>277</v>
      </c>
      <c r="H2182" s="12">
        <v>7.1108000000000002</v>
      </c>
      <c r="I2182" s="12">
        <v>-75.551100000000005</v>
      </c>
      <c r="J2182" t="s">
        <v>1880</v>
      </c>
      <c r="K2182" t="s">
        <v>97</v>
      </c>
      <c r="L2182" t="s">
        <v>1273</v>
      </c>
      <c r="M2182">
        <v>11</v>
      </c>
      <c r="P2182" s="13">
        <v>152</v>
      </c>
      <c r="Q2182" s="13">
        <v>34</v>
      </c>
      <c r="R2182">
        <v>20</v>
      </c>
      <c r="S2182">
        <v>40</v>
      </c>
      <c r="T2182" s="13">
        <v>28</v>
      </c>
      <c r="U2182" s="13">
        <v>29</v>
      </c>
      <c r="V2182" t="s">
        <v>99</v>
      </c>
      <c r="X2182" s="13">
        <v>152</v>
      </c>
    </row>
    <row r="2183" spans="1:24" x14ac:dyDescent="0.25">
      <c r="A2183" t="s">
        <v>1902</v>
      </c>
      <c r="B2183" t="s">
        <v>65</v>
      </c>
      <c r="C2183" t="s">
        <v>1877</v>
      </c>
      <c r="D2183" t="s">
        <v>1878</v>
      </c>
      <c r="E2183" t="s">
        <v>1879</v>
      </c>
      <c r="F2183" t="s">
        <v>94</v>
      </c>
      <c r="G2183" t="s">
        <v>277</v>
      </c>
      <c r="H2183" s="12">
        <v>7.1108000000000002</v>
      </c>
      <c r="I2183" s="12">
        <v>-75.551100000000005</v>
      </c>
      <c r="J2183" t="s">
        <v>1880</v>
      </c>
      <c r="K2183" t="s">
        <v>97</v>
      </c>
      <c r="L2183" t="s">
        <v>1273</v>
      </c>
      <c r="M2183">
        <v>11</v>
      </c>
      <c r="P2183" s="13">
        <v>150</v>
      </c>
      <c r="Q2183" s="13">
        <v>37</v>
      </c>
      <c r="R2183">
        <v>22</v>
      </c>
      <c r="S2183">
        <v>36</v>
      </c>
      <c r="T2183" s="13">
        <v>22</v>
      </c>
      <c r="U2183" s="13">
        <v>40</v>
      </c>
      <c r="V2183" t="s">
        <v>99</v>
      </c>
      <c r="X2183" s="13">
        <v>150</v>
      </c>
    </row>
    <row r="2184" spans="1:24" x14ac:dyDescent="0.25">
      <c r="A2184" t="s">
        <v>1903</v>
      </c>
      <c r="B2184" t="s">
        <v>65</v>
      </c>
      <c r="C2184" t="s">
        <v>1877</v>
      </c>
      <c r="D2184" t="s">
        <v>1878</v>
      </c>
      <c r="E2184" t="s">
        <v>1879</v>
      </c>
      <c r="F2184" t="s">
        <v>94</v>
      </c>
      <c r="G2184" t="s">
        <v>277</v>
      </c>
      <c r="H2184" s="12">
        <v>7.1108000000000002</v>
      </c>
      <c r="I2184" s="12">
        <v>-75.551100000000005</v>
      </c>
      <c r="J2184" t="s">
        <v>1880</v>
      </c>
      <c r="K2184" t="s">
        <v>97</v>
      </c>
      <c r="L2184" t="s">
        <v>1273</v>
      </c>
      <c r="M2184">
        <v>11</v>
      </c>
      <c r="P2184" s="13">
        <v>149</v>
      </c>
      <c r="Q2184" s="13">
        <v>29</v>
      </c>
      <c r="R2184">
        <v>20</v>
      </c>
      <c r="S2184">
        <v>40</v>
      </c>
      <c r="T2184" s="13">
        <v>29</v>
      </c>
      <c r="U2184" s="13">
        <v>33</v>
      </c>
      <c r="V2184" t="s">
        <v>99</v>
      </c>
      <c r="X2184" s="13">
        <v>149</v>
      </c>
    </row>
    <row r="2185" spans="1:24" x14ac:dyDescent="0.25">
      <c r="A2185" t="s">
        <v>1904</v>
      </c>
      <c r="B2185" t="s">
        <v>65</v>
      </c>
      <c r="C2185" t="s">
        <v>1877</v>
      </c>
      <c r="D2185" t="s">
        <v>1878</v>
      </c>
      <c r="E2185" t="s">
        <v>1879</v>
      </c>
      <c r="F2185" t="s">
        <v>94</v>
      </c>
      <c r="G2185" t="s">
        <v>277</v>
      </c>
      <c r="H2185" s="12">
        <v>7.1108000000000002</v>
      </c>
      <c r="I2185" s="12">
        <v>-75.551100000000005</v>
      </c>
      <c r="J2185" t="s">
        <v>1880</v>
      </c>
      <c r="K2185" t="s">
        <v>97</v>
      </c>
      <c r="L2185" t="s">
        <v>1273</v>
      </c>
      <c r="M2185">
        <v>11</v>
      </c>
      <c r="P2185" s="13">
        <v>146</v>
      </c>
      <c r="Q2185" s="13">
        <v>27</v>
      </c>
      <c r="R2185">
        <v>34</v>
      </c>
      <c r="S2185">
        <v>34</v>
      </c>
      <c r="T2185" s="13">
        <v>19</v>
      </c>
      <c r="U2185" s="13">
        <v>38</v>
      </c>
      <c r="V2185" t="s">
        <v>99</v>
      </c>
      <c r="X2185" s="13">
        <v>146</v>
      </c>
    </row>
    <row r="2186" spans="1:24" x14ac:dyDescent="0.25">
      <c r="A2186" t="s">
        <v>1905</v>
      </c>
      <c r="B2186" t="s">
        <v>65</v>
      </c>
      <c r="C2186" t="s">
        <v>1877</v>
      </c>
      <c r="D2186" t="s">
        <v>1878</v>
      </c>
      <c r="E2186" t="s">
        <v>1879</v>
      </c>
      <c r="F2186" t="s">
        <v>94</v>
      </c>
      <c r="G2186" t="s">
        <v>277</v>
      </c>
      <c r="H2186" s="12">
        <v>7.1108000000000002</v>
      </c>
      <c r="I2186" s="12">
        <v>-75.551100000000005</v>
      </c>
      <c r="J2186" t="s">
        <v>1880</v>
      </c>
      <c r="K2186" t="s">
        <v>97</v>
      </c>
      <c r="L2186" t="s">
        <v>1273</v>
      </c>
      <c r="M2186">
        <v>11</v>
      </c>
      <c r="P2186" s="13">
        <v>145</v>
      </c>
      <c r="Q2186" s="13">
        <v>29</v>
      </c>
      <c r="R2186">
        <v>24</v>
      </c>
      <c r="S2186">
        <v>30</v>
      </c>
      <c r="T2186" s="13">
        <v>29</v>
      </c>
      <c r="U2186" s="13">
        <v>38</v>
      </c>
      <c r="V2186" t="s">
        <v>99</v>
      </c>
      <c r="X2186" s="13">
        <v>145</v>
      </c>
    </row>
    <row r="2187" spans="1:24" x14ac:dyDescent="0.25">
      <c r="A2187" t="s">
        <v>1906</v>
      </c>
      <c r="B2187" t="s">
        <v>65</v>
      </c>
      <c r="C2187" t="s">
        <v>1877</v>
      </c>
      <c r="D2187" t="s">
        <v>1878</v>
      </c>
      <c r="E2187" t="s">
        <v>1879</v>
      </c>
      <c r="F2187" t="s">
        <v>94</v>
      </c>
      <c r="G2187" t="s">
        <v>277</v>
      </c>
      <c r="H2187" s="12">
        <v>7.1108000000000002</v>
      </c>
      <c r="I2187" s="12">
        <v>-75.551100000000005</v>
      </c>
      <c r="J2187" t="s">
        <v>1880</v>
      </c>
      <c r="K2187" t="s">
        <v>97</v>
      </c>
      <c r="L2187" t="s">
        <v>1273</v>
      </c>
      <c r="M2187">
        <v>11</v>
      </c>
      <c r="P2187" s="13">
        <v>143</v>
      </c>
      <c r="Q2187" s="13">
        <v>32</v>
      </c>
      <c r="R2187">
        <v>24</v>
      </c>
      <c r="S2187">
        <v>28</v>
      </c>
      <c r="T2187" s="13">
        <v>33</v>
      </c>
      <c r="U2187" s="13">
        <v>24</v>
      </c>
      <c r="V2187" t="s">
        <v>99</v>
      </c>
      <c r="X2187" s="13">
        <v>143</v>
      </c>
    </row>
    <row r="2188" spans="1:24" x14ac:dyDescent="0.25">
      <c r="A2188" t="s">
        <v>1907</v>
      </c>
      <c r="B2188" t="s">
        <v>65</v>
      </c>
      <c r="C2188" t="s">
        <v>1877</v>
      </c>
      <c r="D2188" t="s">
        <v>1878</v>
      </c>
      <c r="E2188" t="s">
        <v>1879</v>
      </c>
      <c r="F2188" t="s">
        <v>94</v>
      </c>
      <c r="G2188" t="s">
        <v>277</v>
      </c>
      <c r="H2188" s="12">
        <v>7.1108000000000002</v>
      </c>
      <c r="I2188" s="12">
        <v>-75.551100000000005</v>
      </c>
      <c r="J2188" t="s">
        <v>1880</v>
      </c>
      <c r="K2188" t="s">
        <v>97</v>
      </c>
      <c r="L2188" t="s">
        <v>1273</v>
      </c>
      <c r="M2188">
        <v>11</v>
      </c>
      <c r="P2188" s="13">
        <v>142</v>
      </c>
      <c r="Q2188" s="13">
        <v>32</v>
      </c>
      <c r="R2188">
        <v>18</v>
      </c>
      <c r="S2188">
        <v>32</v>
      </c>
      <c r="T2188" s="13">
        <v>29</v>
      </c>
      <c r="U2188" s="13">
        <v>36</v>
      </c>
      <c r="V2188" t="s">
        <v>99</v>
      </c>
      <c r="X2188" s="13">
        <v>142</v>
      </c>
    </row>
    <row r="2189" spans="1:24" x14ac:dyDescent="0.25">
      <c r="A2189" t="s">
        <v>1908</v>
      </c>
      <c r="B2189" t="s">
        <v>65</v>
      </c>
      <c r="C2189" t="s">
        <v>1877</v>
      </c>
      <c r="D2189" t="s">
        <v>1878</v>
      </c>
      <c r="E2189" t="s">
        <v>1879</v>
      </c>
      <c r="F2189" t="s">
        <v>94</v>
      </c>
      <c r="G2189" t="s">
        <v>277</v>
      </c>
      <c r="H2189" s="12">
        <v>7.1108000000000002</v>
      </c>
      <c r="I2189" s="12">
        <v>-75.551100000000005</v>
      </c>
      <c r="J2189" t="s">
        <v>1880</v>
      </c>
      <c r="K2189" t="s">
        <v>97</v>
      </c>
      <c r="L2189" t="s">
        <v>1273</v>
      </c>
      <c r="M2189">
        <v>11</v>
      </c>
      <c r="P2189" s="13">
        <v>141</v>
      </c>
      <c r="Q2189" s="13">
        <v>39</v>
      </c>
      <c r="R2189">
        <v>14</v>
      </c>
      <c r="S2189">
        <v>24</v>
      </c>
      <c r="T2189" s="13">
        <v>31</v>
      </c>
      <c r="U2189" s="13">
        <v>44</v>
      </c>
      <c r="V2189" t="s">
        <v>99</v>
      </c>
      <c r="X2189" s="13">
        <v>141</v>
      </c>
    </row>
    <row r="2190" spans="1:24" x14ac:dyDescent="0.25">
      <c r="A2190" t="s">
        <v>1909</v>
      </c>
      <c r="B2190" t="s">
        <v>65</v>
      </c>
      <c r="C2190" t="s">
        <v>1877</v>
      </c>
      <c r="D2190" t="s">
        <v>1878</v>
      </c>
      <c r="E2190" t="s">
        <v>1879</v>
      </c>
      <c r="F2190" t="s">
        <v>94</v>
      </c>
      <c r="G2190" t="s">
        <v>277</v>
      </c>
      <c r="H2190" s="12">
        <v>7.1108000000000002</v>
      </c>
      <c r="I2190" s="12">
        <v>-75.551100000000005</v>
      </c>
      <c r="J2190" t="s">
        <v>1880</v>
      </c>
      <c r="K2190" t="s">
        <v>97</v>
      </c>
      <c r="L2190" t="s">
        <v>1273</v>
      </c>
      <c r="M2190">
        <v>11</v>
      </c>
      <c r="P2190" s="13">
        <v>138</v>
      </c>
      <c r="Q2190" s="13">
        <v>29</v>
      </c>
      <c r="R2190">
        <v>24</v>
      </c>
      <c r="S2190">
        <v>24</v>
      </c>
      <c r="T2190" s="13">
        <v>28</v>
      </c>
      <c r="U2190" s="13">
        <v>45</v>
      </c>
      <c r="V2190" t="s">
        <v>99</v>
      </c>
      <c r="X2190" s="13">
        <v>138</v>
      </c>
    </row>
    <row r="2191" spans="1:24" x14ac:dyDescent="0.25">
      <c r="A2191" t="s">
        <v>1910</v>
      </c>
      <c r="B2191" t="s">
        <v>65</v>
      </c>
      <c r="C2191" t="s">
        <v>1877</v>
      </c>
      <c r="D2191" t="s">
        <v>1878</v>
      </c>
      <c r="E2191" t="s">
        <v>1879</v>
      </c>
      <c r="F2191" t="s">
        <v>94</v>
      </c>
      <c r="G2191" t="s">
        <v>277</v>
      </c>
      <c r="H2191" s="12">
        <v>7.1108000000000002</v>
      </c>
      <c r="I2191" s="12">
        <v>-75.551100000000005</v>
      </c>
      <c r="J2191" t="s">
        <v>1880</v>
      </c>
      <c r="K2191" t="s">
        <v>97</v>
      </c>
      <c r="L2191" t="s">
        <v>1273</v>
      </c>
      <c r="M2191">
        <v>11</v>
      </c>
      <c r="P2191" s="13">
        <v>138</v>
      </c>
      <c r="Q2191" s="13">
        <v>39</v>
      </c>
      <c r="R2191">
        <v>14</v>
      </c>
      <c r="S2191">
        <v>30</v>
      </c>
      <c r="T2191" s="13">
        <v>26</v>
      </c>
      <c r="U2191" s="13">
        <v>31</v>
      </c>
      <c r="V2191" t="s">
        <v>99</v>
      </c>
      <c r="X2191" s="13">
        <v>138</v>
      </c>
    </row>
    <row r="2192" spans="1:24" x14ac:dyDescent="0.25">
      <c r="A2192" t="s">
        <v>1911</v>
      </c>
      <c r="B2192" t="s">
        <v>65</v>
      </c>
      <c r="C2192" t="s">
        <v>1877</v>
      </c>
      <c r="D2192" t="s">
        <v>1878</v>
      </c>
      <c r="E2192" t="s">
        <v>1879</v>
      </c>
      <c r="F2192" t="s">
        <v>94</v>
      </c>
      <c r="G2192" t="s">
        <v>277</v>
      </c>
      <c r="H2192" s="12">
        <v>7.1108000000000002</v>
      </c>
      <c r="I2192" s="12">
        <v>-75.551100000000005</v>
      </c>
      <c r="J2192" t="s">
        <v>1880</v>
      </c>
      <c r="K2192" t="s">
        <v>97</v>
      </c>
      <c r="L2192" t="s">
        <v>1273</v>
      </c>
      <c r="M2192">
        <v>11</v>
      </c>
      <c r="P2192" s="13">
        <v>138</v>
      </c>
      <c r="Q2192" s="13">
        <v>46</v>
      </c>
      <c r="R2192">
        <v>22</v>
      </c>
      <c r="S2192">
        <v>24</v>
      </c>
      <c r="T2192" s="13">
        <v>19</v>
      </c>
      <c r="U2192" s="13">
        <v>24</v>
      </c>
      <c r="V2192" t="s">
        <v>99</v>
      </c>
      <c r="X2192" s="13">
        <v>138</v>
      </c>
    </row>
    <row r="2193" spans="1:24" x14ac:dyDescent="0.25">
      <c r="A2193" t="s">
        <v>1912</v>
      </c>
      <c r="B2193" t="s">
        <v>65</v>
      </c>
      <c r="C2193" t="s">
        <v>1877</v>
      </c>
      <c r="D2193" t="s">
        <v>1878</v>
      </c>
      <c r="E2193" t="s">
        <v>1879</v>
      </c>
      <c r="F2193" t="s">
        <v>94</v>
      </c>
      <c r="G2193" t="s">
        <v>277</v>
      </c>
      <c r="H2193" s="12">
        <v>7.1108000000000002</v>
      </c>
      <c r="I2193" s="12">
        <v>-75.551100000000005</v>
      </c>
      <c r="J2193" t="s">
        <v>1880</v>
      </c>
      <c r="K2193" t="s">
        <v>97</v>
      </c>
      <c r="L2193" t="s">
        <v>1273</v>
      </c>
      <c r="M2193">
        <v>11</v>
      </c>
      <c r="P2193" s="13">
        <v>136</v>
      </c>
      <c r="Q2193" s="13">
        <v>39</v>
      </c>
      <c r="R2193">
        <v>20</v>
      </c>
      <c r="S2193">
        <v>30</v>
      </c>
      <c r="T2193" s="13">
        <v>19</v>
      </c>
      <c r="U2193" s="13">
        <v>31</v>
      </c>
      <c r="V2193" t="s">
        <v>99</v>
      </c>
      <c r="X2193" s="13">
        <v>136</v>
      </c>
    </row>
    <row r="2194" spans="1:24" x14ac:dyDescent="0.25">
      <c r="A2194" t="s">
        <v>1913</v>
      </c>
      <c r="B2194" t="s">
        <v>65</v>
      </c>
      <c r="C2194" t="s">
        <v>1914</v>
      </c>
      <c r="D2194" t="s">
        <v>1915</v>
      </c>
      <c r="E2194" t="s">
        <v>1916</v>
      </c>
      <c r="F2194" t="s">
        <v>94</v>
      </c>
      <c r="G2194" t="s">
        <v>277</v>
      </c>
      <c r="H2194" s="12">
        <v>6.3457999999999997</v>
      </c>
      <c r="I2194" s="12">
        <v>-75.856899999999996</v>
      </c>
      <c r="J2194" t="s">
        <v>1917</v>
      </c>
      <c r="K2194" t="s">
        <v>97</v>
      </c>
      <c r="L2194" t="s">
        <v>1273</v>
      </c>
      <c r="M2194">
        <v>11</v>
      </c>
      <c r="P2194" s="13">
        <v>232</v>
      </c>
      <c r="Q2194" s="13">
        <v>41</v>
      </c>
      <c r="R2194">
        <v>44</v>
      </c>
      <c r="S2194">
        <v>58</v>
      </c>
      <c r="T2194" s="13">
        <v>33</v>
      </c>
      <c r="U2194" s="13">
        <v>75</v>
      </c>
      <c r="V2194" t="s">
        <v>99</v>
      </c>
      <c r="X2194" s="13">
        <v>232</v>
      </c>
    </row>
    <row r="2195" spans="1:24" x14ac:dyDescent="0.25">
      <c r="A2195" t="s">
        <v>1918</v>
      </c>
      <c r="B2195" t="s">
        <v>65</v>
      </c>
      <c r="C2195" t="s">
        <v>1914</v>
      </c>
      <c r="D2195" t="s">
        <v>1915</v>
      </c>
      <c r="E2195" t="s">
        <v>1916</v>
      </c>
      <c r="F2195" t="s">
        <v>94</v>
      </c>
      <c r="G2195" t="s">
        <v>277</v>
      </c>
      <c r="H2195" s="12">
        <v>6.3457999999999997</v>
      </c>
      <c r="I2195" s="12">
        <v>-75.856899999999996</v>
      </c>
      <c r="J2195" t="s">
        <v>1917</v>
      </c>
      <c r="K2195" t="s">
        <v>97</v>
      </c>
      <c r="L2195" t="s">
        <v>1273</v>
      </c>
      <c r="M2195">
        <v>11</v>
      </c>
      <c r="P2195" s="13">
        <v>224</v>
      </c>
      <c r="Q2195" s="13">
        <v>63</v>
      </c>
      <c r="R2195">
        <v>34</v>
      </c>
      <c r="S2195">
        <v>46</v>
      </c>
      <c r="T2195" s="13">
        <v>33</v>
      </c>
      <c r="U2195" s="13">
        <v>53</v>
      </c>
      <c r="V2195" t="s">
        <v>99</v>
      </c>
      <c r="X2195" s="13">
        <v>224</v>
      </c>
    </row>
    <row r="2196" spans="1:24" x14ac:dyDescent="0.25">
      <c r="A2196" t="s">
        <v>1919</v>
      </c>
      <c r="B2196" t="s">
        <v>65</v>
      </c>
      <c r="C2196" t="s">
        <v>1914</v>
      </c>
      <c r="D2196" t="s">
        <v>1915</v>
      </c>
      <c r="E2196" t="s">
        <v>1916</v>
      </c>
      <c r="F2196" t="s">
        <v>94</v>
      </c>
      <c r="G2196" t="s">
        <v>277</v>
      </c>
      <c r="H2196" s="12">
        <v>6.3457999999999997</v>
      </c>
      <c r="I2196" s="12">
        <v>-75.856899999999996</v>
      </c>
      <c r="J2196" t="s">
        <v>1917</v>
      </c>
      <c r="K2196" t="s">
        <v>97</v>
      </c>
      <c r="L2196" t="s">
        <v>1273</v>
      </c>
      <c r="M2196">
        <v>11</v>
      </c>
      <c r="P2196" s="13">
        <v>206</v>
      </c>
      <c r="Q2196" s="13">
        <v>41</v>
      </c>
      <c r="R2196">
        <v>26</v>
      </c>
      <c r="S2196">
        <v>58</v>
      </c>
      <c r="T2196" s="13">
        <v>22</v>
      </c>
      <c r="U2196" s="13">
        <v>91</v>
      </c>
      <c r="V2196" t="s">
        <v>99</v>
      </c>
      <c r="X2196" s="13">
        <v>206</v>
      </c>
    </row>
    <row r="2197" spans="1:24" x14ac:dyDescent="0.25">
      <c r="A2197" t="s">
        <v>1920</v>
      </c>
      <c r="B2197" t="s">
        <v>65</v>
      </c>
      <c r="C2197" t="s">
        <v>1914</v>
      </c>
      <c r="D2197" t="s">
        <v>1915</v>
      </c>
      <c r="E2197" t="s">
        <v>1916</v>
      </c>
      <c r="F2197" t="s">
        <v>94</v>
      </c>
      <c r="G2197" t="s">
        <v>277</v>
      </c>
      <c r="H2197" s="12">
        <v>6.3457999999999997</v>
      </c>
      <c r="I2197" s="12">
        <v>-75.856899999999996</v>
      </c>
      <c r="J2197" t="s">
        <v>1917</v>
      </c>
      <c r="K2197" t="s">
        <v>97</v>
      </c>
      <c r="L2197" t="s">
        <v>1273</v>
      </c>
      <c r="M2197">
        <v>11</v>
      </c>
      <c r="P2197" s="13">
        <v>185</v>
      </c>
      <c r="Q2197" s="13">
        <v>39</v>
      </c>
      <c r="R2197">
        <v>26</v>
      </c>
      <c r="S2197">
        <v>48</v>
      </c>
      <c r="T2197" s="13">
        <v>29</v>
      </c>
      <c r="U2197" s="13">
        <v>53</v>
      </c>
      <c r="V2197" t="s">
        <v>99</v>
      </c>
      <c r="X2197" s="13">
        <v>185</v>
      </c>
    </row>
    <row r="2198" spans="1:24" x14ac:dyDescent="0.25">
      <c r="A2198" t="s">
        <v>1921</v>
      </c>
      <c r="B2198" t="s">
        <v>65</v>
      </c>
      <c r="C2198" t="s">
        <v>1914</v>
      </c>
      <c r="D2198" t="s">
        <v>1915</v>
      </c>
      <c r="E2198" t="s">
        <v>1916</v>
      </c>
      <c r="F2198" t="s">
        <v>94</v>
      </c>
      <c r="G2198" t="s">
        <v>277</v>
      </c>
      <c r="H2198" s="12">
        <v>6.3457999999999997</v>
      </c>
      <c r="I2198" s="12">
        <v>-75.856899999999996</v>
      </c>
      <c r="J2198" t="s">
        <v>1917</v>
      </c>
      <c r="K2198" t="s">
        <v>97</v>
      </c>
      <c r="L2198" t="s">
        <v>1273</v>
      </c>
      <c r="M2198">
        <v>11</v>
      </c>
      <c r="P2198" s="13">
        <v>183</v>
      </c>
      <c r="Q2198" s="13">
        <v>46</v>
      </c>
      <c r="R2198">
        <v>20</v>
      </c>
      <c r="S2198">
        <v>48</v>
      </c>
      <c r="T2198" s="13">
        <v>28</v>
      </c>
      <c r="U2198" s="13">
        <v>51</v>
      </c>
      <c r="V2198" t="s">
        <v>99</v>
      </c>
      <c r="X2198" s="13">
        <v>183</v>
      </c>
    </row>
    <row r="2199" spans="1:24" x14ac:dyDescent="0.25">
      <c r="A2199" t="s">
        <v>1922</v>
      </c>
      <c r="B2199" t="s">
        <v>65</v>
      </c>
      <c r="C2199" t="s">
        <v>1914</v>
      </c>
      <c r="D2199" t="s">
        <v>1915</v>
      </c>
      <c r="E2199" t="s">
        <v>1916</v>
      </c>
      <c r="F2199" t="s">
        <v>94</v>
      </c>
      <c r="G2199" t="s">
        <v>277</v>
      </c>
      <c r="H2199" s="12">
        <v>6.3457999999999997</v>
      </c>
      <c r="I2199" s="12">
        <v>-75.856899999999996</v>
      </c>
      <c r="J2199" t="s">
        <v>1917</v>
      </c>
      <c r="K2199" t="s">
        <v>97</v>
      </c>
      <c r="L2199" t="s">
        <v>1273</v>
      </c>
      <c r="M2199">
        <v>11</v>
      </c>
      <c r="P2199" s="13">
        <v>180</v>
      </c>
      <c r="Q2199" s="13">
        <v>32</v>
      </c>
      <c r="R2199">
        <v>26</v>
      </c>
      <c r="S2199">
        <v>46</v>
      </c>
      <c r="T2199" s="13">
        <v>26</v>
      </c>
      <c r="U2199" s="13">
        <v>80</v>
      </c>
      <c r="V2199" t="s">
        <v>99</v>
      </c>
      <c r="X2199" s="13">
        <v>180</v>
      </c>
    </row>
    <row r="2200" spans="1:24" x14ac:dyDescent="0.25">
      <c r="A2200" t="s">
        <v>1923</v>
      </c>
      <c r="B2200" t="s">
        <v>65</v>
      </c>
      <c r="C2200" t="s">
        <v>1914</v>
      </c>
      <c r="D2200" t="s">
        <v>1915</v>
      </c>
      <c r="E2200" t="s">
        <v>1916</v>
      </c>
      <c r="F2200" t="s">
        <v>94</v>
      </c>
      <c r="G2200" t="s">
        <v>277</v>
      </c>
      <c r="H2200" s="12">
        <v>6.3457999999999997</v>
      </c>
      <c r="I2200" s="12">
        <v>-75.856899999999996</v>
      </c>
      <c r="J2200" t="s">
        <v>1917</v>
      </c>
      <c r="K2200" t="s">
        <v>97</v>
      </c>
      <c r="L2200" t="s">
        <v>1273</v>
      </c>
      <c r="M2200">
        <v>11</v>
      </c>
      <c r="P2200" s="13">
        <v>177</v>
      </c>
      <c r="Q2200" s="13">
        <v>37</v>
      </c>
      <c r="R2200">
        <v>22</v>
      </c>
      <c r="S2200">
        <v>48</v>
      </c>
      <c r="T2200" s="13">
        <v>38</v>
      </c>
      <c r="U2200" s="13">
        <v>27</v>
      </c>
      <c r="V2200" t="s">
        <v>99</v>
      </c>
      <c r="X2200" s="13">
        <v>177</v>
      </c>
    </row>
    <row r="2201" spans="1:24" x14ac:dyDescent="0.25">
      <c r="A2201" t="s">
        <v>1924</v>
      </c>
      <c r="B2201" t="s">
        <v>65</v>
      </c>
      <c r="C2201" t="s">
        <v>1914</v>
      </c>
      <c r="D2201" t="s">
        <v>1915</v>
      </c>
      <c r="E2201" t="s">
        <v>1916</v>
      </c>
      <c r="F2201" t="s">
        <v>94</v>
      </c>
      <c r="G2201" t="s">
        <v>277</v>
      </c>
      <c r="H2201" s="12">
        <v>6.3457999999999997</v>
      </c>
      <c r="I2201" s="12">
        <v>-75.856899999999996</v>
      </c>
      <c r="J2201" t="s">
        <v>1917</v>
      </c>
      <c r="K2201" t="s">
        <v>97</v>
      </c>
      <c r="L2201" t="s">
        <v>1273</v>
      </c>
      <c r="M2201">
        <v>11</v>
      </c>
      <c r="P2201" s="13">
        <v>175</v>
      </c>
      <c r="Q2201" s="13">
        <v>46</v>
      </c>
      <c r="R2201">
        <v>30</v>
      </c>
      <c r="S2201">
        <v>32</v>
      </c>
      <c r="T2201" s="13">
        <v>31</v>
      </c>
      <c r="U2201" s="13">
        <v>36</v>
      </c>
      <c r="V2201" t="s">
        <v>99</v>
      </c>
      <c r="X2201" s="13">
        <v>175</v>
      </c>
    </row>
    <row r="2202" spans="1:24" x14ac:dyDescent="0.25">
      <c r="A2202" t="s">
        <v>1925</v>
      </c>
      <c r="B2202" t="s">
        <v>65</v>
      </c>
      <c r="C2202" t="s">
        <v>1914</v>
      </c>
      <c r="D2202" t="s">
        <v>1915</v>
      </c>
      <c r="E2202" t="s">
        <v>1916</v>
      </c>
      <c r="F2202" t="s">
        <v>94</v>
      </c>
      <c r="G2202" t="s">
        <v>277</v>
      </c>
      <c r="H2202" s="12">
        <v>6.3457999999999997</v>
      </c>
      <c r="I2202" s="12">
        <v>-75.856899999999996</v>
      </c>
      <c r="J2202" t="s">
        <v>1917</v>
      </c>
      <c r="K2202" t="s">
        <v>97</v>
      </c>
      <c r="L2202" t="s">
        <v>1273</v>
      </c>
      <c r="M2202">
        <v>11</v>
      </c>
      <c r="P2202" s="13">
        <v>170</v>
      </c>
      <c r="Q2202" s="13">
        <v>44</v>
      </c>
      <c r="R2202">
        <v>22</v>
      </c>
      <c r="S2202">
        <v>36</v>
      </c>
      <c r="T2202" s="13">
        <v>29</v>
      </c>
      <c r="U2202" s="13">
        <v>47</v>
      </c>
      <c r="V2202" t="s">
        <v>99</v>
      </c>
      <c r="X2202" s="13">
        <v>170</v>
      </c>
    </row>
    <row r="2203" spans="1:24" x14ac:dyDescent="0.25">
      <c r="A2203" t="s">
        <v>1926</v>
      </c>
      <c r="B2203" t="s">
        <v>65</v>
      </c>
      <c r="C2203" t="s">
        <v>1914</v>
      </c>
      <c r="D2203" t="s">
        <v>1915</v>
      </c>
      <c r="E2203" t="s">
        <v>1916</v>
      </c>
      <c r="F2203" t="s">
        <v>94</v>
      </c>
      <c r="G2203" t="s">
        <v>277</v>
      </c>
      <c r="H2203" s="12">
        <v>6.3457999999999997</v>
      </c>
      <c r="I2203" s="12">
        <v>-75.856899999999996</v>
      </c>
      <c r="J2203" t="s">
        <v>1917</v>
      </c>
      <c r="K2203" t="s">
        <v>97</v>
      </c>
      <c r="L2203" t="s">
        <v>1273</v>
      </c>
      <c r="M2203">
        <v>11</v>
      </c>
      <c r="P2203" s="13">
        <v>167</v>
      </c>
      <c r="Q2203" s="13">
        <v>34</v>
      </c>
      <c r="R2203">
        <v>26</v>
      </c>
      <c r="S2203">
        <v>42</v>
      </c>
      <c r="T2203" s="13">
        <v>29</v>
      </c>
      <c r="U2203" s="13">
        <v>40</v>
      </c>
      <c r="V2203" t="s">
        <v>99</v>
      </c>
      <c r="X2203" s="13">
        <v>167</v>
      </c>
    </row>
    <row r="2204" spans="1:24" x14ac:dyDescent="0.25">
      <c r="A2204" t="s">
        <v>1927</v>
      </c>
      <c r="B2204" t="s">
        <v>65</v>
      </c>
      <c r="C2204" t="s">
        <v>1914</v>
      </c>
      <c r="D2204" t="s">
        <v>1915</v>
      </c>
      <c r="E2204" t="s">
        <v>1916</v>
      </c>
      <c r="F2204" t="s">
        <v>94</v>
      </c>
      <c r="G2204" t="s">
        <v>277</v>
      </c>
      <c r="H2204" s="12">
        <v>6.3457999999999997</v>
      </c>
      <c r="I2204" s="12">
        <v>-75.856899999999996</v>
      </c>
      <c r="J2204" t="s">
        <v>1917</v>
      </c>
      <c r="K2204" t="s">
        <v>97</v>
      </c>
      <c r="L2204" t="s">
        <v>1273</v>
      </c>
      <c r="M2204">
        <v>11</v>
      </c>
      <c r="P2204" s="13">
        <v>159</v>
      </c>
      <c r="Q2204" s="13">
        <v>32</v>
      </c>
      <c r="R2204">
        <v>22</v>
      </c>
      <c r="S2204">
        <v>42</v>
      </c>
      <c r="T2204" s="13">
        <v>26</v>
      </c>
      <c r="U2204" s="13">
        <v>49</v>
      </c>
      <c r="V2204" t="s">
        <v>99</v>
      </c>
      <c r="X2204" s="13">
        <v>159</v>
      </c>
    </row>
    <row r="2205" spans="1:24" x14ac:dyDescent="0.25">
      <c r="A2205" t="s">
        <v>1928</v>
      </c>
      <c r="B2205" t="s">
        <v>65</v>
      </c>
      <c r="C2205" t="s">
        <v>1914</v>
      </c>
      <c r="D2205" t="s">
        <v>1915</v>
      </c>
      <c r="E2205" t="s">
        <v>1916</v>
      </c>
      <c r="F2205" t="s">
        <v>94</v>
      </c>
      <c r="G2205" t="s">
        <v>277</v>
      </c>
      <c r="H2205" s="12">
        <v>6.3457999999999997</v>
      </c>
      <c r="I2205" s="12">
        <v>-75.856899999999996</v>
      </c>
      <c r="J2205" t="s">
        <v>1917</v>
      </c>
      <c r="K2205" t="s">
        <v>97</v>
      </c>
      <c r="L2205" t="s">
        <v>1273</v>
      </c>
      <c r="M2205">
        <v>11</v>
      </c>
      <c r="P2205" s="13">
        <v>157</v>
      </c>
      <c r="Q2205" s="13">
        <v>44</v>
      </c>
      <c r="R2205">
        <v>32</v>
      </c>
      <c r="S2205">
        <v>24</v>
      </c>
      <c r="T2205" s="13">
        <v>21</v>
      </c>
      <c r="U2205" s="13">
        <v>47</v>
      </c>
      <c r="V2205" t="s">
        <v>99</v>
      </c>
      <c r="X2205" s="13">
        <v>157</v>
      </c>
    </row>
    <row r="2206" spans="1:24" x14ac:dyDescent="0.25">
      <c r="A2206" t="s">
        <v>1929</v>
      </c>
      <c r="B2206" t="s">
        <v>65</v>
      </c>
      <c r="C2206" t="s">
        <v>1914</v>
      </c>
      <c r="D2206" t="s">
        <v>1915</v>
      </c>
      <c r="E2206" t="s">
        <v>1916</v>
      </c>
      <c r="F2206" t="s">
        <v>94</v>
      </c>
      <c r="G2206" t="s">
        <v>277</v>
      </c>
      <c r="H2206" s="12">
        <v>6.3457999999999997</v>
      </c>
      <c r="I2206" s="12">
        <v>-75.856899999999996</v>
      </c>
      <c r="J2206" t="s">
        <v>1917</v>
      </c>
      <c r="K2206" t="s">
        <v>97</v>
      </c>
      <c r="L2206" t="s">
        <v>1273</v>
      </c>
      <c r="M2206">
        <v>11</v>
      </c>
      <c r="P2206" s="13">
        <v>157</v>
      </c>
      <c r="Q2206" s="13">
        <v>44</v>
      </c>
      <c r="R2206">
        <v>20</v>
      </c>
      <c r="S2206">
        <v>36</v>
      </c>
      <c r="T2206" s="13">
        <v>22</v>
      </c>
      <c r="U2206" s="13">
        <v>42</v>
      </c>
      <c r="V2206" t="s">
        <v>99</v>
      </c>
      <c r="X2206" s="13">
        <v>157</v>
      </c>
    </row>
    <row r="2207" spans="1:24" x14ac:dyDescent="0.25">
      <c r="A2207" t="s">
        <v>1930</v>
      </c>
      <c r="B2207" t="s">
        <v>65</v>
      </c>
      <c r="C2207" t="s">
        <v>1914</v>
      </c>
      <c r="D2207" t="s">
        <v>1915</v>
      </c>
      <c r="E2207" t="s">
        <v>1916</v>
      </c>
      <c r="F2207" t="s">
        <v>94</v>
      </c>
      <c r="G2207" t="s">
        <v>277</v>
      </c>
      <c r="H2207" s="12">
        <v>6.3457999999999997</v>
      </c>
      <c r="I2207" s="12">
        <v>-75.856899999999996</v>
      </c>
      <c r="J2207" t="s">
        <v>1917</v>
      </c>
      <c r="K2207" t="s">
        <v>97</v>
      </c>
      <c r="L2207" t="s">
        <v>1273</v>
      </c>
      <c r="M2207">
        <v>11</v>
      </c>
      <c r="P2207" s="13">
        <v>156</v>
      </c>
      <c r="Q2207" s="13">
        <v>41</v>
      </c>
      <c r="R2207">
        <v>22</v>
      </c>
      <c r="S2207">
        <v>36</v>
      </c>
      <c r="T2207" s="13">
        <v>26</v>
      </c>
      <c r="U2207" s="13">
        <v>31</v>
      </c>
      <c r="V2207" t="s">
        <v>99</v>
      </c>
      <c r="X2207" s="13">
        <v>156</v>
      </c>
    </row>
    <row r="2208" spans="1:24" x14ac:dyDescent="0.25">
      <c r="A2208" t="s">
        <v>1931</v>
      </c>
      <c r="B2208" t="s">
        <v>65</v>
      </c>
      <c r="C2208" t="s">
        <v>1914</v>
      </c>
      <c r="D2208" t="s">
        <v>1915</v>
      </c>
      <c r="E2208" t="s">
        <v>1916</v>
      </c>
      <c r="F2208" t="s">
        <v>94</v>
      </c>
      <c r="G2208" t="s">
        <v>277</v>
      </c>
      <c r="H2208" s="12">
        <v>6.3457999999999997</v>
      </c>
      <c r="I2208" s="12">
        <v>-75.856899999999996</v>
      </c>
      <c r="J2208" t="s">
        <v>1917</v>
      </c>
      <c r="K2208" t="s">
        <v>97</v>
      </c>
      <c r="L2208" t="s">
        <v>1273</v>
      </c>
      <c r="M2208">
        <v>11</v>
      </c>
      <c r="P2208" s="13">
        <v>153</v>
      </c>
      <c r="Q2208" s="13">
        <v>34</v>
      </c>
      <c r="R2208">
        <v>28</v>
      </c>
      <c r="S2208">
        <v>38</v>
      </c>
      <c r="T2208" s="13">
        <v>26</v>
      </c>
      <c r="U2208" s="13">
        <v>20</v>
      </c>
      <c r="V2208" t="s">
        <v>99</v>
      </c>
      <c r="X2208" s="13">
        <v>153</v>
      </c>
    </row>
    <row r="2209" spans="1:24" x14ac:dyDescent="0.25">
      <c r="A2209" t="s">
        <v>1932</v>
      </c>
      <c r="B2209" t="s">
        <v>65</v>
      </c>
      <c r="C2209" t="s">
        <v>1914</v>
      </c>
      <c r="D2209" t="s">
        <v>1915</v>
      </c>
      <c r="E2209" t="s">
        <v>1916</v>
      </c>
      <c r="F2209" t="s">
        <v>94</v>
      </c>
      <c r="G2209" t="s">
        <v>277</v>
      </c>
      <c r="H2209" s="12">
        <v>6.3457999999999997</v>
      </c>
      <c r="I2209" s="12">
        <v>-75.856899999999996</v>
      </c>
      <c r="J2209" t="s">
        <v>1917</v>
      </c>
      <c r="K2209" t="s">
        <v>97</v>
      </c>
      <c r="L2209" t="s">
        <v>1273</v>
      </c>
      <c r="M2209">
        <v>11</v>
      </c>
      <c r="P2209" s="13">
        <v>151</v>
      </c>
      <c r="Q2209" s="13">
        <v>37</v>
      </c>
      <c r="R2209">
        <v>26</v>
      </c>
      <c r="S2209">
        <v>40</v>
      </c>
      <c r="T2209" s="13">
        <v>21</v>
      </c>
      <c r="U2209" s="13">
        <v>22</v>
      </c>
      <c r="V2209" t="s">
        <v>99</v>
      </c>
      <c r="X2209" s="13">
        <v>151</v>
      </c>
    </row>
    <row r="2210" spans="1:24" x14ac:dyDescent="0.25">
      <c r="A2210" t="s">
        <v>1933</v>
      </c>
      <c r="B2210" t="s">
        <v>65</v>
      </c>
      <c r="C2210" t="s">
        <v>1914</v>
      </c>
      <c r="D2210" t="s">
        <v>1915</v>
      </c>
      <c r="E2210" t="s">
        <v>1916</v>
      </c>
      <c r="F2210" t="s">
        <v>94</v>
      </c>
      <c r="G2210" t="s">
        <v>277</v>
      </c>
      <c r="H2210" s="12">
        <v>6.3457999999999997</v>
      </c>
      <c r="I2210" s="12">
        <v>-75.856899999999996</v>
      </c>
      <c r="J2210" t="s">
        <v>1917</v>
      </c>
      <c r="K2210" t="s">
        <v>97</v>
      </c>
      <c r="L2210" t="s">
        <v>1273</v>
      </c>
      <c r="M2210">
        <v>11</v>
      </c>
      <c r="P2210" s="13">
        <v>150</v>
      </c>
      <c r="Q2210" s="13">
        <v>37</v>
      </c>
      <c r="R2210">
        <v>28</v>
      </c>
      <c r="S2210">
        <v>30</v>
      </c>
      <c r="T2210" s="13">
        <v>24</v>
      </c>
      <c r="U2210" s="13">
        <v>33</v>
      </c>
      <c r="V2210" t="s">
        <v>99</v>
      </c>
      <c r="X2210" s="13">
        <v>150</v>
      </c>
    </row>
    <row r="2211" spans="1:24" x14ac:dyDescent="0.25">
      <c r="A2211" t="s">
        <v>1934</v>
      </c>
      <c r="B2211" t="s">
        <v>65</v>
      </c>
      <c r="C2211" t="s">
        <v>1914</v>
      </c>
      <c r="D2211" t="s">
        <v>1915</v>
      </c>
      <c r="E2211" t="s">
        <v>1916</v>
      </c>
      <c r="F2211" t="s">
        <v>94</v>
      </c>
      <c r="G2211" t="s">
        <v>277</v>
      </c>
      <c r="H2211" s="12">
        <v>6.3457999999999997</v>
      </c>
      <c r="I2211" s="12">
        <v>-75.856899999999996</v>
      </c>
      <c r="J2211" t="s">
        <v>1917</v>
      </c>
      <c r="K2211" t="s">
        <v>97</v>
      </c>
      <c r="L2211" t="s">
        <v>1273</v>
      </c>
      <c r="M2211">
        <v>11</v>
      </c>
      <c r="P2211" s="13">
        <v>149</v>
      </c>
      <c r="Q2211" s="13">
        <v>29</v>
      </c>
      <c r="R2211">
        <v>16</v>
      </c>
      <c r="S2211">
        <v>38</v>
      </c>
      <c r="T2211" s="13">
        <v>29</v>
      </c>
      <c r="U2211" s="13">
        <v>51</v>
      </c>
      <c r="V2211" t="s">
        <v>99</v>
      </c>
      <c r="X2211" s="13">
        <v>149</v>
      </c>
    </row>
    <row r="2212" spans="1:24" x14ac:dyDescent="0.25">
      <c r="A2212" t="s">
        <v>1935</v>
      </c>
      <c r="B2212" t="s">
        <v>65</v>
      </c>
      <c r="C2212" t="s">
        <v>1914</v>
      </c>
      <c r="D2212" t="s">
        <v>1915</v>
      </c>
      <c r="E2212" t="s">
        <v>1916</v>
      </c>
      <c r="F2212" t="s">
        <v>94</v>
      </c>
      <c r="G2212" t="s">
        <v>277</v>
      </c>
      <c r="H2212" s="12">
        <v>6.3457999999999997</v>
      </c>
      <c r="I2212" s="12">
        <v>-75.856899999999996</v>
      </c>
      <c r="J2212" t="s">
        <v>1917</v>
      </c>
      <c r="K2212" t="s">
        <v>97</v>
      </c>
      <c r="L2212" t="s">
        <v>1273</v>
      </c>
      <c r="M2212">
        <v>11</v>
      </c>
      <c r="P2212" s="13">
        <v>149</v>
      </c>
      <c r="Q2212" s="13">
        <v>32</v>
      </c>
      <c r="R2212">
        <v>24</v>
      </c>
      <c r="S2212">
        <v>34</v>
      </c>
      <c r="T2212" s="13">
        <v>28</v>
      </c>
      <c r="U2212" s="13">
        <v>36</v>
      </c>
      <c r="V2212" t="s">
        <v>99</v>
      </c>
      <c r="X2212" s="13">
        <v>149</v>
      </c>
    </row>
    <row r="2213" spans="1:24" x14ac:dyDescent="0.25">
      <c r="A2213" t="s">
        <v>1936</v>
      </c>
      <c r="B2213" t="s">
        <v>65</v>
      </c>
      <c r="C2213" t="s">
        <v>1914</v>
      </c>
      <c r="D2213" t="s">
        <v>1915</v>
      </c>
      <c r="E2213" t="s">
        <v>1916</v>
      </c>
      <c r="F2213" t="s">
        <v>94</v>
      </c>
      <c r="G2213" t="s">
        <v>277</v>
      </c>
      <c r="H2213" s="12">
        <v>6.3457999999999997</v>
      </c>
      <c r="I2213" s="12">
        <v>-75.856899999999996</v>
      </c>
      <c r="J2213" t="s">
        <v>1917</v>
      </c>
      <c r="K2213" t="s">
        <v>97</v>
      </c>
      <c r="L2213" t="s">
        <v>1273</v>
      </c>
      <c r="M2213">
        <v>11</v>
      </c>
      <c r="P2213" s="13">
        <v>146</v>
      </c>
      <c r="Q2213" s="13">
        <v>32</v>
      </c>
      <c r="R2213">
        <v>28</v>
      </c>
      <c r="S2213">
        <v>30</v>
      </c>
      <c r="T2213" s="13">
        <v>21</v>
      </c>
      <c r="U2213" s="13">
        <v>49</v>
      </c>
      <c r="V2213" t="s">
        <v>99</v>
      </c>
      <c r="X2213" s="13">
        <v>146</v>
      </c>
    </row>
    <row r="2214" spans="1:24" x14ac:dyDescent="0.25">
      <c r="A2214" t="s">
        <v>1937</v>
      </c>
      <c r="B2214" t="s">
        <v>65</v>
      </c>
      <c r="C2214" t="s">
        <v>1914</v>
      </c>
      <c r="D2214" t="s">
        <v>1915</v>
      </c>
      <c r="E2214" t="s">
        <v>1916</v>
      </c>
      <c r="F2214" t="s">
        <v>94</v>
      </c>
      <c r="G2214" t="s">
        <v>277</v>
      </c>
      <c r="H2214" s="12">
        <v>6.3457999999999997</v>
      </c>
      <c r="I2214" s="12">
        <v>-75.856899999999996</v>
      </c>
      <c r="J2214" t="s">
        <v>1917</v>
      </c>
      <c r="K2214" t="s">
        <v>97</v>
      </c>
      <c r="L2214" t="s">
        <v>1273</v>
      </c>
      <c r="M2214">
        <v>11</v>
      </c>
      <c r="P2214" s="13">
        <v>145</v>
      </c>
      <c r="Q2214" s="13">
        <v>27</v>
      </c>
      <c r="R2214">
        <v>26</v>
      </c>
      <c r="S2214">
        <v>34</v>
      </c>
      <c r="T2214" s="13">
        <v>29</v>
      </c>
      <c r="U2214" s="13">
        <v>29</v>
      </c>
      <c r="V2214" t="s">
        <v>99</v>
      </c>
      <c r="X2214" s="13">
        <v>145</v>
      </c>
    </row>
    <row r="2215" spans="1:24" x14ac:dyDescent="0.25">
      <c r="A2215" t="s">
        <v>1938</v>
      </c>
      <c r="B2215" t="s">
        <v>65</v>
      </c>
      <c r="C2215" t="s">
        <v>1914</v>
      </c>
      <c r="D2215" t="s">
        <v>1915</v>
      </c>
      <c r="E2215" t="s">
        <v>1916</v>
      </c>
      <c r="F2215" t="s">
        <v>94</v>
      </c>
      <c r="G2215" t="s">
        <v>277</v>
      </c>
      <c r="H2215" s="12">
        <v>6.3457999999999997</v>
      </c>
      <c r="I2215" s="12">
        <v>-75.856899999999996</v>
      </c>
      <c r="J2215" t="s">
        <v>1917</v>
      </c>
      <c r="K2215" t="s">
        <v>97</v>
      </c>
      <c r="L2215" t="s">
        <v>1273</v>
      </c>
      <c r="M2215">
        <v>11</v>
      </c>
      <c r="P2215" s="13">
        <v>144</v>
      </c>
      <c r="Q2215" s="13">
        <v>34</v>
      </c>
      <c r="R2215">
        <v>20</v>
      </c>
      <c r="S2215">
        <v>38</v>
      </c>
      <c r="T2215" s="13">
        <v>19</v>
      </c>
      <c r="U2215" s="13">
        <v>42</v>
      </c>
      <c r="V2215" t="s">
        <v>99</v>
      </c>
      <c r="X2215" s="13">
        <v>144</v>
      </c>
    </row>
    <row r="2216" spans="1:24" x14ac:dyDescent="0.25">
      <c r="A2216" t="s">
        <v>1939</v>
      </c>
      <c r="B2216" t="s">
        <v>65</v>
      </c>
      <c r="C2216" t="s">
        <v>1914</v>
      </c>
      <c r="D2216" t="s">
        <v>1915</v>
      </c>
      <c r="E2216" t="s">
        <v>1916</v>
      </c>
      <c r="F2216" t="s">
        <v>94</v>
      </c>
      <c r="G2216" t="s">
        <v>277</v>
      </c>
      <c r="H2216" s="12">
        <v>6.3457999999999997</v>
      </c>
      <c r="I2216" s="12">
        <v>-75.856899999999996</v>
      </c>
      <c r="J2216" t="s">
        <v>1917</v>
      </c>
      <c r="K2216" t="s">
        <v>97</v>
      </c>
      <c r="L2216" t="s">
        <v>1273</v>
      </c>
      <c r="M2216">
        <v>11</v>
      </c>
      <c r="P2216" s="13">
        <v>142</v>
      </c>
      <c r="Q2216" s="13">
        <v>49</v>
      </c>
      <c r="R2216">
        <v>16</v>
      </c>
      <c r="S2216">
        <v>26</v>
      </c>
      <c r="T2216" s="13">
        <v>22</v>
      </c>
      <c r="U2216" s="13">
        <v>31</v>
      </c>
      <c r="V2216" t="s">
        <v>99</v>
      </c>
      <c r="X2216" s="13">
        <v>142</v>
      </c>
    </row>
    <row r="2217" spans="1:24" x14ac:dyDescent="0.25">
      <c r="A2217" t="s">
        <v>1940</v>
      </c>
      <c r="B2217" t="s">
        <v>65</v>
      </c>
      <c r="C2217" t="s">
        <v>1914</v>
      </c>
      <c r="D2217" t="s">
        <v>1915</v>
      </c>
      <c r="E2217" t="s">
        <v>1916</v>
      </c>
      <c r="F2217" t="s">
        <v>94</v>
      </c>
      <c r="G2217" t="s">
        <v>277</v>
      </c>
      <c r="H2217" s="12">
        <v>6.3457999999999997</v>
      </c>
      <c r="I2217" s="12">
        <v>-75.856899999999996</v>
      </c>
      <c r="J2217" t="s">
        <v>1917</v>
      </c>
      <c r="K2217" t="s">
        <v>97</v>
      </c>
      <c r="L2217" t="s">
        <v>1273</v>
      </c>
      <c r="M2217">
        <v>11</v>
      </c>
      <c r="P2217" s="13">
        <v>140</v>
      </c>
      <c r="Q2217" s="13">
        <v>20</v>
      </c>
      <c r="R2217">
        <v>28</v>
      </c>
      <c r="S2217">
        <v>42</v>
      </c>
      <c r="T2217" s="13">
        <v>19</v>
      </c>
      <c r="U2217" s="13">
        <v>38</v>
      </c>
      <c r="V2217" t="s">
        <v>99</v>
      </c>
      <c r="X2217" s="13">
        <v>140</v>
      </c>
    </row>
    <row r="2218" spans="1:24" x14ac:dyDescent="0.25">
      <c r="A2218" t="s">
        <v>1941</v>
      </c>
      <c r="B2218" t="s">
        <v>65</v>
      </c>
      <c r="C2218" t="s">
        <v>1914</v>
      </c>
      <c r="D2218" t="s">
        <v>1915</v>
      </c>
      <c r="E2218" t="s">
        <v>1916</v>
      </c>
      <c r="F2218" t="s">
        <v>94</v>
      </c>
      <c r="G2218" t="s">
        <v>277</v>
      </c>
      <c r="H2218" s="12">
        <v>6.3457999999999997</v>
      </c>
      <c r="I2218" s="12">
        <v>-75.856899999999996</v>
      </c>
      <c r="J2218" t="s">
        <v>1917</v>
      </c>
      <c r="K2218" t="s">
        <v>97</v>
      </c>
      <c r="L2218" t="s">
        <v>1273</v>
      </c>
      <c r="M2218">
        <v>11</v>
      </c>
      <c r="P2218" s="13">
        <v>139</v>
      </c>
      <c r="Q2218" s="13">
        <v>39</v>
      </c>
      <c r="R2218">
        <v>28</v>
      </c>
      <c r="S2218">
        <v>16</v>
      </c>
      <c r="T2218" s="13">
        <v>24</v>
      </c>
      <c r="U2218" s="13">
        <v>40</v>
      </c>
      <c r="V2218" t="s">
        <v>99</v>
      </c>
      <c r="X2218" s="13">
        <v>139</v>
      </c>
    </row>
    <row r="2219" spans="1:24" x14ac:dyDescent="0.25">
      <c r="A2219" t="s">
        <v>1942</v>
      </c>
      <c r="B2219" t="s">
        <v>65</v>
      </c>
      <c r="C2219" t="s">
        <v>1914</v>
      </c>
      <c r="D2219" t="s">
        <v>1915</v>
      </c>
      <c r="E2219" t="s">
        <v>1916</v>
      </c>
      <c r="F2219" t="s">
        <v>94</v>
      </c>
      <c r="G2219" t="s">
        <v>277</v>
      </c>
      <c r="H2219" s="12">
        <v>6.3457999999999997</v>
      </c>
      <c r="I2219" s="12">
        <v>-75.856899999999996</v>
      </c>
      <c r="J2219" t="s">
        <v>1917</v>
      </c>
      <c r="K2219" t="s">
        <v>97</v>
      </c>
      <c r="L2219" t="s">
        <v>1273</v>
      </c>
      <c r="M2219">
        <v>11</v>
      </c>
      <c r="P2219" s="13">
        <v>139</v>
      </c>
      <c r="Q2219" s="13">
        <v>34</v>
      </c>
      <c r="R2219">
        <v>12</v>
      </c>
      <c r="S2219">
        <v>32</v>
      </c>
      <c r="T2219" s="13">
        <v>31</v>
      </c>
      <c r="U2219" s="13">
        <v>33</v>
      </c>
      <c r="V2219" t="s">
        <v>99</v>
      </c>
      <c r="X2219" s="13">
        <v>139</v>
      </c>
    </row>
    <row r="2220" spans="1:24" x14ac:dyDescent="0.25">
      <c r="A2220" t="s">
        <v>1943</v>
      </c>
      <c r="B2220" t="s">
        <v>65</v>
      </c>
      <c r="C2220" t="s">
        <v>1914</v>
      </c>
      <c r="D2220" t="s">
        <v>1915</v>
      </c>
      <c r="E2220" t="s">
        <v>1916</v>
      </c>
      <c r="F2220" t="s">
        <v>94</v>
      </c>
      <c r="G2220" t="s">
        <v>277</v>
      </c>
      <c r="H2220" s="12">
        <v>6.3457999999999997</v>
      </c>
      <c r="I2220" s="12">
        <v>-75.856899999999996</v>
      </c>
      <c r="J2220" t="s">
        <v>1917</v>
      </c>
      <c r="K2220" t="s">
        <v>97</v>
      </c>
      <c r="L2220" t="s">
        <v>1273</v>
      </c>
      <c r="M2220">
        <v>11</v>
      </c>
      <c r="P2220" s="13">
        <v>138</v>
      </c>
      <c r="Q2220" s="13">
        <v>24</v>
      </c>
      <c r="R2220">
        <v>32</v>
      </c>
      <c r="S2220">
        <v>22</v>
      </c>
      <c r="T2220" s="13">
        <v>28</v>
      </c>
      <c r="U2220" s="13">
        <v>40</v>
      </c>
      <c r="V2220" t="s">
        <v>99</v>
      </c>
      <c r="X2220" s="13">
        <v>138</v>
      </c>
    </row>
    <row r="2221" spans="1:24" x14ac:dyDescent="0.25">
      <c r="A2221" t="s">
        <v>1944</v>
      </c>
      <c r="B2221" t="s">
        <v>65</v>
      </c>
      <c r="C2221" t="s">
        <v>1914</v>
      </c>
      <c r="D2221" t="s">
        <v>1915</v>
      </c>
      <c r="E2221" t="s">
        <v>1916</v>
      </c>
      <c r="F2221" t="s">
        <v>94</v>
      </c>
      <c r="G2221" t="s">
        <v>277</v>
      </c>
      <c r="H2221" s="12">
        <v>6.3457999999999997</v>
      </c>
      <c r="I2221" s="12">
        <v>-75.856899999999996</v>
      </c>
      <c r="J2221" t="s">
        <v>1917</v>
      </c>
      <c r="K2221" t="s">
        <v>97</v>
      </c>
      <c r="L2221" t="s">
        <v>1273</v>
      </c>
      <c r="M2221">
        <v>11</v>
      </c>
      <c r="P2221" s="13">
        <v>134</v>
      </c>
      <c r="Q2221" s="13">
        <v>24</v>
      </c>
      <c r="R2221">
        <v>26</v>
      </c>
      <c r="S2221">
        <v>26</v>
      </c>
      <c r="T2221" s="13">
        <v>24</v>
      </c>
      <c r="U2221" s="13">
        <v>47</v>
      </c>
      <c r="V2221" t="s">
        <v>99</v>
      </c>
      <c r="X2221" s="13">
        <v>134</v>
      </c>
    </row>
    <row r="2222" spans="1:24" x14ac:dyDescent="0.25">
      <c r="A2222" t="s">
        <v>1945</v>
      </c>
      <c r="B2222" t="s">
        <v>65</v>
      </c>
      <c r="C2222" t="s">
        <v>1914</v>
      </c>
      <c r="D2222" t="s">
        <v>1915</v>
      </c>
      <c r="E2222" t="s">
        <v>1916</v>
      </c>
      <c r="F2222" t="s">
        <v>94</v>
      </c>
      <c r="G2222" t="s">
        <v>277</v>
      </c>
      <c r="H2222" s="12">
        <v>6.3457999999999997</v>
      </c>
      <c r="I2222" s="12">
        <v>-75.856899999999996</v>
      </c>
      <c r="J2222" t="s">
        <v>1917</v>
      </c>
      <c r="K2222" t="s">
        <v>97</v>
      </c>
      <c r="L2222" t="s">
        <v>1273</v>
      </c>
      <c r="M2222">
        <v>11</v>
      </c>
      <c r="P2222" s="13">
        <v>122</v>
      </c>
      <c r="Q2222" s="13">
        <v>22</v>
      </c>
      <c r="R2222">
        <v>24</v>
      </c>
      <c r="S2222">
        <v>28</v>
      </c>
      <c r="T2222" s="13">
        <v>21</v>
      </c>
      <c r="U2222" s="13">
        <v>35</v>
      </c>
      <c r="V2222" t="s">
        <v>99</v>
      </c>
      <c r="X2222" s="13">
        <v>122</v>
      </c>
    </row>
    <row r="2223" spans="1:24" x14ac:dyDescent="0.25">
      <c r="A2223" t="s">
        <v>1946</v>
      </c>
      <c r="B2223" t="s">
        <v>65</v>
      </c>
      <c r="C2223" t="s">
        <v>1914</v>
      </c>
      <c r="D2223" t="s">
        <v>1915</v>
      </c>
      <c r="E2223" t="s">
        <v>1916</v>
      </c>
      <c r="F2223" t="s">
        <v>94</v>
      </c>
      <c r="G2223" t="s">
        <v>277</v>
      </c>
      <c r="H2223" s="12">
        <v>6.3457999999999997</v>
      </c>
      <c r="I2223" s="12">
        <v>-75.856899999999996</v>
      </c>
      <c r="J2223" t="s">
        <v>1917</v>
      </c>
      <c r="K2223" t="s">
        <v>97</v>
      </c>
      <c r="L2223" t="s">
        <v>1273</v>
      </c>
      <c r="M2223">
        <v>11</v>
      </c>
      <c r="P2223" s="13">
        <v>94</v>
      </c>
      <c r="Q2223" s="13">
        <v>41</v>
      </c>
      <c r="R2223">
        <v>12</v>
      </c>
      <c r="S2223">
        <v>16</v>
      </c>
      <c r="T2223" s="13">
        <v>12</v>
      </c>
      <c r="U2223" s="13">
        <v>0</v>
      </c>
      <c r="V2223" t="s">
        <v>99</v>
      </c>
      <c r="X2223" s="13">
        <v>94</v>
      </c>
    </row>
    <row r="2224" spans="1:24" x14ac:dyDescent="0.25">
      <c r="A2224" t="s">
        <v>1947</v>
      </c>
      <c r="B2224" t="s">
        <v>65</v>
      </c>
      <c r="C2224" t="s">
        <v>1914</v>
      </c>
      <c r="D2224" t="s">
        <v>1915</v>
      </c>
      <c r="E2224" t="s">
        <v>1916</v>
      </c>
      <c r="F2224" t="s">
        <v>94</v>
      </c>
      <c r="G2224" t="s">
        <v>277</v>
      </c>
      <c r="H2224" s="12">
        <v>6.3457999999999997</v>
      </c>
      <c r="I2224" s="12">
        <v>-75.856899999999996</v>
      </c>
      <c r="J2224" t="s">
        <v>1917</v>
      </c>
      <c r="K2224" t="s">
        <v>97</v>
      </c>
      <c r="L2224" t="s">
        <v>1273</v>
      </c>
      <c r="M2224">
        <v>11</v>
      </c>
      <c r="P2224" s="13">
        <v>69</v>
      </c>
      <c r="Q2224" s="13">
        <v>22</v>
      </c>
      <c r="R2224">
        <v>14</v>
      </c>
      <c r="S2224">
        <v>12</v>
      </c>
      <c r="T2224" s="13">
        <v>12</v>
      </c>
      <c r="U2224" s="13">
        <v>0</v>
      </c>
      <c r="V2224" t="s">
        <v>99</v>
      </c>
      <c r="X2224" s="13">
        <v>69</v>
      </c>
    </row>
    <row r="2225" spans="1:24" x14ac:dyDescent="0.25">
      <c r="A2225" t="s">
        <v>1948</v>
      </c>
      <c r="B2225" t="s">
        <v>65</v>
      </c>
      <c r="C2225" t="s">
        <v>1949</v>
      </c>
      <c r="D2225" t="s">
        <v>1950</v>
      </c>
      <c r="E2225" t="s">
        <v>1951</v>
      </c>
      <c r="F2225" t="s">
        <v>94</v>
      </c>
      <c r="G2225" t="s">
        <v>277</v>
      </c>
      <c r="H2225" s="12">
        <v>8.2750000000000004</v>
      </c>
      <c r="I2225" s="12">
        <v>-76.369</v>
      </c>
      <c r="J2225" t="s">
        <v>1952</v>
      </c>
      <c r="K2225" t="s">
        <v>97</v>
      </c>
      <c r="L2225" t="s">
        <v>1273</v>
      </c>
      <c r="M2225">
        <v>11</v>
      </c>
      <c r="P2225" s="13">
        <v>271</v>
      </c>
      <c r="Q2225" s="13">
        <v>61</v>
      </c>
      <c r="R2225">
        <v>36</v>
      </c>
      <c r="S2225">
        <v>72</v>
      </c>
      <c r="T2225" s="13">
        <v>45</v>
      </c>
      <c r="U2225" s="13">
        <v>64</v>
      </c>
      <c r="V2225" t="s">
        <v>99</v>
      </c>
      <c r="X2225" s="13">
        <v>271</v>
      </c>
    </row>
    <row r="2226" spans="1:24" x14ac:dyDescent="0.25">
      <c r="A2226" t="s">
        <v>1953</v>
      </c>
      <c r="B2226" t="s">
        <v>65</v>
      </c>
      <c r="C2226" t="s">
        <v>1949</v>
      </c>
      <c r="D2226" t="s">
        <v>1950</v>
      </c>
      <c r="E2226" t="s">
        <v>1951</v>
      </c>
      <c r="F2226" t="s">
        <v>94</v>
      </c>
      <c r="G2226" t="s">
        <v>277</v>
      </c>
      <c r="H2226" s="12">
        <v>8.2750000000000004</v>
      </c>
      <c r="I2226" s="12">
        <v>-76.369</v>
      </c>
      <c r="J2226" t="s">
        <v>1952</v>
      </c>
      <c r="K2226" t="s">
        <v>97</v>
      </c>
      <c r="L2226" t="s">
        <v>1273</v>
      </c>
      <c r="M2226">
        <v>11</v>
      </c>
      <c r="P2226" s="13">
        <v>268</v>
      </c>
      <c r="Q2226" s="13">
        <v>59</v>
      </c>
      <c r="R2226">
        <v>48</v>
      </c>
      <c r="S2226">
        <v>56</v>
      </c>
      <c r="T2226" s="13">
        <v>41</v>
      </c>
      <c r="U2226" s="13">
        <v>85</v>
      </c>
      <c r="V2226" t="s">
        <v>99</v>
      </c>
      <c r="X2226" s="13">
        <v>268</v>
      </c>
    </row>
    <row r="2227" spans="1:24" x14ac:dyDescent="0.25">
      <c r="A2227" t="s">
        <v>1954</v>
      </c>
      <c r="B2227" t="s">
        <v>65</v>
      </c>
      <c r="C2227" t="s">
        <v>1949</v>
      </c>
      <c r="D2227" t="s">
        <v>1950</v>
      </c>
      <c r="E2227" t="s">
        <v>1951</v>
      </c>
      <c r="F2227" t="s">
        <v>94</v>
      </c>
      <c r="G2227" t="s">
        <v>277</v>
      </c>
      <c r="H2227" s="12">
        <v>8.2750000000000004</v>
      </c>
      <c r="I2227" s="12">
        <v>-76.369</v>
      </c>
      <c r="J2227" t="s">
        <v>1952</v>
      </c>
      <c r="K2227" t="s">
        <v>97</v>
      </c>
      <c r="L2227" t="s">
        <v>1273</v>
      </c>
      <c r="M2227">
        <v>11</v>
      </c>
      <c r="P2227" s="13">
        <v>265</v>
      </c>
      <c r="Q2227" s="13">
        <v>71</v>
      </c>
      <c r="R2227">
        <v>32</v>
      </c>
      <c r="S2227">
        <v>58</v>
      </c>
      <c r="T2227" s="13">
        <v>40</v>
      </c>
      <c r="U2227" s="13">
        <v>89</v>
      </c>
      <c r="V2227" t="s">
        <v>99</v>
      </c>
      <c r="X2227" s="13">
        <v>265</v>
      </c>
    </row>
    <row r="2228" spans="1:24" x14ac:dyDescent="0.25">
      <c r="A2228" t="s">
        <v>1955</v>
      </c>
      <c r="B2228" t="s">
        <v>65</v>
      </c>
      <c r="C2228" t="s">
        <v>1949</v>
      </c>
      <c r="D2228" t="s">
        <v>1950</v>
      </c>
      <c r="E2228" t="s">
        <v>1951</v>
      </c>
      <c r="F2228" t="s">
        <v>94</v>
      </c>
      <c r="G2228" t="s">
        <v>277</v>
      </c>
      <c r="H2228" s="12">
        <v>8.2750000000000004</v>
      </c>
      <c r="I2228" s="12">
        <v>-76.369</v>
      </c>
      <c r="J2228" t="s">
        <v>1952</v>
      </c>
      <c r="K2228" t="s">
        <v>97</v>
      </c>
      <c r="L2228" t="s">
        <v>1273</v>
      </c>
      <c r="M2228">
        <v>11</v>
      </c>
      <c r="P2228" s="13">
        <v>246</v>
      </c>
      <c r="Q2228" s="13">
        <v>54</v>
      </c>
      <c r="R2228">
        <v>30</v>
      </c>
      <c r="S2228">
        <v>60</v>
      </c>
      <c r="T2228" s="13">
        <v>50</v>
      </c>
      <c r="U2228" s="13">
        <v>58</v>
      </c>
      <c r="V2228" t="s">
        <v>99</v>
      </c>
      <c r="X2228" s="13">
        <v>246</v>
      </c>
    </row>
    <row r="2229" spans="1:24" x14ac:dyDescent="0.25">
      <c r="A2229" t="s">
        <v>1956</v>
      </c>
      <c r="B2229" t="s">
        <v>65</v>
      </c>
      <c r="C2229" t="s">
        <v>1949</v>
      </c>
      <c r="D2229" t="s">
        <v>1950</v>
      </c>
      <c r="E2229" t="s">
        <v>1951</v>
      </c>
      <c r="F2229" t="s">
        <v>94</v>
      </c>
      <c r="G2229" t="s">
        <v>277</v>
      </c>
      <c r="H2229" s="12">
        <v>8.2750000000000004</v>
      </c>
      <c r="I2229" s="12">
        <v>-76.369</v>
      </c>
      <c r="J2229" t="s">
        <v>1952</v>
      </c>
      <c r="K2229" t="s">
        <v>97</v>
      </c>
      <c r="L2229" t="s">
        <v>1273</v>
      </c>
      <c r="M2229">
        <v>11</v>
      </c>
      <c r="P2229" s="13">
        <v>240</v>
      </c>
      <c r="Q2229" s="13">
        <v>49</v>
      </c>
      <c r="R2229">
        <v>42</v>
      </c>
      <c r="S2229">
        <v>64</v>
      </c>
      <c r="T2229" s="13">
        <v>38</v>
      </c>
      <c r="U2229" s="13">
        <v>45</v>
      </c>
      <c r="V2229" t="s">
        <v>99</v>
      </c>
      <c r="X2229" s="13">
        <v>240</v>
      </c>
    </row>
    <row r="2230" spans="1:24" x14ac:dyDescent="0.25">
      <c r="A2230" t="s">
        <v>1957</v>
      </c>
      <c r="B2230" t="s">
        <v>65</v>
      </c>
      <c r="C2230" t="s">
        <v>1949</v>
      </c>
      <c r="D2230" t="s">
        <v>1950</v>
      </c>
      <c r="E2230" t="s">
        <v>1951</v>
      </c>
      <c r="F2230" t="s">
        <v>94</v>
      </c>
      <c r="G2230" t="s">
        <v>277</v>
      </c>
      <c r="H2230" s="12">
        <v>8.2750000000000004</v>
      </c>
      <c r="I2230" s="12">
        <v>-76.369</v>
      </c>
      <c r="J2230" t="s">
        <v>1952</v>
      </c>
      <c r="K2230" t="s">
        <v>97</v>
      </c>
      <c r="L2230" t="s">
        <v>1273</v>
      </c>
      <c r="M2230">
        <v>11</v>
      </c>
      <c r="P2230" s="13">
        <v>232</v>
      </c>
      <c r="Q2230" s="13">
        <v>46</v>
      </c>
      <c r="R2230">
        <v>40</v>
      </c>
      <c r="S2230">
        <v>58</v>
      </c>
      <c r="T2230" s="13">
        <v>41</v>
      </c>
      <c r="U2230" s="13">
        <v>47</v>
      </c>
      <c r="V2230" t="s">
        <v>99</v>
      </c>
      <c r="X2230" s="13">
        <v>232</v>
      </c>
    </row>
    <row r="2231" spans="1:24" x14ac:dyDescent="0.25">
      <c r="A2231" t="s">
        <v>1958</v>
      </c>
      <c r="B2231" t="s">
        <v>65</v>
      </c>
      <c r="C2231" t="s">
        <v>1949</v>
      </c>
      <c r="D2231" t="s">
        <v>1950</v>
      </c>
      <c r="E2231" t="s">
        <v>1951</v>
      </c>
      <c r="F2231" t="s">
        <v>94</v>
      </c>
      <c r="G2231" t="s">
        <v>277</v>
      </c>
      <c r="H2231" s="12">
        <v>8.2750000000000004</v>
      </c>
      <c r="I2231" s="12">
        <v>-76.369</v>
      </c>
      <c r="J2231" t="s">
        <v>1952</v>
      </c>
      <c r="K2231" t="s">
        <v>97</v>
      </c>
      <c r="L2231" t="s">
        <v>1273</v>
      </c>
      <c r="M2231">
        <v>11</v>
      </c>
      <c r="P2231" s="13">
        <v>229</v>
      </c>
      <c r="Q2231" s="13">
        <v>51</v>
      </c>
      <c r="R2231">
        <v>34</v>
      </c>
      <c r="S2231">
        <v>54</v>
      </c>
      <c r="T2231" s="13">
        <v>40</v>
      </c>
      <c r="U2231" s="13">
        <v>58</v>
      </c>
      <c r="V2231" t="s">
        <v>99</v>
      </c>
      <c r="X2231" s="13">
        <v>229</v>
      </c>
    </row>
    <row r="2232" spans="1:24" x14ac:dyDescent="0.25">
      <c r="A2232" t="s">
        <v>1959</v>
      </c>
      <c r="B2232" t="s">
        <v>65</v>
      </c>
      <c r="C2232" t="s">
        <v>1949</v>
      </c>
      <c r="D2232" t="s">
        <v>1950</v>
      </c>
      <c r="E2232" t="s">
        <v>1951</v>
      </c>
      <c r="F2232" t="s">
        <v>94</v>
      </c>
      <c r="G2232" t="s">
        <v>277</v>
      </c>
      <c r="H2232" s="12">
        <v>8.2750000000000004</v>
      </c>
      <c r="I2232" s="12">
        <v>-76.369</v>
      </c>
      <c r="J2232" t="s">
        <v>1952</v>
      </c>
      <c r="K2232" t="s">
        <v>97</v>
      </c>
      <c r="L2232" t="s">
        <v>1273</v>
      </c>
      <c r="M2232">
        <v>11</v>
      </c>
      <c r="P2232" s="13">
        <v>227</v>
      </c>
      <c r="Q2232" s="13">
        <v>56</v>
      </c>
      <c r="R2232">
        <v>30</v>
      </c>
      <c r="S2232">
        <v>56</v>
      </c>
      <c r="T2232" s="13">
        <v>41</v>
      </c>
      <c r="U2232" s="13">
        <v>40</v>
      </c>
      <c r="V2232" t="s">
        <v>99</v>
      </c>
      <c r="X2232" s="13">
        <v>227</v>
      </c>
    </row>
    <row r="2233" spans="1:24" x14ac:dyDescent="0.25">
      <c r="A2233" t="s">
        <v>1960</v>
      </c>
      <c r="B2233" t="s">
        <v>65</v>
      </c>
      <c r="C2233" t="s">
        <v>1949</v>
      </c>
      <c r="D2233" t="s">
        <v>1950</v>
      </c>
      <c r="E2233" t="s">
        <v>1951</v>
      </c>
      <c r="F2233" t="s">
        <v>94</v>
      </c>
      <c r="G2233" t="s">
        <v>277</v>
      </c>
      <c r="H2233" s="12">
        <v>8.2750000000000004</v>
      </c>
      <c r="I2233" s="12">
        <v>-76.369</v>
      </c>
      <c r="J2233" t="s">
        <v>1952</v>
      </c>
      <c r="K2233" t="s">
        <v>97</v>
      </c>
      <c r="L2233" t="s">
        <v>1273</v>
      </c>
      <c r="M2233">
        <v>11</v>
      </c>
      <c r="P2233" s="13">
        <v>226</v>
      </c>
      <c r="Q2233" s="13">
        <v>54</v>
      </c>
      <c r="R2233">
        <v>24</v>
      </c>
      <c r="S2233">
        <v>62</v>
      </c>
      <c r="T2233" s="13">
        <v>33</v>
      </c>
      <c r="U2233" s="13">
        <v>69</v>
      </c>
      <c r="V2233" t="s">
        <v>99</v>
      </c>
      <c r="X2233" s="13">
        <v>226</v>
      </c>
    </row>
    <row r="2234" spans="1:24" x14ac:dyDescent="0.25">
      <c r="A2234" t="s">
        <v>1961</v>
      </c>
      <c r="B2234" t="s">
        <v>65</v>
      </c>
      <c r="C2234" t="s">
        <v>1949</v>
      </c>
      <c r="D2234" t="s">
        <v>1950</v>
      </c>
      <c r="E2234" t="s">
        <v>1951</v>
      </c>
      <c r="F2234" t="s">
        <v>94</v>
      </c>
      <c r="G2234" t="s">
        <v>277</v>
      </c>
      <c r="H2234" s="12">
        <v>8.2750000000000004</v>
      </c>
      <c r="I2234" s="12">
        <v>-76.369</v>
      </c>
      <c r="J2234" t="s">
        <v>1952</v>
      </c>
      <c r="K2234" t="s">
        <v>97</v>
      </c>
      <c r="L2234" t="s">
        <v>1273</v>
      </c>
      <c r="M2234">
        <v>11</v>
      </c>
      <c r="P2234" s="13">
        <v>221</v>
      </c>
      <c r="Q2234" s="13">
        <v>61</v>
      </c>
      <c r="R2234">
        <v>28</v>
      </c>
      <c r="S2234">
        <v>64</v>
      </c>
      <c r="T2234" s="13">
        <v>24</v>
      </c>
      <c r="U2234" s="13">
        <v>44</v>
      </c>
      <c r="V2234" t="s">
        <v>99</v>
      </c>
      <c r="X2234" s="13">
        <v>221</v>
      </c>
    </row>
    <row r="2235" spans="1:24" x14ac:dyDescent="0.25">
      <c r="A2235" t="s">
        <v>1962</v>
      </c>
      <c r="B2235" t="s">
        <v>65</v>
      </c>
      <c r="C2235" t="s">
        <v>1949</v>
      </c>
      <c r="D2235" t="s">
        <v>1950</v>
      </c>
      <c r="E2235" t="s">
        <v>1951</v>
      </c>
      <c r="F2235" t="s">
        <v>94</v>
      </c>
      <c r="G2235" t="s">
        <v>277</v>
      </c>
      <c r="H2235" s="12">
        <v>8.2750000000000004</v>
      </c>
      <c r="I2235" s="12">
        <v>-76.369</v>
      </c>
      <c r="J2235" t="s">
        <v>1952</v>
      </c>
      <c r="K2235" t="s">
        <v>97</v>
      </c>
      <c r="L2235" t="s">
        <v>1273</v>
      </c>
      <c r="M2235">
        <v>11</v>
      </c>
      <c r="P2235" s="13">
        <v>207</v>
      </c>
      <c r="Q2235" s="13">
        <v>46</v>
      </c>
      <c r="R2235">
        <v>26</v>
      </c>
      <c r="S2235">
        <v>54</v>
      </c>
      <c r="T2235" s="13">
        <v>38</v>
      </c>
      <c r="U2235" s="13">
        <v>45</v>
      </c>
      <c r="V2235" t="s">
        <v>99</v>
      </c>
      <c r="X2235" s="13">
        <v>207</v>
      </c>
    </row>
    <row r="2236" spans="1:24" x14ac:dyDescent="0.25">
      <c r="A2236" t="s">
        <v>1963</v>
      </c>
      <c r="B2236" t="s">
        <v>65</v>
      </c>
      <c r="C2236" t="s">
        <v>1949</v>
      </c>
      <c r="D2236" t="s">
        <v>1950</v>
      </c>
      <c r="E2236" t="s">
        <v>1951</v>
      </c>
      <c r="F2236" t="s">
        <v>94</v>
      </c>
      <c r="G2236" t="s">
        <v>277</v>
      </c>
      <c r="H2236" s="12">
        <v>8.2750000000000004</v>
      </c>
      <c r="I2236" s="12">
        <v>-76.369</v>
      </c>
      <c r="J2236" t="s">
        <v>1952</v>
      </c>
      <c r="K2236" t="s">
        <v>97</v>
      </c>
      <c r="L2236" t="s">
        <v>1273</v>
      </c>
      <c r="M2236">
        <v>11</v>
      </c>
      <c r="P2236" s="13">
        <v>206</v>
      </c>
      <c r="Q2236" s="13">
        <v>51</v>
      </c>
      <c r="R2236">
        <v>26</v>
      </c>
      <c r="S2236">
        <v>46</v>
      </c>
      <c r="T2236" s="13">
        <v>40</v>
      </c>
      <c r="U2236" s="13">
        <v>47</v>
      </c>
      <c r="V2236" t="s">
        <v>99</v>
      </c>
      <c r="X2236" s="13">
        <v>206</v>
      </c>
    </row>
    <row r="2237" spans="1:24" x14ac:dyDescent="0.25">
      <c r="A2237" t="s">
        <v>1964</v>
      </c>
      <c r="B2237" t="s">
        <v>65</v>
      </c>
      <c r="C2237" t="s">
        <v>1949</v>
      </c>
      <c r="D2237" t="s">
        <v>1950</v>
      </c>
      <c r="E2237" t="s">
        <v>1951</v>
      </c>
      <c r="F2237" t="s">
        <v>94</v>
      </c>
      <c r="G2237" t="s">
        <v>277</v>
      </c>
      <c r="H2237" s="12">
        <v>8.2750000000000004</v>
      </c>
      <c r="I2237" s="12">
        <v>-76.369</v>
      </c>
      <c r="J2237" t="s">
        <v>1952</v>
      </c>
      <c r="K2237" t="s">
        <v>97</v>
      </c>
      <c r="L2237" t="s">
        <v>1273</v>
      </c>
      <c r="M2237">
        <v>11</v>
      </c>
      <c r="P2237" s="13">
        <v>206</v>
      </c>
      <c r="Q2237" s="13">
        <v>46</v>
      </c>
      <c r="R2237">
        <v>22</v>
      </c>
      <c r="S2237">
        <v>50</v>
      </c>
      <c r="T2237" s="13">
        <v>43</v>
      </c>
      <c r="U2237" s="13">
        <v>51</v>
      </c>
      <c r="V2237" t="s">
        <v>99</v>
      </c>
      <c r="X2237" s="13">
        <v>206</v>
      </c>
    </row>
    <row r="2238" spans="1:24" x14ac:dyDescent="0.25">
      <c r="A2238" t="s">
        <v>1965</v>
      </c>
      <c r="B2238" t="s">
        <v>65</v>
      </c>
      <c r="C2238" t="s">
        <v>1949</v>
      </c>
      <c r="D2238" t="s">
        <v>1950</v>
      </c>
      <c r="E2238" t="s">
        <v>1951</v>
      </c>
      <c r="F2238" t="s">
        <v>94</v>
      </c>
      <c r="G2238" t="s">
        <v>277</v>
      </c>
      <c r="H2238" s="12">
        <v>8.2750000000000004</v>
      </c>
      <c r="I2238" s="12">
        <v>-76.369</v>
      </c>
      <c r="J2238" t="s">
        <v>1952</v>
      </c>
      <c r="K2238" t="s">
        <v>97</v>
      </c>
      <c r="L2238" t="s">
        <v>1273</v>
      </c>
      <c r="M2238">
        <v>11</v>
      </c>
      <c r="P2238" s="13">
        <v>201</v>
      </c>
      <c r="Q2238" s="13">
        <v>46</v>
      </c>
      <c r="R2238">
        <v>32</v>
      </c>
      <c r="S2238">
        <v>58</v>
      </c>
      <c r="T2238" s="13">
        <v>21</v>
      </c>
      <c r="U2238" s="13">
        <v>53</v>
      </c>
      <c r="V2238" t="s">
        <v>99</v>
      </c>
      <c r="X2238" s="13">
        <v>201</v>
      </c>
    </row>
    <row r="2239" spans="1:24" x14ac:dyDescent="0.25">
      <c r="A2239" t="s">
        <v>1966</v>
      </c>
      <c r="B2239" t="s">
        <v>65</v>
      </c>
      <c r="C2239" t="s">
        <v>1949</v>
      </c>
      <c r="D2239" t="s">
        <v>1950</v>
      </c>
      <c r="E2239" t="s">
        <v>1951</v>
      </c>
      <c r="F2239" t="s">
        <v>94</v>
      </c>
      <c r="G2239" t="s">
        <v>277</v>
      </c>
      <c r="H2239" s="12">
        <v>8.2750000000000004</v>
      </c>
      <c r="I2239" s="12">
        <v>-76.369</v>
      </c>
      <c r="J2239" t="s">
        <v>1952</v>
      </c>
      <c r="K2239" t="s">
        <v>97</v>
      </c>
      <c r="L2239" t="s">
        <v>1273</v>
      </c>
      <c r="M2239">
        <v>11</v>
      </c>
      <c r="P2239" s="13">
        <v>199</v>
      </c>
      <c r="Q2239" s="13">
        <v>39</v>
      </c>
      <c r="R2239">
        <v>30</v>
      </c>
      <c r="S2239">
        <v>46</v>
      </c>
      <c r="T2239" s="13">
        <v>41</v>
      </c>
      <c r="U2239" s="13">
        <v>47</v>
      </c>
      <c r="V2239" t="s">
        <v>99</v>
      </c>
      <c r="X2239" s="13">
        <v>199</v>
      </c>
    </row>
    <row r="2240" spans="1:24" x14ac:dyDescent="0.25">
      <c r="A2240" t="s">
        <v>1967</v>
      </c>
      <c r="B2240" t="s">
        <v>65</v>
      </c>
      <c r="C2240" t="s">
        <v>1949</v>
      </c>
      <c r="D2240" t="s">
        <v>1950</v>
      </c>
      <c r="E2240" t="s">
        <v>1951</v>
      </c>
      <c r="F2240" t="s">
        <v>94</v>
      </c>
      <c r="G2240" t="s">
        <v>277</v>
      </c>
      <c r="H2240" s="12">
        <v>8.2750000000000004</v>
      </c>
      <c r="I2240" s="12">
        <v>-76.369</v>
      </c>
      <c r="J2240" t="s">
        <v>1952</v>
      </c>
      <c r="K2240" t="s">
        <v>97</v>
      </c>
      <c r="L2240" t="s">
        <v>1273</v>
      </c>
      <c r="M2240">
        <v>11</v>
      </c>
      <c r="P2240" s="13">
        <v>198</v>
      </c>
      <c r="Q2240" s="13">
        <v>49</v>
      </c>
      <c r="R2240">
        <v>26</v>
      </c>
      <c r="S2240">
        <v>44</v>
      </c>
      <c r="T2240" s="13">
        <v>36</v>
      </c>
      <c r="U2240" s="13">
        <v>51</v>
      </c>
      <c r="V2240" t="s">
        <v>99</v>
      </c>
      <c r="X2240" s="13">
        <v>198</v>
      </c>
    </row>
    <row r="2241" spans="1:24" x14ac:dyDescent="0.25">
      <c r="A2241" t="s">
        <v>1968</v>
      </c>
      <c r="B2241" t="s">
        <v>65</v>
      </c>
      <c r="C2241" t="s">
        <v>1949</v>
      </c>
      <c r="D2241" t="s">
        <v>1950</v>
      </c>
      <c r="E2241" t="s">
        <v>1951</v>
      </c>
      <c r="F2241" t="s">
        <v>94</v>
      </c>
      <c r="G2241" t="s">
        <v>277</v>
      </c>
      <c r="H2241" s="12">
        <v>8.2750000000000004</v>
      </c>
      <c r="I2241" s="12">
        <v>-76.369</v>
      </c>
      <c r="J2241" t="s">
        <v>1952</v>
      </c>
      <c r="K2241" t="s">
        <v>97</v>
      </c>
      <c r="L2241" t="s">
        <v>1273</v>
      </c>
      <c r="M2241">
        <v>11</v>
      </c>
      <c r="P2241" s="13">
        <v>192</v>
      </c>
      <c r="Q2241" s="13">
        <v>41</v>
      </c>
      <c r="R2241">
        <v>28</v>
      </c>
      <c r="S2241">
        <v>54</v>
      </c>
      <c r="T2241" s="13">
        <v>33</v>
      </c>
      <c r="U2241" s="13">
        <v>31</v>
      </c>
      <c r="V2241" t="s">
        <v>99</v>
      </c>
      <c r="X2241" s="13">
        <v>192</v>
      </c>
    </row>
    <row r="2242" spans="1:24" x14ac:dyDescent="0.25">
      <c r="A2242" t="s">
        <v>1969</v>
      </c>
      <c r="B2242" t="s">
        <v>65</v>
      </c>
      <c r="C2242" t="s">
        <v>1949</v>
      </c>
      <c r="D2242" t="s">
        <v>1950</v>
      </c>
      <c r="E2242" t="s">
        <v>1951</v>
      </c>
      <c r="F2242" t="s">
        <v>94</v>
      </c>
      <c r="G2242" t="s">
        <v>277</v>
      </c>
      <c r="H2242" s="12">
        <v>8.2750000000000004</v>
      </c>
      <c r="I2242" s="12">
        <v>-76.369</v>
      </c>
      <c r="J2242" t="s">
        <v>1952</v>
      </c>
      <c r="K2242" t="s">
        <v>97</v>
      </c>
      <c r="L2242" t="s">
        <v>1273</v>
      </c>
      <c r="M2242">
        <v>11</v>
      </c>
      <c r="P2242" s="13">
        <v>191</v>
      </c>
      <c r="Q2242" s="13">
        <v>39</v>
      </c>
      <c r="R2242">
        <v>26</v>
      </c>
      <c r="S2242">
        <v>52</v>
      </c>
      <c r="T2242" s="13">
        <v>29</v>
      </c>
      <c r="U2242" s="13">
        <v>58</v>
      </c>
      <c r="V2242" t="s">
        <v>99</v>
      </c>
      <c r="X2242" s="13">
        <v>191</v>
      </c>
    </row>
    <row r="2243" spans="1:24" x14ac:dyDescent="0.25">
      <c r="A2243" t="s">
        <v>1970</v>
      </c>
      <c r="B2243" t="s">
        <v>65</v>
      </c>
      <c r="C2243" t="s">
        <v>1949</v>
      </c>
      <c r="D2243" t="s">
        <v>1950</v>
      </c>
      <c r="E2243" t="s">
        <v>1951</v>
      </c>
      <c r="F2243" t="s">
        <v>94</v>
      </c>
      <c r="G2243" t="s">
        <v>277</v>
      </c>
      <c r="H2243" s="12">
        <v>8.2750000000000004</v>
      </c>
      <c r="I2243" s="12">
        <v>-76.369</v>
      </c>
      <c r="J2243" t="s">
        <v>1952</v>
      </c>
      <c r="K2243" t="s">
        <v>97</v>
      </c>
      <c r="L2243" t="s">
        <v>1273</v>
      </c>
      <c r="M2243">
        <v>11</v>
      </c>
      <c r="P2243" s="13">
        <v>191</v>
      </c>
      <c r="Q2243" s="13">
        <v>49</v>
      </c>
      <c r="R2243">
        <v>26</v>
      </c>
      <c r="S2243">
        <v>54</v>
      </c>
      <c r="T2243" s="13">
        <v>26</v>
      </c>
      <c r="U2243" s="13">
        <v>33</v>
      </c>
      <c r="V2243" t="s">
        <v>99</v>
      </c>
      <c r="X2243" s="13">
        <v>191</v>
      </c>
    </row>
    <row r="2244" spans="1:24" x14ac:dyDescent="0.25">
      <c r="A2244" t="s">
        <v>1971</v>
      </c>
      <c r="B2244" t="s">
        <v>65</v>
      </c>
      <c r="C2244" t="s">
        <v>1949</v>
      </c>
      <c r="D2244" t="s">
        <v>1950</v>
      </c>
      <c r="E2244" t="s">
        <v>1951</v>
      </c>
      <c r="F2244" t="s">
        <v>94</v>
      </c>
      <c r="G2244" t="s">
        <v>277</v>
      </c>
      <c r="H2244" s="12">
        <v>8.2750000000000004</v>
      </c>
      <c r="I2244" s="12">
        <v>-76.369</v>
      </c>
      <c r="J2244" t="s">
        <v>1952</v>
      </c>
      <c r="K2244" t="s">
        <v>97</v>
      </c>
      <c r="L2244" t="s">
        <v>1273</v>
      </c>
      <c r="M2244">
        <v>11</v>
      </c>
      <c r="P2244" s="13">
        <v>185</v>
      </c>
      <c r="Q2244" s="13">
        <v>34</v>
      </c>
      <c r="R2244">
        <v>18</v>
      </c>
      <c r="S2244">
        <v>64</v>
      </c>
      <c r="T2244" s="13">
        <v>29</v>
      </c>
      <c r="U2244" s="13">
        <v>45</v>
      </c>
      <c r="V2244" t="s">
        <v>99</v>
      </c>
      <c r="X2244" s="13">
        <v>185</v>
      </c>
    </row>
    <row r="2245" spans="1:24" x14ac:dyDescent="0.25">
      <c r="A2245" t="s">
        <v>1972</v>
      </c>
      <c r="B2245" t="s">
        <v>65</v>
      </c>
      <c r="C2245" t="s">
        <v>1949</v>
      </c>
      <c r="D2245" t="s">
        <v>1950</v>
      </c>
      <c r="E2245" t="s">
        <v>1951</v>
      </c>
      <c r="F2245" t="s">
        <v>94</v>
      </c>
      <c r="G2245" t="s">
        <v>277</v>
      </c>
      <c r="H2245" s="12">
        <v>8.2750000000000004</v>
      </c>
      <c r="I2245" s="12">
        <v>-76.369</v>
      </c>
      <c r="J2245" t="s">
        <v>1952</v>
      </c>
      <c r="K2245" t="s">
        <v>97</v>
      </c>
      <c r="L2245" t="s">
        <v>1273</v>
      </c>
      <c r="M2245">
        <v>11</v>
      </c>
      <c r="P2245" s="13">
        <v>185</v>
      </c>
      <c r="Q2245" s="13">
        <v>41</v>
      </c>
      <c r="R2245">
        <v>18</v>
      </c>
      <c r="S2245">
        <v>50</v>
      </c>
      <c r="T2245" s="13">
        <v>34</v>
      </c>
      <c r="U2245" s="13">
        <v>49</v>
      </c>
      <c r="V2245" t="s">
        <v>99</v>
      </c>
      <c r="X2245" s="13">
        <v>185</v>
      </c>
    </row>
    <row r="2246" spans="1:24" x14ac:dyDescent="0.25">
      <c r="A2246" t="s">
        <v>1973</v>
      </c>
      <c r="B2246" t="s">
        <v>65</v>
      </c>
      <c r="C2246" t="s">
        <v>1949</v>
      </c>
      <c r="D2246" t="s">
        <v>1950</v>
      </c>
      <c r="E2246" t="s">
        <v>1951</v>
      </c>
      <c r="F2246" t="s">
        <v>94</v>
      </c>
      <c r="G2246" t="s">
        <v>277</v>
      </c>
      <c r="H2246" s="12">
        <v>8.2750000000000004</v>
      </c>
      <c r="I2246" s="12">
        <v>-76.369</v>
      </c>
      <c r="J2246" t="s">
        <v>1952</v>
      </c>
      <c r="K2246" t="s">
        <v>97</v>
      </c>
      <c r="L2246" t="s">
        <v>1273</v>
      </c>
      <c r="M2246">
        <v>11</v>
      </c>
      <c r="P2246" s="13">
        <v>182</v>
      </c>
      <c r="Q2246" s="13">
        <v>27</v>
      </c>
      <c r="R2246">
        <v>28</v>
      </c>
      <c r="S2246">
        <v>60</v>
      </c>
      <c r="T2246" s="13">
        <v>31</v>
      </c>
      <c r="U2246" s="13">
        <v>36</v>
      </c>
      <c r="V2246" t="s">
        <v>99</v>
      </c>
      <c r="X2246" s="13">
        <v>182</v>
      </c>
    </row>
    <row r="2247" spans="1:24" x14ac:dyDescent="0.25">
      <c r="A2247" t="s">
        <v>1974</v>
      </c>
      <c r="B2247" t="s">
        <v>65</v>
      </c>
      <c r="C2247" t="s">
        <v>1949</v>
      </c>
      <c r="D2247" t="s">
        <v>1950</v>
      </c>
      <c r="E2247" t="s">
        <v>1951</v>
      </c>
      <c r="F2247" t="s">
        <v>94</v>
      </c>
      <c r="G2247" t="s">
        <v>277</v>
      </c>
      <c r="H2247" s="12">
        <v>8.2750000000000004</v>
      </c>
      <c r="I2247" s="12">
        <v>-76.369</v>
      </c>
      <c r="J2247" t="s">
        <v>1952</v>
      </c>
      <c r="K2247" t="s">
        <v>97</v>
      </c>
      <c r="L2247" t="s">
        <v>1273</v>
      </c>
      <c r="M2247">
        <v>11</v>
      </c>
      <c r="P2247" s="13">
        <v>182</v>
      </c>
      <c r="Q2247" s="13">
        <v>41</v>
      </c>
      <c r="R2247">
        <v>22</v>
      </c>
      <c r="S2247">
        <v>44</v>
      </c>
      <c r="T2247" s="13">
        <v>33</v>
      </c>
      <c r="U2247" s="13">
        <v>53</v>
      </c>
      <c r="V2247" t="s">
        <v>99</v>
      </c>
      <c r="X2247" s="13">
        <v>182</v>
      </c>
    </row>
    <row r="2248" spans="1:24" x14ac:dyDescent="0.25">
      <c r="A2248" t="s">
        <v>1975</v>
      </c>
      <c r="B2248" t="s">
        <v>65</v>
      </c>
      <c r="C2248" t="s">
        <v>1949</v>
      </c>
      <c r="D2248" t="s">
        <v>1950</v>
      </c>
      <c r="E2248" t="s">
        <v>1951</v>
      </c>
      <c r="F2248" t="s">
        <v>94</v>
      </c>
      <c r="G2248" t="s">
        <v>277</v>
      </c>
      <c r="H2248" s="12">
        <v>8.2750000000000004</v>
      </c>
      <c r="I2248" s="12">
        <v>-76.369</v>
      </c>
      <c r="J2248" t="s">
        <v>1952</v>
      </c>
      <c r="K2248" t="s">
        <v>97</v>
      </c>
      <c r="L2248" t="s">
        <v>1273</v>
      </c>
      <c r="M2248">
        <v>11</v>
      </c>
      <c r="P2248" s="13">
        <v>182</v>
      </c>
      <c r="Q2248" s="13">
        <v>44</v>
      </c>
      <c r="R2248">
        <v>32</v>
      </c>
      <c r="S2248">
        <v>40</v>
      </c>
      <c r="T2248" s="13">
        <v>33</v>
      </c>
      <c r="U2248" s="13">
        <v>27</v>
      </c>
      <c r="V2248" t="s">
        <v>99</v>
      </c>
      <c r="X2248" s="13">
        <v>182</v>
      </c>
    </row>
    <row r="2249" spans="1:24" x14ac:dyDescent="0.25">
      <c r="A2249" t="s">
        <v>1976</v>
      </c>
      <c r="B2249" t="s">
        <v>65</v>
      </c>
      <c r="C2249" t="s">
        <v>1949</v>
      </c>
      <c r="D2249" t="s">
        <v>1950</v>
      </c>
      <c r="E2249" t="s">
        <v>1951</v>
      </c>
      <c r="F2249" t="s">
        <v>94</v>
      </c>
      <c r="G2249" t="s">
        <v>277</v>
      </c>
      <c r="H2249" s="12">
        <v>8.2750000000000004</v>
      </c>
      <c r="I2249" s="12">
        <v>-76.369</v>
      </c>
      <c r="J2249" t="s">
        <v>1952</v>
      </c>
      <c r="K2249" t="s">
        <v>97</v>
      </c>
      <c r="L2249" t="s">
        <v>1273</v>
      </c>
      <c r="M2249">
        <v>11</v>
      </c>
      <c r="P2249" s="13">
        <v>181</v>
      </c>
      <c r="Q2249" s="13">
        <v>44</v>
      </c>
      <c r="R2249">
        <v>32</v>
      </c>
      <c r="S2249">
        <v>38</v>
      </c>
      <c r="T2249" s="13">
        <v>31</v>
      </c>
      <c r="U2249" s="13">
        <v>35</v>
      </c>
      <c r="V2249" t="s">
        <v>99</v>
      </c>
      <c r="X2249" s="13">
        <v>181</v>
      </c>
    </row>
    <row r="2250" spans="1:24" x14ac:dyDescent="0.25">
      <c r="A2250" t="s">
        <v>1977</v>
      </c>
      <c r="B2250" t="s">
        <v>65</v>
      </c>
      <c r="C2250" t="s">
        <v>1949</v>
      </c>
      <c r="D2250" t="s">
        <v>1950</v>
      </c>
      <c r="E2250" t="s">
        <v>1951</v>
      </c>
      <c r="F2250" t="s">
        <v>94</v>
      </c>
      <c r="G2250" t="s">
        <v>277</v>
      </c>
      <c r="H2250" s="12">
        <v>8.2750000000000004</v>
      </c>
      <c r="I2250" s="12">
        <v>-76.369</v>
      </c>
      <c r="J2250" t="s">
        <v>1952</v>
      </c>
      <c r="K2250" t="s">
        <v>97</v>
      </c>
      <c r="L2250" t="s">
        <v>1273</v>
      </c>
      <c r="M2250">
        <v>11</v>
      </c>
      <c r="P2250" s="13">
        <v>180</v>
      </c>
      <c r="Q2250" s="13">
        <v>46</v>
      </c>
      <c r="R2250">
        <v>20</v>
      </c>
      <c r="S2250">
        <v>38</v>
      </c>
      <c r="T2250" s="13">
        <v>41</v>
      </c>
      <c r="U2250" s="13">
        <v>31</v>
      </c>
      <c r="V2250" t="s">
        <v>99</v>
      </c>
      <c r="X2250" s="13">
        <v>180</v>
      </c>
    </row>
    <row r="2251" spans="1:24" x14ac:dyDescent="0.25">
      <c r="A2251" t="s">
        <v>1978</v>
      </c>
      <c r="B2251" t="s">
        <v>65</v>
      </c>
      <c r="C2251" t="s">
        <v>1949</v>
      </c>
      <c r="D2251" t="s">
        <v>1950</v>
      </c>
      <c r="E2251" t="s">
        <v>1951</v>
      </c>
      <c r="F2251" t="s">
        <v>94</v>
      </c>
      <c r="G2251" t="s">
        <v>277</v>
      </c>
      <c r="H2251" s="12">
        <v>8.2750000000000004</v>
      </c>
      <c r="I2251" s="12">
        <v>-76.369</v>
      </c>
      <c r="J2251" t="s">
        <v>1952</v>
      </c>
      <c r="K2251" t="s">
        <v>97</v>
      </c>
      <c r="L2251" t="s">
        <v>1273</v>
      </c>
      <c r="M2251">
        <v>11</v>
      </c>
      <c r="P2251" s="13">
        <v>179</v>
      </c>
      <c r="Q2251" s="13">
        <v>46</v>
      </c>
      <c r="R2251">
        <v>24</v>
      </c>
      <c r="S2251">
        <v>50</v>
      </c>
      <c r="T2251" s="13">
        <v>24</v>
      </c>
      <c r="U2251" s="13">
        <v>31</v>
      </c>
      <c r="V2251" t="s">
        <v>99</v>
      </c>
      <c r="X2251" s="13">
        <v>179</v>
      </c>
    </row>
    <row r="2252" spans="1:24" x14ac:dyDescent="0.25">
      <c r="A2252" t="s">
        <v>1979</v>
      </c>
      <c r="B2252" t="s">
        <v>65</v>
      </c>
      <c r="C2252" t="s">
        <v>1949</v>
      </c>
      <c r="D2252" t="s">
        <v>1950</v>
      </c>
      <c r="E2252" t="s">
        <v>1951</v>
      </c>
      <c r="F2252" t="s">
        <v>94</v>
      </c>
      <c r="G2252" t="s">
        <v>277</v>
      </c>
      <c r="H2252" s="12">
        <v>8.2750000000000004</v>
      </c>
      <c r="I2252" s="12">
        <v>-76.369</v>
      </c>
      <c r="J2252" t="s">
        <v>1952</v>
      </c>
      <c r="K2252" t="s">
        <v>97</v>
      </c>
      <c r="L2252" t="s">
        <v>1273</v>
      </c>
      <c r="M2252">
        <v>11</v>
      </c>
      <c r="P2252" s="13">
        <v>175</v>
      </c>
      <c r="Q2252" s="13">
        <v>46</v>
      </c>
      <c r="R2252">
        <v>30</v>
      </c>
      <c r="S2252">
        <v>40</v>
      </c>
      <c r="T2252" s="13">
        <v>24</v>
      </c>
      <c r="U2252" s="13">
        <v>35</v>
      </c>
      <c r="V2252" t="s">
        <v>99</v>
      </c>
      <c r="X2252" s="13">
        <v>175</v>
      </c>
    </row>
    <row r="2253" spans="1:24" x14ac:dyDescent="0.25">
      <c r="A2253" t="s">
        <v>1980</v>
      </c>
      <c r="B2253" t="s">
        <v>65</v>
      </c>
      <c r="C2253" t="s">
        <v>1949</v>
      </c>
      <c r="D2253" t="s">
        <v>1950</v>
      </c>
      <c r="E2253" t="s">
        <v>1951</v>
      </c>
      <c r="F2253" t="s">
        <v>94</v>
      </c>
      <c r="G2253" t="s">
        <v>277</v>
      </c>
      <c r="H2253" s="12">
        <v>8.2750000000000004</v>
      </c>
      <c r="I2253" s="12">
        <v>-76.369</v>
      </c>
      <c r="J2253" t="s">
        <v>1952</v>
      </c>
      <c r="K2253" t="s">
        <v>97</v>
      </c>
      <c r="L2253" t="s">
        <v>1273</v>
      </c>
      <c r="M2253">
        <v>11</v>
      </c>
      <c r="P2253" s="13">
        <v>174</v>
      </c>
      <c r="Q2253" s="13">
        <v>51</v>
      </c>
      <c r="R2253">
        <v>18</v>
      </c>
      <c r="S2253">
        <v>40</v>
      </c>
      <c r="T2253" s="13">
        <v>24</v>
      </c>
      <c r="U2253" s="13">
        <v>53</v>
      </c>
      <c r="V2253" t="s">
        <v>99</v>
      </c>
      <c r="X2253" s="13">
        <v>174</v>
      </c>
    </row>
    <row r="2254" spans="1:24" x14ac:dyDescent="0.25">
      <c r="A2254" t="s">
        <v>1981</v>
      </c>
      <c r="B2254" t="s">
        <v>65</v>
      </c>
      <c r="C2254" t="s">
        <v>1949</v>
      </c>
      <c r="D2254" t="s">
        <v>1950</v>
      </c>
      <c r="E2254" t="s">
        <v>1951</v>
      </c>
      <c r="F2254" t="s">
        <v>94</v>
      </c>
      <c r="G2254" t="s">
        <v>277</v>
      </c>
      <c r="H2254" s="12">
        <v>8.2750000000000004</v>
      </c>
      <c r="I2254" s="12">
        <v>-76.369</v>
      </c>
      <c r="J2254" t="s">
        <v>1952</v>
      </c>
      <c r="K2254" t="s">
        <v>97</v>
      </c>
      <c r="L2254" t="s">
        <v>1273</v>
      </c>
      <c r="M2254">
        <v>11</v>
      </c>
      <c r="P2254" s="13">
        <v>171</v>
      </c>
      <c r="Q2254" s="13">
        <v>29</v>
      </c>
      <c r="R2254">
        <v>30</v>
      </c>
      <c r="S2254">
        <v>32</v>
      </c>
      <c r="T2254" s="13">
        <v>29</v>
      </c>
      <c r="U2254" s="13">
        <v>82</v>
      </c>
      <c r="V2254" t="s">
        <v>99</v>
      </c>
      <c r="X2254" s="13">
        <v>171</v>
      </c>
    </row>
    <row r="2255" spans="1:24" x14ac:dyDescent="0.25">
      <c r="A2255" t="s">
        <v>1982</v>
      </c>
      <c r="B2255" t="s">
        <v>65</v>
      </c>
      <c r="C2255" t="s">
        <v>1949</v>
      </c>
      <c r="D2255" t="s">
        <v>1950</v>
      </c>
      <c r="E2255" t="s">
        <v>1951</v>
      </c>
      <c r="F2255" t="s">
        <v>94</v>
      </c>
      <c r="G2255" t="s">
        <v>277</v>
      </c>
      <c r="H2255" s="12">
        <v>8.2750000000000004</v>
      </c>
      <c r="I2255" s="12">
        <v>-76.369</v>
      </c>
      <c r="J2255" t="s">
        <v>1952</v>
      </c>
      <c r="K2255" t="s">
        <v>97</v>
      </c>
      <c r="L2255" t="s">
        <v>1273</v>
      </c>
      <c r="M2255">
        <v>11</v>
      </c>
      <c r="P2255" s="13">
        <v>168</v>
      </c>
      <c r="Q2255" s="13">
        <v>41</v>
      </c>
      <c r="R2255">
        <v>30</v>
      </c>
      <c r="S2255">
        <v>36</v>
      </c>
      <c r="T2255" s="13">
        <v>29</v>
      </c>
      <c r="U2255" s="13">
        <v>25</v>
      </c>
      <c r="V2255" t="s">
        <v>99</v>
      </c>
      <c r="X2255" s="13">
        <v>168</v>
      </c>
    </row>
    <row r="2256" spans="1:24" x14ac:dyDescent="0.25">
      <c r="A2256" t="s">
        <v>1983</v>
      </c>
      <c r="B2256" t="s">
        <v>65</v>
      </c>
      <c r="C2256" t="s">
        <v>1949</v>
      </c>
      <c r="D2256" t="s">
        <v>1950</v>
      </c>
      <c r="E2256" t="s">
        <v>1951</v>
      </c>
      <c r="F2256" t="s">
        <v>94</v>
      </c>
      <c r="G2256" t="s">
        <v>277</v>
      </c>
      <c r="H2256" s="12">
        <v>8.2750000000000004</v>
      </c>
      <c r="I2256" s="12">
        <v>-76.369</v>
      </c>
      <c r="J2256" t="s">
        <v>1952</v>
      </c>
      <c r="K2256" t="s">
        <v>97</v>
      </c>
      <c r="L2256" t="s">
        <v>1273</v>
      </c>
      <c r="M2256">
        <v>11</v>
      </c>
      <c r="P2256" s="13">
        <v>166</v>
      </c>
      <c r="Q2256" s="13">
        <v>39</v>
      </c>
      <c r="R2256">
        <v>24</v>
      </c>
      <c r="S2256">
        <v>38</v>
      </c>
      <c r="T2256" s="13">
        <v>33</v>
      </c>
      <c r="U2256" s="13">
        <v>31</v>
      </c>
      <c r="V2256" t="s">
        <v>99</v>
      </c>
      <c r="X2256" s="13">
        <v>166</v>
      </c>
    </row>
    <row r="2257" spans="1:24" x14ac:dyDescent="0.25">
      <c r="A2257" t="s">
        <v>1984</v>
      </c>
      <c r="B2257" t="s">
        <v>65</v>
      </c>
      <c r="C2257" t="s">
        <v>1949</v>
      </c>
      <c r="D2257" t="s">
        <v>1950</v>
      </c>
      <c r="E2257" t="s">
        <v>1951</v>
      </c>
      <c r="F2257" t="s">
        <v>94</v>
      </c>
      <c r="G2257" t="s">
        <v>277</v>
      </c>
      <c r="H2257" s="12">
        <v>8.2750000000000004</v>
      </c>
      <c r="I2257" s="12">
        <v>-76.369</v>
      </c>
      <c r="J2257" t="s">
        <v>1952</v>
      </c>
      <c r="K2257" t="s">
        <v>97</v>
      </c>
      <c r="L2257" t="s">
        <v>1273</v>
      </c>
      <c r="M2257">
        <v>11</v>
      </c>
      <c r="P2257" s="13">
        <v>165</v>
      </c>
      <c r="Q2257" s="13">
        <v>29</v>
      </c>
      <c r="R2257">
        <v>30</v>
      </c>
      <c r="S2257">
        <v>40</v>
      </c>
      <c r="T2257" s="13">
        <v>28</v>
      </c>
      <c r="U2257" s="13">
        <v>47</v>
      </c>
      <c r="V2257" t="s">
        <v>99</v>
      </c>
      <c r="X2257" s="13">
        <v>165</v>
      </c>
    </row>
    <row r="2258" spans="1:24" x14ac:dyDescent="0.25">
      <c r="A2258" t="s">
        <v>1985</v>
      </c>
      <c r="B2258" t="s">
        <v>65</v>
      </c>
      <c r="C2258" t="s">
        <v>1949</v>
      </c>
      <c r="D2258" t="s">
        <v>1950</v>
      </c>
      <c r="E2258" t="s">
        <v>1951</v>
      </c>
      <c r="F2258" t="s">
        <v>94</v>
      </c>
      <c r="G2258" t="s">
        <v>277</v>
      </c>
      <c r="H2258" s="12">
        <v>8.2750000000000004</v>
      </c>
      <c r="I2258" s="12">
        <v>-76.369</v>
      </c>
      <c r="J2258" t="s">
        <v>1952</v>
      </c>
      <c r="K2258" t="s">
        <v>97</v>
      </c>
      <c r="L2258" t="s">
        <v>1273</v>
      </c>
      <c r="M2258">
        <v>11</v>
      </c>
      <c r="P2258" s="13">
        <v>159</v>
      </c>
      <c r="Q2258" s="13">
        <v>29</v>
      </c>
      <c r="R2258">
        <v>24</v>
      </c>
      <c r="S2258">
        <v>54</v>
      </c>
      <c r="T2258" s="13">
        <v>24</v>
      </c>
      <c r="U2258" s="13">
        <v>20</v>
      </c>
      <c r="V2258" t="s">
        <v>99</v>
      </c>
      <c r="X2258" s="13">
        <v>159</v>
      </c>
    </row>
    <row r="2259" spans="1:24" x14ac:dyDescent="0.25">
      <c r="A2259" t="s">
        <v>1986</v>
      </c>
      <c r="B2259" t="s">
        <v>65</v>
      </c>
      <c r="C2259" t="s">
        <v>1949</v>
      </c>
      <c r="D2259" t="s">
        <v>1950</v>
      </c>
      <c r="E2259" t="s">
        <v>1951</v>
      </c>
      <c r="F2259" t="s">
        <v>94</v>
      </c>
      <c r="G2259" t="s">
        <v>277</v>
      </c>
      <c r="H2259" s="12">
        <v>8.2750000000000004</v>
      </c>
      <c r="I2259" s="12">
        <v>-76.369</v>
      </c>
      <c r="J2259" t="s">
        <v>1952</v>
      </c>
      <c r="K2259" t="s">
        <v>97</v>
      </c>
      <c r="L2259" t="s">
        <v>1273</v>
      </c>
      <c r="M2259">
        <v>11</v>
      </c>
      <c r="P2259" s="13">
        <v>158</v>
      </c>
      <c r="Q2259" s="13">
        <v>34</v>
      </c>
      <c r="R2259">
        <v>22</v>
      </c>
      <c r="S2259">
        <v>38</v>
      </c>
      <c r="T2259" s="13">
        <v>33</v>
      </c>
      <c r="U2259" s="13">
        <v>31</v>
      </c>
      <c r="V2259" t="s">
        <v>99</v>
      </c>
      <c r="X2259" s="13">
        <v>158</v>
      </c>
    </row>
    <row r="2260" spans="1:24" x14ac:dyDescent="0.25">
      <c r="A2260" t="s">
        <v>1987</v>
      </c>
      <c r="B2260" t="s">
        <v>65</v>
      </c>
      <c r="C2260" t="s">
        <v>1949</v>
      </c>
      <c r="D2260" t="s">
        <v>1950</v>
      </c>
      <c r="E2260" t="s">
        <v>1951</v>
      </c>
      <c r="F2260" t="s">
        <v>94</v>
      </c>
      <c r="G2260" t="s">
        <v>277</v>
      </c>
      <c r="H2260" s="12">
        <v>8.2750000000000004</v>
      </c>
      <c r="I2260" s="12">
        <v>-76.369</v>
      </c>
      <c r="J2260" t="s">
        <v>1952</v>
      </c>
      <c r="K2260" t="s">
        <v>97</v>
      </c>
      <c r="L2260" t="s">
        <v>1273</v>
      </c>
      <c r="M2260">
        <v>11</v>
      </c>
      <c r="P2260" s="13">
        <v>158</v>
      </c>
      <c r="Q2260" s="13">
        <v>34</v>
      </c>
      <c r="R2260">
        <v>20</v>
      </c>
      <c r="S2260">
        <v>38</v>
      </c>
      <c r="T2260" s="13">
        <v>31</v>
      </c>
      <c r="U2260" s="13">
        <v>42</v>
      </c>
      <c r="V2260" t="s">
        <v>99</v>
      </c>
      <c r="X2260" s="13">
        <v>158</v>
      </c>
    </row>
    <row r="2261" spans="1:24" x14ac:dyDescent="0.25">
      <c r="A2261" t="s">
        <v>1988</v>
      </c>
      <c r="B2261" t="s">
        <v>65</v>
      </c>
      <c r="C2261" t="s">
        <v>1949</v>
      </c>
      <c r="D2261" t="s">
        <v>1950</v>
      </c>
      <c r="E2261" t="s">
        <v>1951</v>
      </c>
      <c r="F2261" t="s">
        <v>94</v>
      </c>
      <c r="G2261" t="s">
        <v>277</v>
      </c>
      <c r="H2261" s="12">
        <v>8.2750000000000004</v>
      </c>
      <c r="I2261" s="12">
        <v>-76.369</v>
      </c>
      <c r="J2261" t="s">
        <v>1952</v>
      </c>
      <c r="K2261" t="s">
        <v>97</v>
      </c>
      <c r="L2261" t="s">
        <v>1273</v>
      </c>
      <c r="M2261">
        <v>11</v>
      </c>
      <c r="P2261" s="13">
        <v>158</v>
      </c>
      <c r="Q2261" s="13">
        <v>37</v>
      </c>
      <c r="R2261">
        <v>18</v>
      </c>
      <c r="S2261">
        <v>40</v>
      </c>
      <c r="T2261" s="13">
        <v>34</v>
      </c>
      <c r="U2261" s="13">
        <v>24</v>
      </c>
      <c r="V2261" t="s">
        <v>99</v>
      </c>
      <c r="X2261" s="13">
        <v>158</v>
      </c>
    </row>
    <row r="2262" spans="1:24" x14ac:dyDescent="0.25">
      <c r="A2262" t="s">
        <v>1989</v>
      </c>
      <c r="B2262" t="s">
        <v>65</v>
      </c>
      <c r="C2262" t="s">
        <v>1949</v>
      </c>
      <c r="D2262" t="s">
        <v>1950</v>
      </c>
      <c r="E2262" t="s">
        <v>1951</v>
      </c>
      <c r="F2262" t="s">
        <v>94</v>
      </c>
      <c r="G2262" t="s">
        <v>277</v>
      </c>
      <c r="H2262" s="12">
        <v>8.2750000000000004</v>
      </c>
      <c r="I2262" s="12">
        <v>-76.369</v>
      </c>
      <c r="J2262" t="s">
        <v>1952</v>
      </c>
      <c r="K2262" t="s">
        <v>97</v>
      </c>
      <c r="L2262" t="s">
        <v>1273</v>
      </c>
      <c r="M2262">
        <v>11</v>
      </c>
      <c r="P2262" s="13">
        <v>157</v>
      </c>
      <c r="Q2262" s="13">
        <v>24</v>
      </c>
      <c r="R2262">
        <v>32</v>
      </c>
      <c r="S2262">
        <v>38</v>
      </c>
      <c r="T2262" s="13">
        <v>28</v>
      </c>
      <c r="U2262" s="13">
        <v>42</v>
      </c>
      <c r="V2262" t="s">
        <v>99</v>
      </c>
      <c r="X2262" s="13">
        <v>157</v>
      </c>
    </row>
    <row r="2263" spans="1:24" x14ac:dyDescent="0.25">
      <c r="A2263" t="s">
        <v>1990</v>
      </c>
      <c r="B2263" t="s">
        <v>65</v>
      </c>
      <c r="C2263" t="s">
        <v>1949</v>
      </c>
      <c r="D2263" t="s">
        <v>1950</v>
      </c>
      <c r="E2263" t="s">
        <v>1951</v>
      </c>
      <c r="F2263" t="s">
        <v>94</v>
      </c>
      <c r="G2263" t="s">
        <v>277</v>
      </c>
      <c r="H2263" s="12">
        <v>8.2750000000000004</v>
      </c>
      <c r="I2263" s="12">
        <v>-76.369</v>
      </c>
      <c r="J2263" t="s">
        <v>1952</v>
      </c>
      <c r="K2263" t="s">
        <v>97</v>
      </c>
      <c r="L2263" t="s">
        <v>1273</v>
      </c>
      <c r="M2263">
        <v>11</v>
      </c>
      <c r="P2263" s="13">
        <v>155</v>
      </c>
      <c r="Q2263" s="13">
        <v>37</v>
      </c>
      <c r="R2263">
        <v>20</v>
      </c>
      <c r="S2263">
        <v>40</v>
      </c>
      <c r="T2263" s="13">
        <v>24</v>
      </c>
      <c r="U2263" s="13">
        <v>40</v>
      </c>
      <c r="V2263" t="s">
        <v>99</v>
      </c>
      <c r="X2263" s="13">
        <v>155</v>
      </c>
    </row>
    <row r="2264" spans="1:24" x14ac:dyDescent="0.25">
      <c r="A2264" t="s">
        <v>1991</v>
      </c>
      <c r="B2264" t="s">
        <v>65</v>
      </c>
      <c r="C2264" t="s">
        <v>1949</v>
      </c>
      <c r="D2264" t="s">
        <v>1950</v>
      </c>
      <c r="E2264" t="s">
        <v>1951</v>
      </c>
      <c r="F2264" t="s">
        <v>94</v>
      </c>
      <c r="G2264" t="s">
        <v>277</v>
      </c>
      <c r="H2264" s="12">
        <v>8.2750000000000004</v>
      </c>
      <c r="I2264" s="12">
        <v>-76.369</v>
      </c>
      <c r="J2264" t="s">
        <v>1952</v>
      </c>
      <c r="K2264" t="s">
        <v>97</v>
      </c>
      <c r="L2264" t="s">
        <v>1273</v>
      </c>
      <c r="M2264">
        <v>11</v>
      </c>
      <c r="P2264" s="13">
        <v>151</v>
      </c>
      <c r="Q2264" s="13">
        <v>32</v>
      </c>
      <c r="R2264">
        <v>24</v>
      </c>
      <c r="S2264">
        <v>38</v>
      </c>
      <c r="T2264" s="13">
        <v>21</v>
      </c>
      <c r="U2264" s="13">
        <v>49</v>
      </c>
      <c r="V2264" t="s">
        <v>99</v>
      </c>
      <c r="X2264" s="13">
        <v>151</v>
      </c>
    </row>
    <row r="2265" spans="1:24" x14ac:dyDescent="0.25">
      <c r="A2265" t="s">
        <v>1992</v>
      </c>
      <c r="B2265" t="s">
        <v>65</v>
      </c>
      <c r="C2265" t="s">
        <v>1949</v>
      </c>
      <c r="D2265" t="s">
        <v>1950</v>
      </c>
      <c r="E2265" t="s">
        <v>1951</v>
      </c>
      <c r="F2265" t="s">
        <v>94</v>
      </c>
      <c r="G2265" t="s">
        <v>277</v>
      </c>
      <c r="H2265" s="12">
        <v>8.2750000000000004</v>
      </c>
      <c r="I2265" s="12">
        <v>-76.369</v>
      </c>
      <c r="J2265" t="s">
        <v>1952</v>
      </c>
      <c r="K2265" t="s">
        <v>97</v>
      </c>
      <c r="L2265" t="s">
        <v>1273</v>
      </c>
      <c r="M2265">
        <v>11</v>
      </c>
      <c r="P2265" s="13">
        <v>150</v>
      </c>
      <c r="Q2265" s="13">
        <v>34</v>
      </c>
      <c r="R2265">
        <v>20</v>
      </c>
      <c r="S2265">
        <v>38</v>
      </c>
      <c r="T2265" s="13">
        <v>24</v>
      </c>
      <c r="U2265" s="13">
        <v>42</v>
      </c>
      <c r="V2265" t="s">
        <v>99</v>
      </c>
      <c r="X2265" s="13">
        <v>150</v>
      </c>
    </row>
    <row r="2266" spans="1:24" x14ac:dyDescent="0.25">
      <c r="A2266" t="s">
        <v>1993</v>
      </c>
      <c r="B2266" t="s">
        <v>65</v>
      </c>
      <c r="C2266" t="s">
        <v>1949</v>
      </c>
      <c r="D2266" t="s">
        <v>1950</v>
      </c>
      <c r="E2266" t="s">
        <v>1951</v>
      </c>
      <c r="F2266" t="s">
        <v>94</v>
      </c>
      <c r="G2266" t="s">
        <v>277</v>
      </c>
      <c r="H2266" s="12">
        <v>8.2750000000000004</v>
      </c>
      <c r="I2266" s="12">
        <v>-76.369</v>
      </c>
      <c r="J2266" t="s">
        <v>1952</v>
      </c>
      <c r="K2266" t="s">
        <v>97</v>
      </c>
      <c r="L2266" t="s">
        <v>1273</v>
      </c>
      <c r="M2266">
        <v>11</v>
      </c>
      <c r="P2266" s="13">
        <v>145</v>
      </c>
      <c r="Q2266" s="13">
        <v>34</v>
      </c>
      <c r="R2266">
        <v>26</v>
      </c>
      <c r="S2266">
        <v>26</v>
      </c>
      <c r="T2266" s="13">
        <v>28</v>
      </c>
      <c r="U2266" s="13">
        <v>35</v>
      </c>
      <c r="V2266" t="s">
        <v>99</v>
      </c>
      <c r="X2266" s="13">
        <v>145</v>
      </c>
    </row>
    <row r="2267" spans="1:24" x14ac:dyDescent="0.25">
      <c r="A2267" t="s">
        <v>1994</v>
      </c>
      <c r="B2267" t="s">
        <v>65</v>
      </c>
      <c r="C2267" t="s">
        <v>1949</v>
      </c>
      <c r="D2267" t="s">
        <v>1950</v>
      </c>
      <c r="E2267" t="s">
        <v>1951</v>
      </c>
      <c r="F2267" t="s">
        <v>94</v>
      </c>
      <c r="G2267" t="s">
        <v>277</v>
      </c>
      <c r="H2267" s="12">
        <v>8.2750000000000004</v>
      </c>
      <c r="I2267" s="12">
        <v>-76.369</v>
      </c>
      <c r="J2267" t="s">
        <v>1952</v>
      </c>
      <c r="K2267" t="s">
        <v>97</v>
      </c>
      <c r="L2267" t="s">
        <v>1273</v>
      </c>
      <c r="M2267">
        <v>11</v>
      </c>
      <c r="P2267" s="13">
        <v>141</v>
      </c>
      <c r="Q2267" s="13">
        <v>41</v>
      </c>
      <c r="R2267">
        <v>12</v>
      </c>
      <c r="S2267">
        <v>38</v>
      </c>
      <c r="T2267" s="13">
        <v>16</v>
      </c>
      <c r="U2267" s="13">
        <v>45</v>
      </c>
      <c r="V2267" t="s">
        <v>99</v>
      </c>
      <c r="X2267" s="13">
        <v>141</v>
      </c>
    </row>
    <row r="2268" spans="1:24" x14ac:dyDescent="0.25">
      <c r="A2268" t="s">
        <v>1995</v>
      </c>
      <c r="B2268" t="s">
        <v>65</v>
      </c>
      <c r="C2268" t="s">
        <v>1949</v>
      </c>
      <c r="D2268" t="s">
        <v>1950</v>
      </c>
      <c r="E2268" t="s">
        <v>1951</v>
      </c>
      <c r="F2268" t="s">
        <v>94</v>
      </c>
      <c r="G2268" t="s">
        <v>277</v>
      </c>
      <c r="H2268" s="12">
        <v>8.2750000000000004</v>
      </c>
      <c r="I2268" s="12">
        <v>-76.369</v>
      </c>
      <c r="J2268" t="s">
        <v>1952</v>
      </c>
      <c r="K2268" t="s">
        <v>97</v>
      </c>
      <c r="L2268" t="s">
        <v>1273</v>
      </c>
      <c r="M2268">
        <v>11</v>
      </c>
      <c r="P2268" s="13">
        <v>140</v>
      </c>
      <c r="Q2268" s="13">
        <v>24</v>
      </c>
      <c r="R2268">
        <v>18</v>
      </c>
      <c r="S2268">
        <v>40</v>
      </c>
      <c r="T2268" s="13">
        <v>26</v>
      </c>
      <c r="U2268" s="13">
        <v>40</v>
      </c>
      <c r="V2268" t="s">
        <v>99</v>
      </c>
      <c r="X2268" s="13">
        <v>140</v>
      </c>
    </row>
    <row r="2269" spans="1:24" x14ac:dyDescent="0.25">
      <c r="A2269" t="s">
        <v>1996</v>
      </c>
      <c r="B2269" t="s">
        <v>65</v>
      </c>
      <c r="C2269" t="s">
        <v>1949</v>
      </c>
      <c r="D2269" t="s">
        <v>1950</v>
      </c>
      <c r="E2269" t="s">
        <v>1951</v>
      </c>
      <c r="F2269" t="s">
        <v>94</v>
      </c>
      <c r="G2269" t="s">
        <v>277</v>
      </c>
      <c r="H2269" s="12">
        <v>8.2750000000000004</v>
      </c>
      <c r="I2269" s="12">
        <v>-76.369</v>
      </c>
      <c r="J2269" t="s">
        <v>1952</v>
      </c>
      <c r="K2269" t="s">
        <v>97</v>
      </c>
      <c r="L2269" t="s">
        <v>1273</v>
      </c>
      <c r="M2269">
        <v>11</v>
      </c>
      <c r="P2269" s="13">
        <v>128</v>
      </c>
      <c r="Q2269" s="13">
        <v>27</v>
      </c>
      <c r="R2269">
        <v>14</v>
      </c>
      <c r="S2269">
        <v>30</v>
      </c>
      <c r="T2269" s="13">
        <v>28</v>
      </c>
      <c r="U2269" s="13">
        <v>38</v>
      </c>
      <c r="V2269" t="s">
        <v>99</v>
      </c>
      <c r="X2269" s="13">
        <v>128</v>
      </c>
    </row>
    <row r="2270" spans="1:24" x14ac:dyDescent="0.25">
      <c r="A2270" t="s">
        <v>1997</v>
      </c>
      <c r="B2270" t="s">
        <v>65</v>
      </c>
      <c r="C2270" t="s">
        <v>1949</v>
      </c>
      <c r="D2270" t="s">
        <v>1950</v>
      </c>
      <c r="E2270" t="s">
        <v>1951</v>
      </c>
      <c r="F2270" t="s">
        <v>94</v>
      </c>
      <c r="G2270" t="s">
        <v>277</v>
      </c>
      <c r="H2270" s="12">
        <v>8.2750000000000004</v>
      </c>
      <c r="I2270" s="12">
        <v>-76.369</v>
      </c>
      <c r="J2270" t="s">
        <v>1952</v>
      </c>
      <c r="K2270" t="s">
        <v>97</v>
      </c>
      <c r="L2270" t="s">
        <v>1273</v>
      </c>
      <c r="M2270">
        <v>11</v>
      </c>
      <c r="P2270" s="13">
        <v>126</v>
      </c>
      <c r="Q2270" s="13">
        <v>22</v>
      </c>
      <c r="R2270">
        <v>22</v>
      </c>
      <c r="S2270">
        <v>26</v>
      </c>
      <c r="T2270" s="13">
        <v>31</v>
      </c>
      <c r="U2270" s="13">
        <v>25</v>
      </c>
      <c r="V2270" t="s">
        <v>99</v>
      </c>
      <c r="X2270" s="13">
        <v>126</v>
      </c>
    </row>
    <row r="2271" spans="1:24" x14ac:dyDescent="0.25">
      <c r="A2271" t="s">
        <v>1998</v>
      </c>
      <c r="B2271" t="s">
        <v>65</v>
      </c>
      <c r="C2271" t="s">
        <v>1999</v>
      </c>
      <c r="D2271" t="s">
        <v>2000</v>
      </c>
      <c r="E2271" t="s">
        <v>2001</v>
      </c>
      <c r="F2271" t="s">
        <v>94</v>
      </c>
      <c r="G2271" t="s">
        <v>277</v>
      </c>
      <c r="H2271" s="12">
        <v>6.5986000000000002</v>
      </c>
      <c r="I2271" s="12">
        <v>-75.011899999999997</v>
      </c>
      <c r="J2271" t="s">
        <v>2002</v>
      </c>
      <c r="K2271" t="s">
        <v>97</v>
      </c>
      <c r="L2271" t="s">
        <v>1273</v>
      </c>
      <c r="M2271">
        <v>11</v>
      </c>
      <c r="P2271" s="13">
        <v>248</v>
      </c>
      <c r="Q2271" s="13">
        <v>61</v>
      </c>
      <c r="R2271">
        <v>36</v>
      </c>
      <c r="S2271">
        <v>68</v>
      </c>
      <c r="T2271" s="13">
        <v>31</v>
      </c>
      <c r="U2271" s="13">
        <v>56</v>
      </c>
      <c r="V2271" t="s">
        <v>99</v>
      </c>
      <c r="X2271" s="13">
        <v>248</v>
      </c>
    </row>
    <row r="2272" spans="1:24" x14ac:dyDescent="0.25">
      <c r="A2272" t="s">
        <v>2003</v>
      </c>
      <c r="B2272" t="s">
        <v>65</v>
      </c>
      <c r="C2272" t="s">
        <v>1999</v>
      </c>
      <c r="D2272" t="s">
        <v>2000</v>
      </c>
      <c r="E2272" t="s">
        <v>2001</v>
      </c>
      <c r="F2272" t="s">
        <v>94</v>
      </c>
      <c r="G2272" t="s">
        <v>277</v>
      </c>
      <c r="H2272" s="12">
        <v>6.5986000000000002</v>
      </c>
      <c r="I2272" s="12">
        <v>-75.011899999999997</v>
      </c>
      <c r="J2272" t="s">
        <v>2002</v>
      </c>
      <c r="K2272" t="s">
        <v>97</v>
      </c>
      <c r="L2272" t="s">
        <v>1273</v>
      </c>
      <c r="M2272">
        <v>11</v>
      </c>
      <c r="P2272" s="13">
        <v>244</v>
      </c>
      <c r="Q2272" s="13">
        <v>68</v>
      </c>
      <c r="R2272">
        <v>34</v>
      </c>
      <c r="S2272">
        <v>58</v>
      </c>
      <c r="T2272" s="13">
        <v>24</v>
      </c>
      <c r="U2272" s="13">
        <v>82</v>
      </c>
      <c r="V2272" t="s">
        <v>99</v>
      </c>
      <c r="X2272" s="13">
        <v>244</v>
      </c>
    </row>
    <row r="2273" spans="1:24" x14ac:dyDescent="0.25">
      <c r="A2273" t="s">
        <v>2004</v>
      </c>
      <c r="B2273" t="s">
        <v>65</v>
      </c>
      <c r="C2273" t="s">
        <v>1999</v>
      </c>
      <c r="D2273" t="s">
        <v>2000</v>
      </c>
      <c r="E2273" t="s">
        <v>2001</v>
      </c>
      <c r="F2273" t="s">
        <v>94</v>
      </c>
      <c r="G2273" t="s">
        <v>277</v>
      </c>
      <c r="H2273" s="12">
        <v>6.5986000000000002</v>
      </c>
      <c r="I2273" s="12">
        <v>-75.011899999999997</v>
      </c>
      <c r="J2273" t="s">
        <v>2002</v>
      </c>
      <c r="K2273" t="s">
        <v>97</v>
      </c>
      <c r="L2273" t="s">
        <v>1273</v>
      </c>
      <c r="M2273">
        <v>11</v>
      </c>
      <c r="P2273" s="13">
        <v>230</v>
      </c>
      <c r="Q2273" s="13">
        <v>54</v>
      </c>
      <c r="R2273">
        <v>40</v>
      </c>
      <c r="S2273">
        <v>56</v>
      </c>
      <c r="T2273" s="13">
        <v>26</v>
      </c>
      <c r="U2273" s="13">
        <v>73</v>
      </c>
      <c r="V2273" t="s">
        <v>99</v>
      </c>
      <c r="X2273" s="13">
        <v>230</v>
      </c>
    </row>
    <row r="2274" spans="1:24" x14ac:dyDescent="0.25">
      <c r="A2274" t="s">
        <v>2005</v>
      </c>
      <c r="B2274" t="s">
        <v>65</v>
      </c>
      <c r="C2274" t="s">
        <v>1999</v>
      </c>
      <c r="D2274" t="s">
        <v>2000</v>
      </c>
      <c r="E2274" t="s">
        <v>2001</v>
      </c>
      <c r="F2274" t="s">
        <v>94</v>
      </c>
      <c r="G2274" t="s">
        <v>277</v>
      </c>
      <c r="H2274" s="12">
        <v>6.5986000000000002</v>
      </c>
      <c r="I2274" s="12">
        <v>-75.011899999999997</v>
      </c>
      <c r="J2274" t="s">
        <v>2002</v>
      </c>
      <c r="K2274" t="s">
        <v>97</v>
      </c>
      <c r="L2274" t="s">
        <v>1273</v>
      </c>
      <c r="M2274">
        <v>11</v>
      </c>
      <c r="P2274" s="13">
        <v>205</v>
      </c>
      <c r="Q2274" s="13">
        <v>49</v>
      </c>
      <c r="R2274">
        <v>36</v>
      </c>
      <c r="S2274">
        <v>50</v>
      </c>
      <c r="T2274" s="13">
        <v>29</v>
      </c>
      <c r="U2274" s="13">
        <v>42</v>
      </c>
      <c r="V2274" t="s">
        <v>99</v>
      </c>
      <c r="X2274" s="13">
        <v>205</v>
      </c>
    </row>
    <row r="2275" spans="1:24" x14ac:dyDescent="0.25">
      <c r="A2275" t="s">
        <v>2006</v>
      </c>
      <c r="B2275" t="s">
        <v>65</v>
      </c>
      <c r="C2275" t="s">
        <v>1999</v>
      </c>
      <c r="D2275" t="s">
        <v>2000</v>
      </c>
      <c r="E2275" t="s">
        <v>2001</v>
      </c>
      <c r="F2275" t="s">
        <v>94</v>
      </c>
      <c r="G2275" t="s">
        <v>277</v>
      </c>
      <c r="H2275" s="12">
        <v>6.5986000000000002</v>
      </c>
      <c r="I2275" s="12">
        <v>-75.011899999999997</v>
      </c>
      <c r="J2275" t="s">
        <v>2002</v>
      </c>
      <c r="K2275" t="s">
        <v>97</v>
      </c>
      <c r="L2275" t="s">
        <v>1273</v>
      </c>
      <c r="M2275">
        <v>11</v>
      </c>
      <c r="P2275" s="13">
        <v>199</v>
      </c>
      <c r="Q2275" s="13">
        <v>46</v>
      </c>
      <c r="R2275">
        <v>28</v>
      </c>
      <c r="S2275">
        <v>52</v>
      </c>
      <c r="T2275" s="13">
        <v>28</v>
      </c>
      <c r="U2275" s="13">
        <v>56</v>
      </c>
      <c r="V2275" t="s">
        <v>99</v>
      </c>
      <c r="X2275" s="13">
        <v>199</v>
      </c>
    </row>
    <row r="2276" spans="1:24" x14ac:dyDescent="0.25">
      <c r="A2276" t="s">
        <v>2007</v>
      </c>
      <c r="B2276" t="s">
        <v>65</v>
      </c>
      <c r="C2276" t="s">
        <v>1999</v>
      </c>
      <c r="D2276" t="s">
        <v>2000</v>
      </c>
      <c r="E2276" t="s">
        <v>2001</v>
      </c>
      <c r="F2276" t="s">
        <v>94</v>
      </c>
      <c r="G2276" t="s">
        <v>277</v>
      </c>
      <c r="H2276" s="12">
        <v>6.5986000000000002</v>
      </c>
      <c r="I2276" s="12">
        <v>-75.011899999999997</v>
      </c>
      <c r="J2276" t="s">
        <v>2002</v>
      </c>
      <c r="K2276" t="s">
        <v>97</v>
      </c>
      <c r="L2276" t="s">
        <v>1273</v>
      </c>
      <c r="M2276">
        <v>11</v>
      </c>
      <c r="P2276" s="13">
        <v>197</v>
      </c>
      <c r="Q2276" s="13">
        <v>49</v>
      </c>
      <c r="R2276">
        <v>32</v>
      </c>
      <c r="S2276">
        <v>54</v>
      </c>
      <c r="T2276" s="13">
        <v>22</v>
      </c>
      <c r="U2276" s="13">
        <v>40</v>
      </c>
      <c r="V2276" t="s">
        <v>99</v>
      </c>
      <c r="X2276" s="13">
        <v>197</v>
      </c>
    </row>
    <row r="2277" spans="1:24" x14ac:dyDescent="0.25">
      <c r="A2277" t="s">
        <v>2008</v>
      </c>
      <c r="B2277" t="s">
        <v>65</v>
      </c>
      <c r="C2277" t="s">
        <v>1999</v>
      </c>
      <c r="D2277" t="s">
        <v>2000</v>
      </c>
      <c r="E2277" t="s">
        <v>2001</v>
      </c>
      <c r="F2277" t="s">
        <v>94</v>
      </c>
      <c r="G2277" t="s">
        <v>277</v>
      </c>
      <c r="H2277" s="12">
        <v>6.5986000000000002</v>
      </c>
      <c r="I2277" s="12">
        <v>-75.011899999999997</v>
      </c>
      <c r="J2277" t="s">
        <v>2002</v>
      </c>
      <c r="K2277" t="s">
        <v>97</v>
      </c>
      <c r="L2277" t="s">
        <v>1273</v>
      </c>
      <c r="M2277">
        <v>11</v>
      </c>
      <c r="P2277" s="13">
        <v>195</v>
      </c>
      <c r="Q2277" s="13">
        <v>44</v>
      </c>
      <c r="R2277">
        <v>26</v>
      </c>
      <c r="S2277">
        <v>50</v>
      </c>
      <c r="T2277" s="13">
        <v>38</v>
      </c>
      <c r="U2277" s="13">
        <v>35</v>
      </c>
      <c r="V2277" t="s">
        <v>99</v>
      </c>
      <c r="X2277" s="13">
        <v>195</v>
      </c>
    </row>
    <row r="2278" spans="1:24" x14ac:dyDescent="0.25">
      <c r="A2278" t="s">
        <v>2009</v>
      </c>
      <c r="B2278" t="s">
        <v>65</v>
      </c>
      <c r="C2278" t="s">
        <v>1999</v>
      </c>
      <c r="D2278" t="s">
        <v>2000</v>
      </c>
      <c r="E2278" t="s">
        <v>2001</v>
      </c>
      <c r="F2278" t="s">
        <v>94</v>
      </c>
      <c r="G2278" t="s">
        <v>277</v>
      </c>
      <c r="H2278" s="12">
        <v>6.5986000000000002</v>
      </c>
      <c r="I2278" s="12">
        <v>-75.011899999999997</v>
      </c>
      <c r="J2278" t="s">
        <v>2002</v>
      </c>
      <c r="K2278" t="s">
        <v>97</v>
      </c>
      <c r="L2278" t="s">
        <v>1273</v>
      </c>
      <c r="M2278">
        <v>11</v>
      </c>
      <c r="P2278" s="13">
        <v>195</v>
      </c>
      <c r="Q2278" s="13">
        <v>44</v>
      </c>
      <c r="R2278">
        <v>12</v>
      </c>
      <c r="S2278">
        <v>62</v>
      </c>
      <c r="T2278" s="13">
        <v>34</v>
      </c>
      <c r="U2278" s="13">
        <v>49</v>
      </c>
      <c r="V2278" t="s">
        <v>99</v>
      </c>
      <c r="X2278" s="13">
        <v>195</v>
      </c>
    </row>
    <row r="2279" spans="1:24" x14ac:dyDescent="0.25">
      <c r="A2279" t="s">
        <v>2010</v>
      </c>
      <c r="B2279" t="s">
        <v>65</v>
      </c>
      <c r="C2279" t="s">
        <v>1999</v>
      </c>
      <c r="D2279" t="s">
        <v>2000</v>
      </c>
      <c r="E2279" t="s">
        <v>2001</v>
      </c>
      <c r="F2279" t="s">
        <v>94</v>
      </c>
      <c r="G2279" t="s">
        <v>277</v>
      </c>
      <c r="H2279" s="12">
        <v>6.5986000000000002</v>
      </c>
      <c r="I2279" s="12">
        <v>-75.011899999999997</v>
      </c>
      <c r="J2279" t="s">
        <v>2002</v>
      </c>
      <c r="K2279" t="s">
        <v>97</v>
      </c>
      <c r="L2279" t="s">
        <v>1273</v>
      </c>
      <c r="M2279">
        <v>11</v>
      </c>
      <c r="P2279" s="13">
        <v>191</v>
      </c>
      <c r="Q2279" s="13">
        <v>46</v>
      </c>
      <c r="R2279">
        <v>32</v>
      </c>
      <c r="S2279">
        <v>50</v>
      </c>
      <c r="T2279" s="13">
        <v>26</v>
      </c>
      <c r="U2279" s="13">
        <v>33</v>
      </c>
      <c r="V2279" t="s">
        <v>99</v>
      </c>
      <c r="X2279" s="13">
        <v>191</v>
      </c>
    </row>
    <row r="2280" spans="1:24" x14ac:dyDescent="0.25">
      <c r="A2280" t="s">
        <v>2011</v>
      </c>
      <c r="B2280" t="s">
        <v>65</v>
      </c>
      <c r="C2280" t="s">
        <v>1999</v>
      </c>
      <c r="D2280" t="s">
        <v>2000</v>
      </c>
      <c r="E2280" t="s">
        <v>2001</v>
      </c>
      <c r="F2280" t="s">
        <v>94</v>
      </c>
      <c r="G2280" t="s">
        <v>277</v>
      </c>
      <c r="H2280" s="12">
        <v>6.5986000000000002</v>
      </c>
      <c r="I2280" s="12">
        <v>-75.011899999999997</v>
      </c>
      <c r="J2280" t="s">
        <v>2002</v>
      </c>
      <c r="K2280" t="s">
        <v>97</v>
      </c>
      <c r="L2280" t="s">
        <v>1273</v>
      </c>
      <c r="M2280">
        <v>11</v>
      </c>
      <c r="P2280" s="13">
        <v>187</v>
      </c>
      <c r="Q2280" s="13">
        <v>34</v>
      </c>
      <c r="R2280">
        <v>20</v>
      </c>
      <c r="S2280">
        <v>58</v>
      </c>
      <c r="T2280" s="13">
        <v>36</v>
      </c>
      <c r="U2280" s="13">
        <v>40</v>
      </c>
      <c r="V2280" t="s">
        <v>99</v>
      </c>
      <c r="X2280" s="13">
        <v>187</v>
      </c>
    </row>
    <row r="2281" spans="1:24" x14ac:dyDescent="0.25">
      <c r="A2281" t="s">
        <v>2012</v>
      </c>
      <c r="B2281" t="s">
        <v>65</v>
      </c>
      <c r="C2281" t="s">
        <v>1999</v>
      </c>
      <c r="D2281" t="s">
        <v>2000</v>
      </c>
      <c r="E2281" t="s">
        <v>2001</v>
      </c>
      <c r="F2281" t="s">
        <v>94</v>
      </c>
      <c r="G2281" t="s">
        <v>277</v>
      </c>
      <c r="H2281" s="12">
        <v>6.5986000000000002</v>
      </c>
      <c r="I2281" s="12">
        <v>-75.011899999999997</v>
      </c>
      <c r="J2281" t="s">
        <v>2002</v>
      </c>
      <c r="K2281" t="s">
        <v>97</v>
      </c>
      <c r="L2281" t="s">
        <v>1273</v>
      </c>
      <c r="M2281">
        <v>11</v>
      </c>
      <c r="P2281" s="13">
        <v>182</v>
      </c>
      <c r="Q2281" s="13">
        <v>41</v>
      </c>
      <c r="R2281">
        <v>46</v>
      </c>
      <c r="S2281">
        <v>38</v>
      </c>
      <c r="T2281" s="13">
        <v>24</v>
      </c>
      <c r="U2281" s="13">
        <v>24</v>
      </c>
      <c r="V2281" t="s">
        <v>99</v>
      </c>
      <c r="X2281" s="13">
        <v>182</v>
      </c>
    </row>
    <row r="2282" spans="1:24" x14ac:dyDescent="0.25">
      <c r="A2282" t="s">
        <v>2013</v>
      </c>
      <c r="B2282" t="s">
        <v>65</v>
      </c>
      <c r="C2282" t="s">
        <v>1999</v>
      </c>
      <c r="D2282" t="s">
        <v>2000</v>
      </c>
      <c r="E2282" t="s">
        <v>2001</v>
      </c>
      <c r="F2282" t="s">
        <v>94</v>
      </c>
      <c r="G2282" t="s">
        <v>277</v>
      </c>
      <c r="H2282" s="12">
        <v>6.5986000000000002</v>
      </c>
      <c r="I2282" s="12">
        <v>-75.011899999999997</v>
      </c>
      <c r="J2282" t="s">
        <v>2002</v>
      </c>
      <c r="K2282" t="s">
        <v>97</v>
      </c>
      <c r="L2282" t="s">
        <v>1273</v>
      </c>
      <c r="M2282">
        <v>11</v>
      </c>
      <c r="P2282" s="13">
        <v>180</v>
      </c>
      <c r="Q2282" s="13">
        <v>49</v>
      </c>
      <c r="R2282">
        <v>28</v>
      </c>
      <c r="S2282">
        <v>46</v>
      </c>
      <c r="T2282" s="13">
        <v>24</v>
      </c>
      <c r="U2282" s="13">
        <v>27</v>
      </c>
      <c r="V2282" t="s">
        <v>99</v>
      </c>
      <c r="X2282" s="13">
        <v>180</v>
      </c>
    </row>
    <row r="2283" spans="1:24" x14ac:dyDescent="0.25">
      <c r="A2283" t="s">
        <v>2014</v>
      </c>
      <c r="B2283" t="s">
        <v>65</v>
      </c>
      <c r="C2283" t="s">
        <v>1999</v>
      </c>
      <c r="D2283" t="s">
        <v>2000</v>
      </c>
      <c r="E2283" t="s">
        <v>2001</v>
      </c>
      <c r="F2283" t="s">
        <v>94</v>
      </c>
      <c r="G2283" t="s">
        <v>277</v>
      </c>
      <c r="H2283" s="12">
        <v>6.5986000000000002</v>
      </c>
      <c r="I2283" s="12">
        <v>-75.011899999999997</v>
      </c>
      <c r="J2283" t="s">
        <v>2002</v>
      </c>
      <c r="K2283" t="s">
        <v>97</v>
      </c>
      <c r="L2283" t="s">
        <v>1273</v>
      </c>
      <c r="M2283">
        <v>11</v>
      </c>
      <c r="P2283" s="13">
        <v>178</v>
      </c>
      <c r="Q2283" s="13">
        <v>32</v>
      </c>
      <c r="R2283">
        <v>24</v>
      </c>
      <c r="S2283">
        <v>58</v>
      </c>
      <c r="T2283" s="13">
        <v>28</v>
      </c>
      <c r="U2283" s="13">
        <v>38</v>
      </c>
      <c r="V2283" t="s">
        <v>99</v>
      </c>
      <c r="X2283" s="13">
        <v>178</v>
      </c>
    </row>
    <row r="2284" spans="1:24" x14ac:dyDescent="0.25">
      <c r="A2284" t="s">
        <v>2015</v>
      </c>
      <c r="B2284" t="s">
        <v>65</v>
      </c>
      <c r="C2284" t="s">
        <v>1999</v>
      </c>
      <c r="D2284" t="s">
        <v>2000</v>
      </c>
      <c r="E2284" t="s">
        <v>2001</v>
      </c>
      <c r="F2284" t="s">
        <v>94</v>
      </c>
      <c r="G2284" t="s">
        <v>277</v>
      </c>
      <c r="H2284" s="12">
        <v>6.5986000000000002</v>
      </c>
      <c r="I2284" s="12">
        <v>-75.011899999999997</v>
      </c>
      <c r="J2284" t="s">
        <v>2002</v>
      </c>
      <c r="K2284" t="s">
        <v>97</v>
      </c>
      <c r="L2284" t="s">
        <v>1273</v>
      </c>
      <c r="M2284">
        <v>11</v>
      </c>
      <c r="P2284" s="13">
        <v>176</v>
      </c>
      <c r="Q2284" s="13">
        <v>46</v>
      </c>
      <c r="R2284">
        <v>28</v>
      </c>
      <c r="S2284">
        <v>42</v>
      </c>
      <c r="T2284" s="13">
        <v>24</v>
      </c>
      <c r="U2284" s="13">
        <v>36</v>
      </c>
      <c r="V2284" t="s">
        <v>99</v>
      </c>
      <c r="X2284" s="13">
        <v>176</v>
      </c>
    </row>
    <row r="2285" spans="1:24" x14ac:dyDescent="0.25">
      <c r="A2285" t="s">
        <v>2016</v>
      </c>
      <c r="B2285" t="s">
        <v>65</v>
      </c>
      <c r="C2285" t="s">
        <v>1999</v>
      </c>
      <c r="D2285" t="s">
        <v>2000</v>
      </c>
      <c r="E2285" t="s">
        <v>2001</v>
      </c>
      <c r="F2285" t="s">
        <v>94</v>
      </c>
      <c r="G2285" t="s">
        <v>277</v>
      </c>
      <c r="H2285" s="12">
        <v>6.5986000000000002</v>
      </c>
      <c r="I2285" s="12">
        <v>-75.011899999999997</v>
      </c>
      <c r="J2285" t="s">
        <v>2002</v>
      </c>
      <c r="K2285" t="s">
        <v>97</v>
      </c>
      <c r="L2285" t="s">
        <v>1273</v>
      </c>
      <c r="M2285">
        <v>11</v>
      </c>
      <c r="P2285" s="13">
        <v>175</v>
      </c>
      <c r="Q2285" s="13">
        <v>46</v>
      </c>
      <c r="R2285">
        <v>24</v>
      </c>
      <c r="S2285">
        <v>42</v>
      </c>
      <c r="T2285" s="13">
        <v>29</v>
      </c>
      <c r="U2285" s="13">
        <v>31</v>
      </c>
      <c r="V2285" t="s">
        <v>99</v>
      </c>
      <c r="X2285" s="13">
        <v>175</v>
      </c>
    </row>
    <row r="2286" spans="1:24" x14ac:dyDescent="0.25">
      <c r="A2286" t="s">
        <v>2017</v>
      </c>
      <c r="B2286" t="s">
        <v>65</v>
      </c>
      <c r="C2286" t="s">
        <v>1999</v>
      </c>
      <c r="D2286" t="s">
        <v>2000</v>
      </c>
      <c r="E2286" t="s">
        <v>2001</v>
      </c>
      <c r="F2286" t="s">
        <v>94</v>
      </c>
      <c r="G2286" t="s">
        <v>277</v>
      </c>
      <c r="H2286" s="12">
        <v>6.5986000000000002</v>
      </c>
      <c r="I2286" s="12">
        <v>-75.011899999999997</v>
      </c>
      <c r="J2286" t="s">
        <v>2002</v>
      </c>
      <c r="K2286" t="s">
        <v>97</v>
      </c>
      <c r="L2286" t="s">
        <v>1273</v>
      </c>
      <c r="M2286">
        <v>11</v>
      </c>
      <c r="P2286" s="13">
        <v>172</v>
      </c>
      <c r="Q2286" s="13">
        <v>34</v>
      </c>
      <c r="R2286">
        <v>32</v>
      </c>
      <c r="S2286">
        <v>42</v>
      </c>
      <c r="T2286" s="13">
        <v>26</v>
      </c>
      <c r="U2286" s="13">
        <v>45</v>
      </c>
      <c r="V2286" t="s">
        <v>99</v>
      </c>
      <c r="X2286" s="13">
        <v>172</v>
      </c>
    </row>
    <row r="2287" spans="1:24" x14ac:dyDescent="0.25">
      <c r="A2287" t="s">
        <v>2018</v>
      </c>
      <c r="B2287" t="s">
        <v>65</v>
      </c>
      <c r="C2287" t="s">
        <v>1999</v>
      </c>
      <c r="D2287" t="s">
        <v>2000</v>
      </c>
      <c r="E2287" t="s">
        <v>2001</v>
      </c>
      <c r="F2287" t="s">
        <v>94</v>
      </c>
      <c r="G2287" t="s">
        <v>277</v>
      </c>
      <c r="H2287" s="12">
        <v>6.5986000000000002</v>
      </c>
      <c r="I2287" s="12">
        <v>-75.011899999999997</v>
      </c>
      <c r="J2287" t="s">
        <v>2002</v>
      </c>
      <c r="K2287" t="s">
        <v>97</v>
      </c>
      <c r="L2287" t="s">
        <v>1273</v>
      </c>
      <c r="M2287">
        <v>11</v>
      </c>
      <c r="P2287" s="13">
        <v>171</v>
      </c>
      <c r="Q2287" s="13">
        <v>37</v>
      </c>
      <c r="R2287">
        <v>38</v>
      </c>
      <c r="S2287">
        <v>24</v>
      </c>
      <c r="T2287" s="13">
        <v>31</v>
      </c>
      <c r="U2287" s="13">
        <v>56</v>
      </c>
      <c r="V2287" t="s">
        <v>99</v>
      </c>
      <c r="X2287" s="13">
        <v>171</v>
      </c>
    </row>
    <row r="2288" spans="1:24" x14ac:dyDescent="0.25">
      <c r="A2288" t="s">
        <v>2019</v>
      </c>
      <c r="B2288" t="s">
        <v>65</v>
      </c>
      <c r="C2288" t="s">
        <v>1999</v>
      </c>
      <c r="D2288" t="s">
        <v>2000</v>
      </c>
      <c r="E2288" t="s">
        <v>2001</v>
      </c>
      <c r="F2288" t="s">
        <v>94</v>
      </c>
      <c r="G2288" t="s">
        <v>277</v>
      </c>
      <c r="H2288" s="12">
        <v>6.5986000000000002</v>
      </c>
      <c r="I2288" s="12">
        <v>-75.011899999999997</v>
      </c>
      <c r="J2288" t="s">
        <v>2002</v>
      </c>
      <c r="K2288" t="s">
        <v>97</v>
      </c>
      <c r="L2288" t="s">
        <v>1273</v>
      </c>
      <c r="M2288">
        <v>11</v>
      </c>
      <c r="P2288" s="13">
        <v>170</v>
      </c>
      <c r="Q2288" s="13">
        <v>46</v>
      </c>
      <c r="R2288">
        <v>16</v>
      </c>
      <c r="S2288">
        <v>40</v>
      </c>
      <c r="T2288" s="13">
        <v>34</v>
      </c>
      <c r="U2288" s="13">
        <v>33</v>
      </c>
      <c r="V2288" t="s">
        <v>99</v>
      </c>
      <c r="X2288" s="13">
        <v>170</v>
      </c>
    </row>
    <row r="2289" spans="1:24" x14ac:dyDescent="0.25">
      <c r="A2289" t="s">
        <v>2020</v>
      </c>
      <c r="B2289" t="s">
        <v>65</v>
      </c>
      <c r="C2289" t="s">
        <v>1999</v>
      </c>
      <c r="D2289" t="s">
        <v>2000</v>
      </c>
      <c r="E2289" t="s">
        <v>2001</v>
      </c>
      <c r="F2289" t="s">
        <v>94</v>
      </c>
      <c r="G2289" t="s">
        <v>277</v>
      </c>
      <c r="H2289" s="12">
        <v>6.5986000000000002</v>
      </c>
      <c r="I2289" s="12">
        <v>-75.011899999999997</v>
      </c>
      <c r="J2289" t="s">
        <v>2002</v>
      </c>
      <c r="K2289" t="s">
        <v>97</v>
      </c>
      <c r="L2289" t="s">
        <v>1273</v>
      </c>
      <c r="M2289">
        <v>11</v>
      </c>
      <c r="P2289" s="13">
        <v>166</v>
      </c>
      <c r="Q2289" s="13">
        <v>37</v>
      </c>
      <c r="R2289">
        <v>32</v>
      </c>
      <c r="S2289">
        <v>40</v>
      </c>
      <c r="T2289" s="13">
        <v>28</v>
      </c>
      <c r="U2289" s="13">
        <v>22</v>
      </c>
      <c r="V2289" t="s">
        <v>99</v>
      </c>
      <c r="X2289" s="13">
        <v>166</v>
      </c>
    </row>
    <row r="2290" spans="1:24" x14ac:dyDescent="0.25">
      <c r="A2290" t="s">
        <v>2021</v>
      </c>
      <c r="B2290" t="s">
        <v>65</v>
      </c>
      <c r="C2290" t="s">
        <v>1999</v>
      </c>
      <c r="D2290" t="s">
        <v>2000</v>
      </c>
      <c r="E2290" t="s">
        <v>2001</v>
      </c>
      <c r="F2290" t="s">
        <v>94</v>
      </c>
      <c r="G2290" t="s">
        <v>277</v>
      </c>
      <c r="H2290" s="12">
        <v>6.5986000000000002</v>
      </c>
      <c r="I2290" s="12">
        <v>-75.011899999999997</v>
      </c>
      <c r="J2290" t="s">
        <v>2002</v>
      </c>
      <c r="K2290" t="s">
        <v>97</v>
      </c>
      <c r="L2290" t="s">
        <v>1273</v>
      </c>
      <c r="M2290">
        <v>11</v>
      </c>
      <c r="P2290" s="13">
        <v>161</v>
      </c>
      <c r="Q2290" s="13">
        <v>34</v>
      </c>
      <c r="R2290">
        <v>28</v>
      </c>
      <c r="S2290">
        <v>38</v>
      </c>
      <c r="T2290" s="13">
        <v>26</v>
      </c>
      <c r="U2290" s="13">
        <v>42</v>
      </c>
      <c r="V2290" t="s">
        <v>99</v>
      </c>
      <c r="X2290" s="13">
        <v>161</v>
      </c>
    </row>
    <row r="2291" spans="1:24" x14ac:dyDescent="0.25">
      <c r="A2291" t="s">
        <v>2022</v>
      </c>
      <c r="B2291" t="s">
        <v>65</v>
      </c>
      <c r="C2291" t="s">
        <v>1999</v>
      </c>
      <c r="D2291" t="s">
        <v>2000</v>
      </c>
      <c r="E2291" t="s">
        <v>2001</v>
      </c>
      <c r="F2291" t="s">
        <v>94</v>
      </c>
      <c r="G2291" t="s">
        <v>277</v>
      </c>
      <c r="H2291" s="12">
        <v>6.5986000000000002</v>
      </c>
      <c r="I2291" s="12">
        <v>-75.011899999999997</v>
      </c>
      <c r="J2291" t="s">
        <v>2002</v>
      </c>
      <c r="K2291" t="s">
        <v>97</v>
      </c>
      <c r="L2291" t="s">
        <v>1273</v>
      </c>
      <c r="M2291">
        <v>11</v>
      </c>
      <c r="P2291" s="13">
        <v>161</v>
      </c>
      <c r="Q2291" s="13">
        <v>46</v>
      </c>
      <c r="R2291">
        <v>16</v>
      </c>
      <c r="S2291">
        <v>48</v>
      </c>
      <c r="T2291" s="13">
        <v>24</v>
      </c>
      <c r="U2291" s="13">
        <v>16</v>
      </c>
      <c r="V2291" t="s">
        <v>99</v>
      </c>
      <c r="X2291" s="13">
        <v>161</v>
      </c>
    </row>
    <row r="2292" spans="1:24" x14ac:dyDescent="0.25">
      <c r="A2292" t="s">
        <v>2023</v>
      </c>
      <c r="B2292" t="s">
        <v>65</v>
      </c>
      <c r="C2292" t="s">
        <v>1999</v>
      </c>
      <c r="D2292" t="s">
        <v>2000</v>
      </c>
      <c r="E2292" t="s">
        <v>2001</v>
      </c>
      <c r="F2292" t="s">
        <v>94</v>
      </c>
      <c r="G2292" t="s">
        <v>277</v>
      </c>
      <c r="H2292" s="12">
        <v>6.5986000000000002</v>
      </c>
      <c r="I2292" s="12">
        <v>-75.011899999999997</v>
      </c>
      <c r="J2292" t="s">
        <v>2002</v>
      </c>
      <c r="K2292" t="s">
        <v>97</v>
      </c>
      <c r="L2292" t="s">
        <v>1273</v>
      </c>
      <c r="M2292">
        <v>11</v>
      </c>
      <c r="P2292" s="13">
        <v>161</v>
      </c>
      <c r="Q2292" s="13">
        <v>41</v>
      </c>
      <c r="R2292">
        <v>24</v>
      </c>
      <c r="S2292">
        <v>40</v>
      </c>
      <c r="T2292" s="13">
        <v>22</v>
      </c>
      <c r="U2292" s="13">
        <v>35</v>
      </c>
      <c r="V2292" t="s">
        <v>99</v>
      </c>
      <c r="X2292" s="13">
        <v>161</v>
      </c>
    </row>
    <row r="2293" spans="1:24" x14ac:dyDescent="0.25">
      <c r="A2293" t="s">
        <v>2024</v>
      </c>
      <c r="B2293" t="s">
        <v>65</v>
      </c>
      <c r="C2293" t="s">
        <v>1999</v>
      </c>
      <c r="D2293" t="s">
        <v>2000</v>
      </c>
      <c r="E2293" t="s">
        <v>2001</v>
      </c>
      <c r="F2293" t="s">
        <v>94</v>
      </c>
      <c r="G2293" t="s">
        <v>277</v>
      </c>
      <c r="H2293" s="12">
        <v>6.5986000000000002</v>
      </c>
      <c r="I2293" s="12">
        <v>-75.011899999999997</v>
      </c>
      <c r="J2293" t="s">
        <v>2002</v>
      </c>
      <c r="K2293" t="s">
        <v>97</v>
      </c>
      <c r="L2293" t="s">
        <v>1273</v>
      </c>
      <c r="M2293">
        <v>11</v>
      </c>
      <c r="P2293" s="13">
        <v>159</v>
      </c>
      <c r="Q2293" s="13">
        <v>44</v>
      </c>
      <c r="R2293">
        <v>28</v>
      </c>
      <c r="S2293">
        <v>26</v>
      </c>
      <c r="T2293" s="13">
        <v>29</v>
      </c>
      <c r="U2293" s="13">
        <v>33</v>
      </c>
      <c r="V2293" t="s">
        <v>99</v>
      </c>
      <c r="X2293" s="13">
        <v>159</v>
      </c>
    </row>
    <row r="2294" spans="1:24" x14ac:dyDescent="0.25">
      <c r="A2294" t="s">
        <v>2025</v>
      </c>
      <c r="B2294" t="s">
        <v>65</v>
      </c>
      <c r="C2294" t="s">
        <v>1999</v>
      </c>
      <c r="D2294" t="s">
        <v>2000</v>
      </c>
      <c r="E2294" t="s">
        <v>2001</v>
      </c>
      <c r="F2294" t="s">
        <v>94</v>
      </c>
      <c r="G2294" t="s">
        <v>277</v>
      </c>
      <c r="H2294" s="12">
        <v>6.5986000000000002</v>
      </c>
      <c r="I2294" s="12">
        <v>-75.011899999999997</v>
      </c>
      <c r="J2294" t="s">
        <v>2002</v>
      </c>
      <c r="K2294" t="s">
        <v>97</v>
      </c>
      <c r="L2294" t="s">
        <v>1273</v>
      </c>
      <c r="M2294">
        <v>11</v>
      </c>
      <c r="P2294" s="13">
        <v>157</v>
      </c>
      <c r="Q2294" s="13">
        <v>29</v>
      </c>
      <c r="R2294">
        <v>28</v>
      </c>
      <c r="S2294">
        <v>38</v>
      </c>
      <c r="T2294" s="13">
        <v>31</v>
      </c>
      <c r="U2294" s="13">
        <v>29</v>
      </c>
      <c r="V2294" t="s">
        <v>99</v>
      </c>
      <c r="X2294" s="13">
        <v>157</v>
      </c>
    </row>
    <row r="2295" spans="1:24" x14ac:dyDescent="0.25">
      <c r="A2295" t="s">
        <v>2026</v>
      </c>
      <c r="B2295" t="s">
        <v>65</v>
      </c>
      <c r="C2295" t="s">
        <v>1999</v>
      </c>
      <c r="D2295" t="s">
        <v>2000</v>
      </c>
      <c r="E2295" t="s">
        <v>2001</v>
      </c>
      <c r="F2295" t="s">
        <v>94</v>
      </c>
      <c r="G2295" t="s">
        <v>277</v>
      </c>
      <c r="H2295" s="12">
        <v>6.5986000000000002</v>
      </c>
      <c r="I2295" s="12">
        <v>-75.011899999999997</v>
      </c>
      <c r="J2295" t="s">
        <v>2002</v>
      </c>
      <c r="K2295" t="s">
        <v>97</v>
      </c>
      <c r="L2295" t="s">
        <v>1273</v>
      </c>
      <c r="M2295">
        <v>11</v>
      </c>
      <c r="P2295" s="13">
        <v>153</v>
      </c>
      <c r="Q2295" s="13">
        <v>39</v>
      </c>
      <c r="R2295">
        <v>18</v>
      </c>
      <c r="S2295">
        <v>34</v>
      </c>
      <c r="T2295" s="13">
        <v>31</v>
      </c>
      <c r="U2295" s="13">
        <v>33</v>
      </c>
      <c r="V2295" t="s">
        <v>99</v>
      </c>
      <c r="X2295" s="13">
        <v>153</v>
      </c>
    </row>
    <row r="2296" spans="1:24" x14ac:dyDescent="0.25">
      <c r="A2296" t="s">
        <v>2027</v>
      </c>
      <c r="B2296" t="s">
        <v>65</v>
      </c>
      <c r="C2296" t="s">
        <v>1999</v>
      </c>
      <c r="D2296" t="s">
        <v>2000</v>
      </c>
      <c r="E2296" t="s">
        <v>2001</v>
      </c>
      <c r="F2296" t="s">
        <v>94</v>
      </c>
      <c r="G2296" t="s">
        <v>277</v>
      </c>
      <c r="H2296" s="12">
        <v>6.5986000000000002</v>
      </c>
      <c r="I2296" s="12">
        <v>-75.011899999999997</v>
      </c>
      <c r="J2296" t="s">
        <v>2002</v>
      </c>
      <c r="K2296" t="s">
        <v>97</v>
      </c>
      <c r="L2296" t="s">
        <v>1273</v>
      </c>
      <c r="M2296">
        <v>11</v>
      </c>
      <c r="P2296" s="13">
        <v>153</v>
      </c>
      <c r="Q2296" s="13">
        <v>32</v>
      </c>
      <c r="R2296">
        <v>18</v>
      </c>
      <c r="S2296">
        <v>48</v>
      </c>
      <c r="T2296" s="13">
        <v>26</v>
      </c>
      <c r="U2296" s="13">
        <v>27</v>
      </c>
      <c r="V2296" t="s">
        <v>99</v>
      </c>
      <c r="X2296" s="13">
        <v>153</v>
      </c>
    </row>
    <row r="2297" spans="1:24" x14ac:dyDescent="0.25">
      <c r="A2297" t="s">
        <v>2028</v>
      </c>
      <c r="B2297" t="s">
        <v>65</v>
      </c>
      <c r="C2297" t="s">
        <v>1999</v>
      </c>
      <c r="D2297" t="s">
        <v>2000</v>
      </c>
      <c r="E2297" t="s">
        <v>2001</v>
      </c>
      <c r="F2297" t="s">
        <v>94</v>
      </c>
      <c r="G2297" t="s">
        <v>277</v>
      </c>
      <c r="H2297" s="12">
        <v>6.5986000000000002</v>
      </c>
      <c r="I2297" s="12">
        <v>-75.011899999999997</v>
      </c>
      <c r="J2297" t="s">
        <v>2002</v>
      </c>
      <c r="K2297" t="s">
        <v>97</v>
      </c>
      <c r="L2297" t="s">
        <v>1273</v>
      </c>
      <c r="M2297">
        <v>11</v>
      </c>
      <c r="P2297" s="13">
        <v>150</v>
      </c>
      <c r="Q2297" s="13">
        <v>49</v>
      </c>
      <c r="R2297">
        <v>12</v>
      </c>
      <c r="S2297">
        <v>32</v>
      </c>
      <c r="T2297" s="13">
        <v>21</v>
      </c>
      <c r="U2297" s="13">
        <v>49</v>
      </c>
      <c r="V2297" t="s">
        <v>99</v>
      </c>
      <c r="X2297" s="13">
        <v>150</v>
      </c>
    </row>
    <row r="2298" spans="1:24" x14ac:dyDescent="0.25">
      <c r="A2298" t="s">
        <v>2029</v>
      </c>
      <c r="B2298" t="s">
        <v>65</v>
      </c>
      <c r="C2298" t="s">
        <v>1999</v>
      </c>
      <c r="D2298" t="s">
        <v>2000</v>
      </c>
      <c r="E2298" t="s">
        <v>2001</v>
      </c>
      <c r="F2298" t="s">
        <v>94</v>
      </c>
      <c r="G2298" t="s">
        <v>277</v>
      </c>
      <c r="H2298" s="12">
        <v>6.5986000000000002</v>
      </c>
      <c r="I2298" s="12">
        <v>-75.011899999999997</v>
      </c>
      <c r="J2298" t="s">
        <v>2002</v>
      </c>
      <c r="K2298" t="s">
        <v>97</v>
      </c>
      <c r="L2298" t="s">
        <v>1273</v>
      </c>
      <c r="M2298">
        <v>11</v>
      </c>
      <c r="P2298" s="13">
        <v>148</v>
      </c>
      <c r="Q2298" s="13">
        <v>44</v>
      </c>
      <c r="R2298">
        <v>22</v>
      </c>
      <c r="S2298">
        <v>28</v>
      </c>
      <c r="T2298" s="13">
        <v>29</v>
      </c>
      <c r="U2298" s="13">
        <v>16</v>
      </c>
      <c r="V2298" t="s">
        <v>99</v>
      </c>
      <c r="X2298" s="13">
        <v>148</v>
      </c>
    </row>
    <row r="2299" spans="1:24" x14ac:dyDescent="0.25">
      <c r="A2299" t="s">
        <v>2030</v>
      </c>
      <c r="B2299" t="s">
        <v>65</v>
      </c>
      <c r="C2299" t="s">
        <v>1999</v>
      </c>
      <c r="D2299" t="s">
        <v>2000</v>
      </c>
      <c r="E2299" t="s">
        <v>2001</v>
      </c>
      <c r="F2299" t="s">
        <v>94</v>
      </c>
      <c r="G2299" t="s">
        <v>277</v>
      </c>
      <c r="H2299" s="12">
        <v>6.5986000000000002</v>
      </c>
      <c r="I2299" s="12">
        <v>-75.011899999999997</v>
      </c>
      <c r="J2299" t="s">
        <v>2002</v>
      </c>
      <c r="K2299" t="s">
        <v>97</v>
      </c>
      <c r="L2299" t="s">
        <v>1273</v>
      </c>
      <c r="M2299">
        <v>11</v>
      </c>
      <c r="P2299" s="13">
        <v>145</v>
      </c>
      <c r="Q2299" s="13">
        <v>37</v>
      </c>
      <c r="R2299">
        <v>20</v>
      </c>
      <c r="S2299">
        <v>32</v>
      </c>
      <c r="T2299" s="13">
        <v>28</v>
      </c>
      <c r="U2299" s="13">
        <v>27</v>
      </c>
      <c r="V2299" t="s">
        <v>99</v>
      </c>
      <c r="X2299" s="13">
        <v>145</v>
      </c>
    </row>
    <row r="2300" spans="1:24" x14ac:dyDescent="0.25">
      <c r="A2300" t="s">
        <v>2031</v>
      </c>
      <c r="B2300" t="s">
        <v>65</v>
      </c>
      <c r="C2300" t="s">
        <v>1999</v>
      </c>
      <c r="D2300" t="s">
        <v>2000</v>
      </c>
      <c r="E2300" t="s">
        <v>2001</v>
      </c>
      <c r="F2300" t="s">
        <v>94</v>
      </c>
      <c r="G2300" t="s">
        <v>277</v>
      </c>
      <c r="H2300" s="12">
        <v>6.5986000000000002</v>
      </c>
      <c r="I2300" s="12">
        <v>-75.011899999999997</v>
      </c>
      <c r="J2300" t="s">
        <v>2002</v>
      </c>
      <c r="K2300" t="s">
        <v>97</v>
      </c>
      <c r="L2300" t="s">
        <v>1273</v>
      </c>
      <c r="M2300">
        <v>11</v>
      </c>
      <c r="P2300" s="13">
        <v>143</v>
      </c>
      <c r="Q2300" s="13">
        <v>32</v>
      </c>
      <c r="R2300">
        <v>30</v>
      </c>
      <c r="S2300">
        <v>30</v>
      </c>
      <c r="T2300" s="13">
        <v>24</v>
      </c>
      <c r="U2300" s="13">
        <v>25</v>
      </c>
      <c r="V2300" t="s">
        <v>99</v>
      </c>
      <c r="X2300" s="13">
        <v>143</v>
      </c>
    </row>
    <row r="2301" spans="1:24" x14ac:dyDescent="0.25">
      <c r="A2301" t="s">
        <v>2032</v>
      </c>
      <c r="B2301" t="s">
        <v>65</v>
      </c>
      <c r="C2301" t="s">
        <v>1999</v>
      </c>
      <c r="D2301" t="s">
        <v>2000</v>
      </c>
      <c r="E2301" t="s">
        <v>2001</v>
      </c>
      <c r="F2301" t="s">
        <v>94</v>
      </c>
      <c r="G2301" t="s">
        <v>277</v>
      </c>
      <c r="H2301" s="12">
        <v>6.5986000000000002</v>
      </c>
      <c r="I2301" s="12">
        <v>-75.011899999999997</v>
      </c>
      <c r="J2301" t="s">
        <v>2002</v>
      </c>
      <c r="K2301" t="s">
        <v>97</v>
      </c>
      <c r="L2301" t="s">
        <v>1273</v>
      </c>
      <c r="M2301">
        <v>11</v>
      </c>
      <c r="P2301" s="13">
        <v>143</v>
      </c>
      <c r="Q2301" s="13">
        <v>39</v>
      </c>
      <c r="R2301">
        <v>14</v>
      </c>
      <c r="S2301">
        <v>38</v>
      </c>
      <c r="T2301" s="13">
        <v>28</v>
      </c>
      <c r="U2301" s="13">
        <v>16</v>
      </c>
      <c r="V2301" t="s">
        <v>99</v>
      </c>
      <c r="X2301" s="13">
        <v>143</v>
      </c>
    </row>
    <row r="2302" spans="1:24" x14ac:dyDescent="0.25">
      <c r="A2302" t="s">
        <v>2033</v>
      </c>
      <c r="B2302" t="s">
        <v>65</v>
      </c>
      <c r="C2302" t="s">
        <v>1999</v>
      </c>
      <c r="D2302" t="s">
        <v>2000</v>
      </c>
      <c r="E2302" t="s">
        <v>2001</v>
      </c>
      <c r="F2302" t="s">
        <v>94</v>
      </c>
      <c r="G2302" t="s">
        <v>277</v>
      </c>
      <c r="H2302" s="12">
        <v>6.5986000000000002</v>
      </c>
      <c r="I2302" s="12">
        <v>-75.011899999999997</v>
      </c>
      <c r="J2302" t="s">
        <v>2002</v>
      </c>
      <c r="K2302" t="s">
        <v>97</v>
      </c>
      <c r="L2302" t="s">
        <v>1273</v>
      </c>
      <c r="M2302">
        <v>11</v>
      </c>
      <c r="P2302" s="13">
        <v>133</v>
      </c>
      <c r="Q2302" s="13">
        <v>20</v>
      </c>
      <c r="R2302">
        <v>36</v>
      </c>
      <c r="S2302">
        <v>30</v>
      </c>
      <c r="T2302" s="13">
        <v>14</v>
      </c>
      <c r="U2302" s="13">
        <v>47</v>
      </c>
      <c r="V2302" t="s">
        <v>99</v>
      </c>
      <c r="X2302" s="13">
        <v>133</v>
      </c>
    </row>
    <row r="2303" spans="1:24" x14ac:dyDescent="0.25">
      <c r="A2303" t="s">
        <v>2034</v>
      </c>
      <c r="B2303" t="s">
        <v>65</v>
      </c>
      <c r="C2303" t="s">
        <v>1999</v>
      </c>
      <c r="D2303" t="s">
        <v>2000</v>
      </c>
      <c r="E2303" t="s">
        <v>2001</v>
      </c>
      <c r="F2303" t="s">
        <v>94</v>
      </c>
      <c r="G2303" t="s">
        <v>277</v>
      </c>
      <c r="H2303" s="12">
        <v>6.5986000000000002</v>
      </c>
      <c r="I2303" s="12">
        <v>-75.011899999999997</v>
      </c>
      <c r="J2303" t="s">
        <v>2002</v>
      </c>
      <c r="K2303" t="s">
        <v>97</v>
      </c>
      <c r="L2303" t="s">
        <v>1273</v>
      </c>
      <c r="M2303">
        <v>11</v>
      </c>
      <c r="P2303" s="13">
        <v>123</v>
      </c>
      <c r="Q2303" s="13">
        <v>46</v>
      </c>
      <c r="R2303">
        <v>22</v>
      </c>
      <c r="S2303">
        <v>18</v>
      </c>
      <c r="T2303" s="13">
        <v>16</v>
      </c>
      <c r="U2303" s="13">
        <v>15</v>
      </c>
      <c r="V2303" t="s">
        <v>99</v>
      </c>
      <c r="X2303" s="13">
        <v>123</v>
      </c>
    </row>
    <row r="2304" spans="1:24" x14ac:dyDescent="0.25">
      <c r="A2304" t="s">
        <v>2035</v>
      </c>
      <c r="B2304" t="s">
        <v>65</v>
      </c>
      <c r="C2304" t="s">
        <v>1999</v>
      </c>
      <c r="D2304" t="s">
        <v>2000</v>
      </c>
      <c r="E2304" t="s">
        <v>2001</v>
      </c>
      <c r="F2304" t="s">
        <v>94</v>
      </c>
      <c r="G2304" t="s">
        <v>277</v>
      </c>
      <c r="H2304" s="12">
        <v>6.5986000000000002</v>
      </c>
      <c r="I2304" s="12">
        <v>-75.011899999999997</v>
      </c>
      <c r="J2304" t="s">
        <v>2002</v>
      </c>
      <c r="K2304" t="s">
        <v>97</v>
      </c>
      <c r="L2304" t="s">
        <v>1273</v>
      </c>
      <c r="M2304">
        <v>11</v>
      </c>
      <c r="P2304" s="13">
        <v>121</v>
      </c>
      <c r="Q2304" s="13">
        <v>22</v>
      </c>
      <c r="R2304">
        <v>22</v>
      </c>
      <c r="S2304">
        <v>22</v>
      </c>
      <c r="T2304" s="13">
        <v>29</v>
      </c>
      <c r="U2304" s="13">
        <v>29</v>
      </c>
      <c r="V2304" t="s">
        <v>99</v>
      </c>
      <c r="X2304" s="13">
        <v>121</v>
      </c>
    </row>
    <row r="2305" spans="1:24" x14ac:dyDescent="0.25">
      <c r="A2305" t="s">
        <v>2036</v>
      </c>
      <c r="B2305" t="s">
        <v>65</v>
      </c>
      <c r="C2305" t="s">
        <v>1999</v>
      </c>
      <c r="D2305" t="s">
        <v>2000</v>
      </c>
      <c r="E2305" t="s">
        <v>2001</v>
      </c>
      <c r="F2305" t="s">
        <v>94</v>
      </c>
      <c r="G2305" t="s">
        <v>277</v>
      </c>
      <c r="H2305" s="12">
        <v>6.5986000000000002</v>
      </c>
      <c r="I2305" s="12">
        <v>-75.011899999999997</v>
      </c>
      <c r="J2305" t="s">
        <v>2002</v>
      </c>
      <c r="K2305" t="s">
        <v>97</v>
      </c>
      <c r="L2305" t="s">
        <v>1273</v>
      </c>
      <c r="M2305">
        <v>11</v>
      </c>
      <c r="P2305" s="13">
        <v>119</v>
      </c>
      <c r="Q2305" s="13">
        <v>32</v>
      </c>
      <c r="R2305">
        <v>24</v>
      </c>
      <c r="S2305">
        <v>20</v>
      </c>
      <c r="T2305" s="13">
        <v>19</v>
      </c>
      <c r="U2305" s="13">
        <v>25</v>
      </c>
      <c r="V2305" t="s">
        <v>99</v>
      </c>
      <c r="X2305" s="13">
        <v>119</v>
      </c>
    </row>
    <row r="2306" spans="1:24" x14ac:dyDescent="0.25">
      <c r="A2306" t="s">
        <v>2037</v>
      </c>
      <c r="B2306" t="s">
        <v>65</v>
      </c>
      <c r="C2306" t="s">
        <v>2038</v>
      </c>
      <c r="D2306" t="s">
        <v>2039</v>
      </c>
      <c r="E2306" t="s">
        <v>2040</v>
      </c>
      <c r="F2306" t="s">
        <v>94</v>
      </c>
      <c r="G2306" t="s">
        <v>277</v>
      </c>
      <c r="H2306" s="12">
        <v>6.7725</v>
      </c>
      <c r="I2306" s="12">
        <v>-74.798100000000005</v>
      </c>
      <c r="J2306" t="s">
        <v>2041</v>
      </c>
      <c r="K2306" t="s">
        <v>97</v>
      </c>
      <c r="L2306" t="s">
        <v>1273</v>
      </c>
      <c r="M2306">
        <v>11</v>
      </c>
      <c r="P2306" s="13">
        <v>308</v>
      </c>
      <c r="Q2306" s="13">
        <v>63</v>
      </c>
      <c r="R2306">
        <v>62</v>
      </c>
      <c r="S2306">
        <v>76</v>
      </c>
      <c r="T2306" s="13">
        <v>38</v>
      </c>
      <c r="U2306" s="13">
        <v>82</v>
      </c>
      <c r="V2306" t="s">
        <v>99</v>
      </c>
      <c r="X2306" s="13">
        <v>308</v>
      </c>
    </row>
    <row r="2307" spans="1:24" x14ac:dyDescent="0.25">
      <c r="A2307" t="s">
        <v>2042</v>
      </c>
      <c r="B2307" t="s">
        <v>65</v>
      </c>
      <c r="C2307" t="s">
        <v>2038</v>
      </c>
      <c r="D2307" t="s">
        <v>2039</v>
      </c>
      <c r="E2307" t="s">
        <v>2040</v>
      </c>
      <c r="F2307" t="s">
        <v>94</v>
      </c>
      <c r="G2307" t="s">
        <v>277</v>
      </c>
      <c r="H2307" s="12">
        <v>6.7725</v>
      </c>
      <c r="I2307" s="12">
        <v>-74.798100000000005</v>
      </c>
      <c r="J2307" t="s">
        <v>2041</v>
      </c>
      <c r="K2307" t="s">
        <v>97</v>
      </c>
      <c r="L2307" t="s">
        <v>1273</v>
      </c>
      <c r="M2307">
        <v>11</v>
      </c>
      <c r="P2307" s="13">
        <v>285</v>
      </c>
      <c r="Q2307" s="13">
        <v>59</v>
      </c>
      <c r="R2307">
        <v>58</v>
      </c>
      <c r="S2307">
        <v>54</v>
      </c>
      <c r="T2307" s="13">
        <v>50</v>
      </c>
      <c r="U2307" s="13">
        <v>78</v>
      </c>
      <c r="V2307" t="s">
        <v>99</v>
      </c>
      <c r="X2307" s="13">
        <v>285</v>
      </c>
    </row>
    <row r="2308" spans="1:24" x14ac:dyDescent="0.25">
      <c r="A2308" t="s">
        <v>2043</v>
      </c>
      <c r="B2308" t="s">
        <v>65</v>
      </c>
      <c r="C2308" t="s">
        <v>2038</v>
      </c>
      <c r="D2308" t="s">
        <v>2039</v>
      </c>
      <c r="E2308" t="s">
        <v>2040</v>
      </c>
      <c r="F2308" t="s">
        <v>94</v>
      </c>
      <c r="G2308" t="s">
        <v>277</v>
      </c>
      <c r="H2308" s="12">
        <v>6.7725</v>
      </c>
      <c r="I2308" s="12">
        <v>-74.798100000000005</v>
      </c>
      <c r="J2308" t="s">
        <v>2041</v>
      </c>
      <c r="K2308" t="s">
        <v>97</v>
      </c>
      <c r="L2308" t="s">
        <v>1273</v>
      </c>
      <c r="M2308">
        <v>11</v>
      </c>
      <c r="P2308" s="13">
        <v>281</v>
      </c>
      <c r="Q2308" s="13">
        <v>59</v>
      </c>
      <c r="R2308">
        <v>58</v>
      </c>
      <c r="S2308">
        <v>70</v>
      </c>
      <c r="T2308" s="13">
        <v>40</v>
      </c>
      <c r="U2308" s="13">
        <v>53</v>
      </c>
      <c r="V2308" t="s">
        <v>99</v>
      </c>
      <c r="X2308" s="13">
        <v>281</v>
      </c>
    </row>
    <row r="2309" spans="1:24" x14ac:dyDescent="0.25">
      <c r="A2309" t="s">
        <v>2044</v>
      </c>
      <c r="B2309" t="s">
        <v>65</v>
      </c>
      <c r="C2309" t="s">
        <v>2038</v>
      </c>
      <c r="D2309" t="s">
        <v>2039</v>
      </c>
      <c r="E2309" t="s">
        <v>2040</v>
      </c>
      <c r="F2309" t="s">
        <v>94</v>
      </c>
      <c r="G2309" t="s">
        <v>277</v>
      </c>
      <c r="H2309" s="12">
        <v>6.7725</v>
      </c>
      <c r="I2309" s="12">
        <v>-74.798100000000005</v>
      </c>
      <c r="J2309" t="s">
        <v>2041</v>
      </c>
      <c r="K2309" t="s">
        <v>97</v>
      </c>
      <c r="L2309" t="s">
        <v>1273</v>
      </c>
      <c r="M2309">
        <v>11</v>
      </c>
      <c r="P2309" s="13">
        <v>272</v>
      </c>
      <c r="Q2309" s="13">
        <v>51</v>
      </c>
      <c r="R2309">
        <v>54</v>
      </c>
      <c r="S2309">
        <v>62</v>
      </c>
      <c r="T2309" s="13">
        <v>47</v>
      </c>
      <c r="U2309" s="13">
        <v>65</v>
      </c>
      <c r="V2309" t="s">
        <v>99</v>
      </c>
      <c r="X2309" s="13">
        <v>272</v>
      </c>
    </row>
    <row r="2310" spans="1:24" x14ac:dyDescent="0.25">
      <c r="A2310" t="s">
        <v>2045</v>
      </c>
      <c r="B2310" t="s">
        <v>65</v>
      </c>
      <c r="C2310" t="s">
        <v>2038</v>
      </c>
      <c r="D2310" t="s">
        <v>2039</v>
      </c>
      <c r="E2310" t="s">
        <v>2040</v>
      </c>
      <c r="F2310" t="s">
        <v>94</v>
      </c>
      <c r="G2310" t="s">
        <v>277</v>
      </c>
      <c r="H2310" s="12">
        <v>6.7725</v>
      </c>
      <c r="I2310" s="12">
        <v>-74.798100000000005</v>
      </c>
      <c r="J2310" t="s">
        <v>2041</v>
      </c>
      <c r="K2310" t="s">
        <v>97</v>
      </c>
      <c r="L2310" t="s">
        <v>1273</v>
      </c>
      <c r="M2310">
        <v>11</v>
      </c>
      <c r="P2310" s="13">
        <v>257</v>
      </c>
      <c r="Q2310" s="13">
        <v>37</v>
      </c>
      <c r="R2310">
        <v>54</v>
      </c>
      <c r="S2310">
        <v>66</v>
      </c>
      <c r="T2310" s="13">
        <v>43</v>
      </c>
      <c r="U2310" s="13">
        <v>69</v>
      </c>
      <c r="V2310" t="s">
        <v>99</v>
      </c>
      <c r="X2310" s="13">
        <v>257</v>
      </c>
    </row>
    <row r="2311" spans="1:24" x14ac:dyDescent="0.25">
      <c r="A2311" t="s">
        <v>2046</v>
      </c>
      <c r="B2311" t="s">
        <v>65</v>
      </c>
      <c r="C2311" t="s">
        <v>2038</v>
      </c>
      <c r="D2311" t="s">
        <v>2039</v>
      </c>
      <c r="E2311" t="s">
        <v>2040</v>
      </c>
      <c r="F2311" t="s">
        <v>94</v>
      </c>
      <c r="G2311" t="s">
        <v>277</v>
      </c>
      <c r="H2311" s="12">
        <v>6.7725</v>
      </c>
      <c r="I2311" s="12">
        <v>-74.798100000000005</v>
      </c>
      <c r="J2311" t="s">
        <v>2041</v>
      </c>
      <c r="K2311" t="s">
        <v>97</v>
      </c>
      <c r="L2311" t="s">
        <v>1273</v>
      </c>
      <c r="M2311">
        <v>11</v>
      </c>
      <c r="P2311" s="13">
        <v>246</v>
      </c>
      <c r="Q2311" s="13">
        <v>63</v>
      </c>
      <c r="R2311">
        <v>38</v>
      </c>
      <c r="S2311">
        <v>58</v>
      </c>
      <c r="T2311" s="13">
        <v>31</v>
      </c>
      <c r="U2311" s="13">
        <v>69</v>
      </c>
      <c r="V2311" t="s">
        <v>99</v>
      </c>
      <c r="X2311" s="13">
        <v>246</v>
      </c>
    </row>
    <row r="2312" spans="1:24" x14ac:dyDescent="0.25">
      <c r="A2312" t="s">
        <v>2047</v>
      </c>
      <c r="B2312" t="s">
        <v>65</v>
      </c>
      <c r="C2312" t="s">
        <v>2038</v>
      </c>
      <c r="D2312" t="s">
        <v>2039</v>
      </c>
      <c r="E2312" t="s">
        <v>2040</v>
      </c>
      <c r="F2312" t="s">
        <v>94</v>
      </c>
      <c r="G2312" t="s">
        <v>277</v>
      </c>
      <c r="H2312" s="12">
        <v>6.7725</v>
      </c>
      <c r="I2312" s="12">
        <v>-74.798100000000005</v>
      </c>
      <c r="J2312" t="s">
        <v>2041</v>
      </c>
      <c r="K2312" t="s">
        <v>97</v>
      </c>
      <c r="L2312" t="s">
        <v>1273</v>
      </c>
      <c r="M2312">
        <v>11</v>
      </c>
      <c r="P2312" s="13">
        <v>234</v>
      </c>
      <c r="Q2312" s="13">
        <v>59</v>
      </c>
      <c r="R2312">
        <v>28</v>
      </c>
      <c r="S2312">
        <v>66</v>
      </c>
      <c r="T2312" s="13">
        <v>29</v>
      </c>
      <c r="U2312" s="13">
        <v>64</v>
      </c>
      <c r="V2312" t="s">
        <v>99</v>
      </c>
      <c r="X2312" s="13">
        <v>234</v>
      </c>
    </row>
    <row r="2313" spans="1:24" x14ac:dyDescent="0.25">
      <c r="A2313" t="s">
        <v>2048</v>
      </c>
      <c r="B2313" t="s">
        <v>65</v>
      </c>
      <c r="C2313" t="s">
        <v>2038</v>
      </c>
      <c r="D2313" t="s">
        <v>2039</v>
      </c>
      <c r="E2313" t="s">
        <v>2040</v>
      </c>
      <c r="F2313" t="s">
        <v>94</v>
      </c>
      <c r="G2313" t="s">
        <v>277</v>
      </c>
      <c r="H2313" s="12">
        <v>6.7725</v>
      </c>
      <c r="I2313" s="12">
        <v>-74.798100000000005</v>
      </c>
      <c r="J2313" t="s">
        <v>2041</v>
      </c>
      <c r="K2313" t="s">
        <v>97</v>
      </c>
      <c r="L2313" t="s">
        <v>1273</v>
      </c>
      <c r="M2313">
        <v>11</v>
      </c>
      <c r="P2313" s="13">
        <v>234</v>
      </c>
      <c r="Q2313" s="13">
        <v>63</v>
      </c>
      <c r="R2313">
        <v>28</v>
      </c>
      <c r="S2313">
        <v>62</v>
      </c>
      <c r="T2313" s="13">
        <v>38</v>
      </c>
      <c r="U2313" s="13">
        <v>35</v>
      </c>
      <c r="V2313" t="s">
        <v>99</v>
      </c>
      <c r="X2313" s="13">
        <v>234</v>
      </c>
    </row>
    <row r="2314" spans="1:24" x14ac:dyDescent="0.25">
      <c r="A2314" t="s">
        <v>2049</v>
      </c>
      <c r="B2314" t="s">
        <v>65</v>
      </c>
      <c r="C2314" t="s">
        <v>2038</v>
      </c>
      <c r="D2314" t="s">
        <v>2039</v>
      </c>
      <c r="E2314" t="s">
        <v>2040</v>
      </c>
      <c r="F2314" t="s">
        <v>94</v>
      </c>
      <c r="G2314" t="s">
        <v>277</v>
      </c>
      <c r="H2314" s="12">
        <v>6.7725</v>
      </c>
      <c r="I2314" s="12">
        <v>-74.798100000000005</v>
      </c>
      <c r="J2314" t="s">
        <v>2041</v>
      </c>
      <c r="K2314" t="s">
        <v>97</v>
      </c>
      <c r="L2314" t="s">
        <v>1273</v>
      </c>
      <c r="M2314">
        <v>11</v>
      </c>
      <c r="P2314" s="13">
        <v>221</v>
      </c>
      <c r="Q2314" s="13">
        <v>63</v>
      </c>
      <c r="R2314">
        <v>26</v>
      </c>
      <c r="S2314">
        <v>60</v>
      </c>
      <c r="T2314" s="13">
        <v>29</v>
      </c>
      <c r="U2314" s="13">
        <v>38</v>
      </c>
      <c r="V2314" t="s">
        <v>99</v>
      </c>
      <c r="X2314" s="13">
        <v>221</v>
      </c>
    </row>
    <row r="2315" spans="1:24" x14ac:dyDescent="0.25">
      <c r="A2315" t="s">
        <v>2050</v>
      </c>
      <c r="B2315" t="s">
        <v>65</v>
      </c>
      <c r="C2315" t="s">
        <v>2038</v>
      </c>
      <c r="D2315" t="s">
        <v>2039</v>
      </c>
      <c r="E2315" t="s">
        <v>2040</v>
      </c>
      <c r="F2315" t="s">
        <v>94</v>
      </c>
      <c r="G2315" t="s">
        <v>277</v>
      </c>
      <c r="H2315" s="12">
        <v>6.7725</v>
      </c>
      <c r="I2315" s="12">
        <v>-74.798100000000005</v>
      </c>
      <c r="J2315" t="s">
        <v>2041</v>
      </c>
      <c r="K2315" t="s">
        <v>97</v>
      </c>
      <c r="L2315" t="s">
        <v>1273</v>
      </c>
      <c r="M2315">
        <v>11</v>
      </c>
      <c r="P2315" s="13">
        <v>220</v>
      </c>
      <c r="Q2315" s="13">
        <v>66</v>
      </c>
      <c r="R2315">
        <v>30</v>
      </c>
      <c r="S2315">
        <v>56</v>
      </c>
      <c r="T2315" s="13">
        <v>22</v>
      </c>
      <c r="U2315" s="13">
        <v>49</v>
      </c>
      <c r="V2315" t="s">
        <v>99</v>
      </c>
      <c r="X2315" s="13">
        <v>220</v>
      </c>
    </row>
    <row r="2316" spans="1:24" x14ac:dyDescent="0.25">
      <c r="A2316" t="s">
        <v>2051</v>
      </c>
      <c r="B2316" t="s">
        <v>65</v>
      </c>
      <c r="C2316" t="s">
        <v>2038</v>
      </c>
      <c r="D2316" t="s">
        <v>2039</v>
      </c>
      <c r="E2316" t="s">
        <v>2040</v>
      </c>
      <c r="F2316" t="s">
        <v>94</v>
      </c>
      <c r="G2316" t="s">
        <v>277</v>
      </c>
      <c r="H2316" s="12">
        <v>6.7725</v>
      </c>
      <c r="I2316" s="12">
        <v>-74.798100000000005</v>
      </c>
      <c r="J2316" t="s">
        <v>2041</v>
      </c>
      <c r="K2316" t="s">
        <v>97</v>
      </c>
      <c r="L2316" t="s">
        <v>1273</v>
      </c>
      <c r="M2316">
        <v>11</v>
      </c>
      <c r="P2316" s="13">
        <v>210</v>
      </c>
      <c r="Q2316" s="13">
        <v>49</v>
      </c>
      <c r="R2316">
        <v>28</v>
      </c>
      <c r="S2316">
        <v>54</v>
      </c>
      <c r="T2316" s="13">
        <v>36</v>
      </c>
      <c r="U2316" s="13">
        <v>45</v>
      </c>
      <c r="V2316" t="s">
        <v>99</v>
      </c>
      <c r="X2316" s="13">
        <v>210</v>
      </c>
    </row>
    <row r="2317" spans="1:24" x14ac:dyDescent="0.25">
      <c r="A2317" t="s">
        <v>2052</v>
      </c>
      <c r="B2317" t="s">
        <v>65</v>
      </c>
      <c r="C2317" t="s">
        <v>2038</v>
      </c>
      <c r="D2317" t="s">
        <v>2039</v>
      </c>
      <c r="E2317" t="s">
        <v>2040</v>
      </c>
      <c r="F2317" t="s">
        <v>94</v>
      </c>
      <c r="G2317" t="s">
        <v>277</v>
      </c>
      <c r="H2317" s="12">
        <v>6.7725</v>
      </c>
      <c r="I2317" s="12">
        <v>-74.798100000000005</v>
      </c>
      <c r="J2317" t="s">
        <v>2041</v>
      </c>
      <c r="K2317" t="s">
        <v>97</v>
      </c>
      <c r="L2317" t="s">
        <v>1273</v>
      </c>
      <c r="M2317">
        <v>11</v>
      </c>
      <c r="P2317" s="13">
        <v>205</v>
      </c>
      <c r="Q2317" s="13">
        <v>51</v>
      </c>
      <c r="R2317">
        <v>30</v>
      </c>
      <c r="S2317">
        <v>50</v>
      </c>
      <c r="T2317" s="13">
        <v>28</v>
      </c>
      <c r="U2317" s="13">
        <v>56</v>
      </c>
      <c r="V2317" t="s">
        <v>99</v>
      </c>
      <c r="X2317" s="13">
        <v>205</v>
      </c>
    </row>
    <row r="2318" spans="1:24" x14ac:dyDescent="0.25">
      <c r="A2318" t="s">
        <v>2053</v>
      </c>
      <c r="B2318" t="s">
        <v>65</v>
      </c>
      <c r="C2318" t="s">
        <v>2038</v>
      </c>
      <c r="D2318" t="s">
        <v>2039</v>
      </c>
      <c r="E2318" t="s">
        <v>2040</v>
      </c>
      <c r="F2318" t="s">
        <v>94</v>
      </c>
      <c r="G2318" t="s">
        <v>277</v>
      </c>
      <c r="H2318" s="12">
        <v>6.7725</v>
      </c>
      <c r="I2318" s="12">
        <v>-74.798100000000005</v>
      </c>
      <c r="J2318" t="s">
        <v>2041</v>
      </c>
      <c r="K2318" t="s">
        <v>97</v>
      </c>
      <c r="L2318" t="s">
        <v>1273</v>
      </c>
      <c r="M2318">
        <v>11</v>
      </c>
      <c r="P2318" s="13">
        <v>200</v>
      </c>
      <c r="Q2318" s="13">
        <v>46</v>
      </c>
      <c r="R2318">
        <v>32</v>
      </c>
      <c r="S2318">
        <v>52</v>
      </c>
      <c r="T2318" s="13">
        <v>33</v>
      </c>
      <c r="U2318" s="13">
        <v>31</v>
      </c>
      <c r="V2318" t="s">
        <v>99</v>
      </c>
      <c r="X2318" s="13">
        <v>200</v>
      </c>
    </row>
    <row r="2319" spans="1:24" x14ac:dyDescent="0.25">
      <c r="A2319" t="s">
        <v>2054</v>
      </c>
      <c r="B2319" t="s">
        <v>65</v>
      </c>
      <c r="C2319" t="s">
        <v>2038</v>
      </c>
      <c r="D2319" t="s">
        <v>2039</v>
      </c>
      <c r="E2319" t="s">
        <v>2040</v>
      </c>
      <c r="F2319" t="s">
        <v>94</v>
      </c>
      <c r="G2319" t="s">
        <v>277</v>
      </c>
      <c r="H2319" s="12">
        <v>6.7725</v>
      </c>
      <c r="I2319" s="12">
        <v>-74.798100000000005</v>
      </c>
      <c r="J2319" t="s">
        <v>2041</v>
      </c>
      <c r="K2319" t="s">
        <v>97</v>
      </c>
      <c r="L2319" t="s">
        <v>1273</v>
      </c>
      <c r="M2319">
        <v>11</v>
      </c>
      <c r="P2319" s="13">
        <v>195</v>
      </c>
      <c r="Q2319" s="13">
        <v>41</v>
      </c>
      <c r="R2319">
        <v>30</v>
      </c>
      <c r="S2319">
        <v>46</v>
      </c>
      <c r="T2319" s="13">
        <v>33</v>
      </c>
      <c r="U2319" s="13">
        <v>56</v>
      </c>
      <c r="V2319" t="s">
        <v>99</v>
      </c>
      <c r="X2319" s="13">
        <v>195</v>
      </c>
    </row>
    <row r="2320" spans="1:24" x14ac:dyDescent="0.25">
      <c r="A2320" t="s">
        <v>2055</v>
      </c>
      <c r="B2320" t="s">
        <v>65</v>
      </c>
      <c r="C2320" t="s">
        <v>2038</v>
      </c>
      <c r="D2320" t="s">
        <v>2039</v>
      </c>
      <c r="E2320" t="s">
        <v>2040</v>
      </c>
      <c r="F2320" t="s">
        <v>94</v>
      </c>
      <c r="G2320" t="s">
        <v>277</v>
      </c>
      <c r="H2320" s="12">
        <v>6.7725</v>
      </c>
      <c r="I2320" s="12">
        <v>-74.798100000000005</v>
      </c>
      <c r="J2320" t="s">
        <v>2041</v>
      </c>
      <c r="K2320" t="s">
        <v>97</v>
      </c>
      <c r="L2320" t="s">
        <v>1273</v>
      </c>
      <c r="M2320">
        <v>11</v>
      </c>
      <c r="P2320" s="13">
        <v>193</v>
      </c>
      <c r="Q2320" s="13">
        <v>41</v>
      </c>
      <c r="R2320">
        <v>30</v>
      </c>
      <c r="S2320">
        <v>46</v>
      </c>
      <c r="T2320" s="13">
        <v>34</v>
      </c>
      <c r="U2320" s="13">
        <v>45</v>
      </c>
      <c r="V2320" t="s">
        <v>99</v>
      </c>
      <c r="X2320" s="13">
        <v>193</v>
      </c>
    </row>
    <row r="2321" spans="1:24" x14ac:dyDescent="0.25">
      <c r="A2321" t="s">
        <v>2056</v>
      </c>
      <c r="B2321" t="s">
        <v>65</v>
      </c>
      <c r="C2321" t="s">
        <v>2038</v>
      </c>
      <c r="D2321" t="s">
        <v>2039</v>
      </c>
      <c r="E2321" t="s">
        <v>2040</v>
      </c>
      <c r="F2321" t="s">
        <v>94</v>
      </c>
      <c r="G2321" t="s">
        <v>277</v>
      </c>
      <c r="H2321" s="12">
        <v>6.7725</v>
      </c>
      <c r="I2321" s="12">
        <v>-74.798100000000005</v>
      </c>
      <c r="J2321" t="s">
        <v>2041</v>
      </c>
      <c r="K2321" t="s">
        <v>97</v>
      </c>
      <c r="L2321" t="s">
        <v>1273</v>
      </c>
      <c r="M2321">
        <v>11</v>
      </c>
      <c r="P2321" s="13">
        <v>189</v>
      </c>
      <c r="Q2321" s="13">
        <v>63</v>
      </c>
      <c r="R2321">
        <v>30</v>
      </c>
      <c r="S2321">
        <v>24</v>
      </c>
      <c r="T2321" s="13">
        <v>29</v>
      </c>
      <c r="U2321" s="13">
        <v>51</v>
      </c>
      <c r="V2321" t="s">
        <v>99</v>
      </c>
      <c r="X2321" s="13">
        <v>189</v>
      </c>
    </row>
    <row r="2322" spans="1:24" x14ac:dyDescent="0.25">
      <c r="A2322" t="s">
        <v>2057</v>
      </c>
      <c r="B2322" t="s">
        <v>65</v>
      </c>
      <c r="C2322" t="s">
        <v>2038</v>
      </c>
      <c r="D2322" t="s">
        <v>2039</v>
      </c>
      <c r="E2322" t="s">
        <v>2040</v>
      </c>
      <c r="F2322" t="s">
        <v>94</v>
      </c>
      <c r="G2322" t="s">
        <v>277</v>
      </c>
      <c r="H2322" s="12">
        <v>6.7725</v>
      </c>
      <c r="I2322" s="12">
        <v>-74.798100000000005</v>
      </c>
      <c r="J2322" t="s">
        <v>2041</v>
      </c>
      <c r="K2322" t="s">
        <v>97</v>
      </c>
      <c r="L2322" t="s">
        <v>1273</v>
      </c>
      <c r="M2322">
        <v>11</v>
      </c>
      <c r="P2322" s="13">
        <v>189</v>
      </c>
      <c r="Q2322" s="13">
        <v>41</v>
      </c>
      <c r="R2322">
        <v>34</v>
      </c>
      <c r="S2322">
        <v>46</v>
      </c>
      <c r="T2322" s="13">
        <v>31</v>
      </c>
      <c r="U2322" s="13">
        <v>33</v>
      </c>
      <c r="V2322" t="s">
        <v>99</v>
      </c>
      <c r="X2322" s="13">
        <v>189</v>
      </c>
    </row>
    <row r="2323" spans="1:24" x14ac:dyDescent="0.25">
      <c r="A2323" t="s">
        <v>2058</v>
      </c>
      <c r="B2323" t="s">
        <v>65</v>
      </c>
      <c r="C2323" t="s">
        <v>2038</v>
      </c>
      <c r="D2323" t="s">
        <v>2039</v>
      </c>
      <c r="E2323" t="s">
        <v>2040</v>
      </c>
      <c r="F2323" t="s">
        <v>94</v>
      </c>
      <c r="G2323" t="s">
        <v>277</v>
      </c>
      <c r="H2323" s="12">
        <v>6.7725</v>
      </c>
      <c r="I2323" s="12">
        <v>-74.798100000000005</v>
      </c>
      <c r="J2323" t="s">
        <v>2041</v>
      </c>
      <c r="K2323" t="s">
        <v>97</v>
      </c>
      <c r="L2323" t="s">
        <v>1273</v>
      </c>
      <c r="M2323">
        <v>11</v>
      </c>
      <c r="P2323" s="13">
        <v>187</v>
      </c>
      <c r="Q2323" s="13">
        <v>22</v>
      </c>
      <c r="R2323">
        <v>30</v>
      </c>
      <c r="S2323">
        <v>48</v>
      </c>
      <c r="T2323" s="13">
        <v>43</v>
      </c>
      <c r="U2323" s="13">
        <v>58</v>
      </c>
      <c r="V2323" t="s">
        <v>99</v>
      </c>
      <c r="X2323" s="13">
        <v>187</v>
      </c>
    </row>
    <row r="2324" spans="1:24" x14ac:dyDescent="0.25">
      <c r="A2324" t="s">
        <v>2059</v>
      </c>
      <c r="B2324" t="s">
        <v>65</v>
      </c>
      <c r="C2324" t="s">
        <v>2038</v>
      </c>
      <c r="D2324" t="s">
        <v>2039</v>
      </c>
      <c r="E2324" t="s">
        <v>2040</v>
      </c>
      <c r="F2324" t="s">
        <v>94</v>
      </c>
      <c r="G2324" t="s">
        <v>277</v>
      </c>
      <c r="H2324" s="12">
        <v>6.7725</v>
      </c>
      <c r="I2324" s="12">
        <v>-74.798100000000005</v>
      </c>
      <c r="J2324" t="s">
        <v>2041</v>
      </c>
      <c r="K2324" t="s">
        <v>97</v>
      </c>
      <c r="L2324" t="s">
        <v>1273</v>
      </c>
      <c r="M2324">
        <v>11</v>
      </c>
      <c r="P2324" s="13">
        <v>187</v>
      </c>
      <c r="Q2324" s="13">
        <v>44</v>
      </c>
      <c r="R2324">
        <v>34</v>
      </c>
      <c r="S2324">
        <v>42</v>
      </c>
      <c r="T2324" s="13">
        <v>28</v>
      </c>
      <c r="U2324" s="13">
        <v>44</v>
      </c>
      <c r="V2324" t="s">
        <v>99</v>
      </c>
      <c r="X2324" s="13">
        <v>187</v>
      </c>
    </row>
    <row r="2325" spans="1:24" x14ac:dyDescent="0.25">
      <c r="A2325" t="s">
        <v>2060</v>
      </c>
      <c r="B2325" t="s">
        <v>65</v>
      </c>
      <c r="C2325" t="s">
        <v>2038</v>
      </c>
      <c r="D2325" t="s">
        <v>2039</v>
      </c>
      <c r="E2325" t="s">
        <v>2040</v>
      </c>
      <c r="F2325" t="s">
        <v>94</v>
      </c>
      <c r="G2325" t="s">
        <v>277</v>
      </c>
      <c r="H2325" s="12">
        <v>6.7725</v>
      </c>
      <c r="I2325" s="12">
        <v>-74.798100000000005</v>
      </c>
      <c r="J2325" t="s">
        <v>2041</v>
      </c>
      <c r="K2325" t="s">
        <v>97</v>
      </c>
      <c r="L2325" t="s">
        <v>1273</v>
      </c>
      <c r="M2325">
        <v>11</v>
      </c>
      <c r="P2325" s="13">
        <v>180</v>
      </c>
      <c r="Q2325" s="13">
        <v>49</v>
      </c>
      <c r="R2325">
        <v>14</v>
      </c>
      <c r="S2325">
        <v>44</v>
      </c>
      <c r="T2325" s="13">
        <v>36</v>
      </c>
      <c r="U2325" s="13">
        <v>40</v>
      </c>
      <c r="V2325" t="s">
        <v>99</v>
      </c>
      <c r="X2325" s="13">
        <v>180</v>
      </c>
    </row>
    <row r="2326" spans="1:24" x14ac:dyDescent="0.25">
      <c r="A2326" t="s">
        <v>2061</v>
      </c>
      <c r="B2326" t="s">
        <v>65</v>
      </c>
      <c r="C2326" t="s">
        <v>2038</v>
      </c>
      <c r="D2326" t="s">
        <v>2039</v>
      </c>
      <c r="E2326" t="s">
        <v>2040</v>
      </c>
      <c r="F2326" t="s">
        <v>94</v>
      </c>
      <c r="G2326" t="s">
        <v>277</v>
      </c>
      <c r="H2326" s="12">
        <v>6.7725</v>
      </c>
      <c r="I2326" s="12">
        <v>-74.798100000000005</v>
      </c>
      <c r="J2326" t="s">
        <v>2041</v>
      </c>
      <c r="K2326" t="s">
        <v>97</v>
      </c>
      <c r="L2326" t="s">
        <v>1273</v>
      </c>
      <c r="M2326">
        <v>11</v>
      </c>
      <c r="P2326" s="13">
        <v>180</v>
      </c>
      <c r="Q2326" s="13">
        <v>51</v>
      </c>
      <c r="R2326">
        <v>30</v>
      </c>
      <c r="S2326">
        <v>36</v>
      </c>
      <c r="T2326" s="13">
        <v>24</v>
      </c>
      <c r="U2326" s="13">
        <v>44</v>
      </c>
      <c r="V2326" t="s">
        <v>99</v>
      </c>
      <c r="X2326" s="13">
        <v>180</v>
      </c>
    </row>
    <row r="2327" spans="1:24" x14ac:dyDescent="0.25">
      <c r="A2327" t="s">
        <v>2062</v>
      </c>
      <c r="B2327" t="s">
        <v>65</v>
      </c>
      <c r="C2327" t="s">
        <v>2038</v>
      </c>
      <c r="D2327" t="s">
        <v>2039</v>
      </c>
      <c r="E2327" t="s">
        <v>2040</v>
      </c>
      <c r="F2327" t="s">
        <v>94</v>
      </c>
      <c r="G2327" t="s">
        <v>277</v>
      </c>
      <c r="H2327" s="12">
        <v>6.7725</v>
      </c>
      <c r="I2327" s="12">
        <v>-74.798100000000005</v>
      </c>
      <c r="J2327" t="s">
        <v>2041</v>
      </c>
      <c r="K2327" t="s">
        <v>97</v>
      </c>
      <c r="L2327" t="s">
        <v>1273</v>
      </c>
      <c r="M2327">
        <v>11</v>
      </c>
      <c r="P2327" s="13">
        <v>169</v>
      </c>
      <c r="Q2327" s="13">
        <v>41</v>
      </c>
      <c r="R2327">
        <v>20</v>
      </c>
      <c r="S2327">
        <v>46</v>
      </c>
      <c r="T2327" s="13">
        <v>24</v>
      </c>
      <c r="U2327" s="13">
        <v>45</v>
      </c>
      <c r="V2327" t="s">
        <v>99</v>
      </c>
      <c r="X2327" s="13">
        <v>169</v>
      </c>
    </row>
    <row r="2328" spans="1:24" x14ac:dyDescent="0.25">
      <c r="A2328" t="s">
        <v>2063</v>
      </c>
      <c r="B2328" t="s">
        <v>65</v>
      </c>
      <c r="C2328" t="s">
        <v>2038</v>
      </c>
      <c r="D2328" t="s">
        <v>2039</v>
      </c>
      <c r="E2328" t="s">
        <v>2040</v>
      </c>
      <c r="F2328" t="s">
        <v>94</v>
      </c>
      <c r="G2328" t="s">
        <v>277</v>
      </c>
      <c r="H2328" s="12">
        <v>6.7725</v>
      </c>
      <c r="I2328" s="12">
        <v>-74.798100000000005</v>
      </c>
      <c r="J2328" t="s">
        <v>2041</v>
      </c>
      <c r="K2328" t="s">
        <v>97</v>
      </c>
      <c r="L2328" t="s">
        <v>1273</v>
      </c>
      <c r="M2328">
        <v>11</v>
      </c>
      <c r="P2328" s="13">
        <v>169</v>
      </c>
      <c r="Q2328" s="13">
        <v>39</v>
      </c>
      <c r="R2328">
        <v>18</v>
      </c>
      <c r="S2328">
        <v>38</v>
      </c>
      <c r="T2328" s="13">
        <v>38</v>
      </c>
      <c r="U2328" s="13">
        <v>40</v>
      </c>
      <c r="V2328" t="s">
        <v>99</v>
      </c>
      <c r="X2328" s="13">
        <v>169</v>
      </c>
    </row>
    <row r="2329" spans="1:24" x14ac:dyDescent="0.25">
      <c r="A2329" t="s">
        <v>2064</v>
      </c>
      <c r="B2329" t="s">
        <v>65</v>
      </c>
      <c r="C2329" t="s">
        <v>2038</v>
      </c>
      <c r="D2329" t="s">
        <v>2039</v>
      </c>
      <c r="E2329" t="s">
        <v>2040</v>
      </c>
      <c r="F2329" t="s">
        <v>94</v>
      </c>
      <c r="G2329" t="s">
        <v>277</v>
      </c>
      <c r="H2329" s="12">
        <v>6.7725</v>
      </c>
      <c r="I2329" s="12">
        <v>-74.798100000000005</v>
      </c>
      <c r="J2329" t="s">
        <v>2041</v>
      </c>
      <c r="K2329" t="s">
        <v>97</v>
      </c>
      <c r="L2329" t="s">
        <v>1273</v>
      </c>
      <c r="M2329">
        <v>11</v>
      </c>
      <c r="P2329" s="13">
        <v>168</v>
      </c>
      <c r="Q2329" s="13">
        <v>41</v>
      </c>
      <c r="R2329">
        <v>24</v>
      </c>
      <c r="S2329">
        <v>38</v>
      </c>
      <c r="T2329" s="13">
        <v>24</v>
      </c>
      <c r="U2329" s="13">
        <v>55</v>
      </c>
      <c r="V2329" t="s">
        <v>99</v>
      </c>
      <c r="X2329" s="13">
        <v>168</v>
      </c>
    </row>
    <row r="2330" spans="1:24" x14ac:dyDescent="0.25">
      <c r="A2330" t="s">
        <v>2065</v>
      </c>
      <c r="B2330" t="s">
        <v>65</v>
      </c>
      <c r="C2330" t="s">
        <v>2038</v>
      </c>
      <c r="D2330" t="s">
        <v>2039</v>
      </c>
      <c r="E2330" t="s">
        <v>2040</v>
      </c>
      <c r="F2330" t="s">
        <v>94</v>
      </c>
      <c r="G2330" t="s">
        <v>277</v>
      </c>
      <c r="H2330" s="12">
        <v>6.7725</v>
      </c>
      <c r="I2330" s="12">
        <v>-74.798100000000005</v>
      </c>
      <c r="J2330" t="s">
        <v>2041</v>
      </c>
      <c r="K2330" t="s">
        <v>97</v>
      </c>
      <c r="L2330" t="s">
        <v>1273</v>
      </c>
      <c r="M2330">
        <v>11</v>
      </c>
      <c r="P2330" s="13">
        <v>166</v>
      </c>
      <c r="Q2330" s="13">
        <v>27</v>
      </c>
      <c r="R2330">
        <v>26</v>
      </c>
      <c r="S2330">
        <v>36</v>
      </c>
      <c r="T2330" s="13">
        <v>34</v>
      </c>
      <c r="U2330" s="13">
        <v>62</v>
      </c>
      <c r="V2330" t="s">
        <v>99</v>
      </c>
      <c r="X2330" s="13">
        <v>166</v>
      </c>
    </row>
    <row r="2331" spans="1:24" x14ac:dyDescent="0.25">
      <c r="A2331" t="s">
        <v>2066</v>
      </c>
      <c r="B2331" t="s">
        <v>65</v>
      </c>
      <c r="C2331" t="s">
        <v>2038</v>
      </c>
      <c r="D2331" t="s">
        <v>2039</v>
      </c>
      <c r="E2331" t="s">
        <v>2040</v>
      </c>
      <c r="F2331" t="s">
        <v>94</v>
      </c>
      <c r="G2331" t="s">
        <v>277</v>
      </c>
      <c r="H2331" s="12">
        <v>6.7725</v>
      </c>
      <c r="I2331" s="12">
        <v>-74.798100000000005</v>
      </c>
      <c r="J2331" t="s">
        <v>2041</v>
      </c>
      <c r="K2331" t="s">
        <v>97</v>
      </c>
      <c r="L2331" t="s">
        <v>1273</v>
      </c>
      <c r="M2331">
        <v>11</v>
      </c>
      <c r="P2331" s="13">
        <v>165</v>
      </c>
      <c r="Q2331" s="13">
        <v>39</v>
      </c>
      <c r="R2331">
        <v>24</v>
      </c>
      <c r="S2331">
        <v>36</v>
      </c>
      <c r="T2331" s="13">
        <v>26</v>
      </c>
      <c r="U2331" s="13">
        <v>55</v>
      </c>
      <c r="V2331" t="s">
        <v>99</v>
      </c>
      <c r="X2331" s="13">
        <v>165</v>
      </c>
    </row>
    <row r="2332" spans="1:24" x14ac:dyDescent="0.25">
      <c r="A2332" t="s">
        <v>2067</v>
      </c>
      <c r="B2332" t="s">
        <v>65</v>
      </c>
      <c r="C2332" t="s">
        <v>2038</v>
      </c>
      <c r="D2332" t="s">
        <v>2039</v>
      </c>
      <c r="E2332" t="s">
        <v>2040</v>
      </c>
      <c r="F2332" t="s">
        <v>94</v>
      </c>
      <c r="G2332" t="s">
        <v>277</v>
      </c>
      <c r="H2332" s="12">
        <v>6.7725</v>
      </c>
      <c r="I2332" s="12">
        <v>-74.798100000000005</v>
      </c>
      <c r="J2332" t="s">
        <v>2041</v>
      </c>
      <c r="K2332" t="s">
        <v>97</v>
      </c>
      <c r="L2332" t="s">
        <v>1273</v>
      </c>
      <c r="M2332">
        <v>11</v>
      </c>
      <c r="P2332" s="13">
        <v>165</v>
      </c>
      <c r="Q2332" s="13">
        <v>27</v>
      </c>
      <c r="R2332">
        <v>30</v>
      </c>
      <c r="S2332">
        <v>36</v>
      </c>
      <c r="T2332" s="13">
        <v>28</v>
      </c>
      <c r="U2332" s="13">
        <v>67</v>
      </c>
      <c r="V2332" t="s">
        <v>99</v>
      </c>
      <c r="X2332" s="13">
        <v>165</v>
      </c>
    </row>
    <row r="2333" spans="1:24" x14ac:dyDescent="0.25">
      <c r="A2333" t="s">
        <v>2068</v>
      </c>
      <c r="B2333" t="s">
        <v>65</v>
      </c>
      <c r="C2333" t="s">
        <v>2038</v>
      </c>
      <c r="D2333" t="s">
        <v>2039</v>
      </c>
      <c r="E2333" t="s">
        <v>2040</v>
      </c>
      <c r="F2333" t="s">
        <v>94</v>
      </c>
      <c r="G2333" t="s">
        <v>277</v>
      </c>
      <c r="H2333" s="12">
        <v>6.7725</v>
      </c>
      <c r="I2333" s="12">
        <v>-74.798100000000005</v>
      </c>
      <c r="J2333" t="s">
        <v>2041</v>
      </c>
      <c r="K2333" t="s">
        <v>97</v>
      </c>
      <c r="L2333" t="s">
        <v>1273</v>
      </c>
      <c r="M2333">
        <v>11</v>
      </c>
      <c r="P2333" s="13">
        <v>163</v>
      </c>
      <c r="Q2333" s="13">
        <v>37</v>
      </c>
      <c r="R2333">
        <v>20</v>
      </c>
      <c r="S2333">
        <v>44</v>
      </c>
      <c r="T2333" s="13">
        <v>29</v>
      </c>
      <c r="U2333" s="13">
        <v>35</v>
      </c>
      <c r="V2333" t="s">
        <v>99</v>
      </c>
      <c r="X2333" s="13">
        <v>163</v>
      </c>
    </row>
    <row r="2334" spans="1:24" x14ac:dyDescent="0.25">
      <c r="A2334" t="s">
        <v>2069</v>
      </c>
      <c r="B2334" t="s">
        <v>65</v>
      </c>
      <c r="C2334" t="s">
        <v>2038</v>
      </c>
      <c r="D2334" t="s">
        <v>2039</v>
      </c>
      <c r="E2334" t="s">
        <v>2040</v>
      </c>
      <c r="F2334" t="s">
        <v>94</v>
      </c>
      <c r="G2334" t="s">
        <v>277</v>
      </c>
      <c r="H2334" s="12">
        <v>6.7725</v>
      </c>
      <c r="I2334" s="12">
        <v>-74.798100000000005</v>
      </c>
      <c r="J2334" t="s">
        <v>2041</v>
      </c>
      <c r="K2334" t="s">
        <v>97</v>
      </c>
      <c r="L2334" t="s">
        <v>1273</v>
      </c>
      <c r="M2334">
        <v>11</v>
      </c>
      <c r="P2334" s="13">
        <v>161</v>
      </c>
      <c r="Q2334" s="13">
        <v>39</v>
      </c>
      <c r="R2334">
        <v>24</v>
      </c>
      <c r="S2334">
        <v>36</v>
      </c>
      <c r="T2334" s="13">
        <v>31</v>
      </c>
      <c r="U2334" s="13">
        <v>27</v>
      </c>
      <c r="V2334" t="s">
        <v>99</v>
      </c>
      <c r="X2334" s="13">
        <v>161</v>
      </c>
    </row>
    <row r="2335" spans="1:24" x14ac:dyDescent="0.25">
      <c r="A2335" t="s">
        <v>2070</v>
      </c>
      <c r="B2335" t="s">
        <v>65</v>
      </c>
      <c r="C2335" t="s">
        <v>2038</v>
      </c>
      <c r="D2335" t="s">
        <v>2039</v>
      </c>
      <c r="E2335" t="s">
        <v>2040</v>
      </c>
      <c r="F2335" t="s">
        <v>94</v>
      </c>
      <c r="G2335" t="s">
        <v>277</v>
      </c>
      <c r="H2335" s="12">
        <v>6.7725</v>
      </c>
      <c r="I2335" s="12">
        <v>-74.798100000000005</v>
      </c>
      <c r="J2335" t="s">
        <v>2041</v>
      </c>
      <c r="K2335" t="s">
        <v>97</v>
      </c>
      <c r="L2335" t="s">
        <v>1273</v>
      </c>
      <c r="M2335">
        <v>11</v>
      </c>
      <c r="P2335" s="13">
        <v>157</v>
      </c>
      <c r="Q2335" s="13">
        <v>41</v>
      </c>
      <c r="R2335">
        <v>20</v>
      </c>
      <c r="S2335">
        <v>34</v>
      </c>
      <c r="T2335" s="13">
        <v>26</v>
      </c>
      <c r="U2335" s="13">
        <v>45</v>
      </c>
      <c r="V2335" t="s">
        <v>99</v>
      </c>
      <c r="X2335" s="13">
        <v>157</v>
      </c>
    </row>
    <row r="2336" spans="1:24" x14ac:dyDescent="0.25">
      <c r="A2336" t="s">
        <v>2071</v>
      </c>
      <c r="B2336" t="s">
        <v>65</v>
      </c>
      <c r="C2336" t="s">
        <v>2038</v>
      </c>
      <c r="D2336" t="s">
        <v>2039</v>
      </c>
      <c r="E2336" t="s">
        <v>2040</v>
      </c>
      <c r="F2336" t="s">
        <v>94</v>
      </c>
      <c r="G2336" t="s">
        <v>277</v>
      </c>
      <c r="H2336" s="12">
        <v>6.7725</v>
      </c>
      <c r="I2336" s="12">
        <v>-74.798100000000005</v>
      </c>
      <c r="J2336" t="s">
        <v>2041</v>
      </c>
      <c r="K2336" t="s">
        <v>97</v>
      </c>
      <c r="L2336" t="s">
        <v>1273</v>
      </c>
      <c r="M2336">
        <v>11</v>
      </c>
      <c r="P2336" s="13">
        <v>156</v>
      </c>
      <c r="Q2336" s="13">
        <v>46</v>
      </c>
      <c r="R2336">
        <v>20</v>
      </c>
      <c r="S2336">
        <v>30</v>
      </c>
      <c r="T2336" s="13">
        <v>28</v>
      </c>
      <c r="U2336" s="13">
        <v>35</v>
      </c>
      <c r="V2336" t="s">
        <v>99</v>
      </c>
      <c r="X2336" s="13">
        <v>156</v>
      </c>
    </row>
    <row r="2337" spans="1:24" x14ac:dyDescent="0.25">
      <c r="A2337" t="s">
        <v>2072</v>
      </c>
      <c r="B2337" t="s">
        <v>65</v>
      </c>
      <c r="C2337" t="s">
        <v>2038</v>
      </c>
      <c r="D2337" t="s">
        <v>2039</v>
      </c>
      <c r="E2337" t="s">
        <v>2040</v>
      </c>
      <c r="F2337" t="s">
        <v>94</v>
      </c>
      <c r="G2337" t="s">
        <v>277</v>
      </c>
      <c r="H2337" s="12">
        <v>6.7725</v>
      </c>
      <c r="I2337" s="12">
        <v>-74.798100000000005</v>
      </c>
      <c r="J2337" t="s">
        <v>2041</v>
      </c>
      <c r="K2337" t="s">
        <v>97</v>
      </c>
      <c r="L2337" t="s">
        <v>1273</v>
      </c>
      <c r="M2337">
        <v>11</v>
      </c>
      <c r="P2337" s="13">
        <v>153</v>
      </c>
      <c r="Q2337" s="13">
        <v>34</v>
      </c>
      <c r="R2337">
        <v>24</v>
      </c>
      <c r="S2337">
        <v>38</v>
      </c>
      <c r="T2337" s="13">
        <v>28</v>
      </c>
      <c r="U2337" s="13">
        <v>25</v>
      </c>
      <c r="V2337" t="s">
        <v>99</v>
      </c>
      <c r="X2337" s="13">
        <v>153</v>
      </c>
    </row>
    <row r="2338" spans="1:24" x14ac:dyDescent="0.25">
      <c r="A2338" t="s">
        <v>2073</v>
      </c>
      <c r="B2338" t="s">
        <v>65</v>
      </c>
      <c r="C2338" t="s">
        <v>2038</v>
      </c>
      <c r="D2338" t="s">
        <v>2039</v>
      </c>
      <c r="E2338" t="s">
        <v>2040</v>
      </c>
      <c r="F2338" t="s">
        <v>94</v>
      </c>
      <c r="G2338" t="s">
        <v>277</v>
      </c>
      <c r="H2338" s="12">
        <v>6.7725</v>
      </c>
      <c r="I2338" s="12">
        <v>-74.798100000000005</v>
      </c>
      <c r="J2338" t="s">
        <v>2041</v>
      </c>
      <c r="K2338" t="s">
        <v>97</v>
      </c>
      <c r="L2338" t="s">
        <v>1273</v>
      </c>
      <c r="M2338">
        <v>11</v>
      </c>
      <c r="P2338" s="13">
        <v>152</v>
      </c>
      <c r="Q2338" s="13">
        <v>29</v>
      </c>
      <c r="R2338">
        <v>22</v>
      </c>
      <c r="S2338">
        <v>30</v>
      </c>
      <c r="T2338" s="13">
        <v>36</v>
      </c>
      <c r="U2338" s="13">
        <v>44</v>
      </c>
      <c r="V2338" t="s">
        <v>99</v>
      </c>
      <c r="X2338" s="13">
        <v>152</v>
      </c>
    </row>
    <row r="2339" spans="1:24" x14ac:dyDescent="0.25">
      <c r="A2339" t="s">
        <v>2074</v>
      </c>
      <c r="B2339" t="s">
        <v>65</v>
      </c>
      <c r="C2339" t="s">
        <v>2038</v>
      </c>
      <c r="D2339" t="s">
        <v>2039</v>
      </c>
      <c r="E2339" t="s">
        <v>2040</v>
      </c>
      <c r="F2339" t="s">
        <v>94</v>
      </c>
      <c r="G2339" t="s">
        <v>277</v>
      </c>
      <c r="H2339" s="12">
        <v>6.7725</v>
      </c>
      <c r="I2339" s="12">
        <v>-74.798100000000005</v>
      </c>
      <c r="J2339" t="s">
        <v>2041</v>
      </c>
      <c r="K2339" t="s">
        <v>97</v>
      </c>
      <c r="L2339" t="s">
        <v>1273</v>
      </c>
      <c r="M2339">
        <v>11</v>
      </c>
      <c r="P2339" s="13">
        <v>151</v>
      </c>
      <c r="Q2339" s="13">
        <v>32</v>
      </c>
      <c r="R2339">
        <v>24</v>
      </c>
      <c r="S2339">
        <v>34</v>
      </c>
      <c r="T2339" s="13">
        <v>31</v>
      </c>
      <c r="U2339" s="13">
        <v>31</v>
      </c>
      <c r="V2339" t="s">
        <v>99</v>
      </c>
      <c r="X2339" s="13">
        <v>151</v>
      </c>
    </row>
    <row r="2340" spans="1:24" x14ac:dyDescent="0.25">
      <c r="A2340" t="s">
        <v>2075</v>
      </c>
      <c r="B2340" t="s">
        <v>65</v>
      </c>
      <c r="C2340" t="s">
        <v>2076</v>
      </c>
      <c r="D2340" t="s">
        <v>2077</v>
      </c>
      <c r="E2340" t="s">
        <v>2078</v>
      </c>
      <c r="F2340" t="s">
        <v>94</v>
      </c>
      <c r="G2340" t="s">
        <v>277</v>
      </c>
      <c r="H2340" s="12">
        <v>5.9264000000000001</v>
      </c>
      <c r="I2340" s="12">
        <v>-75.674199999999999</v>
      </c>
      <c r="J2340" t="s">
        <v>2079</v>
      </c>
      <c r="K2340" t="s">
        <v>97</v>
      </c>
      <c r="L2340" t="s">
        <v>1273</v>
      </c>
      <c r="M2340">
        <v>11</v>
      </c>
      <c r="P2340" s="13">
        <v>271</v>
      </c>
      <c r="Q2340" s="13">
        <v>63</v>
      </c>
      <c r="R2340">
        <v>38</v>
      </c>
      <c r="S2340">
        <v>74</v>
      </c>
      <c r="T2340" s="13">
        <v>36</v>
      </c>
      <c r="U2340" s="13">
        <v>69</v>
      </c>
      <c r="V2340" t="s">
        <v>99</v>
      </c>
      <c r="X2340" s="13">
        <v>271</v>
      </c>
    </row>
    <row r="2341" spans="1:24" x14ac:dyDescent="0.25">
      <c r="A2341" t="s">
        <v>2080</v>
      </c>
      <c r="B2341" t="s">
        <v>65</v>
      </c>
      <c r="C2341" t="s">
        <v>2076</v>
      </c>
      <c r="D2341" t="s">
        <v>2077</v>
      </c>
      <c r="E2341" t="s">
        <v>2078</v>
      </c>
      <c r="F2341" t="s">
        <v>94</v>
      </c>
      <c r="G2341" t="s">
        <v>277</v>
      </c>
      <c r="H2341" s="12">
        <v>5.9264000000000001</v>
      </c>
      <c r="I2341" s="12">
        <v>-75.674199999999999</v>
      </c>
      <c r="J2341" t="s">
        <v>2079</v>
      </c>
      <c r="K2341" t="s">
        <v>97</v>
      </c>
      <c r="L2341" t="s">
        <v>1273</v>
      </c>
      <c r="M2341">
        <v>11</v>
      </c>
      <c r="P2341" s="13">
        <v>248</v>
      </c>
      <c r="Q2341" s="13">
        <v>68</v>
      </c>
      <c r="R2341">
        <v>44</v>
      </c>
      <c r="S2341">
        <v>48</v>
      </c>
      <c r="T2341" s="13">
        <v>38</v>
      </c>
      <c r="U2341" s="13">
        <v>49</v>
      </c>
      <c r="V2341" t="s">
        <v>99</v>
      </c>
      <c r="X2341" s="13">
        <v>248</v>
      </c>
    </row>
    <row r="2342" spans="1:24" x14ac:dyDescent="0.25">
      <c r="A2342" t="s">
        <v>2081</v>
      </c>
      <c r="B2342" t="s">
        <v>65</v>
      </c>
      <c r="C2342" t="s">
        <v>2076</v>
      </c>
      <c r="D2342" t="s">
        <v>2077</v>
      </c>
      <c r="E2342" t="s">
        <v>2078</v>
      </c>
      <c r="F2342" t="s">
        <v>94</v>
      </c>
      <c r="G2342" t="s">
        <v>277</v>
      </c>
      <c r="H2342" s="12">
        <v>5.9264000000000001</v>
      </c>
      <c r="I2342" s="12">
        <v>-75.674199999999999</v>
      </c>
      <c r="J2342" t="s">
        <v>2079</v>
      </c>
      <c r="K2342" t="s">
        <v>97</v>
      </c>
      <c r="L2342" t="s">
        <v>1273</v>
      </c>
      <c r="M2342">
        <v>11</v>
      </c>
      <c r="P2342" s="13">
        <v>247</v>
      </c>
      <c r="Q2342" s="13">
        <v>61</v>
      </c>
      <c r="R2342">
        <v>28</v>
      </c>
      <c r="S2342">
        <v>64</v>
      </c>
      <c r="T2342" s="13">
        <v>34</v>
      </c>
      <c r="U2342" s="13">
        <v>80</v>
      </c>
      <c r="V2342" t="s">
        <v>99</v>
      </c>
      <c r="X2342" s="13">
        <v>247</v>
      </c>
    </row>
    <row r="2343" spans="1:24" x14ac:dyDescent="0.25">
      <c r="A2343" t="s">
        <v>2082</v>
      </c>
      <c r="B2343" t="s">
        <v>65</v>
      </c>
      <c r="C2343" t="s">
        <v>2076</v>
      </c>
      <c r="D2343" t="s">
        <v>2077</v>
      </c>
      <c r="E2343" t="s">
        <v>2078</v>
      </c>
      <c r="F2343" t="s">
        <v>94</v>
      </c>
      <c r="G2343" t="s">
        <v>277</v>
      </c>
      <c r="H2343" s="12">
        <v>5.9264000000000001</v>
      </c>
      <c r="I2343" s="12">
        <v>-75.674199999999999</v>
      </c>
      <c r="J2343" t="s">
        <v>2079</v>
      </c>
      <c r="K2343" t="s">
        <v>97</v>
      </c>
      <c r="L2343" t="s">
        <v>1273</v>
      </c>
      <c r="M2343">
        <v>11</v>
      </c>
      <c r="P2343" s="13">
        <v>236</v>
      </c>
      <c r="Q2343" s="13">
        <v>46</v>
      </c>
      <c r="R2343">
        <v>40</v>
      </c>
      <c r="S2343">
        <v>64</v>
      </c>
      <c r="T2343" s="13">
        <v>33</v>
      </c>
      <c r="U2343" s="13">
        <v>65</v>
      </c>
      <c r="V2343" t="s">
        <v>99</v>
      </c>
      <c r="X2343" s="13">
        <v>236</v>
      </c>
    </row>
    <row r="2344" spans="1:24" x14ac:dyDescent="0.25">
      <c r="A2344" t="s">
        <v>2083</v>
      </c>
      <c r="B2344" t="s">
        <v>65</v>
      </c>
      <c r="C2344" t="s">
        <v>2076</v>
      </c>
      <c r="D2344" t="s">
        <v>2077</v>
      </c>
      <c r="E2344" t="s">
        <v>2078</v>
      </c>
      <c r="F2344" t="s">
        <v>94</v>
      </c>
      <c r="G2344" t="s">
        <v>277</v>
      </c>
      <c r="H2344" s="12">
        <v>5.9264000000000001</v>
      </c>
      <c r="I2344" s="12">
        <v>-75.674199999999999</v>
      </c>
      <c r="J2344" t="s">
        <v>2079</v>
      </c>
      <c r="K2344" t="s">
        <v>97</v>
      </c>
      <c r="L2344" t="s">
        <v>1273</v>
      </c>
      <c r="M2344">
        <v>11</v>
      </c>
      <c r="P2344" s="13">
        <v>227</v>
      </c>
      <c r="Q2344" s="13">
        <v>46</v>
      </c>
      <c r="R2344">
        <v>34</v>
      </c>
      <c r="S2344">
        <v>64</v>
      </c>
      <c r="T2344" s="13">
        <v>36</v>
      </c>
      <c r="U2344" s="13">
        <v>49</v>
      </c>
      <c r="V2344" t="s">
        <v>99</v>
      </c>
      <c r="X2344" s="13">
        <v>227</v>
      </c>
    </row>
    <row r="2345" spans="1:24" x14ac:dyDescent="0.25">
      <c r="A2345" t="s">
        <v>2084</v>
      </c>
      <c r="B2345" t="s">
        <v>65</v>
      </c>
      <c r="C2345" t="s">
        <v>2076</v>
      </c>
      <c r="D2345" t="s">
        <v>2077</v>
      </c>
      <c r="E2345" t="s">
        <v>2078</v>
      </c>
      <c r="F2345" t="s">
        <v>94</v>
      </c>
      <c r="G2345" t="s">
        <v>277</v>
      </c>
      <c r="H2345" s="12">
        <v>5.9264000000000001</v>
      </c>
      <c r="I2345" s="12">
        <v>-75.674199999999999</v>
      </c>
      <c r="J2345" t="s">
        <v>2079</v>
      </c>
      <c r="K2345" t="s">
        <v>97</v>
      </c>
      <c r="L2345" t="s">
        <v>1273</v>
      </c>
      <c r="M2345">
        <v>11</v>
      </c>
      <c r="P2345" s="13">
        <v>222</v>
      </c>
      <c r="Q2345" s="13">
        <v>54</v>
      </c>
      <c r="R2345">
        <v>40</v>
      </c>
      <c r="S2345">
        <v>36</v>
      </c>
      <c r="T2345" s="13">
        <v>43</v>
      </c>
      <c r="U2345" s="13">
        <v>60</v>
      </c>
      <c r="V2345" t="s">
        <v>99</v>
      </c>
      <c r="X2345" s="13">
        <v>222</v>
      </c>
    </row>
    <row r="2346" spans="1:24" x14ac:dyDescent="0.25">
      <c r="A2346" t="s">
        <v>2085</v>
      </c>
      <c r="B2346" t="s">
        <v>65</v>
      </c>
      <c r="C2346" t="s">
        <v>2076</v>
      </c>
      <c r="D2346" t="s">
        <v>2077</v>
      </c>
      <c r="E2346" t="s">
        <v>2078</v>
      </c>
      <c r="F2346" t="s">
        <v>94</v>
      </c>
      <c r="G2346" t="s">
        <v>277</v>
      </c>
      <c r="H2346" s="12">
        <v>5.9264000000000001</v>
      </c>
      <c r="I2346" s="12">
        <v>-75.674199999999999</v>
      </c>
      <c r="J2346" t="s">
        <v>2079</v>
      </c>
      <c r="K2346" t="s">
        <v>97</v>
      </c>
      <c r="L2346" t="s">
        <v>1273</v>
      </c>
      <c r="M2346">
        <v>11</v>
      </c>
      <c r="P2346" s="13">
        <v>219</v>
      </c>
      <c r="Q2346" s="13">
        <v>51</v>
      </c>
      <c r="R2346">
        <v>52</v>
      </c>
      <c r="S2346">
        <v>42</v>
      </c>
      <c r="T2346" s="13">
        <v>31</v>
      </c>
      <c r="U2346" s="13">
        <v>40</v>
      </c>
      <c r="V2346" t="s">
        <v>99</v>
      </c>
      <c r="X2346" s="13">
        <v>219</v>
      </c>
    </row>
    <row r="2347" spans="1:24" x14ac:dyDescent="0.25">
      <c r="A2347" t="s">
        <v>2086</v>
      </c>
      <c r="B2347" t="s">
        <v>65</v>
      </c>
      <c r="C2347" t="s">
        <v>2076</v>
      </c>
      <c r="D2347" t="s">
        <v>2077</v>
      </c>
      <c r="E2347" t="s">
        <v>2078</v>
      </c>
      <c r="F2347" t="s">
        <v>94</v>
      </c>
      <c r="G2347" t="s">
        <v>277</v>
      </c>
      <c r="H2347" s="12">
        <v>5.9264000000000001</v>
      </c>
      <c r="I2347" s="12">
        <v>-75.674199999999999</v>
      </c>
      <c r="J2347" t="s">
        <v>2079</v>
      </c>
      <c r="K2347" t="s">
        <v>97</v>
      </c>
      <c r="L2347" t="s">
        <v>1273</v>
      </c>
      <c r="M2347">
        <v>11</v>
      </c>
      <c r="P2347" s="13">
        <v>215</v>
      </c>
      <c r="Q2347" s="13">
        <v>34</v>
      </c>
      <c r="R2347">
        <v>42</v>
      </c>
      <c r="S2347">
        <v>50</v>
      </c>
      <c r="T2347" s="13">
        <v>36</v>
      </c>
      <c r="U2347" s="13">
        <v>71</v>
      </c>
      <c r="V2347" t="s">
        <v>99</v>
      </c>
      <c r="X2347" s="13">
        <v>215</v>
      </c>
    </row>
    <row r="2348" spans="1:24" x14ac:dyDescent="0.25">
      <c r="A2348" t="s">
        <v>2087</v>
      </c>
      <c r="B2348" t="s">
        <v>65</v>
      </c>
      <c r="C2348" t="s">
        <v>2076</v>
      </c>
      <c r="D2348" t="s">
        <v>2077</v>
      </c>
      <c r="E2348" t="s">
        <v>2078</v>
      </c>
      <c r="F2348" t="s">
        <v>94</v>
      </c>
      <c r="G2348" t="s">
        <v>277</v>
      </c>
      <c r="H2348" s="12">
        <v>5.9264000000000001</v>
      </c>
      <c r="I2348" s="12">
        <v>-75.674199999999999</v>
      </c>
      <c r="J2348" t="s">
        <v>2079</v>
      </c>
      <c r="K2348" t="s">
        <v>97</v>
      </c>
      <c r="L2348" t="s">
        <v>1273</v>
      </c>
      <c r="M2348">
        <v>11</v>
      </c>
      <c r="P2348" s="13">
        <v>203</v>
      </c>
      <c r="Q2348" s="13">
        <v>44</v>
      </c>
      <c r="R2348">
        <v>40</v>
      </c>
      <c r="S2348">
        <v>42</v>
      </c>
      <c r="T2348" s="13">
        <v>33</v>
      </c>
      <c r="U2348" s="13">
        <v>51</v>
      </c>
      <c r="V2348" t="s">
        <v>99</v>
      </c>
      <c r="X2348" s="13">
        <v>203</v>
      </c>
    </row>
    <row r="2349" spans="1:24" x14ac:dyDescent="0.25">
      <c r="A2349" t="s">
        <v>2088</v>
      </c>
      <c r="B2349" t="s">
        <v>65</v>
      </c>
      <c r="C2349" t="s">
        <v>2076</v>
      </c>
      <c r="D2349" t="s">
        <v>2077</v>
      </c>
      <c r="E2349" t="s">
        <v>2078</v>
      </c>
      <c r="F2349" t="s">
        <v>94</v>
      </c>
      <c r="G2349" t="s">
        <v>277</v>
      </c>
      <c r="H2349" s="12">
        <v>5.9264000000000001</v>
      </c>
      <c r="I2349" s="12">
        <v>-75.674199999999999</v>
      </c>
      <c r="J2349" t="s">
        <v>2079</v>
      </c>
      <c r="K2349" t="s">
        <v>97</v>
      </c>
      <c r="L2349" t="s">
        <v>1273</v>
      </c>
      <c r="M2349">
        <v>11</v>
      </c>
      <c r="P2349" s="13">
        <v>199</v>
      </c>
      <c r="Q2349" s="13">
        <v>54</v>
      </c>
      <c r="R2349">
        <v>22</v>
      </c>
      <c r="S2349">
        <v>44</v>
      </c>
      <c r="T2349" s="13">
        <v>38</v>
      </c>
      <c r="U2349" s="13">
        <v>45</v>
      </c>
      <c r="V2349" t="s">
        <v>99</v>
      </c>
      <c r="X2349" s="13">
        <v>199</v>
      </c>
    </row>
    <row r="2350" spans="1:24" x14ac:dyDescent="0.25">
      <c r="A2350" t="s">
        <v>2089</v>
      </c>
      <c r="B2350" t="s">
        <v>65</v>
      </c>
      <c r="C2350" t="s">
        <v>2076</v>
      </c>
      <c r="D2350" t="s">
        <v>2077</v>
      </c>
      <c r="E2350" t="s">
        <v>2078</v>
      </c>
      <c r="F2350" t="s">
        <v>94</v>
      </c>
      <c r="G2350" t="s">
        <v>277</v>
      </c>
      <c r="H2350" s="12">
        <v>5.9264000000000001</v>
      </c>
      <c r="I2350" s="12">
        <v>-75.674199999999999</v>
      </c>
      <c r="J2350" t="s">
        <v>2079</v>
      </c>
      <c r="K2350" t="s">
        <v>97</v>
      </c>
      <c r="L2350" t="s">
        <v>1273</v>
      </c>
      <c r="M2350">
        <v>11</v>
      </c>
      <c r="P2350" s="13">
        <v>192</v>
      </c>
      <c r="Q2350" s="13">
        <v>32</v>
      </c>
      <c r="R2350">
        <v>16</v>
      </c>
      <c r="S2350">
        <v>70</v>
      </c>
      <c r="T2350" s="13">
        <v>33</v>
      </c>
      <c r="U2350" s="13">
        <v>47</v>
      </c>
      <c r="V2350" t="s">
        <v>99</v>
      </c>
      <c r="X2350" s="13">
        <v>192</v>
      </c>
    </row>
    <row r="2351" spans="1:24" x14ac:dyDescent="0.25">
      <c r="A2351" t="s">
        <v>2090</v>
      </c>
      <c r="B2351" t="s">
        <v>65</v>
      </c>
      <c r="C2351" t="s">
        <v>2076</v>
      </c>
      <c r="D2351" t="s">
        <v>2077</v>
      </c>
      <c r="E2351" t="s">
        <v>2078</v>
      </c>
      <c r="F2351" t="s">
        <v>94</v>
      </c>
      <c r="G2351" t="s">
        <v>277</v>
      </c>
      <c r="H2351" s="12">
        <v>5.9264000000000001</v>
      </c>
      <c r="I2351" s="12">
        <v>-75.674199999999999</v>
      </c>
      <c r="J2351" t="s">
        <v>2079</v>
      </c>
      <c r="K2351" t="s">
        <v>97</v>
      </c>
      <c r="L2351" t="s">
        <v>1273</v>
      </c>
      <c r="M2351">
        <v>11</v>
      </c>
      <c r="P2351" s="13">
        <v>190</v>
      </c>
      <c r="Q2351" s="13">
        <v>46</v>
      </c>
      <c r="R2351">
        <v>22</v>
      </c>
      <c r="S2351">
        <v>50</v>
      </c>
      <c r="T2351" s="13">
        <v>34</v>
      </c>
      <c r="U2351" s="13">
        <v>36</v>
      </c>
      <c r="V2351" t="s">
        <v>99</v>
      </c>
      <c r="X2351" s="13">
        <v>190</v>
      </c>
    </row>
    <row r="2352" spans="1:24" x14ac:dyDescent="0.25">
      <c r="A2352" t="s">
        <v>2091</v>
      </c>
      <c r="B2352" t="s">
        <v>65</v>
      </c>
      <c r="C2352" t="s">
        <v>2076</v>
      </c>
      <c r="D2352" t="s">
        <v>2077</v>
      </c>
      <c r="E2352" t="s">
        <v>2078</v>
      </c>
      <c r="F2352" t="s">
        <v>94</v>
      </c>
      <c r="G2352" t="s">
        <v>277</v>
      </c>
      <c r="H2352" s="12">
        <v>5.9264000000000001</v>
      </c>
      <c r="I2352" s="12">
        <v>-75.674199999999999</v>
      </c>
      <c r="J2352" t="s">
        <v>2079</v>
      </c>
      <c r="K2352" t="s">
        <v>97</v>
      </c>
      <c r="L2352" t="s">
        <v>1273</v>
      </c>
      <c r="M2352">
        <v>11</v>
      </c>
      <c r="P2352" s="13">
        <v>189</v>
      </c>
      <c r="Q2352" s="13">
        <v>56</v>
      </c>
      <c r="R2352">
        <v>30</v>
      </c>
      <c r="S2352">
        <v>34</v>
      </c>
      <c r="T2352" s="13">
        <v>26</v>
      </c>
      <c r="U2352" s="13">
        <v>55</v>
      </c>
      <c r="V2352" t="s">
        <v>99</v>
      </c>
      <c r="X2352" s="13">
        <v>189</v>
      </c>
    </row>
    <row r="2353" spans="1:24" x14ac:dyDescent="0.25">
      <c r="A2353" t="s">
        <v>2092</v>
      </c>
      <c r="B2353" t="s">
        <v>65</v>
      </c>
      <c r="C2353" t="s">
        <v>2076</v>
      </c>
      <c r="D2353" t="s">
        <v>2077</v>
      </c>
      <c r="E2353" t="s">
        <v>2078</v>
      </c>
      <c r="F2353" t="s">
        <v>94</v>
      </c>
      <c r="G2353" t="s">
        <v>277</v>
      </c>
      <c r="H2353" s="12">
        <v>5.9264000000000001</v>
      </c>
      <c r="I2353" s="12">
        <v>-75.674199999999999</v>
      </c>
      <c r="J2353" t="s">
        <v>2079</v>
      </c>
      <c r="K2353" t="s">
        <v>97</v>
      </c>
      <c r="L2353" t="s">
        <v>1273</v>
      </c>
      <c r="M2353">
        <v>11</v>
      </c>
      <c r="P2353" s="13">
        <v>189</v>
      </c>
      <c r="Q2353" s="13">
        <v>51</v>
      </c>
      <c r="R2353">
        <v>22</v>
      </c>
      <c r="S2353">
        <v>58</v>
      </c>
      <c r="T2353" s="13">
        <v>17</v>
      </c>
      <c r="U2353" s="13">
        <v>45</v>
      </c>
      <c r="V2353" t="s">
        <v>99</v>
      </c>
      <c r="X2353" s="13">
        <v>189</v>
      </c>
    </row>
    <row r="2354" spans="1:24" x14ac:dyDescent="0.25">
      <c r="A2354" t="s">
        <v>2093</v>
      </c>
      <c r="B2354" t="s">
        <v>65</v>
      </c>
      <c r="C2354" t="s">
        <v>2076</v>
      </c>
      <c r="D2354" t="s">
        <v>2077</v>
      </c>
      <c r="E2354" t="s">
        <v>2078</v>
      </c>
      <c r="F2354" t="s">
        <v>94</v>
      </c>
      <c r="G2354" t="s">
        <v>277</v>
      </c>
      <c r="H2354" s="12">
        <v>5.9264000000000001</v>
      </c>
      <c r="I2354" s="12">
        <v>-75.674199999999999</v>
      </c>
      <c r="J2354" t="s">
        <v>2079</v>
      </c>
      <c r="K2354" t="s">
        <v>97</v>
      </c>
      <c r="L2354" t="s">
        <v>1273</v>
      </c>
      <c r="M2354">
        <v>11</v>
      </c>
      <c r="P2354" s="13">
        <v>188</v>
      </c>
      <c r="Q2354" s="13">
        <v>49</v>
      </c>
      <c r="R2354">
        <v>26</v>
      </c>
      <c r="S2354">
        <v>52</v>
      </c>
      <c r="T2354" s="13">
        <v>21</v>
      </c>
      <c r="U2354" s="13">
        <v>47</v>
      </c>
      <c r="V2354" t="s">
        <v>99</v>
      </c>
      <c r="X2354" s="13">
        <v>188</v>
      </c>
    </row>
    <row r="2355" spans="1:24" x14ac:dyDescent="0.25">
      <c r="A2355" t="s">
        <v>2094</v>
      </c>
      <c r="B2355" t="s">
        <v>65</v>
      </c>
      <c r="C2355" t="s">
        <v>2076</v>
      </c>
      <c r="D2355" t="s">
        <v>2077</v>
      </c>
      <c r="E2355" t="s">
        <v>2078</v>
      </c>
      <c r="F2355" t="s">
        <v>94</v>
      </c>
      <c r="G2355" t="s">
        <v>277</v>
      </c>
      <c r="H2355" s="12">
        <v>5.9264000000000001</v>
      </c>
      <c r="I2355" s="12">
        <v>-75.674199999999999</v>
      </c>
      <c r="J2355" t="s">
        <v>2079</v>
      </c>
      <c r="K2355" t="s">
        <v>97</v>
      </c>
      <c r="L2355" t="s">
        <v>1273</v>
      </c>
      <c r="M2355">
        <v>11</v>
      </c>
      <c r="P2355" s="13">
        <v>188</v>
      </c>
      <c r="Q2355" s="13">
        <v>49</v>
      </c>
      <c r="R2355">
        <v>30</v>
      </c>
      <c r="S2355">
        <v>44</v>
      </c>
      <c r="T2355" s="13">
        <v>22</v>
      </c>
      <c r="U2355" s="13">
        <v>53</v>
      </c>
      <c r="V2355" t="s">
        <v>99</v>
      </c>
      <c r="X2355" s="13">
        <v>188</v>
      </c>
    </row>
    <row r="2356" spans="1:24" x14ac:dyDescent="0.25">
      <c r="A2356" t="s">
        <v>2095</v>
      </c>
      <c r="B2356" t="s">
        <v>65</v>
      </c>
      <c r="C2356" t="s">
        <v>2076</v>
      </c>
      <c r="D2356" t="s">
        <v>2077</v>
      </c>
      <c r="E2356" t="s">
        <v>2078</v>
      </c>
      <c r="F2356" t="s">
        <v>94</v>
      </c>
      <c r="G2356" t="s">
        <v>277</v>
      </c>
      <c r="H2356" s="12">
        <v>5.9264000000000001</v>
      </c>
      <c r="I2356" s="12">
        <v>-75.674199999999999</v>
      </c>
      <c r="J2356" t="s">
        <v>2079</v>
      </c>
      <c r="K2356" t="s">
        <v>97</v>
      </c>
      <c r="L2356" t="s">
        <v>1273</v>
      </c>
      <c r="M2356">
        <v>11</v>
      </c>
      <c r="P2356" s="13">
        <v>182</v>
      </c>
      <c r="Q2356" s="13">
        <v>27</v>
      </c>
      <c r="R2356">
        <v>30</v>
      </c>
      <c r="S2356">
        <v>50</v>
      </c>
      <c r="T2356" s="13">
        <v>36</v>
      </c>
      <c r="U2356" s="13">
        <v>44</v>
      </c>
      <c r="V2356" t="s">
        <v>99</v>
      </c>
      <c r="X2356" s="13">
        <v>182</v>
      </c>
    </row>
    <row r="2357" spans="1:24" x14ac:dyDescent="0.25">
      <c r="A2357" t="s">
        <v>2096</v>
      </c>
      <c r="B2357" t="s">
        <v>65</v>
      </c>
      <c r="C2357" t="s">
        <v>2076</v>
      </c>
      <c r="D2357" t="s">
        <v>2077</v>
      </c>
      <c r="E2357" t="s">
        <v>2078</v>
      </c>
      <c r="F2357" t="s">
        <v>94</v>
      </c>
      <c r="G2357" t="s">
        <v>277</v>
      </c>
      <c r="H2357" s="12">
        <v>5.9264000000000001</v>
      </c>
      <c r="I2357" s="12">
        <v>-75.674199999999999</v>
      </c>
      <c r="J2357" t="s">
        <v>2079</v>
      </c>
      <c r="K2357" t="s">
        <v>97</v>
      </c>
      <c r="L2357" t="s">
        <v>1273</v>
      </c>
      <c r="M2357">
        <v>11</v>
      </c>
      <c r="P2357" s="13">
        <v>181</v>
      </c>
      <c r="Q2357" s="13">
        <v>44</v>
      </c>
      <c r="R2357">
        <v>26</v>
      </c>
      <c r="S2357">
        <v>42</v>
      </c>
      <c r="T2357" s="13">
        <v>31</v>
      </c>
      <c r="U2357" s="13">
        <v>42</v>
      </c>
      <c r="V2357" t="s">
        <v>99</v>
      </c>
      <c r="X2357" s="13">
        <v>181</v>
      </c>
    </row>
    <row r="2358" spans="1:24" x14ac:dyDescent="0.25">
      <c r="A2358" t="s">
        <v>2097</v>
      </c>
      <c r="B2358" t="s">
        <v>65</v>
      </c>
      <c r="C2358" t="s">
        <v>2076</v>
      </c>
      <c r="D2358" t="s">
        <v>2077</v>
      </c>
      <c r="E2358" t="s">
        <v>2078</v>
      </c>
      <c r="F2358" t="s">
        <v>94</v>
      </c>
      <c r="G2358" t="s">
        <v>277</v>
      </c>
      <c r="H2358" s="12">
        <v>5.9264000000000001</v>
      </c>
      <c r="I2358" s="12">
        <v>-75.674199999999999</v>
      </c>
      <c r="J2358" t="s">
        <v>2079</v>
      </c>
      <c r="K2358" t="s">
        <v>97</v>
      </c>
      <c r="L2358" t="s">
        <v>1273</v>
      </c>
      <c r="M2358">
        <v>11</v>
      </c>
      <c r="P2358" s="13">
        <v>179</v>
      </c>
      <c r="Q2358" s="13">
        <v>49</v>
      </c>
      <c r="R2358">
        <v>16</v>
      </c>
      <c r="S2358">
        <v>38</v>
      </c>
      <c r="T2358" s="13">
        <v>36</v>
      </c>
      <c r="U2358" s="13">
        <v>47</v>
      </c>
      <c r="V2358" t="s">
        <v>99</v>
      </c>
      <c r="X2358" s="13">
        <v>179</v>
      </c>
    </row>
    <row r="2359" spans="1:24" x14ac:dyDescent="0.25">
      <c r="A2359" t="s">
        <v>2098</v>
      </c>
      <c r="B2359" t="s">
        <v>65</v>
      </c>
      <c r="C2359" t="s">
        <v>2076</v>
      </c>
      <c r="D2359" t="s">
        <v>2077</v>
      </c>
      <c r="E2359" t="s">
        <v>2078</v>
      </c>
      <c r="F2359" t="s">
        <v>94</v>
      </c>
      <c r="G2359" t="s">
        <v>277</v>
      </c>
      <c r="H2359" s="12">
        <v>5.9264000000000001</v>
      </c>
      <c r="I2359" s="12">
        <v>-75.674199999999999</v>
      </c>
      <c r="J2359" t="s">
        <v>2079</v>
      </c>
      <c r="K2359" t="s">
        <v>97</v>
      </c>
      <c r="L2359" t="s">
        <v>1273</v>
      </c>
      <c r="M2359">
        <v>11</v>
      </c>
      <c r="P2359" s="13">
        <v>177</v>
      </c>
      <c r="Q2359" s="13">
        <v>34</v>
      </c>
      <c r="R2359">
        <v>24</v>
      </c>
      <c r="S2359">
        <v>40</v>
      </c>
      <c r="T2359" s="13">
        <v>43</v>
      </c>
      <c r="U2359" s="13">
        <v>36</v>
      </c>
      <c r="V2359" t="s">
        <v>99</v>
      </c>
      <c r="X2359" s="13">
        <v>177</v>
      </c>
    </row>
    <row r="2360" spans="1:24" x14ac:dyDescent="0.25">
      <c r="A2360" t="s">
        <v>2099</v>
      </c>
      <c r="B2360" t="s">
        <v>65</v>
      </c>
      <c r="C2360" t="s">
        <v>2076</v>
      </c>
      <c r="D2360" t="s">
        <v>2077</v>
      </c>
      <c r="E2360" t="s">
        <v>2078</v>
      </c>
      <c r="F2360" t="s">
        <v>94</v>
      </c>
      <c r="G2360" t="s">
        <v>277</v>
      </c>
      <c r="H2360" s="12">
        <v>5.9264000000000001</v>
      </c>
      <c r="I2360" s="12">
        <v>-75.674199999999999</v>
      </c>
      <c r="J2360" t="s">
        <v>2079</v>
      </c>
      <c r="K2360" t="s">
        <v>97</v>
      </c>
      <c r="L2360" t="s">
        <v>1273</v>
      </c>
      <c r="M2360">
        <v>11</v>
      </c>
      <c r="P2360" s="13">
        <v>176</v>
      </c>
      <c r="Q2360" s="13">
        <v>37</v>
      </c>
      <c r="R2360">
        <v>34</v>
      </c>
      <c r="S2360">
        <v>38</v>
      </c>
      <c r="T2360" s="13">
        <v>29</v>
      </c>
      <c r="U2360" s="13">
        <v>44</v>
      </c>
      <c r="V2360" t="s">
        <v>99</v>
      </c>
      <c r="X2360" s="13">
        <v>176</v>
      </c>
    </row>
    <row r="2361" spans="1:24" x14ac:dyDescent="0.25">
      <c r="A2361" t="s">
        <v>2100</v>
      </c>
      <c r="B2361" t="s">
        <v>65</v>
      </c>
      <c r="C2361" t="s">
        <v>2076</v>
      </c>
      <c r="D2361" t="s">
        <v>2077</v>
      </c>
      <c r="E2361" t="s">
        <v>2078</v>
      </c>
      <c r="F2361" t="s">
        <v>94</v>
      </c>
      <c r="G2361" t="s">
        <v>277</v>
      </c>
      <c r="H2361" s="12">
        <v>5.9264000000000001</v>
      </c>
      <c r="I2361" s="12">
        <v>-75.674199999999999</v>
      </c>
      <c r="J2361" t="s">
        <v>2079</v>
      </c>
      <c r="K2361" t="s">
        <v>97</v>
      </c>
      <c r="L2361" t="s">
        <v>1273</v>
      </c>
      <c r="M2361">
        <v>11</v>
      </c>
      <c r="P2361" s="13">
        <v>171</v>
      </c>
      <c r="Q2361" s="13">
        <v>41</v>
      </c>
      <c r="R2361">
        <v>26</v>
      </c>
      <c r="S2361">
        <v>46</v>
      </c>
      <c r="T2361" s="13">
        <v>24</v>
      </c>
      <c r="U2361" s="13">
        <v>33</v>
      </c>
      <c r="V2361" t="s">
        <v>99</v>
      </c>
      <c r="X2361" s="13">
        <v>171</v>
      </c>
    </row>
    <row r="2362" spans="1:24" x14ac:dyDescent="0.25">
      <c r="A2362" t="s">
        <v>2101</v>
      </c>
      <c r="B2362" t="s">
        <v>65</v>
      </c>
      <c r="C2362" t="s">
        <v>2076</v>
      </c>
      <c r="D2362" t="s">
        <v>2077</v>
      </c>
      <c r="E2362" t="s">
        <v>2078</v>
      </c>
      <c r="F2362" t="s">
        <v>94</v>
      </c>
      <c r="G2362" t="s">
        <v>277</v>
      </c>
      <c r="H2362" s="12">
        <v>5.9264000000000001</v>
      </c>
      <c r="I2362" s="12">
        <v>-75.674199999999999</v>
      </c>
      <c r="J2362" t="s">
        <v>2079</v>
      </c>
      <c r="K2362" t="s">
        <v>97</v>
      </c>
      <c r="L2362" t="s">
        <v>1273</v>
      </c>
      <c r="M2362">
        <v>11</v>
      </c>
      <c r="P2362" s="13">
        <v>169</v>
      </c>
      <c r="Q2362" s="13">
        <v>34</v>
      </c>
      <c r="R2362">
        <v>22</v>
      </c>
      <c r="S2362">
        <v>38</v>
      </c>
      <c r="T2362" s="13">
        <v>36</v>
      </c>
      <c r="U2362" s="13">
        <v>47</v>
      </c>
      <c r="V2362" t="s">
        <v>99</v>
      </c>
      <c r="X2362" s="13">
        <v>169</v>
      </c>
    </row>
    <row r="2363" spans="1:24" x14ac:dyDescent="0.25">
      <c r="A2363" t="s">
        <v>2102</v>
      </c>
      <c r="B2363" t="s">
        <v>65</v>
      </c>
      <c r="C2363" t="s">
        <v>2076</v>
      </c>
      <c r="D2363" t="s">
        <v>2077</v>
      </c>
      <c r="E2363" t="s">
        <v>2078</v>
      </c>
      <c r="F2363" t="s">
        <v>94</v>
      </c>
      <c r="G2363" t="s">
        <v>277</v>
      </c>
      <c r="H2363" s="12">
        <v>5.9264000000000001</v>
      </c>
      <c r="I2363" s="12">
        <v>-75.674199999999999</v>
      </c>
      <c r="J2363" t="s">
        <v>2079</v>
      </c>
      <c r="K2363" t="s">
        <v>97</v>
      </c>
      <c r="L2363" t="s">
        <v>1273</v>
      </c>
      <c r="M2363">
        <v>11</v>
      </c>
      <c r="P2363" s="13">
        <v>167</v>
      </c>
      <c r="Q2363" s="13">
        <v>44</v>
      </c>
      <c r="R2363">
        <v>22</v>
      </c>
      <c r="S2363">
        <v>46</v>
      </c>
      <c r="T2363" s="13">
        <v>17</v>
      </c>
      <c r="U2363" s="13">
        <v>47</v>
      </c>
      <c r="V2363" t="s">
        <v>99</v>
      </c>
      <c r="X2363" s="13">
        <v>167</v>
      </c>
    </row>
    <row r="2364" spans="1:24" x14ac:dyDescent="0.25">
      <c r="A2364" t="s">
        <v>2103</v>
      </c>
      <c r="B2364" t="s">
        <v>65</v>
      </c>
      <c r="C2364" t="s">
        <v>2076</v>
      </c>
      <c r="D2364" t="s">
        <v>2077</v>
      </c>
      <c r="E2364" t="s">
        <v>2078</v>
      </c>
      <c r="F2364" t="s">
        <v>94</v>
      </c>
      <c r="G2364" t="s">
        <v>277</v>
      </c>
      <c r="H2364" s="12">
        <v>5.9264000000000001</v>
      </c>
      <c r="I2364" s="12">
        <v>-75.674199999999999</v>
      </c>
      <c r="J2364" t="s">
        <v>2079</v>
      </c>
      <c r="K2364" t="s">
        <v>97</v>
      </c>
      <c r="L2364" t="s">
        <v>1273</v>
      </c>
      <c r="M2364">
        <v>11</v>
      </c>
      <c r="P2364" s="13">
        <v>166</v>
      </c>
      <c r="Q2364" s="13">
        <v>46</v>
      </c>
      <c r="R2364">
        <v>28</v>
      </c>
      <c r="S2364">
        <v>30</v>
      </c>
      <c r="T2364" s="13">
        <v>26</v>
      </c>
      <c r="U2364" s="13">
        <v>42</v>
      </c>
      <c r="V2364" t="s">
        <v>99</v>
      </c>
      <c r="X2364" s="13">
        <v>166</v>
      </c>
    </row>
    <row r="2365" spans="1:24" x14ac:dyDescent="0.25">
      <c r="A2365" t="s">
        <v>2104</v>
      </c>
      <c r="B2365" t="s">
        <v>65</v>
      </c>
      <c r="C2365" t="s">
        <v>2076</v>
      </c>
      <c r="D2365" t="s">
        <v>2077</v>
      </c>
      <c r="E2365" t="s">
        <v>2078</v>
      </c>
      <c r="F2365" t="s">
        <v>94</v>
      </c>
      <c r="G2365" t="s">
        <v>277</v>
      </c>
      <c r="H2365" s="12">
        <v>5.9264000000000001</v>
      </c>
      <c r="I2365" s="12">
        <v>-75.674199999999999</v>
      </c>
      <c r="J2365" t="s">
        <v>2079</v>
      </c>
      <c r="K2365" t="s">
        <v>97</v>
      </c>
      <c r="L2365" t="s">
        <v>1273</v>
      </c>
      <c r="M2365">
        <v>11</v>
      </c>
      <c r="P2365" s="13">
        <v>166</v>
      </c>
      <c r="Q2365" s="13">
        <v>34</v>
      </c>
      <c r="R2365">
        <v>20</v>
      </c>
      <c r="S2365">
        <v>56</v>
      </c>
      <c r="T2365" s="13">
        <v>19</v>
      </c>
      <c r="U2365" s="13">
        <v>44</v>
      </c>
      <c r="V2365" t="s">
        <v>99</v>
      </c>
      <c r="X2365" s="13">
        <v>166</v>
      </c>
    </row>
    <row r="2366" spans="1:24" x14ac:dyDescent="0.25">
      <c r="A2366" t="s">
        <v>2105</v>
      </c>
      <c r="B2366" t="s">
        <v>65</v>
      </c>
      <c r="C2366" t="s">
        <v>2076</v>
      </c>
      <c r="D2366" t="s">
        <v>2077</v>
      </c>
      <c r="E2366" t="s">
        <v>2078</v>
      </c>
      <c r="F2366" t="s">
        <v>94</v>
      </c>
      <c r="G2366" t="s">
        <v>277</v>
      </c>
      <c r="H2366" s="12">
        <v>5.9264000000000001</v>
      </c>
      <c r="I2366" s="12">
        <v>-75.674199999999999</v>
      </c>
      <c r="J2366" t="s">
        <v>2079</v>
      </c>
      <c r="K2366" t="s">
        <v>97</v>
      </c>
      <c r="L2366" t="s">
        <v>1273</v>
      </c>
      <c r="M2366">
        <v>11</v>
      </c>
      <c r="P2366" s="13">
        <v>165</v>
      </c>
      <c r="Q2366" s="13">
        <v>32</v>
      </c>
      <c r="R2366">
        <v>26</v>
      </c>
      <c r="S2366">
        <v>38</v>
      </c>
      <c r="T2366" s="13">
        <v>31</v>
      </c>
      <c r="U2366" s="13">
        <v>49</v>
      </c>
      <c r="V2366" t="s">
        <v>99</v>
      </c>
      <c r="X2366" s="13">
        <v>165</v>
      </c>
    </row>
    <row r="2367" spans="1:24" x14ac:dyDescent="0.25">
      <c r="A2367" t="s">
        <v>2106</v>
      </c>
      <c r="B2367" t="s">
        <v>65</v>
      </c>
      <c r="C2367" t="s">
        <v>2076</v>
      </c>
      <c r="D2367" t="s">
        <v>2077</v>
      </c>
      <c r="E2367" t="s">
        <v>2078</v>
      </c>
      <c r="F2367" t="s">
        <v>94</v>
      </c>
      <c r="G2367" t="s">
        <v>277</v>
      </c>
      <c r="H2367" s="12">
        <v>5.9264000000000001</v>
      </c>
      <c r="I2367" s="12">
        <v>-75.674199999999999</v>
      </c>
      <c r="J2367" t="s">
        <v>2079</v>
      </c>
      <c r="K2367" t="s">
        <v>97</v>
      </c>
      <c r="L2367" t="s">
        <v>1273</v>
      </c>
      <c r="M2367">
        <v>11</v>
      </c>
      <c r="P2367" s="13">
        <v>165</v>
      </c>
      <c r="Q2367" s="13">
        <v>41</v>
      </c>
      <c r="R2367">
        <v>26</v>
      </c>
      <c r="S2367">
        <v>34</v>
      </c>
      <c r="T2367" s="13">
        <v>26</v>
      </c>
      <c r="U2367" s="13">
        <v>47</v>
      </c>
      <c r="V2367" t="s">
        <v>99</v>
      </c>
      <c r="X2367" s="13">
        <v>165</v>
      </c>
    </row>
    <row r="2368" spans="1:24" x14ac:dyDescent="0.25">
      <c r="A2368" t="s">
        <v>2107</v>
      </c>
      <c r="B2368" t="s">
        <v>65</v>
      </c>
      <c r="C2368" t="s">
        <v>2076</v>
      </c>
      <c r="D2368" t="s">
        <v>2077</v>
      </c>
      <c r="E2368" t="s">
        <v>2078</v>
      </c>
      <c r="F2368" t="s">
        <v>94</v>
      </c>
      <c r="G2368" t="s">
        <v>277</v>
      </c>
      <c r="H2368" s="12">
        <v>5.9264000000000001</v>
      </c>
      <c r="I2368" s="12">
        <v>-75.674199999999999</v>
      </c>
      <c r="J2368" t="s">
        <v>2079</v>
      </c>
      <c r="K2368" t="s">
        <v>97</v>
      </c>
      <c r="L2368" t="s">
        <v>1273</v>
      </c>
      <c r="M2368">
        <v>11</v>
      </c>
      <c r="P2368" s="13">
        <v>162</v>
      </c>
      <c r="Q2368" s="13">
        <v>34</v>
      </c>
      <c r="R2368">
        <v>24</v>
      </c>
      <c r="S2368">
        <v>38</v>
      </c>
      <c r="T2368" s="13">
        <v>29</v>
      </c>
      <c r="U2368" s="13">
        <v>44</v>
      </c>
      <c r="V2368" t="s">
        <v>99</v>
      </c>
      <c r="X2368" s="13">
        <v>162</v>
      </c>
    </row>
    <row r="2369" spans="1:24" x14ac:dyDescent="0.25">
      <c r="A2369" t="s">
        <v>2108</v>
      </c>
      <c r="B2369" t="s">
        <v>65</v>
      </c>
      <c r="C2369" t="s">
        <v>2076</v>
      </c>
      <c r="D2369" t="s">
        <v>2077</v>
      </c>
      <c r="E2369" t="s">
        <v>2078</v>
      </c>
      <c r="F2369" t="s">
        <v>94</v>
      </c>
      <c r="G2369" t="s">
        <v>277</v>
      </c>
      <c r="H2369" s="12">
        <v>5.9264000000000001</v>
      </c>
      <c r="I2369" s="12">
        <v>-75.674199999999999</v>
      </c>
      <c r="J2369" t="s">
        <v>2079</v>
      </c>
      <c r="K2369" t="s">
        <v>97</v>
      </c>
      <c r="L2369" t="s">
        <v>1273</v>
      </c>
      <c r="M2369">
        <v>11</v>
      </c>
      <c r="P2369" s="13">
        <v>161</v>
      </c>
      <c r="Q2369" s="13">
        <v>29</v>
      </c>
      <c r="R2369">
        <v>16</v>
      </c>
      <c r="S2369">
        <v>42</v>
      </c>
      <c r="T2369" s="13">
        <v>34</v>
      </c>
      <c r="U2369" s="13">
        <v>53</v>
      </c>
      <c r="V2369" t="s">
        <v>99</v>
      </c>
      <c r="X2369" s="13">
        <v>161</v>
      </c>
    </row>
    <row r="2370" spans="1:24" x14ac:dyDescent="0.25">
      <c r="A2370" t="s">
        <v>2109</v>
      </c>
      <c r="B2370" t="s">
        <v>65</v>
      </c>
      <c r="C2370" t="s">
        <v>2076</v>
      </c>
      <c r="D2370" t="s">
        <v>2077</v>
      </c>
      <c r="E2370" t="s">
        <v>2078</v>
      </c>
      <c r="F2370" t="s">
        <v>94</v>
      </c>
      <c r="G2370" t="s">
        <v>277</v>
      </c>
      <c r="H2370" s="12">
        <v>5.9264000000000001</v>
      </c>
      <c r="I2370" s="12">
        <v>-75.674199999999999</v>
      </c>
      <c r="J2370" t="s">
        <v>2079</v>
      </c>
      <c r="K2370" t="s">
        <v>97</v>
      </c>
      <c r="L2370" t="s">
        <v>1273</v>
      </c>
      <c r="M2370">
        <v>11</v>
      </c>
      <c r="P2370" s="13">
        <v>159</v>
      </c>
      <c r="Q2370" s="13">
        <v>37</v>
      </c>
      <c r="R2370">
        <v>16</v>
      </c>
      <c r="S2370">
        <v>42</v>
      </c>
      <c r="T2370" s="13">
        <v>26</v>
      </c>
      <c r="U2370" s="13">
        <v>51</v>
      </c>
      <c r="V2370" t="s">
        <v>99</v>
      </c>
      <c r="X2370" s="13">
        <v>159</v>
      </c>
    </row>
    <row r="2371" spans="1:24" x14ac:dyDescent="0.25">
      <c r="A2371" t="s">
        <v>2110</v>
      </c>
      <c r="B2371" t="s">
        <v>65</v>
      </c>
      <c r="C2371" t="s">
        <v>2076</v>
      </c>
      <c r="D2371" t="s">
        <v>2077</v>
      </c>
      <c r="E2371" t="s">
        <v>2078</v>
      </c>
      <c r="F2371" t="s">
        <v>94</v>
      </c>
      <c r="G2371" t="s">
        <v>277</v>
      </c>
      <c r="H2371" s="12">
        <v>5.9264000000000001</v>
      </c>
      <c r="I2371" s="12">
        <v>-75.674199999999999</v>
      </c>
      <c r="J2371" t="s">
        <v>2079</v>
      </c>
      <c r="K2371" t="s">
        <v>97</v>
      </c>
      <c r="L2371" t="s">
        <v>1273</v>
      </c>
      <c r="M2371">
        <v>11</v>
      </c>
      <c r="P2371" s="13">
        <v>153</v>
      </c>
      <c r="Q2371" s="13">
        <v>34</v>
      </c>
      <c r="R2371">
        <v>24</v>
      </c>
      <c r="S2371">
        <v>38</v>
      </c>
      <c r="T2371" s="13">
        <v>24</v>
      </c>
      <c r="U2371" s="13">
        <v>38</v>
      </c>
      <c r="V2371" t="s">
        <v>99</v>
      </c>
      <c r="X2371" s="13">
        <v>153</v>
      </c>
    </row>
    <row r="2372" spans="1:24" x14ac:dyDescent="0.25">
      <c r="A2372" t="s">
        <v>2111</v>
      </c>
      <c r="B2372" t="s">
        <v>65</v>
      </c>
      <c r="C2372" t="s">
        <v>2076</v>
      </c>
      <c r="D2372" t="s">
        <v>2077</v>
      </c>
      <c r="E2372" t="s">
        <v>2078</v>
      </c>
      <c r="F2372" t="s">
        <v>94</v>
      </c>
      <c r="G2372" t="s">
        <v>277</v>
      </c>
      <c r="H2372" s="12">
        <v>5.9264000000000001</v>
      </c>
      <c r="I2372" s="12">
        <v>-75.674199999999999</v>
      </c>
      <c r="J2372" t="s">
        <v>2079</v>
      </c>
      <c r="K2372" t="s">
        <v>97</v>
      </c>
      <c r="L2372" t="s">
        <v>1273</v>
      </c>
      <c r="M2372">
        <v>11</v>
      </c>
      <c r="P2372" s="13">
        <v>153</v>
      </c>
      <c r="Q2372" s="13">
        <v>22</v>
      </c>
      <c r="R2372">
        <v>24</v>
      </c>
      <c r="S2372">
        <v>50</v>
      </c>
      <c r="T2372" s="13">
        <v>24</v>
      </c>
      <c r="U2372" s="13">
        <v>36</v>
      </c>
      <c r="V2372" t="s">
        <v>99</v>
      </c>
      <c r="X2372" s="13">
        <v>153</v>
      </c>
    </row>
    <row r="2373" spans="1:24" x14ac:dyDescent="0.25">
      <c r="A2373" t="s">
        <v>2112</v>
      </c>
      <c r="B2373" t="s">
        <v>65</v>
      </c>
      <c r="C2373" t="s">
        <v>2076</v>
      </c>
      <c r="D2373" t="s">
        <v>2077</v>
      </c>
      <c r="E2373" t="s">
        <v>2078</v>
      </c>
      <c r="F2373" t="s">
        <v>94</v>
      </c>
      <c r="G2373" t="s">
        <v>277</v>
      </c>
      <c r="H2373" s="12">
        <v>5.9264000000000001</v>
      </c>
      <c r="I2373" s="12">
        <v>-75.674199999999999</v>
      </c>
      <c r="J2373" t="s">
        <v>2079</v>
      </c>
      <c r="K2373" t="s">
        <v>97</v>
      </c>
      <c r="L2373" t="s">
        <v>1273</v>
      </c>
      <c r="M2373">
        <v>11</v>
      </c>
      <c r="P2373" s="13">
        <v>149</v>
      </c>
      <c r="Q2373" s="13">
        <v>24</v>
      </c>
      <c r="R2373">
        <v>20</v>
      </c>
      <c r="S2373">
        <v>44</v>
      </c>
      <c r="T2373" s="13">
        <v>28</v>
      </c>
      <c r="U2373" s="13">
        <v>40</v>
      </c>
      <c r="V2373" t="s">
        <v>99</v>
      </c>
      <c r="X2373" s="13">
        <v>149</v>
      </c>
    </row>
    <row r="2374" spans="1:24" x14ac:dyDescent="0.25">
      <c r="A2374" t="s">
        <v>2113</v>
      </c>
      <c r="B2374" t="s">
        <v>65</v>
      </c>
      <c r="C2374" t="s">
        <v>2076</v>
      </c>
      <c r="D2374" t="s">
        <v>2077</v>
      </c>
      <c r="E2374" t="s">
        <v>2078</v>
      </c>
      <c r="F2374" t="s">
        <v>94</v>
      </c>
      <c r="G2374" t="s">
        <v>277</v>
      </c>
      <c r="H2374" s="12">
        <v>5.9264000000000001</v>
      </c>
      <c r="I2374" s="12">
        <v>-75.674199999999999</v>
      </c>
      <c r="J2374" t="s">
        <v>2079</v>
      </c>
      <c r="K2374" t="s">
        <v>97</v>
      </c>
      <c r="L2374" t="s">
        <v>1273</v>
      </c>
      <c r="M2374">
        <v>11</v>
      </c>
      <c r="P2374" s="13">
        <v>143</v>
      </c>
      <c r="Q2374" s="13">
        <v>32</v>
      </c>
      <c r="R2374">
        <v>30</v>
      </c>
      <c r="S2374">
        <v>30</v>
      </c>
      <c r="T2374" s="13">
        <v>24</v>
      </c>
      <c r="U2374" s="13">
        <v>24</v>
      </c>
      <c r="V2374" t="s">
        <v>99</v>
      </c>
      <c r="X2374" s="13">
        <v>143</v>
      </c>
    </row>
    <row r="2375" spans="1:24" x14ac:dyDescent="0.25">
      <c r="A2375" t="s">
        <v>2114</v>
      </c>
      <c r="B2375" t="s">
        <v>65</v>
      </c>
      <c r="C2375" t="s">
        <v>2076</v>
      </c>
      <c r="D2375" t="s">
        <v>2077</v>
      </c>
      <c r="E2375" t="s">
        <v>2078</v>
      </c>
      <c r="F2375" t="s">
        <v>94</v>
      </c>
      <c r="G2375" t="s">
        <v>277</v>
      </c>
      <c r="H2375" s="12">
        <v>5.9264000000000001</v>
      </c>
      <c r="I2375" s="12">
        <v>-75.674199999999999</v>
      </c>
      <c r="J2375" t="s">
        <v>2079</v>
      </c>
      <c r="K2375" t="s">
        <v>97</v>
      </c>
      <c r="L2375" t="s">
        <v>1273</v>
      </c>
      <c r="M2375">
        <v>11</v>
      </c>
      <c r="P2375" s="13">
        <v>141</v>
      </c>
      <c r="Q2375" s="13">
        <v>37</v>
      </c>
      <c r="R2375">
        <v>24</v>
      </c>
      <c r="S2375">
        <v>16</v>
      </c>
      <c r="T2375" s="13">
        <v>33</v>
      </c>
      <c r="U2375" s="13">
        <v>38</v>
      </c>
      <c r="V2375" t="s">
        <v>99</v>
      </c>
      <c r="X2375" s="13">
        <v>141</v>
      </c>
    </row>
    <row r="2376" spans="1:24" x14ac:dyDescent="0.25">
      <c r="A2376" t="s">
        <v>2115</v>
      </c>
      <c r="B2376" t="s">
        <v>65</v>
      </c>
      <c r="C2376" t="s">
        <v>2076</v>
      </c>
      <c r="D2376" t="s">
        <v>2077</v>
      </c>
      <c r="E2376" t="s">
        <v>2078</v>
      </c>
      <c r="F2376" t="s">
        <v>94</v>
      </c>
      <c r="G2376" t="s">
        <v>277</v>
      </c>
      <c r="H2376" s="12">
        <v>5.9264000000000001</v>
      </c>
      <c r="I2376" s="12">
        <v>-75.674199999999999</v>
      </c>
      <c r="J2376" t="s">
        <v>2079</v>
      </c>
      <c r="K2376" t="s">
        <v>97</v>
      </c>
      <c r="L2376" t="s">
        <v>1273</v>
      </c>
      <c r="M2376">
        <v>11</v>
      </c>
      <c r="P2376" s="13">
        <v>138</v>
      </c>
      <c r="Q2376" s="13">
        <v>34</v>
      </c>
      <c r="R2376">
        <v>16</v>
      </c>
      <c r="S2376">
        <v>26</v>
      </c>
      <c r="T2376" s="13">
        <v>29</v>
      </c>
      <c r="U2376" s="13">
        <v>44</v>
      </c>
      <c r="V2376" t="s">
        <v>99</v>
      </c>
      <c r="X2376" s="13">
        <v>138</v>
      </c>
    </row>
    <row r="2377" spans="1:24" x14ac:dyDescent="0.25">
      <c r="A2377" t="s">
        <v>2116</v>
      </c>
      <c r="B2377" t="s">
        <v>65</v>
      </c>
      <c r="C2377" t="s">
        <v>2076</v>
      </c>
      <c r="D2377" t="s">
        <v>2077</v>
      </c>
      <c r="E2377" t="s">
        <v>2078</v>
      </c>
      <c r="F2377" t="s">
        <v>94</v>
      </c>
      <c r="G2377" t="s">
        <v>277</v>
      </c>
      <c r="H2377" s="12">
        <v>5.9264000000000001</v>
      </c>
      <c r="I2377" s="12">
        <v>-75.674199999999999</v>
      </c>
      <c r="J2377" t="s">
        <v>2079</v>
      </c>
      <c r="K2377" t="s">
        <v>97</v>
      </c>
      <c r="L2377" t="s">
        <v>1273</v>
      </c>
      <c r="M2377">
        <v>11</v>
      </c>
      <c r="P2377" s="13">
        <v>138</v>
      </c>
      <c r="Q2377" s="13">
        <v>29</v>
      </c>
      <c r="R2377">
        <v>28</v>
      </c>
      <c r="S2377">
        <v>32</v>
      </c>
      <c r="T2377" s="13">
        <v>21</v>
      </c>
      <c r="U2377" s="13">
        <v>29</v>
      </c>
      <c r="V2377" t="s">
        <v>99</v>
      </c>
      <c r="X2377" s="13">
        <v>138</v>
      </c>
    </row>
    <row r="2378" spans="1:24" x14ac:dyDescent="0.25">
      <c r="A2378" t="s">
        <v>2117</v>
      </c>
      <c r="B2378" t="s">
        <v>65</v>
      </c>
      <c r="C2378" t="s">
        <v>2076</v>
      </c>
      <c r="D2378" t="s">
        <v>2077</v>
      </c>
      <c r="E2378" t="s">
        <v>2078</v>
      </c>
      <c r="F2378" t="s">
        <v>94</v>
      </c>
      <c r="G2378" t="s">
        <v>277</v>
      </c>
      <c r="H2378" s="12">
        <v>5.9264000000000001</v>
      </c>
      <c r="I2378" s="12">
        <v>-75.674199999999999</v>
      </c>
      <c r="J2378" t="s">
        <v>2079</v>
      </c>
      <c r="K2378" t="s">
        <v>97</v>
      </c>
      <c r="L2378" t="s">
        <v>1273</v>
      </c>
      <c r="M2378">
        <v>11</v>
      </c>
      <c r="P2378" s="13">
        <v>137</v>
      </c>
      <c r="Q2378" s="13">
        <v>29</v>
      </c>
      <c r="R2378">
        <v>28</v>
      </c>
      <c r="S2378">
        <v>24</v>
      </c>
      <c r="T2378" s="13">
        <v>24</v>
      </c>
      <c r="U2378" s="13">
        <v>40</v>
      </c>
      <c r="V2378" t="s">
        <v>99</v>
      </c>
      <c r="X2378" s="13">
        <v>137</v>
      </c>
    </row>
    <row r="2379" spans="1:24" x14ac:dyDescent="0.25">
      <c r="A2379" t="s">
        <v>2118</v>
      </c>
      <c r="B2379" t="s">
        <v>65</v>
      </c>
      <c r="C2379" t="s">
        <v>2076</v>
      </c>
      <c r="D2379" t="s">
        <v>2077</v>
      </c>
      <c r="E2379" t="s">
        <v>2078</v>
      </c>
      <c r="F2379" t="s">
        <v>94</v>
      </c>
      <c r="G2379" t="s">
        <v>277</v>
      </c>
      <c r="H2379" s="12">
        <v>5.9264000000000001</v>
      </c>
      <c r="I2379" s="12">
        <v>-75.674199999999999</v>
      </c>
      <c r="J2379" t="s">
        <v>2079</v>
      </c>
      <c r="K2379" t="s">
        <v>97</v>
      </c>
      <c r="L2379" t="s">
        <v>1273</v>
      </c>
      <c r="M2379">
        <v>11</v>
      </c>
      <c r="P2379" s="13">
        <v>135</v>
      </c>
      <c r="Q2379" s="13">
        <v>27</v>
      </c>
      <c r="R2379">
        <v>22</v>
      </c>
      <c r="S2379">
        <v>28</v>
      </c>
      <c r="T2379" s="13">
        <v>29</v>
      </c>
      <c r="U2379" s="13">
        <v>33</v>
      </c>
      <c r="V2379" t="s">
        <v>99</v>
      </c>
      <c r="X2379" s="13">
        <v>135</v>
      </c>
    </row>
    <row r="2380" spans="1:24" x14ac:dyDescent="0.25">
      <c r="A2380" t="s">
        <v>2119</v>
      </c>
      <c r="B2380" t="s">
        <v>65</v>
      </c>
      <c r="C2380" t="s">
        <v>2076</v>
      </c>
      <c r="D2380" t="s">
        <v>2077</v>
      </c>
      <c r="E2380" t="s">
        <v>2078</v>
      </c>
      <c r="F2380" t="s">
        <v>94</v>
      </c>
      <c r="G2380" t="s">
        <v>277</v>
      </c>
      <c r="H2380" s="12">
        <v>5.9264000000000001</v>
      </c>
      <c r="I2380" s="12">
        <v>-75.674199999999999</v>
      </c>
      <c r="J2380" t="s">
        <v>2079</v>
      </c>
      <c r="K2380" t="s">
        <v>97</v>
      </c>
      <c r="L2380" t="s">
        <v>1273</v>
      </c>
      <c r="M2380">
        <v>11</v>
      </c>
      <c r="P2380" s="13">
        <v>134</v>
      </c>
      <c r="Q2380" s="13">
        <v>34</v>
      </c>
      <c r="R2380">
        <v>14</v>
      </c>
      <c r="S2380">
        <v>32</v>
      </c>
      <c r="T2380" s="13">
        <v>19</v>
      </c>
      <c r="U2380" s="13">
        <v>51</v>
      </c>
      <c r="V2380" t="s">
        <v>99</v>
      </c>
      <c r="X2380" s="13">
        <v>134</v>
      </c>
    </row>
    <row r="2381" spans="1:24" x14ac:dyDescent="0.25">
      <c r="A2381" t="s">
        <v>2120</v>
      </c>
      <c r="B2381" t="s">
        <v>65</v>
      </c>
      <c r="C2381" t="s">
        <v>2076</v>
      </c>
      <c r="D2381" t="s">
        <v>2077</v>
      </c>
      <c r="E2381" t="s">
        <v>2078</v>
      </c>
      <c r="F2381" t="s">
        <v>94</v>
      </c>
      <c r="G2381" t="s">
        <v>277</v>
      </c>
      <c r="H2381" s="12">
        <v>5.9264000000000001</v>
      </c>
      <c r="I2381" s="12">
        <v>-75.674199999999999</v>
      </c>
      <c r="J2381" t="s">
        <v>2079</v>
      </c>
      <c r="K2381" t="s">
        <v>97</v>
      </c>
      <c r="L2381" t="s">
        <v>1273</v>
      </c>
      <c r="M2381">
        <v>11</v>
      </c>
      <c r="P2381" s="13">
        <v>133</v>
      </c>
      <c r="Q2381" s="13">
        <v>29</v>
      </c>
      <c r="R2381">
        <v>28</v>
      </c>
      <c r="S2381">
        <v>36</v>
      </c>
      <c r="T2381" s="13">
        <v>14</v>
      </c>
      <c r="U2381" s="13">
        <v>24</v>
      </c>
      <c r="V2381" t="s">
        <v>99</v>
      </c>
      <c r="X2381" s="13">
        <v>133</v>
      </c>
    </row>
    <row r="2382" spans="1:24" x14ac:dyDescent="0.25">
      <c r="A2382" t="s">
        <v>2121</v>
      </c>
      <c r="B2382" t="s">
        <v>65</v>
      </c>
      <c r="C2382" t="s">
        <v>2076</v>
      </c>
      <c r="D2382" t="s">
        <v>2077</v>
      </c>
      <c r="E2382" t="s">
        <v>2078</v>
      </c>
      <c r="F2382" t="s">
        <v>94</v>
      </c>
      <c r="G2382" t="s">
        <v>277</v>
      </c>
      <c r="H2382" s="12">
        <v>5.9264000000000001</v>
      </c>
      <c r="I2382" s="12">
        <v>-75.674199999999999</v>
      </c>
      <c r="J2382" t="s">
        <v>2079</v>
      </c>
      <c r="K2382" t="s">
        <v>97</v>
      </c>
      <c r="L2382" t="s">
        <v>1273</v>
      </c>
      <c r="M2382">
        <v>11</v>
      </c>
      <c r="P2382" s="13">
        <v>125</v>
      </c>
      <c r="Q2382" s="13">
        <v>37</v>
      </c>
      <c r="R2382">
        <v>14</v>
      </c>
      <c r="S2382">
        <v>26</v>
      </c>
      <c r="T2382" s="13">
        <v>19</v>
      </c>
      <c r="U2382" s="13">
        <v>38</v>
      </c>
      <c r="V2382" t="s">
        <v>99</v>
      </c>
      <c r="X2382" s="13">
        <v>125</v>
      </c>
    </row>
    <row r="2383" spans="1:24" x14ac:dyDescent="0.25">
      <c r="A2383" t="s">
        <v>2122</v>
      </c>
      <c r="B2383" t="s">
        <v>65</v>
      </c>
      <c r="C2383" t="s">
        <v>2076</v>
      </c>
      <c r="D2383" t="s">
        <v>2077</v>
      </c>
      <c r="E2383" t="s">
        <v>2078</v>
      </c>
      <c r="F2383" t="s">
        <v>94</v>
      </c>
      <c r="G2383" t="s">
        <v>277</v>
      </c>
      <c r="H2383" s="12">
        <v>5.9264000000000001</v>
      </c>
      <c r="I2383" s="12">
        <v>-75.674199999999999</v>
      </c>
      <c r="J2383" t="s">
        <v>2079</v>
      </c>
      <c r="K2383" t="s">
        <v>97</v>
      </c>
      <c r="L2383" t="s">
        <v>1273</v>
      </c>
      <c r="M2383">
        <v>11</v>
      </c>
      <c r="P2383" s="13">
        <v>122</v>
      </c>
      <c r="Q2383" s="13">
        <v>29</v>
      </c>
      <c r="R2383">
        <v>22</v>
      </c>
      <c r="S2383">
        <v>32</v>
      </c>
      <c r="T2383" s="13">
        <v>14</v>
      </c>
      <c r="U2383" s="13">
        <v>27</v>
      </c>
      <c r="V2383" t="s">
        <v>99</v>
      </c>
      <c r="X2383" s="13">
        <v>122</v>
      </c>
    </row>
    <row r="2384" spans="1:24" x14ac:dyDescent="0.25">
      <c r="A2384" t="s">
        <v>2123</v>
      </c>
      <c r="B2384" t="s">
        <v>65</v>
      </c>
      <c r="C2384" t="s">
        <v>2076</v>
      </c>
      <c r="D2384" t="s">
        <v>2077</v>
      </c>
      <c r="E2384" t="s">
        <v>2078</v>
      </c>
      <c r="F2384" t="s">
        <v>94</v>
      </c>
      <c r="G2384" t="s">
        <v>277</v>
      </c>
      <c r="H2384" s="12">
        <v>5.9264000000000001</v>
      </c>
      <c r="I2384" s="12">
        <v>-75.674199999999999</v>
      </c>
      <c r="J2384" t="s">
        <v>2079</v>
      </c>
      <c r="K2384" t="s">
        <v>97</v>
      </c>
      <c r="L2384" t="s">
        <v>1273</v>
      </c>
      <c r="M2384">
        <v>11</v>
      </c>
      <c r="P2384" s="13">
        <v>122</v>
      </c>
      <c r="Q2384" s="13">
        <v>37</v>
      </c>
      <c r="R2384">
        <v>10</v>
      </c>
      <c r="S2384">
        <v>24</v>
      </c>
      <c r="T2384" s="13">
        <v>29</v>
      </c>
      <c r="U2384" s="13">
        <v>18</v>
      </c>
      <c r="V2384" t="s">
        <v>99</v>
      </c>
      <c r="X2384" s="13">
        <v>122</v>
      </c>
    </row>
    <row r="2385" spans="1:24" x14ac:dyDescent="0.25">
      <c r="A2385" t="s">
        <v>2124</v>
      </c>
      <c r="B2385" t="s">
        <v>65</v>
      </c>
      <c r="C2385" t="s">
        <v>2076</v>
      </c>
      <c r="D2385" t="s">
        <v>2077</v>
      </c>
      <c r="E2385" t="s">
        <v>2078</v>
      </c>
      <c r="F2385" t="s">
        <v>94</v>
      </c>
      <c r="G2385" t="s">
        <v>277</v>
      </c>
      <c r="H2385" s="12">
        <v>5.9264000000000001</v>
      </c>
      <c r="I2385" s="12">
        <v>-75.674199999999999</v>
      </c>
      <c r="J2385" t="s">
        <v>2079</v>
      </c>
      <c r="K2385" t="s">
        <v>97</v>
      </c>
      <c r="L2385" t="s">
        <v>1273</v>
      </c>
      <c r="M2385">
        <v>11</v>
      </c>
      <c r="P2385" s="13">
        <v>120</v>
      </c>
      <c r="Q2385" s="13">
        <v>20</v>
      </c>
      <c r="R2385">
        <v>20</v>
      </c>
      <c r="S2385">
        <v>22</v>
      </c>
      <c r="T2385" s="13">
        <v>29</v>
      </c>
      <c r="U2385" s="13">
        <v>40</v>
      </c>
      <c r="V2385" t="s">
        <v>99</v>
      </c>
      <c r="X2385" s="13">
        <v>120</v>
      </c>
    </row>
    <row r="2386" spans="1:24" x14ac:dyDescent="0.25">
      <c r="A2386" t="s">
        <v>2125</v>
      </c>
      <c r="B2386" t="s">
        <v>65</v>
      </c>
      <c r="C2386" t="s">
        <v>2126</v>
      </c>
      <c r="D2386" t="s">
        <v>2127</v>
      </c>
      <c r="E2386" t="s">
        <v>2128</v>
      </c>
      <c r="F2386" t="s">
        <v>94</v>
      </c>
      <c r="G2386" t="s">
        <v>277</v>
      </c>
      <c r="H2386" s="12">
        <v>6.5541999999999998</v>
      </c>
      <c r="I2386" s="12">
        <v>-74.786100000000005</v>
      </c>
      <c r="J2386" t="s">
        <v>2129</v>
      </c>
      <c r="K2386" t="s">
        <v>97</v>
      </c>
      <c r="L2386" t="s">
        <v>1273</v>
      </c>
      <c r="M2386">
        <v>11</v>
      </c>
      <c r="P2386" s="13">
        <v>310</v>
      </c>
      <c r="Q2386" s="13">
        <v>73</v>
      </c>
      <c r="R2386">
        <v>58</v>
      </c>
      <c r="S2386">
        <v>60</v>
      </c>
      <c r="T2386" s="13">
        <v>48</v>
      </c>
      <c r="U2386" s="13">
        <v>87</v>
      </c>
      <c r="V2386" t="s">
        <v>99</v>
      </c>
      <c r="X2386" s="13">
        <v>310</v>
      </c>
    </row>
    <row r="2387" spans="1:24" x14ac:dyDescent="0.25">
      <c r="A2387" t="s">
        <v>2130</v>
      </c>
      <c r="B2387" t="s">
        <v>65</v>
      </c>
      <c r="C2387" t="s">
        <v>2126</v>
      </c>
      <c r="D2387" t="s">
        <v>2127</v>
      </c>
      <c r="E2387" t="s">
        <v>2128</v>
      </c>
      <c r="F2387" t="s">
        <v>94</v>
      </c>
      <c r="G2387" t="s">
        <v>277</v>
      </c>
      <c r="H2387" s="12">
        <v>6.5541999999999998</v>
      </c>
      <c r="I2387" s="12">
        <v>-74.786100000000005</v>
      </c>
      <c r="J2387" t="s">
        <v>2129</v>
      </c>
      <c r="K2387" t="s">
        <v>97</v>
      </c>
      <c r="L2387" t="s">
        <v>1273</v>
      </c>
      <c r="M2387">
        <v>11</v>
      </c>
      <c r="P2387" s="13">
        <v>299</v>
      </c>
      <c r="Q2387" s="13">
        <v>66</v>
      </c>
      <c r="R2387">
        <v>56</v>
      </c>
      <c r="S2387">
        <v>60</v>
      </c>
      <c r="T2387" s="13">
        <v>52</v>
      </c>
      <c r="U2387" s="13">
        <v>76</v>
      </c>
      <c r="V2387" t="s">
        <v>99</v>
      </c>
      <c r="X2387" s="13">
        <v>299</v>
      </c>
    </row>
    <row r="2388" spans="1:24" x14ac:dyDescent="0.25">
      <c r="A2388" t="s">
        <v>2131</v>
      </c>
      <c r="B2388" t="s">
        <v>65</v>
      </c>
      <c r="C2388" t="s">
        <v>2126</v>
      </c>
      <c r="D2388" t="s">
        <v>2127</v>
      </c>
      <c r="E2388" t="s">
        <v>2128</v>
      </c>
      <c r="F2388" t="s">
        <v>94</v>
      </c>
      <c r="G2388" t="s">
        <v>277</v>
      </c>
      <c r="H2388" s="12">
        <v>6.5541999999999998</v>
      </c>
      <c r="I2388" s="12">
        <v>-74.786100000000005</v>
      </c>
      <c r="J2388" t="s">
        <v>2129</v>
      </c>
      <c r="K2388" t="s">
        <v>97</v>
      </c>
      <c r="L2388" t="s">
        <v>1273</v>
      </c>
      <c r="M2388">
        <v>11</v>
      </c>
      <c r="P2388" s="13">
        <v>268</v>
      </c>
      <c r="Q2388" s="13">
        <v>66</v>
      </c>
      <c r="R2388">
        <v>44</v>
      </c>
      <c r="S2388">
        <v>60</v>
      </c>
      <c r="T2388" s="13">
        <v>43</v>
      </c>
      <c r="U2388" s="13">
        <v>58</v>
      </c>
      <c r="V2388" t="s">
        <v>99</v>
      </c>
      <c r="X2388" s="13">
        <v>268</v>
      </c>
    </row>
    <row r="2389" spans="1:24" x14ac:dyDescent="0.25">
      <c r="A2389" t="s">
        <v>2132</v>
      </c>
      <c r="B2389" t="s">
        <v>65</v>
      </c>
      <c r="C2389" t="s">
        <v>2126</v>
      </c>
      <c r="D2389" t="s">
        <v>2127</v>
      </c>
      <c r="E2389" t="s">
        <v>2128</v>
      </c>
      <c r="F2389" t="s">
        <v>94</v>
      </c>
      <c r="G2389" t="s">
        <v>277</v>
      </c>
      <c r="H2389" s="12">
        <v>6.5541999999999998</v>
      </c>
      <c r="I2389" s="12">
        <v>-74.786100000000005</v>
      </c>
      <c r="J2389" t="s">
        <v>2129</v>
      </c>
      <c r="K2389" t="s">
        <v>97</v>
      </c>
      <c r="L2389" t="s">
        <v>1273</v>
      </c>
      <c r="M2389">
        <v>11</v>
      </c>
      <c r="P2389" s="13">
        <v>267</v>
      </c>
      <c r="Q2389" s="13">
        <v>66</v>
      </c>
      <c r="R2389">
        <v>36</v>
      </c>
      <c r="S2389">
        <v>58</v>
      </c>
      <c r="T2389" s="13">
        <v>50</v>
      </c>
      <c r="U2389" s="13">
        <v>64</v>
      </c>
      <c r="V2389" t="s">
        <v>99</v>
      </c>
      <c r="X2389" s="13">
        <v>267</v>
      </c>
    </row>
    <row r="2390" spans="1:24" x14ac:dyDescent="0.25">
      <c r="A2390" t="s">
        <v>2133</v>
      </c>
      <c r="B2390" t="s">
        <v>65</v>
      </c>
      <c r="C2390" t="s">
        <v>2126</v>
      </c>
      <c r="D2390" t="s">
        <v>2127</v>
      </c>
      <c r="E2390" t="s">
        <v>2128</v>
      </c>
      <c r="F2390" t="s">
        <v>94</v>
      </c>
      <c r="G2390" t="s">
        <v>277</v>
      </c>
      <c r="H2390" s="12">
        <v>6.5541999999999998</v>
      </c>
      <c r="I2390" s="12">
        <v>-74.786100000000005</v>
      </c>
      <c r="J2390" t="s">
        <v>2129</v>
      </c>
      <c r="K2390" t="s">
        <v>97</v>
      </c>
      <c r="L2390" t="s">
        <v>1273</v>
      </c>
      <c r="M2390">
        <v>11</v>
      </c>
      <c r="P2390" s="13">
        <v>266</v>
      </c>
      <c r="Q2390" s="13">
        <v>61</v>
      </c>
      <c r="R2390">
        <v>44</v>
      </c>
      <c r="S2390">
        <v>52</v>
      </c>
      <c r="T2390" s="13">
        <v>45</v>
      </c>
      <c r="U2390" s="13">
        <v>85</v>
      </c>
      <c r="V2390" t="s">
        <v>99</v>
      </c>
      <c r="X2390" s="13">
        <v>266</v>
      </c>
    </row>
    <row r="2391" spans="1:24" x14ac:dyDescent="0.25">
      <c r="A2391" t="s">
        <v>2134</v>
      </c>
      <c r="B2391" t="s">
        <v>65</v>
      </c>
      <c r="C2391" t="s">
        <v>2126</v>
      </c>
      <c r="D2391" t="s">
        <v>2127</v>
      </c>
      <c r="E2391" t="s">
        <v>2128</v>
      </c>
      <c r="F2391" t="s">
        <v>94</v>
      </c>
      <c r="G2391" t="s">
        <v>277</v>
      </c>
      <c r="H2391" s="12">
        <v>6.5541999999999998</v>
      </c>
      <c r="I2391" s="12">
        <v>-74.786100000000005</v>
      </c>
      <c r="J2391" t="s">
        <v>2129</v>
      </c>
      <c r="K2391" t="s">
        <v>97</v>
      </c>
      <c r="L2391" t="s">
        <v>1273</v>
      </c>
      <c r="M2391">
        <v>11</v>
      </c>
      <c r="P2391" s="13">
        <v>258</v>
      </c>
      <c r="Q2391" s="13">
        <v>56</v>
      </c>
      <c r="R2391">
        <v>48</v>
      </c>
      <c r="S2391">
        <v>56</v>
      </c>
      <c r="T2391" s="13">
        <v>41</v>
      </c>
      <c r="U2391" s="13">
        <v>67</v>
      </c>
      <c r="V2391" t="s">
        <v>99</v>
      </c>
      <c r="X2391" s="13">
        <v>258</v>
      </c>
    </row>
    <row r="2392" spans="1:24" x14ac:dyDescent="0.25">
      <c r="A2392" t="s">
        <v>2135</v>
      </c>
      <c r="B2392" t="s">
        <v>65</v>
      </c>
      <c r="C2392" t="s">
        <v>2126</v>
      </c>
      <c r="D2392" t="s">
        <v>2127</v>
      </c>
      <c r="E2392" t="s">
        <v>2128</v>
      </c>
      <c r="F2392" t="s">
        <v>94</v>
      </c>
      <c r="G2392" t="s">
        <v>277</v>
      </c>
      <c r="H2392" s="12">
        <v>6.5541999999999998</v>
      </c>
      <c r="I2392" s="12">
        <v>-74.786100000000005</v>
      </c>
      <c r="J2392" t="s">
        <v>2129</v>
      </c>
      <c r="K2392" t="s">
        <v>97</v>
      </c>
      <c r="L2392" t="s">
        <v>1273</v>
      </c>
      <c r="M2392">
        <v>11</v>
      </c>
      <c r="P2392" s="13">
        <v>257</v>
      </c>
      <c r="Q2392" s="13">
        <v>71</v>
      </c>
      <c r="R2392">
        <v>40</v>
      </c>
      <c r="S2392">
        <v>60</v>
      </c>
      <c r="T2392" s="13">
        <v>33</v>
      </c>
      <c r="U2392" s="13">
        <v>58</v>
      </c>
      <c r="V2392" t="s">
        <v>99</v>
      </c>
      <c r="X2392" s="13">
        <v>257</v>
      </c>
    </row>
    <row r="2393" spans="1:24" x14ac:dyDescent="0.25">
      <c r="A2393" t="s">
        <v>2136</v>
      </c>
      <c r="B2393" t="s">
        <v>65</v>
      </c>
      <c r="C2393" t="s">
        <v>2126</v>
      </c>
      <c r="D2393" t="s">
        <v>2127</v>
      </c>
      <c r="E2393" t="s">
        <v>2128</v>
      </c>
      <c r="F2393" t="s">
        <v>94</v>
      </c>
      <c r="G2393" t="s">
        <v>277</v>
      </c>
      <c r="H2393" s="12">
        <v>6.5541999999999998</v>
      </c>
      <c r="I2393" s="12">
        <v>-74.786100000000005</v>
      </c>
      <c r="J2393" t="s">
        <v>2129</v>
      </c>
      <c r="K2393" t="s">
        <v>97</v>
      </c>
      <c r="L2393" t="s">
        <v>1273</v>
      </c>
      <c r="M2393">
        <v>11</v>
      </c>
      <c r="P2393" s="13">
        <v>253</v>
      </c>
      <c r="Q2393" s="13">
        <v>59</v>
      </c>
      <c r="R2393">
        <v>38</v>
      </c>
      <c r="S2393">
        <v>76</v>
      </c>
      <c r="T2393" s="13">
        <v>33</v>
      </c>
      <c r="U2393" s="13">
        <v>42</v>
      </c>
      <c r="V2393" t="s">
        <v>99</v>
      </c>
      <c r="X2393" s="13">
        <v>253</v>
      </c>
    </row>
    <row r="2394" spans="1:24" x14ac:dyDescent="0.25">
      <c r="A2394" t="s">
        <v>2137</v>
      </c>
      <c r="B2394" t="s">
        <v>65</v>
      </c>
      <c r="C2394" t="s">
        <v>2126</v>
      </c>
      <c r="D2394" t="s">
        <v>2127</v>
      </c>
      <c r="E2394" t="s">
        <v>2128</v>
      </c>
      <c r="F2394" t="s">
        <v>94</v>
      </c>
      <c r="G2394" t="s">
        <v>277</v>
      </c>
      <c r="H2394" s="12">
        <v>6.5541999999999998</v>
      </c>
      <c r="I2394" s="12">
        <v>-74.786100000000005</v>
      </c>
      <c r="J2394" t="s">
        <v>2129</v>
      </c>
      <c r="K2394" t="s">
        <v>97</v>
      </c>
      <c r="L2394" t="s">
        <v>1273</v>
      </c>
      <c r="M2394">
        <v>11</v>
      </c>
      <c r="P2394" s="13">
        <v>253</v>
      </c>
      <c r="Q2394" s="13">
        <v>63</v>
      </c>
      <c r="R2394">
        <v>36</v>
      </c>
      <c r="S2394">
        <v>60</v>
      </c>
      <c r="T2394" s="13">
        <v>40</v>
      </c>
      <c r="U2394" s="13">
        <v>60</v>
      </c>
      <c r="V2394" t="s">
        <v>99</v>
      </c>
      <c r="X2394" s="13">
        <v>253</v>
      </c>
    </row>
    <row r="2395" spans="1:24" x14ac:dyDescent="0.25">
      <c r="A2395" t="s">
        <v>2138</v>
      </c>
      <c r="B2395" t="s">
        <v>65</v>
      </c>
      <c r="C2395" t="s">
        <v>2126</v>
      </c>
      <c r="D2395" t="s">
        <v>2127</v>
      </c>
      <c r="E2395" t="s">
        <v>2128</v>
      </c>
      <c r="F2395" t="s">
        <v>94</v>
      </c>
      <c r="G2395" t="s">
        <v>277</v>
      </c>
      <c r="H2395" s="12">
        <v>6.5541999999999998</v>
      </c>
      <c r="I2395" s="12">
        <v>-74.786100000000005</v>
      </c>
      <c r="J2395" t="s">
        <v>2129</v>
      </c>
      <c r="K2395" t="s">
        <v>97</v>
      </c>
      <c r="L2395" t="s">
        <v>1273</v>
      </c>
      <c r="M2395">
        <v>11</v>
      </c>
      <c r="P2395" s="13">
        <v>253</v>
      </c>
      <c r="Q2395" s="13">
        <v>63</v>
      </c>
      <c r="R2395">
        <v>34</v>
      </c>
      <c r="S2395">
        <v>64</v>
      </c>
      <c r="T2395" s="13">
        <v>36</v>
      </c>
      <c r="U2395" s="13">
        <v>64</v>
      </c>
      <c r="V2395" t="s">
        <v>99</v>
      </c>
      <c r="X2395" s="13">
        <v>253</v>
      </c>
    </row>
    <row r="2396" spans="1:24" x14ac:dyDescent="0.25">
      <c r="A2396" t="s">
        <v>2139</v>
      </c>
      <c r="B2396" t="s">
        <v>65</v>
      </c>
      <c r="C2396" t="s">
        <v>2126</v>
      </c>
      <c r="D2396" t="s">
        <v>2127</v>
      </c>
      <c r="E2396" t="s">
        <v>2128</v>
      </c>
      <c r="F2396" t="s">
        <v>94</v>
      </c>
      <c r="G2396" t="s">
        <v>277</v>
      </c>
      <c r="H2396" s="12">
        <v>6.5541999999999998</v>
      </c>
      <c r="I2396" s="12">
        <v>-74.786100000000005</v>
      </c>
      <c r="J2396" t="s">
        <v>2129</v>
      </c>
      <c r="K2396" t="s">
        <v>97</v>
      </c>
      <c r="L2396" t="s">
        <v>1273</v>
      </c>
      <c r="M2396">
        <v>11</v>
      </c>
      <c r="P2396" s="13">
        <v>250</v>
      </c>
      <c r="Q2396" s="13">
        <v>59</v>
      </c>
      <c r="R2396">
        <v>32</v>
      </c>
      <c r="S2396">
        <v>60</v>
      </c>
      <c r="T2396" s="13">
        <v>43</v>
      </c>
      <c r="U2396" s="13">
        <v>69</v>
      </c>
      <c r="V2396" t="s">
        <v>99</v>
      </c>
      <c r="X2396" s="13">
        <v>250</v>
      </c>
    </row>
    <row r="2397" spans="1:24" x14ac:dyDescent="0.25">
      <c r="A2397" t="s">
        <v>2140</v>
      </c>
      <c r="B2397" t="s">
        <v>65</v>
      </c>
      <c r="C2397" t="s">
        <v>2126</v>
      </c>
      <c r="D2397" t="s">
        <v>2127</v>
      </c>
      <c r="E2397" t="s">
        <v>2128</v>
      </c>
      <c r="F2397" t="s">
        <v>94</v>
      </c>
      <c r="G2397" t="s">
        <v>277</v>
      </c>
      <c r="H2397" s="12">
        <v>6.5541999999999998</v>
      </c>
      <c r="I2397" s="12">
        <v>-74.786100000000005</v>
      </c>
      <c r="J2397" t="s">
        <v>2129</v>
      </c>
      <c r="K2397" t="s">
        <v>97</v>
      </c>
      <c r="L2397" t="s">
        <v>1273</v>
      </c>
      <c r="M2397">
        <v>11</v>
      </c>
      <c r="P2397" s="13">
        <v>247</v>
      </c>
      <c r="Q2397" s="13">
        <v>54</v>
      </c>
      <c r="R2397">
        <v>36</v>
      </c>
      <c r="S2397">
        <v>64</v>
      </c>
      <c r="T2397" s="13">
        <v>43</v>
      </c>
      <c r="U2397" s="13">
        <v>53</v>
      </c>
      <c r="V2397" t="s">
        <v>99</v>
      </c>
      <c r="X2397" s="13">
        <v>247</v>
      </c>
    </row>
    <row r="2398" spans="1:24" x14ac:dyDescent="0.25">
      <c r="A2398" t="s">
        <v>2141</v>
      </c>
      <c r="B2398" t="s">
        <v>65</v>
      </c>
      <c r="C2398" t="s">
        <v>2126</v>
      </c>
      <c r="D2398" t="s">
        <v>2127</v>
      </c>
      <c r="E2398" t="s">
        <v>2128</v>
      </c>
      <c r="F2398" t="s">
        <v>94</v>
      </c>
      <c r="G2398" t="s">
        <v>277</v>
      </c>
      <c r="H2398" s="12">
        <v>6.5541999999999998</v>
      </c>
      <c r="I2398" s="12">
        <v>-74.786100000000005</v>
      </c>
      <c r="J2398" t="s">
        <v>2129</v>
      </c>
      <c r="K2398" t="s">
        <v>97</v>
      </c>
      <c r="L2398" t="s">
        <v>1273</v>
      </c>
      <c r="M2398">
        <v>11</v>
      </c>
      <c r="P2398" s="13">
        <v>245</v>
      </c>
      <c r="Q2398" s="13">
        <v>66</v>
      </c>
      <c r="R2398">
        <v>38</v>
      </c>
      <c r="S2398">
        <v>56</v>
      </c>
      <c r="T2398" s="13">
        <v>36</v>
      </c>
      <c r="U2398" s="13">
        <v>49</v>
      </c>
      <c r="V2398" t="s">
        <v>99</v>
      </c>
      <c r="X2398" s="13">
        <v>245</v>
      </c>
    </row>
    <row r="2399" spans="1:24" x14ac:dyDescent="0.25">
      <c r="A2399" t="s">
        <v>2142</v>
      </c>
      <c r="B2399" t="s">
        <v>65</v>
      </c>
      <c r="C2399" t="s">
        <v>2126</v>
      </c>
      <c r="D2399" t="s">
        <v>2127</v>
      </c>
      <c r="E2399" t="s">
        <v>2128</v>
      </c>
      <c r="F2399" t="s">
        <v>94</v>
      </c>
      <c r="G2399" t="s">
        <v>277</v>
      </c>
      <c r="H2399" s="12">
        <v>6.5541999999999998</v>
      </c>
      <c r="I2399" s="12">
        <v>-74.786100000000005</v>
      </c>
      <c r="J2399" t="s">
        <v>2129</v>
      </c>
      <c r="K2399" t="s">
        <v>97</v>
      </c>
      <c r="L2399" t="s">
        <v>1273</v>
      </c>
      <c r="M2399">
        <v>11</v>
      </c>
      <c r="P2399" s="13">
        <v>245</v>
      </c>
      <c r="Q2399" s="13">
        <v>61</v>
      </c>
      <c r="R2399">
        <v>30</v>
      </c>
      <c r="S2399">
        <v>70</v>
      </c>
      <c r="T2399" s="13">
        <v>31</v>
      </c>
      <c r="U2399" s="13">
        <v>60</v>
      </c>
      <c r="V2399" t="s">
        <v>99</v>
      </c>
      <c r="X2399" s="13">
        <v>245</v>
      </c>
    </row>
    <row r="2400" spans="1:24" x14ac:dyDescent="0.25">
      <c r="A2400" t="s">
        <v>2143</v>
      </c>
      <c r="B2400" t="s">
        <v>65</v>
      </c>
      <c r="C2400" t="s">
        <v>2126</v>
      </c>
      <c r="D2400" t="s">
        <v>2127</v>
      </c>
      <c r="E2400" t="s">
        <v>2128</v>
      </c>
      <c r="F2400" t="s">
        <v>94</v>
      </c>
      <c r="G2400" t="s">
        <v>277</v>
      </c>
      <c r="H2400" s="12">
        <v>6.5541999999999998</v>
      </c>
      <c r="I2400" s="12">
        <v>-74.786100000000005</v>
      </c>
      <c r="J2400" t="s">
        <v>2129</v>
      </c>
      <c r="K2400" t="s">
        <v>97</v>
      </c>
      <c r="L2400" t="s">
        <v>1273</v>
      </c>
      <c r="M2400">
        <v>11</v>
      </c>
      <c r="P2400" s="13">
        <v>244</v>
      </c>
      <c r="Q2400" s="13">
        <v>59</v>
      </c>
      <c r="R2400">
        <v>36</v>
      </c>
      <c r="S2400">
        <v>58</v>
      </c>
      <c r="T2400" s="13">
        <v>40</v>
      </c>
      <c r="U2400" s="13">
        <v>58</v>
      </c>
      <c r="V2400" t="s">
        <v>99</v>
      </c>
      <c r="X2400" s="13">
        <v>244</v>
      </c>
    </row>
    <row r="2401" spans="1:24" x14ac:dyDescent="0.25">
      <c r="A2401" t="s">
        <v>2144</v>
      </c>
      <c r="B2401" t="s">
        <v>65</v>
      </c>
      <c r="C2401" t="s">
        <v>2126</v>
      </c>
      <c r="D2401" t="s">
        <v>2127</v>
      </c>
      <c r="E2401" t="s">
        <v>2128</v>
      </c>
      <c r="F2401" t="s">
        <v>94</v>
      </c>
      <c r="G2401" t="s">
        <v>277</v>
      </c>
      <c r="H2401" s="12">
        <v>6.5541999999999998</v>
      </c>
      <c r="I2401" s="12">
        <v>-74.786100000000005</v>
      </c>
      <c r="J2401" t="s">
        <v>2129</v>
      </c>
      <c r="K2401" t="s">
        <v>97</v>
      </c>
      <c r="L2401" t="s">
        <v>1273</v>
      </c>
      <c r="M2401">
        <v>11</v>
      </c>
      <c r="P2401" s="13">
        <v>244</v>
      </c>
      <c r="Q2401" s="13">
        <v>66</v>
      </c>
      <c r="R2401">
        <v>34</v>
      </c>
      <c r="S2401">
        <v>48</v>
      </c>
      <c r="T2401" s="13">
        <v>40</v>
      </c>
      <c r="U2401" s="13">
        <v>71</v>
      </c>
      <c r="V2401" t="s">
        <v>99</v>
      </c>
      <c r="X2401" s="13">
        <v>244</v>
      </c>
    </row>
    <row r="2402" spans="1:24" x14ac:dyDescent="0.25">
      <c r="A2402" t="s">
        <v>2145</v>
      </c>
      <c r="B2402" t="s">
        <v>65</v>
      </c>
      <c r="C2402" t="s">
        <v>2126</v>
      </c>
      <c r="D2402" t="s">
        <v>2127</v>
      </c>
      <c r="E2402" t="s">
        <v>2128</v>
      </c>
      <c r="F2402" t="s">
        <v>94</v>
      </c>
      <c r="G2402" t="s">
        <v>277</v>
      </c>
      <c r="H2402" s="12">
        <v>6.5541999999999998</v>
      </c>
      <c r="I2402" s="12">
        <v>-74.786100000000005</v>
      </c>
      <c r="J2402" t="s">
        <v>2129</v>
      </c>
      <c r="K2402" t="s">
        <v>97</v>
      </c>
      <c r="L2402" t="s">
        <v>1273</v>
      </c>
      <c r="M2402">
        <v>11</v>
      </c>
      <c r="P2402" s="13">
        <v>242</v>
      </c>
      <c r="Q2402" s="13">
        <v>59</v>
      </c>
      <c r="R2402">
        <v>28</v>
      </c>
      <c r="S2402">
        <v>64</v>
      </c>
      <c r="T2402" s="13">
        <v>41</v>
      </c>
      <c r="U2402" s="13">
        <v>55</v>
      </c>
      <c r="V2402" t="s">
        <v>99</v>
      </c>
      <c r="X2402" s="13">
        <v>242</v>
      </c>
    </row>
    <row r="2403" spans="1:24" x14ac:dyDescent="0.25">
      <c r="A2403" t="s">
        <v>2146</v>
      </c>
      <c r="B2403" t="s">
        <v>65</v>
      </c>
      <c r="C2403" t="s">
        <v>2126</v>
      </c>
      <c r="D2403" t="s">
        <v>2127</v>
      </c>
      <c r="E2403" t="s">
        <v>2128</v>
      </c>
      <c r="F2403" t="s">
        <v>94</v>
      </c>
      <c r="G2403" t="s">
        <v>277</v>
      </c>
      <c r="H2403" s="12">
        <v>6.5541999999999998</v>
      </c>
      <c r="I2403" s="12">
        <v>-74.786100000000005</v>
      </c>
      <c r="J2403" t="s">
        <v>2129</v>
      </c>
      <c r="K2403" t="s">
        <v>97</v>
      </c>
      <c r="L2403" t="s">
        <v>1273</v>
      </c>
      <c r="M2403">
        <v>11</v>
      </c>
      <c r="P2403" s="13">
        <v>237</v>
      </c>
      <c r="Q2403" s="13">
        <v>66</v>
      </c>
      <c r="R2403">
        <v>22</v>
      </c>
      <c r="S2403">
        <v>48</v>
      </c>
      <c r="T2403" s="13">
        <v>57</v>
      </c>
      <c r="U2403" s="13">
        <v>38</v>
      </c>
      <c r="V2403" t="s">
        <v>99</v>
      </c>
      <c r="X2403" s="13">
        <v>237</v>
      </c>
    </row>
    <row r="2404" spans="1:24" x14ac:dyDescent="0.25">
      <c r="A2404" t="s">
        <v>2147</v>
      </c>
      <c r="B2404" t="s">
        <v>65</v>
      </c>
      <c r="C2404" t="s">
        <v>2126</v>
      </c>
      <c r="D2404" t="s">
        <v>2127</v>
      </c>
      <c r="E2404" t="s">
        <v>2128</v>
      </c>
      <c r="F2404" t="s">
        <v>94</v>
      </c>
      <c r="G2404" t="s">
        <v>277</v>
      </c>
      <c r="H2404" s="12">
        <v>6.5541999999999998</v>
      </c>
      <c r="I2404" s="12">
        <v>-74.786100000000005</v>
      </c>
      <c r="J2404" t="s">
        <v>2129</v>
      </c>
      <c r="K2404" t="s">
        <v>97</v>
      </c>
      <c r="L2404" t="s">
        <v>1273</v>
      </c>
      <c r="M2404">
        <v>11</v>
      </c>
      <c r="P2404" s="13">
        <v>235</v>
      </c>
      <c r="Q2404" s="13">
        <v>49</v>
      </c>
      <c r="R2404">
        <v>32</v>
      </c>
      <c r="S2404">
        <v>64</v>
      </c>
      <c r="T2404" s="13">
        <v>48</v>
      </c>
      <c r="U2404" s="13">
        <v>31</v>
      </c>
      <c r="V2404" t="s">
        <v>99</v>
      </c>
      <c r="X2404" s="13">
        <v>235</v>
      </c>
    </row>
    <row r="2405" spans="1:24" x14ac:dyDescent="0.25">
      <c r="A2405" t="s">
        <v>2148</v>
      </c>
      <c r="B2405" t="s">
        <v>65</v>
      </c>
      <c r="C2405" t="s">
        <v>2126</v>
      </c>
      <c r="D2405" t="s">
        <v>2127</v>
      </c>
      <c r="E2405" t="s">
        <v>2128</v>
      </c>
      <c r="F2405" t="s">
        <v>94</v>
      </c>
      <c r="G2405" t="s">
        <v>277</v>
      </c>
      <c r="H2405" s="12">
        <v>6.5541999999999998</v>
      </c>
      <c r="I2405" s="12">
        <v>-74.786100000000005</v>
      </c>
      <c r="J2405" t="s">
        <v>2129</v>
      </c>
      <c r="K2405" t="s">
        <v>97</v>
      </c>
      <c r="L2405" t="s">
        <v>1273</v>
      </c>
      <c r="M2405">
        <v>11</v>
      </c>
      <c r="P2405" s="13">
        <v>232</v>
      </c>
      <c r="Q2405" s="13">
        <v>44</v>
      </c>
      <c r="R2405">
        <v>34</v>
      </c>
      <c r="S2405">
        <v>54</v>
      </c>
      <c r="T2405" s="13">
        <v>52</v>
      </c>
      <c r="U2405" s="13">
        <v>53</v>
      </c>
      <c r="V2405" t="s">
        <v>99</v>
      </c>
      <c r="X2405" s="13">
        <v>232</v>
      </c>
    </row>
    <row r="2406" spans="1:24" x14ac:dyDescent="0.25">
      <c r="A2406" t="s">
        <v>2149</v>
      </c>
      <c r="B2406" t="s">
        <v>65</v>
      </c>
      <c r="C2406" t="s">
        <v>2126</v>
      </c>
      <c r="D2406" t="s">
        <v>2127</v>
      </c>
      <c r="E2406" t="s">
        <v>2128</v>
      </c>
      <c r="F2406" t="s">
        <v>94</v>
      </c>
      <c r="G2406" t="s">
        <v>277</v>
      </c>
      <c r="H2406" s="12">
        <v>6.5541999999999998</v>
      </c>
      <c r="I2406" s="12">
        <v>-74.786100000000005</v>
      </c>
      <c r="J2406" t="s">
        <v>2129</v>
      </c>
      <c r="K2406" t="s">
        <v>97</v>
      </c>
      <c r="L2406" t="s">
        <v>1273</v>
      </c>
      <c r="M2406">
        <v>11</v>
      </c>
      <c r="P2406" s="13">
        <v>231</v>
      </c>
      <c r="Q2406" s="13">
        <v>59</v>
      </c>
      <c r="R2406">
        <v>30</v>
      </c>
      <c r="S2406">
        <v>58</v>
      </c>
      <c r="T2406" s="13">
        <v>33</v>
      </c>
      <c r="U2406" s="13">
        <v>64</v>
      </c>
      <c r="V2406" t="s">
        <v>99</v>
      </c>
      <c r="X2406" s="13">
        <v>231</v>
      </c>
    </row>
    <row r="2407" spans="1:24" x14ac:dyDescent="0.25">
      <c r="A2407" t="s">
        <v>2150</v>
      </c>
      <c r="B2407" t="s">
        <v>65</v>
      </c>
      <c r="C2407" t="s">
        <v>2126</v>
      </c>
      <c r="D2407" t="s">
        <v>2127</v>
      </c>
      <c r="E2407" t="s">
        <v>2128</v>
      </c>
      <c r="F2407" t="s">
        <v>94</v>
      </c>
      <c r="G2407" t="s">
        <v>277</v>
      </c>
      <c r="H2407" s="12">
        <v>6.5541999999999998</v>
      </c>
      <c r="I2407" s="12">
        <v>-74.786100000000005</v>
      </c>
      <c r="J2407" t="s">
        <v>2129</v>
      </c>
      <c r="K2407" t="s">
        <v>97</v>
      </c>
      <c r="L2407" t="s">
        <v>1273</v>
      </c>
      <c r="M2407">
        <v>11</v>
      </c>
      <c r="P2407" s="13">
        <v>229</v>
      </c>
      <c r="Q2407" s="13">
        <v>59</v>
      </c>
      <c r="R2407">
        <v>36</v>
      </c>
      <c r="S2407">
        <v>60</v>
      </c>
      <c r="T2407" s="13">
        <v>33</v>
      </c>
      <c r="U2407" s="13">
        <v>33</v>
      </c>
      <c r="V2407" t="s">
        <v>99</v>
      </c>
      <c r="X2407" s="13">
        <v>229</v>
      </c>
    </row>
    <row r="2408" spans="1:24" x14ac:dyDescent="0.25">
      <c r="A2408" t="s">
        <v>2151</v>
      </c>
      <c r="B2408" t="s">
        <v>65</v>
      </c>
      <c r="C2408" t="s">
        <v>2126</v>
      </c>
      <c r="D2408" t="s">
        <v>2127</v>
      </c>
      <c r="E2408" t="s">
        <v>2128</v>
      </c>
      <c r="F2408" t="s">
        <v>94</v>
      </c>
      <c r="G2408" t="s">
        <v>277</v>
      </c>
      <c r="H2408" s="12">
        <v>6.5541999999999998</v>
      </c>
      <c r="I2408" s="12">
        <v>-74.786100000000005</v>
      </c>
      <c r="J2408" t="s">
        <v>2129</v>
      </c>
      <c r="K2408" t="s">
        <v>97</v>
      </c>
      <c r="L2408" t="s">
        <v>1273</v>
      </c>
      <c r="M2408">
        <v>11</v>
      </c>
      <c r="P2408" s="13">
        <v>228</v>
      </c>
      <c r="Q2408" s="13">
        <v>37</v>
      </c>
      <c r="R2408">
        <v>38</v>
      </c>
      <c r="S2408">
        <v>58</v>
      </c>
      <c r="T2408" s="13">
        <v>50</v>
      </c>
      <c r="U2408" s="13">
        <v>45</v>
      </c>
      <c r="V2408" t="s">
        <v>99</v>
      </c>
      <c r="X2408" s="13">
        <v>228</v>
      </c>
    </row>
    <row r="2409" spans="1:24" x14ac:dyDescent="0.25">
      <c r="A2409" t="s">
        <v>2152</v>
      </c>
      <c r="B2409" t="s">
        <v>65</v>
      </c>
      <c r="C2409" t="s">
        <v>2126</v>
      </c>
      <c r="D2409" t="s">
        <v>2127</v>
      </c>
      <c r="E2409" t="s">
        <v>2128</v>
      </c>
      <c r="F2409" t="s">
        <v>94</v>
      </c>
      <c r="G2409" t="s">
        <v>277</v>
      </c>
      <c r="H2409" s="12">
        <v>6.5541999999999998</v>
      </c>
      <c r="I2409" s="12">
        <v>-74.786100000000005</v>
      </c>
      <c r="J2409" t="s">
        <v>2129</v>
      </c>
      <c r="K2409" t="s">
        <v>97</v>
      </c>
      <c r="L2409" t="s">
        <v>1273</v>
      </c>
      <c r="M2409">
        <v>11</v>
      </c>
      <c r="P2409" s="13">
        <v>226</v>
      </c>
      <c r="Q2409" s="13">
        <v>54</v>
      </c>
      <c r="R2409">
        <v>42</v>
      </c>
      <c r="S2409">
        <v>48</v>
      </c>
      <c r="T2409" s="13">
        <v>34</v>
      </c>
      <c r="U2409" s="13">
        <v>53</v>
      </c>
      <c r="V2409" t="s">
        <v>99</v>
      </c>
      <c r="X2409" s="13">
        <v>226</v>
      </c>
    </row>
    <row r="2410" spans="1:24" x14ac:dyDescent="0.25">
      <c r="A2410" t="s">
        <v>2153</v>
      </c>
      <c r="B2410" t="s">
        <v>65</v>
      </c>
      <c r="C2410" t="s">
        <v>2126</v>
      </c>
      <c r="D2410" t="s">
        <v>2127</v>
      </c>
      <c r="E2410" t="s">
        <v>2128</v>
      </c>
      <c r="F2410" t="s">
        <v>94</v>
      </c>
      <c r="G2410" t="s">
        <v>277</v>
      </c>
      <c r="H2410" s="12">
        <v>6.5541999999999998</v>
      </c>
      <c r="I2410" s="12">
        <v>-74.786100000000005</v>
      </c>
      <c r="J2410" t="s">
        <v>2129</v>
      </c>
      <c r="K2410" t="s">
        <v>97</v>
      </c>
      <c r="L2410" t="s">
        <v>1273</v>
      </c>
      <c r="M2410">
        <v>11</v>
      </c>
      <c r="P2410" s="13">
        <v>218</v>
      </c>
      <c r="Q2410" s="13">
        <v>46</v>
      </c>
      <c r="R2410">
        <v>30</v>
      </c>
      <c r="S2410">
        <v>62</v>
      </c>
      <c r="T2410" s="13">
        <v>34</v>
      </c>
      <c r="U2410" s="13">
        <v>49</v>
      </c>
      <c r="V2410" t="s">
        <v>99</v>
      </c>
      <c r="X2410" s="13">
        <v>218</v>
      </c>
    </row>
    <row r="2411" spans="1:24" x14ac:dyDescent="0.25">
      <c r="A2411" t="s">
        <v>2154</v>
      </c>
      <c r="B2411" t="s">
        <v>65</v>
      </c>
      <c r="C2411" t="s">
        <v>2126</v>
      </c>
      <c r="D2411" t="s">
        <v>2127</v>
      </c>
      <c r="E2411" t="s">
        <v>2128</v>
      </c>
      <c r="F2411" t="s">
        <v>94</v>
      </c>
      <c r="G2411" t="s">
        <v>277</v>
      </c>
      <c r="H2411" s="12">
        <v>6.5541999999999998</v>
      </c>
      <c r="I2411" s="12">
        <v>-74.786100000000005</v>
      </c>
      <c r="J2411" t="s">
        <v>2129</v>
      </c>
      <c r="K2411" t="s">
        <v>97</v>
      </c>
      <c r="L2411" t="s">
        <v>1273</v>
      </c>
      <c r="M2411">
        <v>11</v>
      </c>
      <c r="P2411" s="13">
        <v>217</v>
      </c>
      <c r="Q2411" s="13">
        <v>49</v>
      </c>
      <c r="R2411">
        <v>30</v>
      </c>
      <c r="S2411">
        <v>52</v>
      </c>
      <c r="T2411" s="13">
        <v>45</v>
      </c>
      <c r="U2411" s="13">
        <v>38</v>
      </c>
      <c r="V2411" t="s">
        <v>99</v>
      </c>
      <c r="X2411" s="13">
        <v>217</v>
      </c>
    </row>
    <row r="2412" spans="1:24" x14ac:dyDescent="0.25">
      <c r="A2412" t="s">
        <v>2155</v>
      </c>
      <c r="B2412" t="s">
        <v>65</v>
      </c>
      <c r="C2412" t="s">
        <v>2126</v>
      </c>
      <c r="D2412" t="s">
        <v>2127</v>
      </c>
      <c r="E2412" t="s">
        <v>2128</v>
      </c>
      <c r="F2412" t="s">
        <v>94</v>
      </c>
      <c r="G2412" t="s">
        <v>277</v>
      </c>
      <c r="H2412" s="12">
        <v>6.5541999999999998</v>
      </c>
      <c r="I2412" s="12">
        <v>-74.786100000000005</v>
      </c>
      <c r="J2412" t="s">
        <v>2129</v>
      </c>
      <c r="K2412" t="s">
        <v>97</v>
      </c>
      <c r="L2412" t="s">
        <v>1273</v>
      </c>
      <c r="M2412">
        <v>11</v>
      </c>
      <c r="P2412" s="13">
        <v>217</v>
      </c>
      <c r="Q2412" s="13">
        <v>61</v>
      </c>
      <c r="R2412">
        <v>26</v>
      </c>
      <c r="S2412">
        <v>56</v>
      </c>
      <c r="T2412" s="13">
        <v>29</v>
      </c>
      <c r="U2412" s="13">
        <v>47</v>
      </c>
      <c r="V2412" t="s">
        <v>99</v>
      </c>
      <c r="X2412" s="13">
        <v>217</v>
      </c>
    </row>
    <row r="2413" spans="1:24" x14ac:dyDescent="0.25">
      <c r="A2413" t="s">
        <v>2156</v>
      </c>
      <c r="B2413" t="s">
        <v>65</v>
      </c>
      <c r="C2413" t="s">
        <v>2126</v>
      </c>
      <c r="D2413" t="s">
        <v>2127</v>
      </c>
      <c r="E2413" t="s">
        <v>2128</v>
      </c>
      <c r="F2413" t="s">
        <v>94</v>
      </c>
      <c r="G2413" t="s">
        <v>277</v>
      </c>
      <c r="H2413" s="12">
        <v>6.5541999999999998</v>
      </c>
      <c r="I2413" s="12">
        <v>-74.786100000000005</v>
      </c>
      <c r="J2413" t="s">
        <v>2129</v>
      </c>
      <c r="K2413" t="s">
        <v>97</v>
      </c>
      <c r="L2413" t="s">
        <v>1273</v>
      </c>
      <c r="M2413">
        <v>11</v>
      </c>
      <c r="P2413" s="13">
        <v>214</v>
      </c>
      <c r="Q2413" s="13">
        <v>46</v>
      </c>
      <c r="R2413">
        <v>32</v>
      </c>
      <c r="S2413">
        <v>54</v>
      </c>
      <c r="T2413" s="13">
        <v>41</v>
      </c>
      <c r="U2413" s="13">
        <v>35</v>
      </c>
      <c r="V2413" t="s">
        <v>99</v>
      </c>
      <c r="X2413" s="13">
        <v>214</v>
      </c>
    </row>
    <row r="2414" spans="1:24" x14ac:dyDescent="0.25">
      <c r="A2414" t="s">
        <v>2157</v>
      </c>
      <c r="B2414" t="s">
        <v>65</v>
      </c>
      <c r="C2414" t="s">
        <v>2126</v>
      </c>
      <c r="D2414" t="s">
        <v>2127</v>
      </c>
      <c r="E2414" t="s">
        <v>2128</v>
      </c>
      <c r="F2414" t="s">
        <v>94</v>
      </c>
      <c r="G2414" t="s">
        <v>277</v>
      </c>
      <c r="H2414" s="12">
        <v>6.5541999999999998</v>
      </c>
      <c r="I2414" s="12">
        <v>-74.786100000000005</v>
      </c>
      <c r="J2414" t="s">
        <v>2129</v>
      </c>
      <c r="K2414" t="s">
        <v>97</v>
      </c>
      <c r="L2414" t="s">
        <v>1273</v>
      </c>
      <c r="M2414">
        <v>11</v>
      </c>
      <c r="P2414" s="13">
        <v>201</v>
      </c>
      <c r="Q2414" s="13">
        <v>59</v>
      </c>
      <c r="R2414">
        <v>22</v>
      </c>
      <c r="S2414">
        <v>46</v>
      </c>
      <c r="T2414" s="13">
        <v>36</v>
      </c>
      <c r="U2414" s="13">
        <v>35</v>
      </c>
      <c r="V2414" t="s">
        <v>99</v>
      </c>
      <c r="X2414" s="13">
        <v>201</v>
      </c>
    </row>
    <row r="2415" spans="1:24" x14ac:dyDescent="0.25">
      <c r="A2415" t="s">
        <v>2158</v>
      </c>
      <c r="B2415" t="s">
        <v>65</v>
      </c>
      <c r="C2415" t="s">
        <v>2126</v>
      </c>
      <c r="D2415" t="s">
        <v>2127</v>
      </c>
      <c r="E2415" t="s">
        <v>2128</v>
      </c>
      <c r="F2415" t="s">
        <v>94</v>
      </c>
      <c r="G2415" t="s">
        <v>277</v>
      </c>
      <c r="H2415" s="12">
        <v>6.5541999999999998</v>
      </c>
      <c r="I2415" s="12">
        <v>-74.786100000000005</v>
      </c>
      <c r="J2415" t="s">
        <v>2129</v>
      </c>
      <c r="K2415" t="s">
        <v>97</v>
      </c>
      <c r="L2415" t="s">
        <v>1273</v>
      </c>
      <c r="M2415">
        <v>11</v>
      </c>
      <c r="P2415" s="13">
        <v>199</v>
      </c>
      <c r="Q2415" s="13">
        <v>59</v>
      </c>
      <c r="R2415">
        <v>26</v>
      </c>
      <c r="S2415">
        <v>40</v>
      </c>
      <c r="T2415" s="13">
        <v>36</v>
      </c>
      <c r="U2415" s="13">
        <v>35</v>
      </c>
      <c r="V2415" t="s">
        <v>99</v>
      </c>
      <c r="X2415" s="13">
        <v>199</v>
      </c>
    </row>
    <row r="2416" spans="1:24" x14ac:dyDescent="0.25">
      <c r="A2416" t="s">
        <v>2159</v>
      </c>
      <c r="B2416" t="s">
        <v>65</v>
      </c>
      <c r="C2416" t="s">
        <v>2126</v>
      </c>
      <c r="D2416" t="s">
        <v>2127</v>
      </c>
      <c r="E2416" t="s">
        <v>2128</v>
      </c>
      <c r="F2416" t="s">
        <v>94</v>
      </c>
      <c r="G2416" t="s">
        <v>277</v>
      </c>
      <c r="H2416" s="12">
        <v>6.5541999999999998</v>
      </c>
      <c r="I2416" s="12">
        <v>-74.786100000000005</v>
      </c>
      <c r="J2416" t="s">
        <v>2129</v>
      </c>
      <c r="K2416" t="s">
        <v>97</v>
      </c>
      <c r="L2416" t="s">
        <v>1273</v>
      </c>
      <c r="M2416">
        <v>11</v>
      </c>
      <c r="P2416" s="13">
        <v>199</v>
      </c>
      <c r="Q2416" s="13">
        <v>44</v>
      </c>
      <c r="R2416">
        <v>30</v>
      </c>
      <c r="S2416">
        <v>58</v>
      </c>
      <c r="T2416" s="13">
        <v>29</v>
      </c>
      <c r="U2416" s="13">
        <v>33</v>
      </c>
      <c r="V2416" t="s">
        <v>99</v>
      </c>
      <c r="X2416" s="13">
        <v>199</v>
      </c>
    </row>
    <row r="2417" spans="1:24" x14ac:dyDescent="0.25">
      <c r="A2417" t="s">
        <v>2160</v>
      </c>
      <c r="B2417" t="s">
        <v>65</v>
      </c>
      <c r="C2417" t="s">
        <v>2126</v>
      </c>
      <c r="D2417" t="s">
        <v>2127</v>
      </c>
      <c r="E2417" t="s">
        <v>2128</v>
      </c>
      <c r="F2417" t="s">
        <v>94</v>
      </c>
      <c r="G2417" t="s">
        <v>277</v>
      </c>
      <c r="H2417" s="12">
        <v>6.5541999999999998</v>
      </c>
      <c r="I2417" s="12">
        <v>-74.786100000000005</v>
      </c>
      <c r="J2417" t="s">
        <v>2129</v>
      </c>
      <c r="K2417" t="s">
        <v>97</v>
      </c>
      <c r="L2417" t="s">
        <v>1273</v>
      </c>
      <c r="M2417">
        <v>11</v>
      </c>
      <c r="P2417" s="13">
        <v>194</v>
      </c>
      <c r="Q2417" s="13">
        <v>46</v>
      </c>
      <c r="R2417">
        <v>38</v>
      </c>
      <c r="S2417">
        <v>42</v>
      </c>
      <c r="T2417" s="13">
        <v>29</v>
      </c>
      <c r="U2417" s="13">
        <v>38</v>
      </c>
      <c r="V2417" t="s">
        <v>99</v>
      </c>
      <c r="X2417" s="13">
        <v>194</v>
      </c>
    </row>
    <row r="2418" spans="1:24" x14ac:dyDescent="0.25">
      <c r="A2418" t="s">
        <v>2161</v>
      </c>
      <c r="B2418" t="s">
        <v>65</v>
      </c>
      <c r="C2418" t="s">
        <v>2126</v>
      </c>
      <c r="D2418" t="s">
        <v>2127</v>
      </c>
      <c r="E2418" t="s">
        <v>2128</v>
      </c>
      <c r="F2418" t="s">
        <v>94</v>
      </c>
      <c r="G2418" t="s">
        <v>277</v>
      </c>
      <c r="H2418" s="12">
        <v>6.5541999999999998</v>
      </c>
      <c r="I2418" s="12">
        <v>-74.786100000000005</v>
      </c>
      <c r="J2418" t="s">
        <v>2129</v>
      </c>
      <c r="K2418" t="s">
        <v>97</v>
      </c>
      <c r="L2418" t="s">
        <v>1273</v>
      </c>
      <c r="M2418">
        <v>11</v>
      </c>
      <c r="P2418" s="13">
        <v>194</v>
      </c>
      <c r="Q2418" s="13">
        <v>29</v>
      </c>
      <c r="R2418">
        <v>28</v>
      </c>
      <c r="S2418">
        <v>46</v>
      </c>
      <c r="T2418" s="13">
        <v>50</v>
      </c>
      <c r="U2418" s="13">
        <v>44</v>
      </c>
      <c r="V2418" t="s">
        <v>99</v>
      </c>
      <c r="X2418" s="13">
        <v>194</v>
      </c>
    </row>
    <row r="2419" spans="1:24" x14ac:dyDescent="0.25">
      <c r="A2419" t="s">
        <v>2162</v>
      </c>
      <c r="B2419" t="s">
        <v>65</v>
      </c>
      <c r="C2419" t="s">
        <v>2126</v>
      </c>
      <c r="D2419" t="s">
        <v>2127</v>
      </c>
      <c r="E2419" t="s">
        <v>2128</v>
      </c>
      <c r="F2419" t="s">
        <v>94</v>
      </c>
      <c r="G2419" t="s">
        <v>277</v>
      </c>
      <c r="H2419" s="12">
        <v>6.5541999999999998</v>
      </c>
      <c r="I2419" s="12">
        <v>-74.786100000000005</v>
      </c>
      <c r="J2419" t="s">
        <v>2129</v>
      </c>
      <c r="K2419" t="s">
        <v>97</v>
      </c>
      <c r="L2419" t="s">
        <v>1273</v>
      </c>
      <c r="M2419">
        <v>11</v>
      </c>
      <c r="P2419" s="13">
        <v>193</v>
      </c>
      <c r="Q2419" s="13">
        <v>37</v>
      </c>
      <c r="R2419">
        <v>20</v>
      </c>
      <c r="S2419">
        <v>60</v>
      </c>
      <c r="T2419" s="13">
        <v>40</v>
      </c>
      <c r="U2419" s="13">
        <v>33</v>
      </c>
      <c r="V2419" t="s">
        <v>99</v>
      </c>
      <c r="X2419" s="13">
        <v>193</v>
      </c>
    </row>
    <row r="2420" spans="1:24" x14ac:dyDescent="0.25">
      <c r="A2420" t="s">
        <v>2163</v>
      </c>
      <c r="B2420" t="s">
        <v>65</v>
      </c>
      <c r="C2420" t="s">
        <v>2126</v>
      </c>
      <c r="D2420" t="s">
        <v>2127</v>
      </c>
      <c r="E2420" t="s">
        <v>2128</v>
      </c>
      <c r="F2420" t="s">
        <v>94</v>
      </c>
      <c r="G2420" t="s">
        <v>277</v>
      </c>
      <c r="H2420" s="12">
        <v>6.5541999999999998</v>
      </c>
      <c r="I2420" s="12">
        <v>-74.786100000000005</v>
      </c>
      <c r="J2420" t="s">
        <v>2129</v>
      </c>
      <c r="K2420" t="s">
        <v>97</v>
      </c>
      <c r="L2420" t="s">
        <v>1273</v>
      </c>
      <c r="M2420">
        <v>11</v>
      </c>
      <c r="P2420" s="13">
        <v>193</v>
      </c>
      <c r="Q2420" s="13">
        <v>32</v>
      </c>
      <c r="R2420">
        <v>30</v>
      </c>
      <c r="S2420">
        <v>50</v>
      </c>
      <c r="T2420" s="13">
        <v>40</v>
      </c>
      <c r="U2420" s="13">
        <v>47</v>
      </c>
      <c r="V2420" t="s">
        <v>99</v>
      </c>
      <c r="X2420" s="13">
        <v>193</v>
      </c>
    </row>
    <row r="2421" spans="1:24" x14ac:dyDescent="0.25">
      <c r="A2421" t="s">
        <v>2164</v>
      </c>
      <c r="B2421" t="s">
        <v>65</v>
      </c>
      <c r="C2421" t="s">
        <v>2126</v>
      </c>
      <c r="D2421" t="s">
        <v>2127</v>
      </c>
      <c r="E2421" t="s">
        <v>2128</v>
      </c>
      <c r="F2421" t="s">
        <v>94</v>
      </c>
      <c r="G2421" t="s">
        <v>277</v>
      </c>
      <c r="H2421" s="12">
        <v>6.5541999999999998</v>
      </c>
      <c r="I2421" s="12">
        <v>-74.786100000000005</v>
      </c>
      <c r="J2421" t="s">
        <v>2129</v>
      </c>
      <c r="K2421" t="s">
        <v>97</v>
      </c>
      <c r="L2421" t="s">
        <v>1273</v>
      </c>
      <c r="M2421">
        <v>11</v>
      </c>
      <c r="P2421" s="13">
        <v>193</v>
      </c>
      <c r="Q2421" s="13">
        <v>66</v>
      </c>
      <c r="R2421">
        <v>20</v>
      </c>
      <c r="S2421">
        <v>24</v>
      </c>
      <c r="T2421" s="13">
        <v>41</v>
      </c>
      <c r="U2421" s="13">
        <v>47</v>
      </c>
      <c r="V2421" t="s">
        <v>99</v>
      </c>
      <c r="X2421" s="13">
        <v>193</v>
      </c>
    </row>
    <row r="2422" spans="1:24" x14ac:dyDescent="0.25">
      <c r="A2422" t="s">
        <v>2165</v>
      </c>
      <c r="B2422" t="s">
        <v>65</v>
      </c>
      <c r="C2422" t="s">
        <v>2126</v>
      </c>
      <c r="D2422" t="s">
        <v>2127</v>
      </c>
      <c r="E2422" t="s">
        <v>2128</v>
      </c>
      <c r="F2422" t="s">
        <v>94</v>
      </c>
      <c r="G2422" t="s">
        <v>277</v>
      </c>
      <c r="H2422" s="12">
        <v>6.5541999999999998</v>
      </c>
      <c r="I2422" s="12">
        <v>-74.786100000000005</v>
      </c>
      <c r="J2422" t="s">
        <v>2129</v>
      </c>
      <c r="K2422" t="s">
        <v>97</v>
      </c>
      <c r="L2422" t="s">
        <v>1273</v>
      </c>
      <c r="M2422">
        <v>11</v>
      </c>
      <c r="P2422" s="13">
        <v>184</v>
      </c>
      <c r="Q2422" s="13">
        <v>34</v>
      </c>
      <c r="R2422">
        <v>32</v>
      </c>
      <c r="S2422">
        <v>58</v>
      </c>
      <c r="T2422" s="13">
        <v>22</v>
      </c>
      <c r="U2422" s="13">
        <v>38</v>
      </c>
      <c r="V2422" t="s">
        <v>99</v>
      </c>
      <c r="X2422" s="13">
        <v>184</v>
      </c>
    </row>
    <row r="2423" spans="1:24" x14ac:dyDescent="0.25">
      <c r="A2423" t="s">
        <v>2166</v>
      </c>
      <c r="B2423" t="s">
        <v>65</v>
      </c>
      <c r="C2423" t="s">
        <v>2126</v>
      </c>
      <c r="D2423" t="s">
        <v>2127</v>
      </c>
      <c r="E2423" t="s">
        <v>2128</v>
      </c>
      <c r="F2423" t="s">
        <v>94</v>
      </c>
      <c r="G2423" t="s">
        <v>277</v>
      </c>
      <c r="H2423" s="12">
        <v>6.5541999999999998</v>
      </c>
      <c r="I2423" s="12">
        <v>-74.786100000000005</v>
      </c>
      <c r="J2423" t="s">
        <v>2129</v>
      </c>
      <c r="K2423" t="s">
        <v>97</v>
      </c>
      <c r="L2423" t="s">
        <v>1273</v>
      </c>
      <c r="M2423">
        <v>11</v>
      </c>
      <c r="P2423" s="13">
        <v>181</v>
      </c>
      <c r="Q2423" s="13">
        <v>41</v>
      </c>
      <c r="R2423">
        <v>20</v>
      </c>
      <c r="S2423">
        <v>32</v>
      </c>
      <c r="T2423" s="13">
        <v>48</v>
      </c>
      <c r="U2423" s="13">
        <v>45</v>
      </c>
      <c r="V2423" t="s">
        <v>99</v>
      </c>
      <c r="X2423" s="13">
        <v>181</v>
      </c>
    </row>
    <row r="2424" spans="1:24" x14ac:dyDescent="0.25">
      <c r="A2424" t="s">
        <v>2167</v>
      </c>
      <c r="B2424" t="s">
        <v>65</v>
      </c>
      <c r="C2424" t="s">
        <v>2168</v>
      </c>
      <c r="D2424" t="s">
        <v>2169</v>
      </c>
      <c r="E2424" t="s">
        <v>2170</v>
      </c>
      <c r="F2424" t="s">
        <v>94</v>
      </c>
      <c r="G2424" t="s">
        <v>277</v>
      </c>
      <c r="H2424" s="12">
        <v>6.8483000000000001</v>
      </c>
      <c r="I2424" s="12">
        <v>-75.681700000000006</v>
      </c>
      <c r="J2424" t="s">
        <v>2171</v>
      </c>
      <c r="K2424" t="s">
        <v>97</v>
      </c>
      <c r="L2424" t="s">
        <v>1273</v>
      </c>
      <c r="M2424">
        <v>11</v>
      </c>
      <c r="P2424" s="13">
        <v>284</v>
      </c>
      <c r="Q2424" s="13">
        <v>56</v>
      </c>
      <c r="R2424">
        <v>28</v>
      </c>
      <c r="S2424">
        <v>74</v>
      </c>
      <c r="T2424" s="13">
        <v>57</v>
      </c>
      <c r="U2424" s="13">
        <v>95</v>
      </c>
      <c r="V2424" t="s">
        <v>99</v>
      </c>
      <c r="X2424" s="13">
        <v>284</v>
      </c>
    </row>
    <row r="2425" spans="1:24" x14ac:dyDescent="0.25">
      <c r="A2425" t="s">
        <v>2172</v>
      </c>
      <c r="B2425" t="s">
        <v>65</v>
      </c>
      <c r="C2425" t="s">
        <v>2168</v>
      </c>
      <c r="D2425" t="s">
        <v>2169</v>
      </c>
      <c r="E2425" t="s">
        <v>2170</v>
      </c>
      <c r="F2425" t="s">
        <v>94</v>
      </c>
      <c r="G2425" t="s">
        <v>277</v>
      </c>
      <c r="H2425" s="12">
        <v>6.8483000000000001</v>
      </c>
      <c r="I2425" s="12">
        <v>-75.681700000000006</v>
      </c>
      <c r="J2425" t="s">
        <v>2171</v>
      </c>
      <c r="K2425" t="s">
        <v>97</v>
      </c>
      <c r="L2425" t="s">
        <v>1273</v>
      </c>
      <c r="M2425">
        <v>11</v>
      </c>
      <c r="P2425" s="13">
        <v>263</v>
      </c>
      <c r="Q2425" s="13">
        <v>66</v>
      </c>
      <c r="R2425">
        <v>36</v>
      </c>
      <c r="S2425">
        <v>70</v>
      </c>
      <c r="T2425" s="13">
        <v>31</v>
      </c>
      <c r="U2425" s="13">
        <v>76</v>
      </c>
      <c r="V2425" t="s">
        <v>99</v>
      </c>
      <c r="X2425" s="13">
        <v>263</v>
      </c>
    </row>
    <row r="2426" spans="1:24" x14ac:dyDescent="0.25">
      <c r="A2426" t="s">
        <v>2173</v>
      </c>
      <c r="B2426" t="s">
        <v>65</v>
      </c>
      <c r="C2426" t="s">
        <v>2168</v>
      </c>
      <c r="D2426" t="s">
        <v>2169</v>
      </c>
      <c r="E2426" t="s">
        <v>2170</v>
      </c>
      <c r="F2426" t="s">
        <v>94</v>
      </c>
      <c r="G2426" t="s">
        <v>277</v>
      </c>
      <c r="H2426" s="12">
        <v>6.8483000000000001</v>
      </c>
      <c r="I2426" s="12">
        <v>-75.681700000000006</v>
      </c>
      <c r="J2426" t="s">
        <v>2171</v>
      </c>
      <c r="K2426" t="s">
        <v>97</v>
      </c>
      <c r="L2426" t="s">
        <v>1273</v>
      </c>
      <c r="M2426">
        <v>11</v>
      </c>
      <c r="P2426" s="13">
        <v>247</v>
      </c>
      <c r="Q2426" s="13">
        <v>66</v>
      </c>
      <c r="R2426">
        <v>32</v>
      </c>
      <c r="S2426">
        <v>60</v>
      </c>
      <c r="T2426" s="13">
        <v>29</v>
      </c>
      <c r="U2426" s="13">
        <v>80</v>
      </c>
      <c r="V2426" t="s">
        <v>99</v>
      </c>
      <c r="X2426" s="13">
        <v>247</v>
      </c>
    </row>
    <row r="2427" spans="1:24" x14ac:dyDescent="0.25">
      <c r="A2427" t="s">
        <v>2174</v>
      </c>
      <c r="B2427" t="s">
        <v>65</v>
      </c>
      <c r="C2427" t="s">
        <v>2168</v>
      </c>
      <c r="D2427" t="s">
        <v>2169</v>
      </c>
      <c r="E2427" t="s">
        <v>2170</v>
      </c>
      <c r="F2427" t="s">
        <v>94</v>
      </c>
      <c r="G2427" t="s">
        <v>277</v>
      </c>
      <c r="H2427" s="12">
        <v>6.8483000000000001</v>
      </c>
      <c r="I2427" s="12">
        <v>-75.681700000000006</v>
      </c>
      <c r="J2427" t="s">
        <v>2171</v>
      </c>
      <c r="K2427" t="s">
        <v>97</v>
      </c>
      <c r="L2427" t="s">
        <v>1273</v>
      </c>
      <c r="M2427">
        <v>11</v>
      </c>
      <c r="P2427" s="13">
        <v>223</v>
      </c>
      <c r="Q2427" s="13">
        <v>51</v>
      </c>
      <c r="R2427">
        <v>32</v>
      </c>
      <c r="S2427">
        <v>58</v>
      </c>
      <c r="T2427" s="13">
        <v>40</v>
      </c>
      <c r="U2427" s="13">
        <v>38</v>
      </c>
      <c r="V2427" t="s">
        <v>99</v>
      </c>
      <c r="X2427" s="13">
        <v>223</v>
      </c>
    </row>
    <row r="2428" spans="1:24" x14ac:dyDescent="0.25">
      <c r="A2428" t="s">
        <v>2175</v>
      </c>
      <c r="B2428" t="s">
        <v>65</v>
      </c>
      <c r="C2428" t="s">
        <v>2168</v>
      </c>
      <c r="D2428" t="s">
        <v>2169</v>
      </c>
      <c r="E2428" t="s">
        <v>2170</v>
      </c>
      <c r="F2428" t="s">
        <v>94</v>
      </c>
      <c r="G2428" t="s">
        <v>277</v>
      </c>
      <c r="H2428" s="12">
        <v>6.8483000000000001</v>
      </c>
      <c r="I2428" s="12">
        <v>-75.681700000000006</v>
      </c>
      <c r="J2428" t="s">
        <v>2171</v>
      </c>
      <c r="K2428" t="s">
        <v>97</v>
      </c>
      <c r="L2428" t="s">
        <v>1273</v>
      </c>
      <c r="M2428">
        <v>11</v>
      </c>
      <c r="P2428" s="13">
        <v>217</v>
      </c>
      <c r="Q2428" s="13">
        <v>44</v>
      </c>
      <c r="R2428">
        <v>38</v>
      </c>
      <c r="S2428">
        <v>62</v>
      </c>
      <c r="T2428" s="13">
        <v>29</v>
      </c>
      <c r="U2428" s="13">
        <v>44</v>
      </c>
      <c r="V2428" t="s">
        <v>99</v>
      </c>
      <c r="X2428" s="13">
        <v>217</v>
      </c>
    </row>
    <row r="2429" spans="1:24" x14ac:dyDescent="0.25">
      <c r="A2429" t="s">
        <v>2176</v>
      </c>
      <c r="B2429" t="s">
        <v>65</v>
      </c>
      <c r="C2429" t="s">
        <v>2168</v>
      </c>
      <c r="D2429" t="s">
        <v>2169</v>
      </c>
      <c r="E2429" t="s">
        <v>2170</v>
      </c>
      <c r="F2429" t="s">
        <v>94</v>
      </c>
      <c r="G2429" t="s">
        <v>277</v>
      </c>
      <c r="H2429" s="12">
        <v>6.8483000000000001</v>
      </c>
      <c r="I2429" s="12">
        <v>-75.681700000000006</v>
      </c>
      <c r="J2429" t="s">
        <v>2171</v>
      </c>
      <c r="K2429" t="s">
        <v>97</v>
      </c>
      <c r="L2429" t="s">
        <v>1273</v>
      </c>
      <c r="M2429">
        <v>11</v>
      </c>
      <c r="P2429" s="13">
        <v>213</v>
      </c>
      <c r="Q2429" s="13">
        <v>41</v>
      </c>
      <c r="R2429">
        <v>26</v>
      </c>
      <c r="S2429">
        <v>64</v>
      </c>
      <c r="T2429" s="13">
        <v>29</v>
      </c>
      <c r="U2429" s="13">
        <v>71</v>
      </c>
      <c r="V2429" t="s">
        <v>99</v>
      </c>
      <c r="X2429" s="13">
        <v>213</v>
      </c>
    </row>
    <row r="2430" spans="1:24" x14ac:dyDescent="0.25">
      <c r="A2430" t="s">
        <v>2177</v>
      </c>
      <c r="B2430" t="s">
        <v>65</v>
      </c>
      <c r="C2430" t="s">
        <v>2168</v>
      </c>
      <c r="D2430" t="s">
        <v>2169</v>
      </c>
      <c r="E2430" t="s">
        <v>2170</v>
      </c>
      <c r="F2430" t="s">
        <v>94</v>
      </c>
      <c r="G2430" t="s">
        <v>277</v>
      </c>
      <c r="H2430" s="12">
        <v>6.8483000000000001</v>
      </c>
      <c r="I2430" s="12">
        <v>-75.681700000000006</v>
      </c>
      <c r="J2430" t="s">
        <v>2171</v>
      </c>
      <c r="K2430" t="s">
        <v>97</v>
      </c>
      <c r="L2430" t="s">
        <v>1273</v>
      </c>
      <c r="M2430">
        <v>11</v>
      </c>
      <c r="P2430" s="13">
        <v>208</v>
      </c>
      <c r="Q2430" s="13">
        <v>51</v>
      </c>
      <c r="R2430">
        <v>32</v>
      </c>
      <c r="S2430">
        <v>52</v>
      </c>
      <c r="T2430" s="13">
        <v>28</v>
      </c>
      <c r="U2430" s="13">
        <v>53</v>
      </c>
      <c r="V2430" t="s">
        <v>99</v>
      </c>
      <c r="X2430" s="13">
        <v>208</v>
      </c>
    </row>
    <row r="2431" spans="1:24" x14ac:dyDescent="0.25">
      <c r="A2431" t="s">
        <v>2178</v>
      </c>
      <c r="B2431" t="s">
        <v>65</v>
      </c>
      <c r="C2431" t="s">
        <v>2168</v>
      </c>
      <c r="D2431" t="s">
        <v>2169</v>
      </c>
      <c r="E2431" t="s">
        <v>2170</v>
      </c>
      <c r="F2431" t="s">
        <v>94</v>
      </c>
      <c r="G2431" t="s">
        <v>277</v>
      </c>
      <c r="H2431" s="12">
        <v>6.8483000000000001</v>
      </c>
      <c r="I2431" s="12">
        <v>-75.681700000000006</v>
      </c>
      <c r="J2431" t="s">
        <v>2171</v>
      </c>
      <c r="K2431" t="s">
        <v>97</v>
      </c>
      <c r="L2431" t="s">
        <v>1273</v>
      </c>
      <c r="M2431">
        <v>11</v>
      </c>
      <c r="P2431" s="13">
        <v>198</v>
      </c>
      <c r="Q2431" s="13">
        <v>51</v>
      </c>
      <c r="R2431">
        <v>22</v>
      </c>
      <c r="S2431">
        <v>50</v>
      </c>
      <c r="T2431" s="13">
        <v>34</v>
      </c>
      <c r="U2431" s="13">
        <v>42</v>
      </c>
      <c r="V2431" t="s">
        <v>99</v>
      </c>
      <c r="X2431" s="13">
        <v>198</v>
      </c>
    </row>
    <row r="2432" spans="1:24" x14ac:dyDescent="0.25">
      <c r="A2432" t="s">
        <v>2179</v>
      </c>
      <c r="B2432" t="s">
        <v>65</v>
      </c>
      <c r="C2432" t="s">
        <v>2168</v>
      </c>
      <c r="D2432" t="s">
        <v>2169</v>
      </c>
      <c r="E2432" t="s">
        <v>2170</v>
      </c>
      <c r="F2432" t="s">
        <v>94</v>
      </c>
      <c r="G2432" t="s">
        <v>277</v>
      </c>
      <c r="H2432" s="12">
        <v>6.8483000000000001</v>
      </c>
      <c r="I2432" s="12">
        <v>-75.681700000000006</v>
      </c>
      <c r="J2432" t="s">
        <v>2171</v>
      </c>
      <c r="K2432" t="s">
        <v>97</v>
      </c>
      <c r="L2432" t="s">
        <v>1273</v>
      </c>
      <c r="M2432">
        <v>11</v>
      </c>
      <c r="P2432" s="13">
        <v>189</v>
      </c>
      <c r="Q2432" s="13">
        <v>39</v>
      </c>
      <c r="R2432">
        <v>34</v>
      </c>
      <c r="S2432">
        <v>48</v>
      </c>
      <c r="T2432" s="13">
        <v>31</v>
      </c>
      <c r="U2432" s="13">
        <v>36</v>
      </c>
      <c r="V2432" t="s">
        <v>99</v>
      </c>
      <c r="X2432" s="13">
        <v>189</v>
      </c>
    </row>
    <row r="2433" spans="1:24" x14ac:dyDescent="0.25">
      <c r="A2433" t="s">
        <v>2180</v>
      </c>
      <c r="B2433" t="s">
        <v>65</v>
      </c>
      <c r="C2433" t="s">
        <v>2168</v>
      </c>
      <c r="D2433" t="s">
        <v>2169</v>
      </c>
      <c r="E2433" t="s">
        <v>2170</v>
      </c>
      <c r="F2433" t="s">
        <v>94</v>
      </c>
      <c r="G2433" t="s">
        <v>277</v>
      </c>
      <c r="H2433" s="12">
        <v>6.8483000000000001</v>
      </c>
      <c r="I2433" s="12">
        <v>-75.681700000000006</v>
      </c>
      <c r="J2433" t="s">
        <v>2171</v>
      </c>
      <c r="K2433" t="s">
        <v>97</v>
      </c>
      <c r="L2433" t="s">
        <v>1273</v>
      </c>
      <c r="M2433">
        <v>11</v>
      </c>
      <c r="P2433" s="13">
        <v>188</v>
      </c>
      <c r="Q2433" s="13">
        <v>46</v>
      </c>
      <c r="R2433">
        <v>30</v>
      </c>
      <c r="S2433">
        <v>54</v>
      </c>
      <c r="T2433" s="13">
        <v>19</v>
      </c>
      <c r="U2433" s="13">
        <v>42</v>
      </c>
      <c r="V2433" t="s">
        <v>99</v>
      </c>
      <c r="X2433" s="13">
        <v>188</v>
      </c>
    </row>
    <row r="2434" spans="1:24" x14ac:dyDescent="0.25">
      <c r="A2434" t="s">
        <v>2181</v>
      </c>
      <c r="B2434" t="s">
        <v>65</v>
      </c>
      <c r="C2434" t="s">
        <v>2168</v>
      </c>
      <c r="D2434" t="s">
        <v>2169</v>
      </c>
      <c r="E2434" t="s">
        <v>2170</v>
      </c>
      <c r="F2434" t="s">
        <v>94</v>
      </c>
      <c r="G2434" t="s">
        <v>277</v>
      </c>
      <c r="H2434" s="12">
        <v>6.8483000000000001</v>
      </c>
      <c r="I2434" s="12">
        <v>-75.681700000000006</v>
      </c>
      <c r="J2434" t="s">
        <v>2171</v>
      </c>
      <c r="K2434" t="s">
        <v>97</v>
      </c>
      <c r="L2434" t="s">
        <v>1273</v>
      </c>
      <c r="M2434">
        <v>11</v>
      </c>
      <c r="P2434" s="13">
        <v>186</v>
      </c>
      <c r="Q2434" s="13">
        <v>41</v>
      </c>
      <c r="R2434">
        <v>32</v>
      </c>
      <c r="S2434">
        <v>46</v>
      </c>
      <c r="T2434" s="13">
        <v>28</v>
      </c>
      <c r="U2434" s="13">
        <v>42</v>
      </c>
      <c r="V2434" t="s">
        <v>99</v>
      </c>
      <c r="X2434" s="13">
        <v>186</v>
      </c>
    </row>
    <row r="2435" spans="1:24" x14ac:dyDescent="0.25">
      <c r="A2435" t="s">
        <v>2182</v>
      </c>
      <c r="B2435" t="s">
        <v>65</v>
      </c>
      <c r="C2435" t="s">
        <v>2168</v>
      </c>
      <c r="D2435" t="s">
        <v>2169</v>
      </c>
      <c r="E2435" t="s">
        <v>2170</v>
      </c>
      <c r="F2435" t="s">
        <v>94</v>
      </c>
      <c r="G2435" t="s">
        <v>277</v>
      </c>
      <c r="H2435" s="12">
        <v>6.8483000000000001</v>
      </c>
      <c r="I2435" s="12">
        <v>-75.681700000000006</v>
      </c>
      <c r="J2435" t="s">
        <v>2171</v>
      </c>
      <c r="K2435" t="s">
        <v>97</v>
      </c>
      <c r="L2435" t="s">
        <v>1273</v>
      </c>
      <c r="M2435">
        <v>11</v>
      </c>
      <c r="P2435" s="13">
        <v>179</v>
      </c>
      <c r="Q2435" s="13">
        <v>39</v>
      </c>
      <c r="R2435">
        <v>28</v>
      </c>
      <c r="S2435">
        <v>44</v>
      </c>
      <c r="T2435" s="13">
        <v>29</v>
      </c>
      <c r="U2435" s="13">
        <v>44</v>
      </c>
      <c r="V2435" t="s">
        <v>99</v>
      </c>
      <c r="X2435" s="13">
        <v>179</v>
      </c>
    </row>
    <row r="2436" spans="1:24" x14ac:dyDescent="0.25">
      <c r="A2436" t="s">
        <v>2183</v>
      </c>
      <c r="B2436" t="s">
        <v>65</v>
      </c>
      <c r="C2436" t="s">
        <v>2168</v>
      </c>
      <c r="D2436" t="s">
        <v>2169</v>
      </c>
      <c r="E2436" t="s">
        <v>2170</v>
      </c>
      <c r="F2436" t="s">
        <v>94</v>
      </c>
      <c r="G2436" t="s">
        <v>277</v>
      </c>
      <c r="H2436" s="12">
        <v>6.8483000000000001</v>
      </c>
      <c r="I2436" s="12">
        <v>-75.681700000000006</v>
      </c>
      <c r="J2436" t="s">
        <v>2171</v>
      </c>
      <c r="K2436" t="s">
        <v>97</v>
      </c>
      <c r="L2436" t="s">
        <v>1273</v>
      </c>
      <c r="M2436">
        <v>11</v>
      </c>
      <c r="P2436" s="13">
        <v>174</v>
      </c>
      <c r="Q2436" s="13">
        <v>44</v>
      </c>
      <c r="R2436">
        <v>26</v>
      </c>
      <c r="S2436">
        <v>40</v>
      </c>
      <c r="T2436" s="13">
        <v>31</v>
      </c>
      <c r="U2436" s="13">
        <v>29</v>
      </c>
      <c r="V2436" t="s">
        <v>99</v>
      </c>
      <c r="X2436" s="13">
        <v>174</v>
      </c>
    </row>
    <row r="2437" spans="1:24" x14ac:dyDescent="0.25">
      <c r="A2437" t="s">
        <v>2184</v>
      </c>
      <c r="B2437" t="s">
        <v>65</v>
      </c>
      <c r="C2437" t="s">
        <v>2168</v>
      </c>
      <c r="D2437" t="s">
        <v>2169</v>
      </c>
      <c r="E2437" t="s">
        <v>2170</v>
      </c>
      <c r="F2437" t="s">
        <v>94</v>
      </c>
      <c r="G2437" t="s">
        <v>277</v>
      </c>
      <c r="H2437" s="12">
        <v>6.8483000000000001</v>
      </c>
      <c r="I2437" s="12">
        <v>-75.681700000000006</v>
      </c>
      <c r="J2437" t="s">
        <v>2171</v>
      </c>
      <c r="K2437" t="s">
        <v>97</v>
      </c>
      <c r="L2437" t="s">
        <v>1273</v>
      </c>
      <c r="M2437">
        <v>11</v>
      </c>
      <c r="P2437" s="13">
        <v>173</v>
      </c>
      <c r="Q2437" s="13">
        <v>39</v>
      </c>
      <c r="R2437">
        <v>24</v>
      </c>
      <c r="S2437">
        <v>42</v>
      </c>
      <c r="T2437" s="13">
        <v>29</v>
      </c>
      <c r="U2437" s="13">
        <v>47</v>
      </c>
      <c r="V2437" t="s">
        <v>99</v>
      </c>
      <c r="X2437" s="13">
        <v>173</v>
      </c>
    </row>
    <row r="2438" spans="1:24" x14ac:dyDescent="0.25">
      <c r="A2438" t="s">
        <v>2185</v>
      </c>
      <c r="B2438" t="s">
        <v>65</v>
      </c>
      <c r="C2438" t="s">
        <v>2168</v>
      </c>
      <c r="D2438" t="s">
        <v>2169</v>
      </c>
      <c r="E2438" t="s">
        <v>2170</v>
      </c>
      <c r="F2438" t="s">
        <v>94</v>
      </c>
      <c r="G2438" t="s">
        <v>277</v>
      </c>
      <c r="H2438" s="12">
        <v>6.8483000000000001</v>
      </c>
      <c r="I2438" s="12">
        <v>-75.681700000000006</v>
      </c>
      <c r="J2438" t="s">
        <v>2171</v>
      </c>
      <c r="K2438" t="s">
        <v>97</v>
      </c>
      <c r="L2438" t="s">
        <v>1273</v>
      </c>
      <c r="M2438">
        <v>11</v>
      </c>
      <c r="P2438" s="13">
        <v>173</v>
      </c>
      <c r="Q2438" s="13">
        <v>34</v>
      </c>
      <c r="R2438">
        <v>32</v>
      </c>
      <c r="S2438">
        <v>46</v>
      </c>
      <c r="T2438" s="13">
        <v>29</v>
      </c>
      <c r="U2438" s="13">
        <v>25</v>
      </c>
      <c r="V2438" t="s">
        <v>99</v>
      </c>
      <c r="X2438" s="13">
        <v>173</v>
      </c>
    </row>
    <row r="2439" spans="1:24" x14ac:dyDescent="0.25">
      <c r="A2439" t="s">
        <v>2186</v>
      </c>
      <c r="B2439" t="s">
        <v>65</v>
      </c>
      <c r="C2439" t="s">
        <v>2168</v>
      </c>
      <c r="D2439" t="s">
        <v>2169</v>
      </c>
      <c r="E2439" t="s">
        <v>2170</v>
      </c>
      <c r="F2439" t="s">
        <v>94</v>
      </c>
      <c r="G2439" t="s">
        <v>277</v>
      </c>
      <c r="H2439" s="12">
        <v>6.8483000000000001</v>
      </c>
      <c r="I2439" s="12">
        <v>-75.681700000000006</v>
      </c>
      <c r="J2439" t="s">
        <v>2171</v>
      </c>
      <c r="K2439" t="s">
        <v>97</v>
      </c>
      <c r="L2439" t="s">
        <v>1273</v>
      </c>
      <c r="M2439">
        <v>11</v>
      </c>
      <c r="P2439" s="13">
        <v>170</v>
      </c>
      <c r="Q2439" s="13">
        <v>39</v>
      </c>
      <c r="R2439">
        <v>24</v>
      </c>
      <c r="S2439">
        <v>44</v>
      </c>
      <c r="T2439" s="13">
        <v>31</v>
      </c>
      <c r="U2439" s="13">
        <v>29</v>
      </c>
      <c r="V2439" t="s">
        <v>99</v>
      </c>
      <c r="X2439" s="13">
        <v>170</v>
      </c>
    </row>
    <row r="2440" spans="1:24" x14ac:dyDescent="0.25">
      <c r="A2440" t="s">
        <v>2187</v>
      </c>
      <c r="B2440" t="s">
        <v>65</v>
      </c>
      <c r="C2440" t="s">
        <v>2168</v>
      </c>
      <c r="D2440" t="s">
        <v>2169</v>
      </c>
      <c r="E2440" t="s">
        <v>2170</v>
      </c>
      <c r="F2440" t="s">
        <v>94</v>
      </c>
      <c r="G2440" t="s">
        <v>277</v>
      </c>
      <c r="H2440" s="12">
        <v>6.8483000000000001</v>
      </c>
      <c r="I2440" s="12">
        <v>-75.681700000000006</v>
      </c>
      <c r="J2440" t="s">
        <v>2171</v>
      </c>
      <c r="K2440" t="s">
        <v>97</v>
      </c>
      <c r="L2440" t="s">
        <v>1273</v>
      </c>
      <c r="M2440">
        <v>11</v>
      </c>
      <c r="P2440" s="13">
        <v>169</v>
      </c>
      <c r="Q2440" s="13">
        <v>46</v>
      </c>
      <c r="R2440">
        <v>20</v>
      </c>
      <c r="S2440">
        <v>40</v>
      </c>
      <c r="T2440" s="13">
        <v>29</v>
      </c>
      <c r="U2440" s="13">
        <v>33</v>
      </c>
      <c r="V2440" t="s">
        <v>99</v>
      </c>
      <c r="X2440" s="13">
        <v>169</v>
      </c>
    </row>
    <row r="2441" spans="1:24" x14ac:dyDescent="0.25">
      <c r="A2441" t="s">
        <v>2188</v>
      </c>
      <c r="B2441" t="s">
        <v>65</v>
      </c>
      <c r="C2441" t="s">
        <v>2168</v>
      </c>
      <c r="D2441" t="s">
        <v>2169</v>
      </c>
      <c r="E2441" t="s">
        <v>2170</v>
      </c>
      <c r="F2441" t="s">
        <v>94</v>
      </c>
      <c r="G2441" t="s">
        <v>277</v>
      </c>
      <c r="H2441" s="12">
        <v>6.8483000000000001</v>
      </c>
      <c r="I2441" s="12">
        <v>-75.681700000000006</v>
      </c>
      <c r="J2441" t="s">
        <v>2171</v>
      </c>
      <c r="K2441" t="s">
        <v>97</v>
      </c>
      <c r="L2441" t="s">
        <v>1273</v>
      </c>
      <c r="M2441">
        <v>11</v>
      </c>
      <c r="P2441" s="13">
        <v>168</v>
      </c>
      <c r="Q2441" s="13">
        <v>34</v>
      </c>
      <c r="R2441">
        <v>22</v>
      </c>
      <c r="S2441">
        <v>42</v>
      </c>
      <c r="T2441" s="13">
        <v>36</v>
      </c>
      <c r="U2441" s="13">
        <v>35</v>
      </c>
      <c r="V2441" t="s">
        <v>99</v>
      </c>
      <c r="X2441" s="13">
        <v>168</v>
      </c>
    </row>
    <row r="2442" spans="1:24" x14ac:dyDescent="0.25">
      <c r="A2442" t="s">
        <v>2189</v>
      </c>
      <c r="B2442" t="s">
        <v>65</v>
      </c>
      <c r="C2442" t="s">
        <v>2168</v>
      </c>
      <c r="D2442" t="s">
        <v>2169</v>
      </c>
      <c r="E2442" t="s">
        <v>2170</v>
      </c>
      <c r="F2442" t="s">
        <v>94</v>
      </c>
      <c r="G2442" t="s">
        <v>277</v>
      </c>
      <c r="H2442" s="12">
        <v>6.8483000000000001</v>
      </c>
      <c r="I2442" s="12">
        <v>-75.681700000000006</v>
      </c>
      <c r="J2442" t="s">
        <v>2171</v>
      </c>
      <c r="K2442" t="s">
        <v>97</v>
      </c>
      <c r="L2442" t="s">
        <v>1273</v>
      </c>
      <c r="M2442">
        <v>11</v>
      </c>
      <c r="P2442" s="13">
        <v>165</v>
      </c>
      <c r="Q2442" s="13">
        <v>37</v>
      </c>
      <c r="R2442">
        <v>24</v>
      </c>
      <c r="S2442">
        <v>50</v>
      </c>
      <c r="T2442" s="13">
        <v>21</v>
      </c>
      <c r="U2442" s="13">
        <v>36</v>
      </c>
      <c r="V2442" t="s">
        <v>99</v>
      </c>
      <c r="X2442" s="13">
        <v>165</v>
      </c>
    </row>
    <row r="2443" spans="1:24" x14ac:dyDescent="0.25">
      <c r="A2443" t="s">
        <v>2190</v>
      </c>
      <c r="B2443" t="s">
        <v>65</v>
      </c>
      <c r="C2443" t="s">
        <v>2168</v>
      </c>
      <c r="D2443" t="s">
        <v>2169</v>
      </c>
      <c r="E2443" t="s">
        <v>2170</v>
      </c>
      <c r="F2443" t="s">
        <v>94</v>
      </c>
      <c r="G2443" t="s">
        <v>277</v>
      </c>
      <c r="H2443" s="12">
        <v>6.8483000000000001</v>
      </c>
      <c r="I2443" s="12">
        <v>-75.681700000000006</v>
      </c>
      <c r="J2443" t="s">
        <v>2171</v>
      </c>
      <c r="K2443" t="s">
        <v>97</v>
      </c>
      <c r="L2443" t="s">
        <v>1273</v>
      </c>
      <c r="M2443">
        <v>11</v>
      </c>
      <c r="P2443" s="13">
        <v>165</v>
      </c>
      <c r="Q2443" s="13">
        <v>37</v>
      </c>
      <c r="R2443">
        <v>22</v>
      </c>
      <c r="S2443">
        <v>56</v>
      </c>
      <c r="T2443" s="13">
        <v>19</v>
      </c>
      <c r="U2443" s="13">
        <v>27</v>
      </c>
      <c r="V2443" t="s">
        <v>99</v>
      </c>
      <c r="X2443" s="13">
        <v>165</v>
      </c>
    </row>
    <row r="2444" spans="1:24" x14ac:dyDescent="0.25">
      <c r="A2444" t="s">
        <v>2191</v>
      </c>
      <c r="B2444" t="s">
        <v>65</v>
      </c>
      <c r="C2444" t="s">
        <v>2168</v>
      </c>
      <c r="D2444" t="s">
        <v>2169</v>
      </c>
      <c r="E2444" t="s">
        <v>2170</v>
      </c>
      <c r="F2444" t="s">
        <v>94</v>
      </c>
      <c r="G2444" t="s">
        <v>277</v>
      </c>
      <c r="H2444" s="12">
        <v>6.8483000000000001</v>
      </c>
      <c r="I2444" s="12">
        <v>-75.681700000000006</v>
      </c>
      <c r="J2444" t="s">
        <v>2171</v>
      </c>
      <c r="K2444" t="s">
        <v>97</v>
      </c>
      <c r="L2444" t="s">
        <v>1273</v>
      </c>
      <c r="M2444">
        <v>11</v>
      </c>
      <c r="P2444" s="13">
        <v>164</v>
      </c>
      <c r="Q2444" s="13">
        <v>37</v>
      </c>
      <c r="R2444">
        <v>30</v>
      </c>
      <c r="S2444">
        <v>40</v>
      </c>
      <c r="T2444" s="13">
        <v>24</v>
      </c>
      <c r="U2444" s="13">
        <v>35</v>
      </c>
      <c r="V2444" t="s">
        <v>99</v>
      </c>
      <c r="X2444" s="13">
        <v>164</v>
      </c>
    </row>
    <row r="2445" spans="1:24" x14ac:dyDescent="0.25">
      <c r="A2445" t="s">
        <v>2192</v>
      </c>
      <c r="B2445" t="s">
        <v>65</v>
      </c>
      <c r="C2445" t="s">
        <v>2168</v>
      </c>
      <c r="D2445" t="s">
        <v>2169</v>
      </c>
      <c r="E2445" t="s">
        <v>2170</v>
      </c>
      <c r="F2445" t="s">
        <v>94</v>
      </c>
      <c r="G2445" t="s">
        <v>277</v>
      </c>
      <c r="H2445" s="12">
        <v>6.8483000000000001</v>
      </c>
      <c r="I2445" s="12">
        <v>-75.681700000000006</v>
      </c>
      <c r="J2445" t="s">
        <v>2171</v>
      </c>
      <c r="K2445" t="s">
        <v>97</v>
      </c>
      <c r="L2445" t="s">
        <v>1273</v>
      </c>
      <c r="M2445">
        <v>11</v>
      </c>
      <c r="P2445" s="13">
        <v>164</v>
      </c>
      <c r="Q2445" s="13">
        <v>49</v>
      </c>
      <c r="R2445">
        <v>18</v>
      </c>
      <c r="S2445">
        <v>32</v>
      </c>
      <c r="T2445" s="13">
        <v>29</v>
      </c>
      <c r="U2445" s="13">
        <v>42</v>
      </c>
      <c r="V2445" t="s">
        <v>99</v>
      </c>
      <c r="X2445" s="13">
        <v>164</v>
      </c>
    </row>
    <row r="2446" spans="1:24" x14ac:dyDescent="0.25">
      <c r="A2446" t="s">
        <v>2193</v>
      </c>
      <c r="B2446" t="s">
        <v>65</v>
      </c>
      <c r="C2446" t="s">
        <v>2168</v>
      </c>
      <c r="D2446" t="s">
        <v>2169</v>
      </c>
      <c r="E2446" t="s">
        <v>2170</v>
      </c>
      <c r="F2446" t="s">
        <v>94</v>
      </c>
      <c r="G2446" t="s">
        <v>277</v>
      </c>
      <c r="H2446" s="12">
        <v>6.8483000000000001</v>
      </c>
      <c r="I2446" s="12">
        <v>-75.681700000000006</v>
      </c>
      <c r="J2446" t="s">
        <v>2171</v>
      </c>
      <c r="K2446" t="s">
        <v>97</v>
      </c>
      <c r="L2446" t="s">
        <v>1273</v>
      </c>
      <c r="M2446">
        <v>11</v>
      </c>
      <c r="P2446" s="13">
        <v>159</v>
      </c>
      <c r="Q2446" s="13">
        <v>46</v>
      </c>
      <c r="R2446">
        <v>12</v>
      </c>
      <c r="S2446">
        <v>36</v>
      </c>
      <c r="T2446" s="13">
        <v>33</v>
      </c>
      <c r="U2446" s="13">
        <v>31</v>
      </c>
      <c r="V2446" t="s">
        <v>99</v>
      </c>
      <c r="X2446" s="13">
        <v>159</v>
      </c>
    </row>
    <row r="2447" spans="1:24" x14ac:dyDescent="0.25">
      <c r="A2447" t="s">
        <v>2194</v>
      </c>
      <c r="B2447" t="s">
        <v>65</v>
      </c>
      <c r="C2447" t="s">
        <v>2168</v>
      </c>
      <c r="D2447" t="s">
        <v>2169</v>
      </c>
      <c r="E2447" t="s">
        <v>2170</v>
      </c>
      <c r="F2447" t="s">
        <v>94</v>
      </c>
      <c r="G2447" t="s">
        <v>277</v>
      </c>
      <c r="H2447" s="12">
        <v>6.8483000000000001</v>
      </c>
      <c r="I2447" s="12">
        <v>-75.681700000000006</v>
      </c>
      <c r="J2447" t="s">
        <v>2171</v>
      </c>
      <c r="K2447" t="s">
        <v>97</v>
      </c>
      <c r="L2447" t="s">
        <v>1273</v>
      </c>
      <c r="M2447">
        <v>11</v>
      </c>
      <c r="P2447" s="13">
        <v>154</v>
      </c>
      <c r="Q2447" s="13">
        <v>39</v>
      </c>
      <c r="R2447">
        <v>28</v>
      </c>
      <c r="S2447">
        <v>30</v>
      </c>
      <c r="T2447" s="13">
        <v>26</v>
      </c>
      <c r="U2447" s="13">
        <v>33</v>
      </c>
      <c r="V2447" t="s">
        <v>99</v>
      </c>
      <c r="X2447" s="13">
        <v>154</v>
      </c>
    </row>
    <row r="2448" spans="1:24" x14ac:dyDescent="0.25">
      <c r="A2448" t="s">
        <v>2195</v>
      </c>
      <c r="B2448" t="s">
        <v>65</v>
      </c>
      <c r="C2448" t="s">
        <v>2168</v>
      </c>
      <c r="D2448" t="s">
        <v>2169</v>
      </c>
      <c r="E2448" t="s">
        <v>2170</v>
      </c>
      <c r="F2448" t="s">
        <v>94</v>
      </c>
      <c r="G2448" t="s">
        <v>277</v>
      </c>
      <c r="H2448" s="12">
        <v>6.8483000000000001</v>
      </c>
      <c r="I2448" s="12">
        <v>-75.681700000000006</v>
      </c>
      <c r="J2448" t="s">
        <v>2171</v>
      </c>
      <c r="K2448" t="s">
        <v>97</v>
      </c>
      <c r="L2448" t="s">
        <v>1273</v>
      </c>
      <c r="M2448">
        <v>11</v>
      </c>
      <c r="P2448" s="13">
        <v>152</v>
      </c>
      <c r="Q2448" s="13">
        <v>39</v>
      </c>
      <c r="R2448">
        <v>14</v>
      </c>
      <c r="S2448">
        <v>30</v>
      </c>
      <c r="T2448" s="13">
        <v>34</v>
      </c>
      <c r="U2448" s="13">
        <v>44</v>
      </c>
      <c r="V2448" t="s">
        <v>99</v>
      </c>
      <c r="X2448" s="13">
        <v>152</v>
      </c>
    </row>
    <row r="2449" spans="1:24" x14ac:dyDescent="0.25">
      <c r="A2449" t="s">
        <v>2196</v>
      </c>
      <c r="B2449" t="s">
        <v>65</v>
      </c>
      <c r="C2449" t="s">
        <v>2168</v>
      </c>
      <c r="D2449" t="s">
        <v>2169</v>
      </c>
      <c r="E2449" t="s">
        <v>2170</v>
      </c>
      <c r="F2449" t="s">
        <v>94</v>
      </c>
      <c r="G2449" t="s">
        <v>277</v>
      </c>
      <c r="H2449" s="12">
        <v>6.8483000000000001</v>
      </c>
      <c r="I2449" s="12">
        <v>-75.681700000000006</v>
      </c>
      <c r="J2449" t="s">
        <v>2171</v>
      </c>
      <c r="K2449" t="s">
        <v>97</v>
      </c>
      <c r="L2449" t="s">
        <v>1273</v>
      </c>
      <c r="M2449">
        <v>11</v>
      </c>
      <c r="P2449" s="13">
        <v>147</v>
      </c>
      <c r="Q2449" s="13">
        <v>27</v>
      </c>
      <c r="R2449">
        <v>24</v>
      </c>
      <c r="S2449">
        <v>42</v>
      </c>
      <c r="T2449" s="13">
        <v>22</v>
      </c>
      <c r="U2449" s="13">
        <v>36</v>
      </c>
      <c r="V2449" t="s">
        <v>99</v>
      </c>
      <c r="X2449" s="13">
        <v>147</v>
      </c>
    </row>
    <row r="2450" spans="1:24" x14ac:dyDescent="0.25">
      <c r="A2450" t="s">
        <v>2197</v>
      </c>
      <c r="B2450" t="s">
        <v>65</v>
      </c>
      <c r="C2450" t="s">
        <v>2168</v>
      </c>
      <c r="D2450" t="s">
        <v>2169</v>
      </c>
      <c r="E2450" t="s">
        <v>2170</v>
      </c>
      <c r="F2450" t="s">
        <v>94</v>
      </c>
      <c r="G2450" t="s">
        <v>277</v>
      </c>
      <c r="H2450" s="12">
        <v>6.8483000000000001</v>
      </c>
      <c r="I2450" s="12">
        <v>-75.681700000000006</v>
      </c>
      <c r="J2450" t="s">
        <v>2171</v>
      </c>
      <c r="K2450" t="s">
        <v>97</v>
      </c>
      <c r="L2450" t="s">
        <v>1273</v>
      </c>
      <c r="M2450">
        <v>11</v>
      </c>
      <c r="P2450" s="13">
        <v>146</v>
      </c>
      <c r="Q2450" s="13">
        <v>34</v>
      </c>
      <c r="R2450">
        <v>16</v>
      </c>
      <c r="S2450">
        <v>38</v>
      </c>
      <c r="T2450" s="13">
        <v>28</v>
      </c>
      <c r="U2450" s="13">
        <v>33</v>
      </c>
      <c r="V2450" t="s">
        <v>99</v>
      </c>
      <c r="X2450" s="13">
        <v>146</v>
      </c>
    </row>
    <row r="2451" spans="1:24" x14ac:dyDescent="0.25">
      <c r="A2451" t="s">
        <v>2198</v>
      </c>
      <c r="B2451" t="s">
        <v>65</v>
      </c>
      <c r="C2451" t="s">
        <v>2168</v>
      </c>
      <c r="D2451" t="s">
        <v>2169</v>
      </c>
      <c r="E2451" t="s">
        <v>2170</v>
      </c>
      <c r="F2451" t="s">
        <v>94</v>
      </c>
      <c r="G2451" t="s">
        <v>277</v>
      </c>
      <c r="H2451" s="12">
        <v>6.8483000000000001</v>
      </c>
      <c r="I2451" s="12">
        <v>-75.681700000000006</v>
      </c>
      <c r="J2451" t="s">
        <v>2171</v>
      </c>
      <c r="K2451" t="s">
        <v>97</v>
      </c>
      <c r="L2451" t="s">
        <v>1273</v>
      </c>
      <c r="M2451">
        <v>11</v>
      </c>
      <c r="P2451" s="13">
        <v>145</v>
      </c>
      <c r="Q2451" s="13">
        <v>34</v>
      </c>
      <c r="R2451">
        <v>26</v>
      </c>
      <c r="S2451">
        <v>30</v>
      </c>
      <c r="T2451" s="13">
        <v>26</v>
      </c>
      <c r="U2451" s="13">
        <v>29</v>
      </c>
      <c r="V2451" t="s">
        <v>99</v>
      </c>
      <c r="X2451" s="13">
        <v>145</v>
      </c>
    </row>
    <row r="2452" spans="1:24" x14ac:dyDescent="0.25">
      <c r="A2452" t="s">
        <v>2199</v>
      </c>
      <c r="B2452" t="s">
        <v>65</v>
      </c>
      <c r="C2452" t="s">
        <v>2168</v>
      </c>
      <c r="D2452" t="s">
        <v>2169</v>
      </c>
      <c r="E2452" t="s">
        <v>2170</v>
      </c>
      <c r="F2452" t="s">
        <v>94</v>
      </c>
      <c r="G2452" t="s">
        <v>277</v>
      </c>
      <c r="H2452" s="12">
        <v>6.8483000000000001</v>
      </c>
      <c r="I2452" s="12">
        <v>-75.681700000000006</v>
      </c>
      <c r="J2452" t="s">
        <v>2171</v>
      </c>
      <c r="K2452" t="s">
        <v>97</v>
      </c>
      <c r="L2452" t="s">
        <v>1273</v>
      </c>
      <c r="M2452">
        <v>11</v>
      </c>
      <c r="P2452" s="13">
        <v>145</v>
      </c>
      <c r="Q2452" s="13">
        <v>32</v>
      </c>
      <c r="R2452">
        <v>16</v>
      </c>
      <c r="S2452">
        <v>40</v>
      </c>
      <c r="T2452" s="13">
        <v>22</v>
      </c>
      <c r="U2452" s="13">
        <v>45</v>
      </c>
      <c r="V2452" t="s">
        <v>99</v>
      </c>
      <c r="X2452" s="13">
        <v>145</v>
      </c>
    </row>
    <row r="2453" spans="1:24" x14ac:dyDescent="0.25">
      <c r="A2453" t="s">
        <v>2200</v>
      </c>
      <c r="B2453" t="s">
        <v>65</v>
      </c>
      <c r="C2453" t="s">
        <v>2168</v>
      </c>
      <c r="D2453" t="s">
        <v>2169</v>
      </c>
      <c r="E2453" t="s">
        <v>2170</v>
      </c>
      <c r="F2453" t="s">
        <v>94</v>
      </c>
      <c r="G2453" t="s">
        <v>277</v>
      </c>
      <c r="H2453" s="12">
        <v>6.8483000000000001</v>
      </c>
      <c r="I2453" s="12">
        <v>-75.681700000000006</v>
      </c>
      <c r="J2453" t="s">
        <v>2171</v>
      </c>
      <c r="K2453" t="s">
        <v>97</v>
      </c>
      <c r="L2453" t="s">
        <v>1273</v>
      </c>
      <c r="M2453">
        <v>11</v>
      </c>
      <c r="P2453" s="13">
        <v>137</v>
      </c>
      <c r="Q2453" s="13">
        <v>27</v>
      </c>
      <c r="R2453">
        <v>26</v>
      </c>
      <c r="S2453">
        <v>28</v>
      </c>
      <c r="T2453" s="13">
        <v>22</v>
      </c>
      <c r="U2453" s="13">
        <v>45</v>
      </c>
      <c r="V2453" t="s">
        <v>99</v>
      </c>
      <c r="X2453" s="13">
        <v>137</v>
      </c>
    </row>
    <row r="2454" spans="1:24" x14ac:dyDescent="0.25">
      <c r="A2454" t="s">
        <v>2201</v>
      </c>
      <c r="B2454" t="s">
        <v>65</v>
      </c>
      <c r="C2454" t="s">
        <v>2168</v>
      </c>
      <c r="D2454" t="s">
        <v>2169</v>
      </c>
      <c r="E2454" t="s">
        <v>2170</v>
      </c>
      <c r="F2454" t="s">
        <v>94</v>
      </c>
      <c r="G2454" t="s">
        <v>277</v>
      </c>
      <c r="H2454" s="12">
        <v>6.8483000000000001</v>
      </c>
      <c r="I2454" s="12">
        <v>-75.681700000000006</v>
      </c>
      <c r="J2454" t="s">
        <v>2171</v>
      </c>
      <c r="K2454" t="s">
        <v>97</v>
      </c>
      <c r="L2454" t="s">
        <v>1273</v>
      </c>
      <c r="M2454">
        <v>11</v>
      </c>
      <c r="P2454" s="13">
        <v>131</v>
      </c>
      <c r="Q2454" s="13">
        <v>29</v>
      </c>
      <c r="R2454">
        <v>22</v>
      </c>
      <c r="S2454">
        <v>26</v>
      </c>
      <c r="T2454" s="13">
        <v>24</v>
      </c>
      <c r="U2454" s="13">
        <v>36</v>
      </c>
      <c r="V2454" t="s">
        <v>99</v>
      </c>
      <c r="X2454" s="13">
        <v>131</v>
      </c>
    </row>
    <row r="2455" spans="1:24" x14ac:dyDescent="0.25">
      <c r="A2455" t="s">
        <v>2202</v>
      </c>
      <c r="B2455" t="s">
        <v>65</v>
      </c>
      <c r="C2455" t="s">
        <v>2168</v>
      </c>
      <c r="D2455" t="s">
        <v>2169</v>
      </c>
      <c r="E2455" t="s">
        <v>2170</v>
      </c>
      <c r="F2455" t="s">
        <v>94</v>
      </c>
      <c r="G2455" t="s">
        <v>277</v>
      </c>
      <c r="H2455" s="12">
        <v>6.8483000000000001</v>
      </c>
      <c r="I2455" s="12">
        <v>-75.681700000000006</v>
      </c>
      <c r="J2455" t="s">
        <v>2171</v>
      </c>
      <c r="K2455" t="s">
        <v>97</v>
      </c>
      <c r="L2455" t="s">
        <v>1273</v>
      </c>
      <c r="M2455">
        <v>11</v>
      </c>
      <c r="P2455" s="13">
        <v>130</v>
      </c>
      <c r="Q2455" s="13">
        <v>27</v>
      </c>
      <c r="R2455">
        <v>30</v>
      </c>
      <c r="S2455">
        <v>20</v>
      </c>
      <c r="T2455" s="13">
        <v>29</v>
      </c>
      <c r="U2455" s="13">
        <v>20</v>
      </c>
      <c r="V2455" t="s">
        <v>99</v>
      </c>
      <c r="X2455" s="13">
        <v>130</v>
      </c>
    </row>
    <row r="2456" spans="1:24" x14ac:dyDescent="0.25">
      <c r="A2456" t="s">
        <v>2203</v>
      </c>
      <c r="B2456" t="s">
        <v>65</v>
      </c>
      <c r="C2456" t="s">
        <v>2168</v>
      </c>
      <c r="D2456" t="s">
        <v>2169</v>
      </c>
      <c r="E2456" t="s">
        <v>2170</v>
      </c>
      <c r="F2456" t="s">
        <v>94</v>
      </c>
      <c r="G2456" t="s">
        <v>277</v>
      </c>
      <c r="H2456" s="12">
        <v>6.8483000000000001</v>
      </c>
      <c r="I2456" s="12">
        <v>-75.681700000000006</v>
      </c>
      <c r="J2456" t="s">
        <v>2171</v>
      </c>
      <c r="K2456" t="s">
        <v>97</v>
      </c>
      <c r="L2456" t="s">
        <v>1273</v>
      </c>
      <c r="M2456">
        <v>11</v>
      </c>
      <c r="P2456" s="13">
        <v>129</v>
      </c>
      <c r="Q2456" s="13">
        <v>29</v>
      </c>
      <c r="R2456">
        <v>20</v>
      </c>
      <c r="S2456">
        <v>36</v>
      </c>
      <c r="T2456" s="13">
        <v>17</v>
      </c>
      <c r="U2456" s="13">
        <v>29</v>
      </c>
      <c r="V2456" t="s">
        <v>99</v>
      </c>
      <c r="X2456" s="13">
        <v>129</v>
      </c>
    </row>
    <row r="2457" spans="1:24" x14ac:dyDescent="0.25">
      <c r="A2457" t="s">
        <v>2204</v>
      </c>
      <c r="B2457" t="s">
        <v>65</v>
      </c>
      <c r="C2457" t="s">
        <v>2168</v>
      </c>
      <c r="D2457" t="s">
        <v>2169</v>
      </c>
      <c r="E2457" t="s">
        <v>2170</v>
      </c>
      <c r="F2457" t="s">
        <v>94</v>
      </c>
      <c r="G2457" t="s">
        <v>277</v>
      </c>
      <c r="H2457" s="12">
        <v>6.8483000000000001</v>
      </c>
      <c r="I2457" s="12">
        <v>-75.681700000000006</v>
      </c>
      <c r="J2457" t="s">
        <v>2171</v>
      </c>
      <c r="K2457" t="s">
        <v>97</v>
      </c>
      <c r="L2457" t="s">
        <v>1273</v>
      </c>
      <c r="M2457">
        <v>11</v>
      </c>
      <c r="P2457" s="13">
        <v>128</v>
      </c>
      <c r="Q2457" s="13">
        <v>27</v>
      </c>
      <c r="R2457">
        <v>16</v>
      </c>
      <c r="S2457">
        <v>36</v>
      </c>
      <c r="T2457" s="13">
        <v>28</v>
      </c>
      <c r="U2457" s="13">
        <v>15</v>
      </c>
      <c r="V2457" t="s">
        <v>99</v>
      </c>
      <c r="X2457" s="13">
        <v>128</v>
      </c>
    </row>
    <row r="2458" spans="1:24" x14ac:dyDescent="0.25">
      <c r="A2458" t="s">
        <v>2205</v>
      </c>
      <c r="B2458" t="s">
        <v>65</v>
      </c>
      <c r="C2458" t="s">
        <v>2168</v>
      </c>
      <c r="D2458" t="s">
        <v>2169</v>
      </c>
      <c r="E2458" t="s">
        <v>2170</v>
      </c>
      <c r="F2458" t="s">
        <v>94</v>
      </c>
      <c r="G2458" t="s">
        <v>277</v>
      </c>
      <c r="H2458" s="12">
        <v>6.8483000000000001</v>
      </c>
      <c r="I2458" s="12">
        <v>-75.681700000000006</v>
      </c>
      <c r="J2458" t="s">
        <v>2171</v>
      </c>
      <c r="K2458" t="s">
        <v>97</v>
      </c>
      <c r="L2458" t="s">
        <v>1273</v>
      </c>
      <c r="M2458">
        <v>11</v>
      </c>
      <c r="P2458" s="13">
        <v>127</v>
      </c>
      <c r="Q2458" s="13">
        <v>22</v>
      </c>
      <c r="R2458">
        <v>32</v>
      </c>
      <c r="S2458">
        <v>26</v>
      </c>
      <c r="T2458" s="13">
        <v>19</v>
      </c>
      <c r="U2458" s="13">
        <v>33</v>
      </c>
      <c r="V2458" t="s">
        <v>99</v>
      </c>
      <c r="X2458" s="13">
        <v>127</v>
      </c>
    </row>
    <row r="2459" spans="1:24" x14ac:dyDescent="0.25">
      <c r="A2459" t="s">
        <v>2206</v>
      </c>
      <c r="B2459" t="s">
        <v>65</v>
      </c>
      <c r="C2459" t="s">
        <v>2168</v>
      </c>
      <c r="D2459" t="s">
        <v>2169</v>
      </c>
      <c r="E2459" t="s">
        <v>2170</v>
      </c>
      <c r="F2459" t="s">
        <v>94</v>
      </c>
      <c r="G2459" t="s">
        <v>277</v>
      </c>
      <c r="H2459" s="12">
        <v>6.8483000000000001</v>
      </c>
      <c r="I2459" s="12">
        <v>-75.681700000000006</v>
      </c>
      <c r="J2459" t="s">
        <v>2171</v>
      </c>
      <c r="K2459" t="s">
        <v>97</v>
      </c>
      <c r="L2459" t="s">
        <v>1273</v>
      </c>
      <c r="M2459">
        <v>11</v>
      </c>
      <c r="P2459" s="13">
        <v>111</v>
      </c>
      <c r="Q2459" s="13">
        <v>10</v>
      </c>
      <c r="R2459">
        <v>26</v>
      </c>
      <c r="S2459">
        <v>26</v>
      </c>
      <c r="T2459" s="13">
        <v>28</v>
      </c>
      <c r="U2459" s="13">
        <v>22</v>
      </c>
      <c r="V2459" t="s">
        <v>99</v>
      </c>
      <c r="X2459" s="13">
        <v>111</v>
      </c>
    </row>
    <row r="2460" spans="1:24" x14ac:dyDescent="0.25">
      <c r="A2460" t="s">
        <v>2207</v>
      </c>
      <c r="B2460" t="s">
        <v>65</v>
      </c>
      <c r="C2460" t="s">
        <v>2208</v>
      </c>
      <c r="D2460" t="s">
        <v>2209</v>
      </c>
      <c r="E2460" t="s">
        <v>2210</v>
      </c>
      <c r="F2460" t="s">
        <v>94</v>
      </c>
      <c r="G2460" t="s">
        <v>277</v>
      </c>
      <c r="H2460" s="12">
        <v>6.4863999999999997</v>
      </c>
      <c r="I2460" s="12">
        <v>-74.760000000000005</v>
      </c>
      <c r="J2460" t="s">
        <v>2211</v>
      </c>
      <c r="K2460" t="s">
        <v>97</v>
      </c>
      <c r="L2460" t="s">
        <v>1273</v>
      </c>
      <c r="M2460">
        <v>11</v>
      </c>
      <c r="P2460" s="13">
        <v>304</v>
      </c>
      <c r="Q2460" s="13">
        <v>73</v>
      </c>
      <c r="R2460">
        <v>46</v>
      </c>
      <c r="S2460">
        <v>60</v>
      </c>
      <c r="T2460" s="13">
        <v>64</v>
      </c>
      <c r="U2460" s="13">
        <v>62</v>
      </c>
      <c r="V2460" t="s">
        <v>99</v>
      </c>
      <c r="X2460" s="13">
        <v>304</v>
      </c>
    </row>
    <row r="2461" spans="1:24" x14ac:dyDescent="0.25">
      <c r="A2461" t="s">
        <v>2212</v>
      </c>
      <c r="B2461" t="s">
        <v>65</v>
      </c>
      <c r="C2461" t="s">
        <v>2208</v>
      </c>
      <c r="D2461" t="s">
        <v>2209</v>
      </c>
      <c r="E2461" t="s">
        <v>2210</v>
      </c>
      <c r="F2461" t="s">
        <v>94</v>
      </c>
      <c r="G2461" t="s">
        <v>277</v>
      </c>
      <c r="H2461" s="12">
        <v>6.4863999999999997</v>
      </c>
      <c r="I2461" s="12">
        <v>-74.760000000000005</v>
      </c>
      <c r="J2461" t="s">
        <v>2211</v>
      </c>
      <c r="K2461" t="s">
        <v>97</v>
      </c>
      <c r="L2461" t="s">
        <v>1273</v>
      </c>
      <c r="M2461">
        <v>11</v>
      </c>
      <c r="P2461" s="13">
        <v>292</v>
      </c>
      <c r="Q2461" s="13">
        <v>68</v>
      </c>
      <c r="R2461">
        <v>42</v>
      </c>
      <c r="S2461">
        <v>64</v>
      </c>
      <c r="T2461" s="13">
        <v>60</v>
      </c>
      <c r="U2461" s="13">
        <v>55</v>
      </c>
      <c r="V2461" t="s">
        <v>99</v>
      </c>
      <c r="X2461" s="13">
        <v>292</v>
      </c>
    </row>
    <row r="2462" spans="1:24" x14ac:dyDescent="0.25">
      <c r="A2462" t="s">
        <v>2213</v>
      </c>
      <c r="B2462" t="s">
        <v>65</v>
      </c>
      <c r="C2462" t="s">
        <v>2208</v>
      </c>
      <c r="D2462" t="s">
        <v>2209</v>
      </c>
      <c r="E2462" t="s">
        <v>2210</v>
      </c>
      <c r="F2462" t="s">
        <v>94</v>
      </c>
      <c r="G2462" t="s">
        <v>277</v>
      </c>
      <c r="H2462" s="12">
        <v>6.4863999999999997</v>
      </c>
      <c r="I2462" s="12">
        <v>-74.760000000000005</v>
      </c>
      <c r="J2462" t="s">
        <v>2211</v>
      </c>
      <c r="K2462" t="s">
        <v>97</v>
      </c>
      <c r="L2462" t="s">
        <v>1273</v>
      </c>
      <c r="M2462">
        <v>11</v>
      </c>
      <c r="P2462" s="13">
        <v>286</v>
      </c>
      <c r="Q2462" s="13">
        <v>63</v>
      </c>
      <c r="R2462">
        <v>42</v>
      </c>
      <c r="S2462">
        <v>64</v>
      </c>
      <c r="T2462" s="13">
        <v>60</v>
      </c>
      <c r="U2462" s="13">
        <v>55</v>
      </c>
      <c r="V2462" t="s">
        <v>99</v>
      </c>
      <c r="X2462" s="13">
        <v>286</v>
      </c>
    </row>
    <row r="2463" spans="1:24" x14ac:dyDescent="0.25">
      <c r="A2463" t="s">
        <v>2214</v>
      </c>
      <c r="B2463" t="s">
        <v>65</v>
      </c>
      <c r="C2463" t="s">
        <v>2208</v>
      </c>
      <c r="D2463" t="s">
        <v>2209</v>
      </c>
      <c r="E2463" t="s">
        <v>2210</v>
      </c>
      <c r="F2463" t="s">
        <v>94</v>
      </c>
      <c r="G2463" t="s">
        <v>277</v>
      </c>
      <c r="H2463" s="12">
        <v>6.4863999999999997</v>
      </c>
      <c r="I2463" s="12">
        <v>-74.760000000000005</v>
      </c>
      <c r="J2463" t="s">
        <v>2211</v>
      </c>
      <c r="K2463" t="s">
        <v>97</v>
      </c>
      <c r="L2463" t="s">
        <v>1273</v>
      </c>
      <c r="M2463">
        <v>11</v>
      </c>
      <c r="P2463" s="13">
        <v>283</v>
      </c>
      <c r="Q2463" s="13">
        <v>63</v>
      </c>
      <c r="R2463">
        <v>42</v>
      </c>
      <c r="S2463">
        <v>64</v>
      </c>
      <c r="T2463" s="13">
        <v>60</v>
      </c>
      <c r="U2463" s="13">
        <v>45</v>
      </c>
      <c r="V2463" t="s">
        <v>99</v>
      </c>
      <c r="X2463" s="13">
        <v>283</v>
      </c>
    </row>
    <row r="2464" spans="1:24" x14ac:dyDescent="0.25">
      <c r="A2464" t="s">
        <v>2215</v>
      </c>
      <c r="B2464" t="s">
        <v>65</v>
      </c>
      <c r="C2464" t="s">
        <v>2208</v>
      </c>
      <c r="D2464" t="s">
        <v>2209</v>
      </c>
      <c r="E2464" t="s">
        <v>2210</v>
      </c>
      <c r="F2464" t="s">
        <v>94</v>
      </c>
      <c r="G2464" t="s">
        <v>277</v>
      </c>
      <c r="H2464" s="12">
        <v>6.4863999999999997</v>
      </c>
      <c r="I2464" s="12">
        <v>-74.760000000000005</v>
      </c>
      <c r="J2464" t="s">
        <v>2211</v>
      </c>
      <c r="K2464" t="s">
        <v>97</v>
      </c>
      <c r="L2464" t="s">
        <v>1273</v>
      </c>
      <c r="M2464">
        <v>11</v>
      </c>
      <c r="P2464" s="13">
        <v>275</v>
      </c>
      <c r="Q2464" s="13">
        <v>56</v>
      </c>
      <c r="R2464">
        <v>46</v>
      </c>
      <c r="S2464">
        <v>64</v>
      </c>
      <c r="T2464" s="13">
        <v>48</v>
      </c>
      <c r="U2464" s="13">
        <v>73</v>
      </c>
      <c r="V2464" t="s">
        <v>99</v>
      </c>
      <c r="X2464" s="13">
        <v>275</v>
      </c>
    </row>
    <row r="2465" spans="1:24" x14ac:dyDescent="0.25">
      <c r="A2465" t="s">
        <v>2216</v>
      </c>
      <c r="B2465" t="s">
        <v>65</v>
      </c>
      <c r="C2465" t="s">
        <v>2208</v>
      </c>
      <c r="D2465" t="s">
        <v>2209</v>
      </c>
      <c r="E2465" t="s">
        <v>2210</v>
      </c>
      <c r="F2465" t="s">
        <v>94</v>
      </c>
      <c r="G2465" t="s">
        <v>277</v>
      </c>
      <c r="H2465" s="12">
        <v>6.4863999999999997</v>
      </c>
      <c r="I2465" s="12">
        <v>-74.760000000000005</v>
      </c>
      <c r="J2465" t="s">
        <v>2211</v>
      </c>
      <c r="K2465" t="s">
        <v>97</v>
      </c>
      <c r="L2465" t="s">
        <v>1273</v>
      </c>
      <c r="M2465">
        <v>11</v>
      </c>
      <c r="P2465" s="13">
        <v>263</v>
      </c>
      <c r="Q2465" s="13">
        <v>63</v>
      </c>
      <c r="R2465">
        <v>28</v>
      </c>
      <c r="S2465">
        <v>62</v>
      </c>
      <c r="T2465" s="13">
        <v>59</v>
      </c>
      <c r="U2465" s="13">
        <v>47</v>
      </c>
      <c r="V2465" t="s">
        <v>99</v>
      </c>
      <c r="X2465" s="13">
        <v>263</v>
      </c>
    </row>
    <row r="2466" spans="1:24" x14ac:dyDescent="0.25">
      <c r="A2466" t="s">
        <v>2217</v>
      </c>
      <c r="B2466" t="s">
        <v>65</v>
      </c>
      <c r="C2466" t="s">
        <v>2208</v>
      </c>
      <c r="D2466" t="s">
        <v>2209</v>
      </c>
      <c r="E2466" t="s">
        <v>2210</v>
      </c>
      <c r="F2466" t="s">
        <v>94</v>
      </c>
      <c r="G2466" t="s">
        <v>277</v>
      </c>
      <c r="H2466" s="12">
        <v>6.4863999999999997</v>
      </c>
      <c r="I2466" s="12">
        <v>-74.760000000000005</v>
      </c>
      <c r="J2466" t="s">
        <v>2211</v>
      </c>
      <c r="K2466" t="s">
        <v>97</v>
      </c>
      <c r="L2466" t="s">
        <v>1273</v>
      </c>
      <c r="M2466">
        <v>11</v>
      </c>
      <c r="P2466" s="13">
        <v>261</v>
      </c>
      <c r="Q2466" s="13">
        <v>59</v>
      </c>
      <c r="R2466">
        <v>50</v>
      </c>
      <c r="S2466">
        <v>54</v>
      </c>
      <c r="T2466" s="13">
        <v>40</v>
      </c>
      <c r="U2466" s="13">
        <v>71</v>
      </c>
      <c r="V2466" t="s">
        <v>99</v>
      </c>
      <c r="X2466" s="13">
        <v>261</v>
      </c>
    </row>
    <row r="2467" spans="1:24" x14ac:dyDescent="0.25">
      <c r="A2467" t="s">
        <v>2218</v>
      </c>
      <c r="B2467" t="s">
        <v>65</v>
      </c>
      <c r="C2467" t="s">
        <v>2208</v>
      </c>
      <c r="D2467" t="s">
        <v>2209</v>
      </c>
      <c r="E2467" t="s">
        <v>2210</v>
      </c>
      <c r="F2467" t="s">
        <v>94</v>
      </c>
      <c r="G2467" t="s">
        <v>277</v>
      </c>
      <c r="H2467" s="12">
        <v>6.4863999999999997</v>
      </c>
      <c r="I2467" s="12">
        <v>-74.760000000000005</v>
      </c>
      <c r="J2467" t="s">
        <v>2211</v>
      </c>
      <c r="K2467" t="s">
        <v>97</v>
      </c>
      <c r="L2467" t="s">
        <v>1273</v>
      </c>
      <c r="M2467">
        <v>11</v>
      </c>
      <c r="P2467" s="13">
        <v>256</v>
      </c>
      <c r="Q2467" s="13">
        <v>49</v>
      </c>
      <c r="R2467">
        <v>44</v>
      </c>
      <c r="S2467">
        <v>64</v>
      </c>
      <c r="T2467" s="13">
        <v>45</v>
      </c>
      <c r="U2467" s="13">
        <v>62</v>
      </c>
      <c r="V2467" t="s">
        <v>99</v>
      </c>
      <c r="X2467" s="13">
        <v>256</v>
      </c>
    </row>
    <row r="2468" spans="1:24" x14ac:dyDescent="0.25">
      <c r="A2468" t="s">
        <v>2219</v>
      </c>
      <c r="B2468" t="s">
        <v>65</v>
      </c>
      <c r="C2468" t="s">
        <v>2208</v>
      </c>
      <c r="D2468" t="s">
        <v>2209</v>
      </c>
      <c r="E2468" t="s">
        <v>2210</v>
      </c>
      <c r="F2468" t="s">
        <v>94</v>
      </c>
      <c r="G2468" t="s">
        <v>277</v>
      </c>
      <c r="H2468" s="12">
        <v>6.4863999999999997</v>
      </c>
      <c r="I2468" s="12">
        <v>-74.760000000000005</v>
      </c>
      <c r="J2468" t="s">
        <v>2211</v>
      </c>
      <c r="K2468" t="s">
        <v>97</v>
      </c>
      <c r="L2468" t="s">
        <v>1273</v>
      </c>
      <c r="M2468">
        <v>11</v>
      </c>
      <c r="P2468" s="13">
        <v>256</v>
      </c>
      <c r="Q2468" s="13">
        <v>61</v>
      </c>
      <c r="R2468">
        <v>40</v>
      </c>
      <c r="S2468">
        <v>48</v>
      </c>
      <c r="T2468" s="13">
        <v>53</v>
      </c>
      <c r="U2468" s="13">
        <v>58</v>
      </c>
      <c r="V2468" t="s">
        <v>99</v>
      </c>
      <c r="X2468" s="13">
        <v>256</v>
      </c>
    </row>
    <row r="2469" spans="1:24" x14ac:dyDescent="0.25">
      <c r="A2469" t="s">
        <v>2220</v>
      </c>
      <c r="B2469" t="s">
        <v>65</v>
      </c>
      <c r="C2469" t="s">
        <v>2208</v>
      </c>
      <c r="D2469" t="s">
        <v>2209</v>
      </c>
      <c r="E2469" t="s">
        <v>2210</v>
      </c>
      <c r="F2469" t="s">
        <v>94</v>
      </c>
      <c r="G2469" t="s">
        <v>277</v>
      </c>
      <c r="H2469" s="12">
        <v>6.4863999999999997</v>
      </c>
      <c r="I2469" s="12">
        <v>-74.760000000000005</v>
      </c>
      <c r="J2469" t="s">
        <v>2211</v>
      </c>
      <c r="K2469" t="s">
        <v>97</v>
      </c>
      <c r="L2469" t="s">
        <v>1273</v>
      </c>
      <c r="M2469">
        <v>11</v>
      </c>
      <c r="P2469" s="13">
        <v>254</v>
      </c>
      <c r="Q2469" s="13">
        <v>61</v>
      </c>
      <c r="R2469">
        <v>44</v>
      </c>
      <c r="S2469">
        <v>62</v>
      </c>
      <c r="T2469" s="13">
        <v>36</v>
      </c>
      <c r="U2469" s="13">
        <v>51</v>
      </c>
      <c r="V2469" t="s">
        <v>99</v>
      </c>
      <c r="X2469" s="13">
        <v>254</v>
      </c>
    </row>
    <row r="2470" spans="1:24" x14ac:dyDescent="0.25">
      <c r="A2470" t="s">
        <v>2221</v>
      </c>
      <c r="B2470" t="s">
        <v>65</v>
      </c>
      <c r="C2470" t="s">
        <v>2208</v>
      </c>
      <c r="D2470" t="s">
        <v>2209</v>
      </c>
      <c r="E2470" t="s">
        <v>2210</v>
      </c>
      <c r="F2470" t="s">
        <v>94</v>
      </c>
      <c r="G2470" t="s">
        <v>277</v>
      </c>
      <c r="H2470" s="12">
        <v>6.4863999999999997</v>
      </c>
      <c r="I2470" s="12">
        <v>-74.760000000000005</v>
      </c>
      <c r="J2470" t="s">
        <v>2211</v>
      </c>
      <c r="K2470" t="s">
        <v>97</v>
      </c>
      <c r="L2470" t="s">
        <v>1273</v>
      </c>
      <c r="M2470">
        <v>11</v>
      </c>
      <c r="P2470" s="13">
        <v>252</v>
      </c>
      <c r="Q2470" s="13">
        <v>63</v>
      </c>
      <c r="R2470">
        <v>34</v>
      </c>
      <c r="S2470">
        <v>70</v>
      </c>
      <c r="T2470" s="13">
        <v>34</v>
      </c>
      <c r="U2470" s="13">
        <v>49</v>
      </c>
      <c r="V2470" t="s">
        <v>99</v>
      </c>
      <c r="X2470" s="13">
        <v>252</v>
      </c>
    </row>
    <row r="2471" spans="1:24" x14ac:dyDescent="0.25">
      <c r="A2471" t="s">
        <v>2222</v>
      </c>
      <c r="B2471" t="s">
        <v>65</v>
      </c>
      <c r="C2471" t="s">
        <v>2208</v>
      </c>
      <c r="D2471" t="s">
        <v>2209</v>
      </c>
      <c r="E2471" t="s">
        <v>2210</v>
      </c>
      <c r="F2471" t="s">
        <v>94</v>
      </c>
      <c r="G2471" t="s">
        <v>277</v>
      </c>
      <c r="H2471" s="12">
        <v>6.4863999999999997</v>
      </c>
      <c r="I2471" s="12">
        <v>-74.760000000000005</v>
      </c>
      <c r="J2471" t="s">
        <v>2211</v>
      </c>
      <c r="K2471" t="s">
        <v>97</v>
      </c>
      <c r="L2471" t="s">
        <v>1273</v>
      </c>
      <c r="M2471">
        <v>11</v>
      </c>
      <c r="P2471" s="13">
        <v>249</v>
      </c>
      <c r="Q2471" s="13">
        <v>49</v>
      </c>
      <c r="R2471">
        <v>46</v>
      </c>
      <c r="S2471">
        <v>50</v>
      </c>
      <c r="T2471" s="13">
        <v>52</v>
      </c>
      <c r="U2471" s="13">
        <v>58</v>
      </c>
      <c r="V2471" t="s">
        <v>99</v>
      </c>
      <c r="X2471" s="13">
        <v>249</v>
      </c>
    </row>
    <row r="2472" spans="1:24" x14ac:dyDescent="0.25">
      <c r="A2472" t="s">
        <v>2223</v>
      </c>
      <c r="B2472" t="s">
        <v>65</v>
      </c>
      <c r="C2472" t="s">
        <v>2208</v>
      </c>
      <c r="D2472" t="s">
        <v>2209</v>
      </c>
      <c r="E2472" t="s">
        <v>2210</v>
      </c>
      <c r="F2472" t="s">
        <v>94</v>
      </c>
      <c r="G2472" t="s">
        <v>277</v>
      </c>
      <c r="H2472" s="12">
        <v>6.4863999999999997</v>
      </c>
      <c r="I2472" s="12">
        <v>-74.760000000000005</v>
      </c>
      <c r="J2472" t="s">
        <v>2211</v>
      </c>
      <c r="K2472" t="s">
        <v>97</v>
      </c>
      <c r="L2472" t="s">
        <v>1273</v>
      </c>
      <c r="M2472">
        <v>11</v>
      </c>
      <c r="P2472" s="13">
        <v>248</v>
      </c>
      <c r="Q2472" s="13">
        <v>63</v>
      </c>
      <c r="R2472">
        <v>36</v>
      </c>
      <c r="S2472">
        <v>44</v>
      </c>
      <c r="T2472" s="13">
        <v>52</v>
      </c>
      <c r="U2472" s="13">
        <v>58</v>
      </c>
      <c r="V2472" t="s">
        <v>99</v>
      </c>
      <c r="X2472" s="13">
        <v>248</v>
      </c>
    </row>
    <row r="2473" spans="1:24" x14ac:dyDescent="0.25">
      <c r="A2473" t="s">
        <v>2224</v>
      </c>
      <c r="B2473" t="s">
        <v>65</v>
      </c>
      <c r="C2473" t="s">
        <v>2208</v>
      </c>
      <c r="D2473" t="s">
        <v>2209</v>
      </c>
      <c r="E2473" t="s">
        <v>2210</v>
      </c>
      <c r="F2473" t="s">
        <v>94</v>
      </c>
      <c r="G2473" t="s">
        <v>277</v>
      </c>
      <c r="H2473" s="12">
        <v>6.4863999999999997</v>
      </c>
      <c r="I2473" s="12">
        <v>-74.760000000000005</v>
      </c>
      <c r="J2473" t="s">
        <v>2211</v>
      </c>
      <c r="K2473" t="s">
        <v>97</v>
      </c>
      <c r="L2473" t="s">
        <v>1273</v>
      </c>
      <c r="M2473">
        <v>11</v>
      </c>
      <c r="P2473" s="13">
        <v>244</v>
      </c>
      <c r="Q2473" s="13">
        <v>61</v>
      </c>
      <c r="R2473">
        <v>48</v>
      </c>
      <c r="S2473">
        <v>56</v>
      </c>
      <c r="T2473" s="13">
        <v>28</v>
      </c>
      <c r="U2473" s="13">
        <v>56</v>
      </c>
      <c r="V2473" t="s">
        <v>99</v>
      </c>
      <c r="X2473" s="13">
        <v>244</v>
      </c>
    </row>
    <row r="2474" spans="1:24" x14ac:dyDescent="0.25">
      <c r="A2474" t="s">
        <v>2225</v>
      </c>
      <c r="B2474" t="s">
        <v>65</v>
      </c>
      <c r="C2474" t="s">
        <v>2208</v>
      </c>
      <c r="D2474" t="s">
        <v>2209</v>
      </c>
      <c r="E2474" t="s">
        <v>2210</v>
      </c>
      <c r="F2474" t="s">
        <v>94</v>
      </c>
      <c r="G2474" t="s">
        <v>277</v>
      </c>
      <c r="H2474" s="12">
        <v>6.4863999999999997</v>
      </c>
      <c r="I2474" s="12">
        <v>-74.760000000000005</v>
      </c>
      <c r="J2474" t="s">
        <v>2211</v>
      </c>
      <c r="K2474" t="s">
        <v>97</v>
      </c>
      <c r="L2474" t="s">
        <v>1273</v>
      </c>
      <c r="M2474">
        <v>11</v>
      </c>
      <c r="P2474" s="13">
        <v>240</v>
      </c>
      <c r="Q2474" s="13">
        <v>44</v>
      </c>
      <c r="R2474">
        <v>32</v>
      </c>
      <c r="S2474">
        <v>62</v>
      </c>
      <c r="T2474" s="13">
        <v>52</v>
      </c>
      <c r="U2474" s="13">
        <v>56</v>
      </c>
      <c r="V2474" t="s">
        <v>99</v>
      </c>
      <c r="X2474" s="13">
        <v>240</v>
      </c>
    </row>
    <row r="2475" spans="1:24" x14ac:dyDescent="0.25">
      <c r="A2475" t="s">
        <v>2226</v>
      </c>
      <c r="B2475" t="s">
        <v>65</v>
      </c>
      <c r="C2475" t="s">
        <v>2208</v>
      </c>
      <c r="D2475" t="s">
        <v>2209</v>
      </c>
      <c r="E2475" t="s">
        <v>2210</v>
      </c>
      <c r="F2475" t="s">
        <v>94</v>
      </c>
      <c r="G2475" t="s">
        <v>277</v>
      </c>
      <c r="H2475" s="12">
        <v>6.4863999999999997</v>
      </c>
      <c r="I2475" s="12">
        <v>-74.760000000000005</v>
      </c>
      <c r="J2475" t="s">
        <v>2211</v>
      </c>
      <c r="K2475" t="s">
        <v>97</v>
      </c>
      <c r="L2475" t="s">
        <v>1273</v>
      </c>
      <c r="M2475">
        <v>11</v>
      </c>
      <c r="P2475" s="13">
        <v>236</v>
      </c>
      <c r="Q2475" s="13">
        <v>63</v>
      </c>
      <c r="R2475">
        <v>32</v>
      </c>
      <c r="S2475">
        <v>56</v>
      </c>
      <c r="T2475" s="13">
        <v>41</v>
      </c>
      <c r="U2475" s="13">
        <v>36</v>
      </c>
      <c r="V2475" t="s">
        <v>99</v>
      </c>
      <c r="X2475" s="13">
        <v>236</v>
      </c>
    </row>
    <row r="2476" spans="1:24" x14ac:dyDescent="0.25">
      <c r="A2476" t="s">
        <v>2227</v>
      </c>
      <c r="B2476" t="s">
        <v>65</v>
      </c>
      <c r="C2476" t="s">
        <v>2208</v>
      </c>
      <c r="D2476" t="s">
        <v>2209</v>
      </c>
      <c r="E2476" t="s">
        <v>2210</v>
      </c>
      <c r="F2476" t="s">
        <v>94</v>
      </c>
      <c r="G2476" t="s">
        <v>277</v>
      </c>
      <c r="H2476" s="12">
        <v>6.4863999999999997</v>
      </c>
      <c r="I2476" s="12">
        <v>-74.760000000000005</v>
      </c>
      <c r="J2476" t="s">
        <v>2211</v>
      </c>
      <c r="K2476" t="s">
        <v>97</v>
      </c>
      <c r="L2476" t="s">
        <v>1273</v>
      </c>
      <c r="M2476">
        <v>11</v>
      </c>
      <c r="P2476" s="13">
        <v>232</v>
      </c>
      <c r="Q2476" s="13">
        <v>51</v>
      </c>
      <c r="R2476">
        <v>38</v>
      </c>
      <c r="S2476">
        <v>40</v>
      </c>
      <c r="T2476" s="13">
        <v>55</v>
      </c>
      <c r="U2476" s="13">
        <v>49</v>
      </c>
      <c r="V2476" t="s">
        <v>99</v>
      </c>
      <c r="X2476" s="13">
        <v>232</v>
      </c>
    </row>
    <row r="2477" spans="1:24" x14ac:dyDescent="0.25">
      <c r="A2477" t="s">
        <v>2228</v>
      </c>
      <c r="B2477" t="s">
        <v>65</v>
      </c>
      <c r="C2477" t="s">
        <v>2208</v>
      </c>
      <c r="D2477" t="s">
        <v>2209</v>
      </c>
      <c r="E2477" t="s">
        <v>2210</v>
      </c>
      <c r="F2477" t="s">
        <v>94</v>
      </c>
      <c r="G2477" t="s">
        <v>277</v>
      </c>
      <c r="H2477" s="12">
        <v>6.4863999999999997</v>
      </c>
      <c r="I2477" s="12">
        <v>-74.760000000000005</v>
      </c>
      <c r="J2477" t="s">
        <v>2211</v>
      </c>
      <c r="K2477" t="s">
        <v>97</v>
      </c>
      <c r="L2477" t="s">
        <v>1273</v>
      </c>
      <c r="M2477">
        <v>11</v>
      </c>
      <c r="P2477" s="13">
        <v>217</v>
      </c>
      <c r="Q2477" s="13">
        <v>41</v>
      </c>
      <c r="R2477">
        <v>26</v>
      </c>
      <c r="S2477">
        <v>52</v>
      </c>
      <c r="T2477" s="13">
        <v>52</v>
      </c>
      <c r="U2477" s="13">
        <v>51</v>
      </c>
      <c r="V2477" t="s">
        <v>99</v>
      </c>
      <c r="X2477" s="13">
        <v>217</v>
      </c>
    </row>
    <row r="2478" spans="1:24" x14ac:dyDescent="0.25">
      <c r="A2478" t="s">
        <v>2229</v>
      </c>
      <c r="B2478" t="s">
        <v>65</v>
      </c>
      <c r="C2478" t="s">
        <v>2208</v>
      </c>
      <c r="D2478" t="s">
        <v>2209</v>
      </c>
      <c r="E2478" t="s">
        <v>2210</v>
      </c>
      <c r="F2478" t="s">
        <v>94</v>
      </c>
      <c r="G2478" t="s">
        <v>277</v>
      </c>
      <c r="H2478" s="12">
        <v>6.4863999999999997</v>
      </c>
      <c r="I2478" s="12">
        <v>-74.760000000000005</v>
      </c>
      <c r="J2478" t="s">
        <v>2211</v>
      </c>
      <c r="K2478" t="s">
        <v>97</v>
      </c>
      <c r="L2478" t="s">
        <v>1273</v>
      </c>
      <c r="M2478">
        <v>11</v>
      </c>
      <c r="P2478" s="13">
        <v>217</v>
      </c>
      <c r="Q2478" s="13">
        <v>34</v>
      </c>
      <c r="R2478">
        <v>48</v>
      </c>
      <c r="S2478">
        <v>54</v>
      </c>
      <c r="T2478" s="13">
        <v>36</v>
      </c>
      <c r="U2478" s="13">
        <v>47</v>
      </c>
      <c r="V2478" t="s">
        <v>99</v>
      </c>
      <c r="X2478" s="13">
        <v>217</v>
      </c>
    </row>
    <row r="2479" spans="1:24" x14ac:dyDescent="0.25">
      <c r="A2479" t="s">
        <v>2230</v>
      </c>
      <c r="B2479" t="s">
        <v>65</v>
      </c>
      <c r="C2479" t="s">
        <v>2208</v>
      </c>
      <c r="D2479" t="s">
        <v>2209</v>
      </c>
      <c r="E2479" t="s">
        <v>2210</v>
      </c>
      <c r="F2479" t="s">
        <v>94</v>
      </c>
      <c r="G2479" t="s">
        <v>277</v>
      </c>
      <c r="H2479" s="12">
        <v>6.4863999999999997</v>
      </c>
      <c r="I2479" s="12">
        <v>-74.760000000000005</v>
      </c>
      <c r="J2479" t="s">
        <v>2211</v>
      </c>
      <c r="K2479" t="s">
        <v>97</v>
      </c>
      <c r="L2479" t="s">
        <v>1273</v>
      </c>
      <c r="M2479">
        <v>11</v>
      </c>
      <c r="P2479" s="13">
        <v>209</v>
      </c>
      <c r="Q2479" s="13">
        <v>46</v>
      </c>
      <c r="R2479">
        <v>36</v>
      </c>
      <c r="S2479">
        <v>56</v>
      </c>
      <c r="T2479" s="13">
        <v>31</v>
      </c>
      <c r="U2479" s="13">
        <v>35</v>
      </c>
      <c r="V2479" t="s">
        <v>99</v>
      </c>
      <c r="X2479" s="13">
        <v>209</v>
      </c>
    </row>
    <row r="2480" spans="1:24" x14ac:dyDescent="0.25">
      <c r="A2480" t="s">
        <v>2231</v>
      </c>
      <c r="B2480" t="s">
        <v>65</v>
      </c>
      <c r="C2480" t="s">
        <v>2208</v>
      </c>
      <c r="D2480" t="s">
        <v>2209</v>
      </c>
      <c r="E2480" t="s">
        <v>2210</v>
      </c>
      <c r="F2480" t="s">
        <v>94</v>
      </c>
      <c r="G2480" t="s">
        <v>277</v>
      </c>
      <c r="H2480" s="12">
        <v>6.4863999999999997</v>
      </c>
      <c r="I2480" s="12">
        <v>-74.760000000000005</v>
      </c>
      <c r="J2480" t="s">
        <v>2211</v>
      </c>
      <c r="K2480" t="s">
        <v>97</v>
      </c>
      <c r="L2480" t="s">
        <v>1273</v>
      </c>
      <c r="M2480">
        <v>11</v>
      </c>
      <c r="P2480" s="13">
        <v>170</v>
      </c>
      <c r="Q2480" s="13">
        <v>61</v>
      </c>
      <c r="R2480">
        <v>16</v>
      </c>
      <c r="S2480">
        <v>32</v>
      </c>
      <c r="T2480" s="13">
        <v>38</v>
      </c>
      <c r="U2480" s="13">
        <v>0</v>
      </c>
      <c r="V2480" t="s">
        <v>99</v>
      </c>
      <c r="X2480" s="13">
        <v>170</v>
      </c>
    </row>
    <row r="2481" spans="1:24" x14ac:dyDescent="0.25">
      <c r="A2481" t="s">
        <v>2232</v>
      </c>
      <c r="B2481" t="s">
        <v>65</v>
      </c>
      <c r="C2481" t="s">
        <v>2208</v>
      </c>
      <c r="D2481" t="s">
        <v>2209</v>
      </c>
      <c r="E2481" t="s">
        <v>2210</v>
      </c>
      <c r="F2481" t="s">
        <v>94</v>
      </c>
      <c r="G2481" t="s">
        <v>277</v>
      </c>
      <c r="H2481" s="12">
        <v>6.4863999999999997</v>
      </c>
      <c r="I2481" s="12">
        <v>-74.760000000000005</v>
      </c>
      <c r="J2481" t="s">
        <v>2211</v>
      </c>
      <c r="K2481" t="s">
        <v>97</v>
      </c>
      <c r="L2481" t="s">
        <v>1273</v>
      </c>
      <c r="M2481">
        <v>11</v>
      </c>
      <c r="P2481" s="13">
        <v>166</v>
      </c>
      <c r="Q2481" s="13">
        <v>61</v>
      </c>
      <c r="R2481">
        <v>22</v>
      </c>
      <c r="S2481">
        <v>32</v>
      </c>
      <c r="T2481" s="13">
        <v>29</v>
      </c>
      <c r="U2481" s="13">
        <v>0</v>
      </c>
      <c r="V2481" t="s">
        <v>99</v>
      </c>
      <c r="X2481" s="13">
        <v>166</v>
      </c>
    </row>
    <row r="2482" spans="1:24" x14ac:dyDescent="0.25">
      <c r="A2482" t="s">
        <v>2233</v>
      </c>
      <c r="B2482" t="s">
        <v>65</v>
      </c>
      <c r="C2482" t="s">
        <v>2208</v>
      </c>
      <c r="D2482" t="s">
        <v>2209</v>
      </c>
      <c r="E2482" t="s">
        <v>2210</v>
      </c>
      <c r="F2482" t="s">
        <v>94</v>
      </c>
      <c r="G2482" t="s">
        <v>277</v>
      </c>
      <c r="H2482" s="12">
        <v>6.4863999999999997</v>
      </c>
      <c r="I2482" s="12">
        <v>-74.760000000000005</v>
      </c>
      <c r="J2482" t="s">
        <v>2211</v>
      </c>
      <c r="K2482" t="s">
        <v>97</v>
      </c>
      <c r="L2482" t="s">
        <v>1273</v>
      </c>
      <c r="M2482">
        <v>11</v>
      </c>
      <c r="P2482" s="13">
        <v>107</v>
      </c>
      <c r="Q2482" s="13">
        <v>41</v>
      </c>
      <c r="R2482">
        <v>14</v>
      </c>
      <c r="S2482">
        <v>22</v>
      </c>
      <c r="T2482" s="13">
        <v>16</v>
      </c>
      <c r="U2482" s="13">
        <v>0</v>
      </c>
      <c r="V2482" t="s">
        <v>99</v>
      </c>
      <c r="X2482" s="13">
        <v>107</v>
      </c>
    </row>
    <row r="2483" spans="1:24" x14ac:dyDescent="0.25">
      <c r="A2483" t="s">
        <v>2234</v>
      </c>
      <c r="B2483" t="s">
        <v>65</v>
      </c>
      <c r="C2483" t="s">
        <v>2208</v>
      </c>
      <c r="D2483" t="s">
        <v>2209</v>
      </c>
      <c r="E2483" t="s">
        <v>2210</v>
      </c>
      <c r="F2483" t="s">
        <v>94</v>
      </c>
      <c r="G2483" t="s">
        <v>277</v>
      </c>
      <c r="H2483" s="12">
        <v>6.4863999999999997</v>
      </c>
      <c r="I2483" s="12">
        <v>-74.760000000000005</v>
      </c>
      <c r="J2483" t="s">
        <v>2211</v>
      </c>
      <c r="K2483" t="s">
        <v>97</v>
      </c>
      <c r="L2483" t="s">
        <v>1273</v>
      </c>
      <c r="M2483">
        <v>11</v>
      </c>
      <c r="P2483" s="13">
        <v>98</v>
      </c>
      <c r="Q2483" s="13">
        <v>0</v>
      </c>
      <c r="R2483">
        <v>22</v>
      </c>
      <c r="S2483">
        <v>32</v>
      </c>
      <c r="T2483" s="13">
        <v>17</v>
      </c>
      <c r="U2483" s="13">
        <v>40</v>
      </c>
      <c r="V2483" t="s">
        <v>99</v>
      </c>
      <c r="X2483" s="13">
        <v>98</v>
      </c>
    </row>
    <row r="2484" spans="1:24" x14ac:dyDescent="0.25">
      <c r="A2484" t="s">
        <v>2235</v>
      </c>
      <c r="B2484" t="s">
        <v>65</v>
      </c>
      <c r="C2484" t="s">
        <v>2208</v>
      </c>
      <c r="D2484" t="s">
        <v>2209</v>
      </c>
      <c r="E2484" t="s">
        <v>2210</v>
      </c>
      <c r="F2484" t="s">
        <v>94</v>
      </c>
      <c r="G2484" t="s">
        <v>277</v>
      </c>
      <c r="H2484" s="12">
        <v>6.4863999999999997</v>
      </c>
      <c r="I2484" s="12">
        <v>-74.760000000000005</v>
      </c>
      <c r="J2484" t="s">
        <v>2211</v>
      </c>
      <c r="K2484" t="s">
        <v>97</v>
      </c>
      <c r="L2484" t="s">
        <v>1273</v>
      </c>
      <c r="M2484">
        <v>11</v>
      </c>
      <c r="P2484" s="13">
        <v>84</v>
      </c>
      <c r="Q2484" s="13">
        <v>0</v>
      </c>
      <c r="R2484">
        <v>8</v>
      </c>
      <c r="S2484">
        <v>32</v>
      </c>
      <c r="T2484" s="13">
        <v>19</v>
      </c>
      <c r="U2484" s="13">
        <v>42</v>
      </c>
      <c r="V2484" t="s">
        <v>99</v>
      </c>
      <c r="X2484" s="13">
        <v>84</v>
      </c>
    </row>
    <row r="2485" spans="1:24" x14ac:dyDescent="0.25">
      <c r="A2485" t="s">
        <v>2236</v>
      </c>
      <c r="B2485" t="s">
        <v>65</v>
      </c>
      <c r="C2485" t="s">
        <v>2208</v>
      </c>
      <c r="D2485" t="s">
        <v>2209</v>
      </c>
      <c r="E2485" t="s">
        <v>2210</v>
      </c>
      <c r="F2485" t="s">
        <v>94</v>
      </c>
      <c r="G2485" t="s">
        <v>277</v>
      </c>
      <c r="H2485" s="12">
        <v>6.4863999999999997</v>
      </c>
      <c r="I2485" s="12">
        <v>-74.760000000000005</v>
      </c>
      <c r="J2485" t="s">
        <v>2211</v>
      </c>
      <c r="K2485" t="s">
        <v>97</v>
      </c>
      <c r="L2485" t="s">
        <v>1273</v>
      </c>
      <c r="M2485">
        <v>11</v>
      </c>
      <c r="P2485" s="13">
        <v>71</v>
      </c>
      <c r="Q2485" s="13">
        <v>0</v>
      </c>
      <c r="R2485">
        <v>2</v>
      </c>
      <c r="S2485">
        <v>34</v>
      </c>
      <c r="T2485" s="13">
        <v>16</v>
      </c>
      <c r="U2485" s="13">
        <v>31</v>
      </c>
      <c r="V2485" t="s">
        <v>99</v>
      </c>
      <c r="X2485" s="13">
        <v>71</v>
      </c>
    </row>
    <row r="2486" spans="1:24" x14ac:dyDescent="0.25">
      <c r="A2486" t="s">
        <v>2237</v>
      </c>
      <c r="B2486" t="s">
        <v>65</v>
      </c>
      <c r="C2486" t="s">
        <v>2238</v>
      </c>
      <c r="D2486" t="s">
        <v>2239</v>
      </c>
      <c r="E2486" t="s">
        <v>2240</v>
      </c>
      <c r="F2486" t="s">
        <v>94</v>
      </c>
      <c r="G2486" t="s">
        <v>277</v>
      </c>
      <c r="H2486" s="12">
        <v>7.5758000000000001</v>
      </c>
      <c r="I2486" s="12">
        <v>-75.348600000000005</v>
      </c>
      <c r="J2486" t="s">
        <v>2241</v>
      </c>
      <c r="K2486" t="s">
        <v>97</v>
      </c>
      <c r="L2486" t="s">
        <v>1273</v>
      </c>
      <c r="M2486">
        <v>11</v>
      </c>
      <c r="P2486" s="13">
        <v>232</v>
      </c>
      <c r="Q2486" s="13">
        <v>59</v>
      </c>
      <c r="R2486">
        <v>34</v>
      </c>
      <c r="S2486">
        <v>54</v>
      </c>
      <c r="T2486" s="13">
        <v>41</v>
      </c>
      <c r="U2486" s="13">
        <v>38</v>
      </c>
      <c r="V2486" t="s">
        <v>99</v>
      </c>
      <c r="X2486" s="13">
        <v>232</v>
      </c>
    </row>
    <row r="2487" spans="1:24" x14ac:dyDescent="0.25">
      <c r="A2487" t="s">
        <v>2242</v>
      </c>
      <c r="B2487" t="s">
        <v>65</v>
      </c>
      <c r="C2487" t="s">
        <v>2238</v>
      </c>
      <c r="D2487" t="s">
        <v>2239</v>
      </c>
      <c r="E2487" t="s">
        <v>2240</v>
      </c>
      <c r="F2487" t="s">
        <v>94</v>
      </c>
      <c r="G2487" t="s">
        <v>277</v>
      </c>
      <c r="H2487" s="12">
        <v>7.5758000000000001</v>
      </c>
      <c r="I2487" s="12">
        <v>-75.348600000000005</v>
      </c>
      <c r="J2487" t="s">
        <v>2241</v>
      </c>
      <c r="K2487" t="s">
        <v>97</v>
      </c>
      <c r="L2487" t="s">
        <v>1273</v>
      </c>
      <c r="M2487">
        <v>11</v>
      </c>
      <c r="P2487" s="13">
        <v>222</v>
      </c>
      <c r="Q2487" s="13">
        <v>54</v>
      </c>
      <c r="R2487">
        <v>34</v>
      </c>
      <c r="S2487">
        <v>60</v>
      </c>
      <c r="T2487" s="13">
        <v>29</v>
      </c>
      <c r="U2487" s="13">
        <v>45</v>
      </c>
      <c r="V2487" t="s">
        <v>99</v>
      </c>
      <c r="X2487" s="13">
        <v>222</v>
      </c>
    </row>
    <row r="2488" spans="1:24" x14ac:dyDescent="0.25">
      <c r="A2488" t="s">
        <v>2243</v>
      </c>
      <c r="B2488" t="s">
        <v>65</v>
      </c>
      <c r="C2488" t="s">
        <v>2238</v>
      </c>
      <c r="D2488" t="s">
        <v>2239</v>
      </c>
      <c r="E2488" t="s">
        <v>2240</v>
      </c>
      <c r="F2488" t="s">
        <v>94</v>
      </c>
      <c r="G2488" t="s">
        <v>277</v>
      </c>
      <c r="H2488" s="12">
        <v>7.5758000000000001</v>
      </c>
      <c r="I2488" s="12">
        <v>-75.348600000000005</v>
      </c>
      <c r="J2488" t="s">
        <v>2241</v>
      </c>
      <c r="K2488" t="s">
        <v>97</v>
      </c>
      <c r="L2488" t="s">
        <v>1273</v>
      </c>
      <c r="M2488">
        <v>11</v>
      </c>
      <c r="P2488" s="13">
        <v>217</v>
      </c>
      <c r="Q2488" s="13">
        <v>56</v>
      </c>
      <c r="R2488">
        <v>22</v>
      </c>
      <c r="S2488">
        <v>64</v>
      </c>
      <c r="T2488" s="13">
        <v>31</v>
      </c>
      <c r="U2488" s="13">
        <v>44</v>
      </c>
      <c r="V2488" t="s">
        <v>99</v>
      </c>
      <c r="X2488" s="13">
        <v>217</v>
      </c>
    </row>
    <row r="2489" spans="1:24" x14ac:dyDescent="0.25">
      <c r="A2489" t="s">
        <v>2244</v>
      </c>
      <c r="B2489" t="s">
        <v>65</v>
      </c>
      <c r="C2489" t="s">
        <v>2238</v>
      </c>
      <c r="D2489" t="s">
        <v>2239</v>
      </c>
      <c r="E2489" t="s">
        <v>2240</v>
      </c>
      <c r="F2489" t="s">
        <v>94</v>
      </c>
      <c r="G2489" t="s">
        <v>277</v>
      </c>
      <c r="H2489" s="12">
        <v>7.5758000000000001</v>
      </c>
      <c r="I2489" s="12">
        <v>-75.348600000000005</v>
      </c>
      <c r="J2489" t="s">
        <v>2241</v>
      </c>
      <c r="K2489" t="s">
        <v>97</v>
      </c>
      <c r="L2489" t="s">
        <v>1273</v>
      </c>
      <c r="M2489">
        <v>11</v>
      </c>
      <c r="P2489" s="13">
        <v>209</v>
      </c>
      <c r="Q2489" s="13">
        <v>59</v>
      </c>
      <c r="R2489">
        <v>34</v>
      </c>
      <c r="S2489">
        <v>34</v>
      </c>
      <c r="T2489" s="13">
        <v>36</v>
      </c>
      <c r="U2489" s="13">
        <v>56</v>
      </c>
      <c r="V2489" t="s">
        <v>99</v>
      </c>
      <c r="X2489" s="13">
        <v>209</v>
      </c>
    </row>
    <row r="2490" spans="1:24" x14ac:dyDescent="0.25">
      <c r="A2490" t="s">
        <v>2245</v>
      </c>
      <c r="B2490" t="s">
        <v>65</v>
      </c>
      <c r="C2490" t="s">
        <v>2238</v>
      </c>
      <c r="D2490" t="s">
        <v>2239</v>
      </c>
      <c r="E2490" t="s">
        <v>2240</v>
      </c>
      <c r="F2490" t="s">
        <v>94</v>
      </c>
      <c r="G2490" t="s">
        <v>277</v>
      </c>
      <c r="H2490" s="12">
        <v>7.5758000000000001</v>
      </c>
      <c r="I2490" s="12">
        <v>-75.348600000000005</v>
      </c>
      <c r="J2490" t="s">
        <v>2241</v>
      </c>
      <c r="K2490" t="s">
        <v>97</v>
      </c>
      <c r="L2490" t="s">
        <v>1273</v>
      </c>
      <c r="M2490">
        <v>11</v>
      </c>
      <c r="P2490" s="13">
        <v>207</v>
      </c>
      <c r="Q2490" s="13">
        <v>56</v>
      </c>
      <c r="R2490">
        <v>38</v>
      </c>
      <c r="S2490">
        <v>48</v>
      </c>
      <c r="T2490" s="13">
        <v>24</v>
      </c>
      <c r="U2490" s="13">
        <v>40</v>
      </c>
      <c r="V2490" t="s">
        <v>99</v>
      </c>
      <c r="X2490" s="13">
        <v>207</v>
      </c>
    </row>
    <row r="2491" spans="1:24" x14ac:dyDescent="0.25">
      <c r="A2491" t="s">
        <v>2246</v>
      </c>
      <c r="B2491" t="s">
        <v>65</v>
      </c>
      <c r="C2491" t="s">
        <v>2238</v>
      </c>
      <c r="D2491" t="s">
        <v>2239</v>
      </c>
      <c r="E2491" t="s">
        <v>2240</v>
      </c>
      <c r="F2491" t="s">
        <v>94</v>
      </c>
      <c r="G2491" t="s">
        <v>277</v>
      </c>
      <c r="H2491" s="12">
        <v>7.5758000000000001</v>
      </c>
      <c r="I2491" s="12">
        <v>-75.348600000000005</v>
      </c>
      <c r="J2491" t="s">
        <v>2241</v>
      </c>
      <c r="K2491" t="s">
        <v>97</v>
      </c>
      <c r="L2491" t="s">
        <v>1273</v>
      </c>
      <c r="M2491">
        <v>11</v>
      </c>
      <c r="P2491" s="13">
        <v>201</v>
      </c>
      <c r="Q2491" s="13">
        <v>54</v>
      </c>
      <c r="R2491">
        <v>20</v>
      </c>
      <c r="S2491">
        <v>56</v>
      </c>
      <c r="T2491" s="13">
        <v>31</v>
      </c>
      <c r="U2491" s="13">
        <v>42</v>
      </c>
      <c r="V2491" t="s">
        <v>99</v>
      </c>
      <c r="X2491" s="13">
        <v>201</v>
      </c>
    </row>
    <row r="2492" spans="1:24" x14ac:dyDescent="0.25">
      <c r="A2492" t="s">
        <v>2247</v>
      </c>
      <c r="B2492" t="s">
        <v>65</v>
      </c>
      <c r="C2492" t="s">
        <v>2238</v>
      </c>
      <c r="D2492" t="s">
        <v>2239</v>
      </c>
      <c r="E2492" t="s">
        <v>2240</v>
      </c>
      <c r="F2492" t="s">
        <v>94</v>
      </c>
      <c r="G2492" t="s">
        <v>277</v>
      </c>
      <c r="H2492" s="12">
        <v>7.5758000000000001</v>
      </c>
      <c r="I2492" s="12">
        <v>-75.348600000000005</v>
      </c>
      <c r="J2492" t="s">
        <v>2241</v>
      </c>
      <c r="K2492" t="s">
        <v>97</v>
      </c>
      <c r="L2492" t="s">
        <v>1273</v>
      </c>
      <c r="M2492">
        <v>11</v>
      </c>
      <c r="P2492" s="13">
        <v>199</v>
      </c>
      <c r="Q2492" s="13">
        <v>46</v>
      </c>
      <c r="R2492">
        <v>32</v>
      </c>
      <c r="S2492">
        <v>48</v>
      </c>
      <c r="T2492" s="13">
        <v>33</v>
      </c>
      <c r="U2492" s="13">
        <v>40</v>
      </c>
      <c r="V2492" t="s">
        <v>99</v>
      </c>
      <c r="X2492" s="13">
        <v>199</v>
      </c>
    </row>
    <row r="2493" spans="1:24" x14ac:dyDescent="0.25">
      <c r="A2493" t="s">
        <v>2248</v>
      </c>
      <c r="B2493" t="s">
        <v>65</v>
      </c>
      <c r="C2493" t="s">
        <v>2238</v>
      </c>
      <c r="D2493" t="s">
        <v>2239</v>
      </c>
      <c r="E2493" t="s">
        <v>2240</v>
      </c>
      <c r="F2493" t="s">
        <v>94</v>
      </c>
      <c r="G2493" t="s">
        <v>277</v>
      </c>
      <c r="H2493" s="12">
        <v>7.5758000000000001</v>
      </c>
      <c r="I2493" s="12">
        <v>-75.348600000000005</v>
      </c>
      <c r="J2493" t="s">
        <v>2241</v>
      </c>
      <c r="K2493" t="s">
        <v>97</v>
      </c>
      <c r="L2493" t="s">
        <v>1273</v>
      </c>
      <c r="M2493">
        <v>11</v>
      </c>
      <c r="P2493" s="13">
        <v>199</v>
      </c>
      <c r="Q2493" s="13">
        <v>44</v>
      </c>
      <c r="R2493">
        <v>40</v>
      </c>
      <c r="S2493">
        <v>36</v>
      </c>
      <c r="T2493" s="13">
        <v>40</v>
      </c>
      <c r="U2493" s="13">
        <v>38</v>
      </c>
      <c r="V2493" t="s">
        <v>99</v>
      </c>
      <c r="X2493" s="13">
        <v>199</v>
      </c>
    </row>
    <row r="2494" spans="1:24" x14ac:dyDescent="0.25">
      <c r="A2494" t="s">
        <v>2249</v>
      </c>
      <c r="B2494" t="s">
        <v>65</v>
      </c>
      <c r="C2494" t="s">
        <v>2238</v>
      </c>
      <c r="D2494" t="s">
        <v>2239</v>
      </c>
      <c r="E2494" t="s">
        <v>2240</v>
      </c>
      <c r="F2494" t="s">
        <v>94</v>
      </c>
      <c r="G2494" t="s">
        <v>277</v>
      </c>
      <c r="H2494" s="12">
        <v>7.5758000000000001</v>
      </c>
      <c r="I2494" s="12">
        <v>-75.348600000000005</v>
      </c>
      <c r="J2494" t="s">
        <v>2241</v>
      </c>
      <c r="K2494" t="s">
        <v>97</v>
      </c>
      <c r="L2494" t="s">
        <v>1273</v>
      </c>
      <c r="M2494">
        <v>11</v>
      </c>
      <c r="P2494" s="13">
        <v>198</v>
      </c>
      <c r="Q2494" s="13">
        <v>59</v>
      </c>
      <c r="R2494">
        <v>28</v>
      </c>
      <c r="S2494">
        <v>52</v>
      </c>
      <c r="T2494" s="13">
        <v>19</v>
      </c>
      <c r="U2494" s="13">
        <v>42</v>
      </c>
      <c r="V2494" t="s">
        <v>99</v>
      </c>
      <c r="X2494" s="13">
        <v>198</v>
      </c>
    </row>
    <row r="2495" spans="1:24" x14ac:dyDescent="0.25">
      <c r="A2495" t="s">
        <v>2250</v>
      </c>
      <c r="B2495" t="s">
        <v>65</v>
      </c>
      <c r="C2495" t="s">
        <v>2238</v>
      </c>
      <c r="D2495" t="s">
        <v>2239</v>
      </c>
      <c r="E2495" t="s">
        <v>2240</v>
      </c>
      <c r="F2495" t="s">
        <v>94</v>
      </c>
      <c r="G2495" t="s">
        <v>277</v>
      </c>
      <c r="H2495" s="12">
        <v>7.5758000000000001</v>
      </c>
      <c r="I2495" s="12">
        <v>-75.348600000000005</v>
      </c>
      <c r="J2495" t="s">
        <v>2241</v>
      </c>
      <c r="K2495" t="s">
        <v>97</v>
      </c>
      <c r="L2495" t="s">
        <v>1273</v>
      </c>
      <c r="M2495">
        <v>11</v>
      </c>
      <c r="P2495" s="13">
        <v>193</v>
      </c>
      <c r="Q2495" s="13">
        <v>49</v>
      </c>
      <c r="R2495">
        <v>28</v>
      </c>
      <c r="S2495">
        <v>48</v>
      </c>
      <c r="T2495" s="13">
        <v>26</v>
      </c>
      <c r="U2495" s="13">
        <v>51</v>
      </c>
      <c r="V2495" t="s">
        <v>99</v>
      </c>
      <c r="X2495" s="13">
        <v>193</v>
      </c>
    </row>
    <row r="2496" spans="1:24" x14ac:dyDescent="0.25">
      <c r="A2496" t="s">
        <v>2251</v>
      </c>
      <c r="B2496" t="s">
        <v>65</v>
      </c>
      <c r="C2496" t="s">
        <v>2238</v>
      </c>
      <c r="D2496" t="s">
        <v>2239</v>
      </c>
      <c r="E2496" t="s">
        <v>2240</v>
      </c>
      <c r="F2496" t="s">
        <v>94</v>
      </c>
      <c r="G2496" t="s">
        <v>277</v>
      </c>
      <c r="H2496" s="12">
        <v>7.5758000000000001</v>
      </c>
      <c r="I2496" s="12">
        <v>-75.348600000000005</v>
      </c>
      <c r="J2496" t="s">
        <v>2241</v>
      </c>
      <c r="K2496" t="s">
        <v>97</v>
      </c>
      <c r="L2496" t="s">
        <v>1273</v>
      </c>
      <c r="M2496">
        <v>11</v>
      </c>
      <c r="P2496" s="13">
        <v>186</v>
      </c>
      <c r="Q2496" s="13">
        <v>49</v>
      </c>
      <c r="R2496">
        <v>22</v>
      </c>
      <c r="S2496">
        <v>48</v>
      </c>
      <c r="T2496" s="13">
        <v>26</v>
      </c>
      <c r="U2496" s="13">
        <v>51</v>
      </c>
      <c r="V2496" t="s">
        <v>99</v>
      </c>
      <c r="X2496" s="13">
        <v>186</v>
      </c>
    </row>
    <row r="2497" spans="1:24" x14ac:dyDescent="0.25">
      <c r="A2497" t="s">
        <v>2252</v>
      </c>
      <c r="B2497" t="s">
        <v>65</v>
      </c>
      <c r="C2497" t="s">
        <v>2238</v>
      </c>
      <c r="D2497" t="s">
        <v>2239</v>
      </c>
      <c r="E2497" t="s">
        <v>2240</v>
      </c>
      <c r="F2497" t="s">
        <v>94</v>
      </c>
      <c r="G2497" t="s">
        <v>277</v>
      </c>
      <c r="H2497" s="12">
        <v>7.5758000000000001</v>
      </c>
      <c r="I2497" s="12">
        <v>-75.348600000000005</v>
      </c>
      <c r="J2497" t="s">
        <v>2241</v>
      </c>
      <c r="K2497" t="s">
        <v>97</v>
      </c>
      <c r="L2497" t="s">
        <v>1273</v>
      </c>
      <c r="M2497">
        <v>11</v>
      </c>
      <c r="P2497" s="13">
        <v>185</v>
      </c>
      <c r="Q2497" s="13">
        <v>54</v>
      </c>
      <c r="R2497">
        <v>38</v>
      </c>
      <c r="S2497">
        <v>40</v>
      </c>
      <c r="T2497" s="13">
        <v>22</v>
      </c>
      <c r="U2497" s="13">
        <v>20</v>
      </c>
      <c r="V2497" t="s">
        <v>99</v>
      </c>
      <c r="X2497" s="13">
        <v>185</v>
      </c>
    </row>
    <row r="2498" spans="1:24" x14ac:dyDescent="0.25">
      <c r="A2498" t="s">
        <v>2253</v>
      </c>
      <c r="B2498" t="s">
        <v>65</v>
      </c>
      <c r="C2498" t="s">
        <v>2238</v>
      </c>
      <c r="D2498" t="s">
        <v>2239</v>
      </c>
      <c r="E2498" t="s">
        <v>2240</v>
      </c>
      <c r="F2498" t="s">
        <v>94</v>
      </c>
      <c r="G2498" t="s">
        <v>277</v>
      </c>
      <c r="H2498" s="12">
        <v>7.5758000000000001</v>
      </c>
      <c r="I2498" s="12">
        <v>-75.348600000000005</v>
      </c>
      <c r="J2498" t="s">
        <v>2241</v>
      </c>
      <c r="K2498" t="s">
        <v>97</v>
      </c>
      <c r="L2498" t="s">
        <v>1273</v>
      </c>
      <c r="M2498">
        <v>11</v>
      </c>
      <c r="P2498" s="13">
        <v>182</v>
      </c>
      <c r="Q2498" s="13">
        <v>46</v>
      </c>
      <c r="R2498">
        <v>30</v>
      </c>
      <c r="S2498">
        <v>46</v>
      </c>
      <c r="T2498" s="13">
        <v>22</v>
      </c>
      <c r="U2498" s="13">
        <v>38</v>
      </c>
      <c r="V2498" t="s">
        <v>99</v>
      </c>
      <c r="X2498" s="13">
        <v>182</v>
      </c>
    </row>
    <row r="2499" spans="1:24" x14ac:dyDescent="0.25">
      <c r="A2499" t="s">
        <v>2254</v>
      </c>
      <c r="B2499" t="s">
        <v>65</v>
      </c>
      <c r="C2499" t="s">
        <v>2238</v>
      </c>
      <c r="D2499" t="s">
        <v>2239</v>
      </c>
      <c r="E2499" t="s">
        <v>2240</v>
      </c>
      <c r="F2499" t="s">
        <v>94</v>
      </c>
      <c r="G2499" t="s">
        <v>277</v>
      </c>
      <c r="H2499" s="12">
        <v>7.5758000000000001</v>
      </c>
      <c r="I2499" s="12">
        <v>-75.348600000000005</v>
      </c>
      <c r="J2499" t="s">
        <v>2241</v>
      </c>
      <c r="K2499" t="s">
        <v>97</v>
      </c>
      <c r="L2499" t="s">
        <v>1273</v>
      </c>
      <c r="M2499">
        <v>11</v>
      </c>
      <c r="P2499" s="13">
        <v>180</v>
      </c>
      <c r="Q2499" s="13">
        <v>46</v>
      </c>
      <c r="R2499">
        <v>22</v>
      </c>
      <c r="S2499">
        <v>44</v>
      </c>
      <c r="T2499" s="13">
        <v>29</v>
      </c>
      <c r="U2499" s="13">
        <v>42</v>
      </c>
      <c r="V2499" t="s">
        <v>99</v>
      </c>
      <c r="X2499" s="13">
        <v>180</v>
      </c>
    </row>
    <row r="2500" spans="1:24" x14ac:dyDescent="0.25">
      <c r="A2500" t="s">
        <v>2255</v>
      </c>
      <c r="B2500" t="s">
        <v>65</v>
      </c>
      <c r="C2500" t="s">
        <v>2238</v>
      </c>
      <c r="D2500" t="s">
        <v>2239</v>
      </c>
      <c r="E2500" t="s">
        <v>2240</v>
      </c>
      <c r="F2500" t="s">
        <v>94</v>
      </c>
      <c r="G2500" t="s">
        <v>277</v>
      </c>
      <c r="H2500" s="12">
        <v>7.5758000000000001</v>
      </c>
      <c r="I2500" s="12">
        <v>-75.348600000000005</v>
      </c>
      <c r="J2500" t="s">
        <v>2241</v>
      </c>
      <c r="K2500" t="s">
        <v>97</v>
      </c>
      <c r="L2500" t="s">
        <v>1273</v>
      </c>
      <c r="M2500">
        <v>11</v>
      </c>
      <c r="P2500" s="13">
        <v>175</v>
      </c>
      <c r="Q2500" s="13">
        <v>44</v>
      </c>
      <c r="R2500">
        <v>14</v>
      </c>
      <c r="S2500">
        <v>42</v>
      </c>
      <c r="T2500" s="13">
        <v>36</v>
      </c>
      <c r="U2500" s="13">
        <v>47</v>
      </c>
      <c r="V2500" t="s">
        <v>99</v>
      </c>
      <c r="X2500" s="13">
        <v>175</v>
      </c>
    </row>
    <row r="2501" spans="1:24" x14ac:dyDescent="0.25">
      <c r="A2501" t="s">
        <v>2256</v>
      </c>
      <c r="B2501" t="s">
        <v>65</v>
      </c>
      <c r="C2501" t="s">
        <v>2238</v>
      </c>
      <c r="D2501" t="s">
        <v>2239</v>
      </c>
      <c r="E2501" t="s">
        <v>2240</v>
      </c>
      <c r="F2501" t="s">
        <v>94</v>
      </c>
      <c r="G2501" t="s">
        <v>277</v>
      </c>
      <c r="H2501" s="12">
        <v>7.5758000000000001</v>
      </c>
      <c r="I2501" s="12">
        <v>-75.348600000000005</v>
      </c>
      <c r="J2501" t="s">
        <v>2241</v>
      </c>
      <c r="K2501" t="s">
        <v>97</v>
      </c>
      <c r="L2501" t="s">
        <v>1273</v>
      </c>
      <c r="M2501">
        <v>11</v>
      </c>
      <c r="P2501" s="13">
        <v>174</v>
      </c>
      <c r="Q2501" s="13">
        <v>34</v>
      </c>
      <c r="R2501">
        <v>24</v>
      </c>
      <c r="S2501">
        <v>50</v>
      </c>
      <c r="T2501" s="13">
        <v>31</v>
      </c>
      <c r="U2501" s="13">
        <v>35</v>
      </c>
      <c r="V2501" t="s">
        <v>99</v>
      </c>
      <c r="X2501" s="13">
        <v>174</v>
      </c>
    </row>
    <row r="2502" spans="1:24" x14ac:dyDescent="0.25">
      <c r="A2502" t="s">
        <v>2257</v>
      </c>
      <c r="B2502" t="s">
        <v>65</v>
      </c>
      <c r="C2502" t="s">
        <v>2238</v>
      </c>
      <c r="D2502" t="s">
        <v>2239</v>
      </c>
      <c r="E2502" t="s">
        <v>2240</v>
      </c>
      <c r="F2502" t="s">
        <v>94</v>
      </c>
      <c r="G2502" t="s">
        <v>277</v>
      </c>
      <c r="H2502" s="12">
        <v>7.5758000000000001</v>
      </c>
      <c r="I2502" s="12">
        <v>-75.348600000000005</v>
      </c>
      <c r="J2502" t="s">
        <v>2241</v>
      </c>
      <c r="K2502" t="s">
        <v>97</v>
      </c>
      <c r="L2502" t="s">
        <v>1273</v>
      </c>
      <c r="M2502">
        <v>11</v>
      </c>
      <c r="P2502" s="13">
        <v>173</v>
      </c>
      <c r="Q2502" s="13">
        <v>39</v>
      </c>
      <c r="R2502">
        <v>22</v>
      </c>
      <c r="S2502">
        <v>50</v>
      </c>
      <c r="T2502" s="13">
        <v>28</v>
      </c>
      <c r="U2502" s="13">
        <v>35</v>
      </c>
      <c r="V2502" t="s">
        <v>99</v>
      </c>
      <c r="X2502" s="13">
        <v>173</v>
      </c>
    </row>
    <row r="2503" spans="1:24" x14ac:dyDescent="0.25">
      <c r="A2503" t="s">
        <v>2258</v>
      </c>
      <c r="B2503" t="s">
        <v>65</v>
      </c>
      <c r="C2503" t="s">
        <v>2238</v>
      </c>
      <c r="D2503" t="s">
        <v>2239</v>
      </c>
      <c r="E2503" t="s">
        <v>2240</v>
      </c>
      <c r="F2503" t="s">
        <v>94</v>
      </c>
      <c r="G2503" t="s">
        <v>277</v>
      </c>
      <c r="H2503" s="12">
        <v>7.5758000000000001</v>
      </c>
      <c r="I2503" s="12">
        <v>-75.348600000000005</v>
      </c>
      <c r="J2503" t="s">
        <v>2241</v>
      </c>
      <c r="K2503" t="s">
        <v>97</v>
      </c>
      <c r="L2503" t="s">
        <v>1273</v>
      </c>
      <c r="M2503">
        <v>11</v>
      </c>
      <c r="P2503" s="13">
        <v>172</v>
      </c>
      <c r="Q2503" s="13">
        <v>29</v>
      </c>
      <c r="R2503">
        <v>32</v>
      </c>
      <c r="S2503">
        <v>50</v>
      </c>
      <c r="T2503" s="13">
        <v>26</v>
      </c>
      <c r="U2503" s="13">
        <v>36</v>
      </c>
      <c r="V2503" t="s">
        <v>99</v>
      </c>
      <c r="X2503" s="13">
        <v>172</v>
      </c>
    </row>
    <row r="2504" spans="1:24" x14ac:dyDescent="0.25">
      <c r="A2504" t="s">
        <v>2259</v>
      </c>
      <c r="B2504" t="s">
        <v>65</v>
      </c>
      <c r="C2504" t="s">
        <v>2238</v>
      </c>
      <c r="D2504" t="s">
        <v>2239</v>
      </c>
      <c r="E2504" t="s">
        <v>2240</v>
      </c>
      <c r="F2504" t="s">
        <v>94</v>
      </c>
      <c r="G2504" t="s">
        <v>277</v>
      </c>
      <c r="H2504" s="12">
        <v>7.5758000000000001</v>
      </c>
      <c r="I2504" s="12">
        <v>-75.348600000000005</v>
      </c>
      <c r="J2504" t="s">
        <v>2241</v>
      </c>
      <c r="K2504" t="s">
        <v>97</v>
      </c>
      <c r="L2504" t="s">
        <v>1273</v>
      </c>
      <c r="M2504">
        <v>11</v>
      </c>
      <c r="P2504" s="13">
        <v>170</v>
      </c>
      <c r="Q2504" s="13">
        <v>44</v>
      </c>
      <c r="R2504">
        <v>30</v>
      </c>
      <c r="S2504">
        <v>38</v>
      </c>
      <c r="T2504" s="13">
        <v>24</v>
      </c>
      <c r="U2504" s="13">
        <v>35</v>
      </c>
      <c r="V2504" t="s">
        <v>99</v>
      </c>
      <c r="X2504" s="13">
        <v>170</v>
      </c>
    </row>
    <row r="2505" spans="1:24" x14ac:dyDescent="0.25">
      <c r="A2505" t="s">
        <v>2260</v>
      </c>
      <c r="B2505" t="s">
        <v>65</v>
      </c>
      <c r="C2505" t="s">
        <v>2238</v>
      </c>
      <c r="D2505" t="s">
        <v>2239</v>
      </c>
      <c r="E2505" t="s">
        <v>2240</v>
      </c>
      <c r="F2505" t="s">
        <v>94</v>
      </c>
      <c r="G2505" t="s">
        <v>277</v>
      </c>
      <c r="H2505" s="12">
        <v>7.5758000000000001</v>
      </c>
      <c r="I2505" s="12">
        <v>-75.348600000000005</v>
      </c>
      <c r="J2505" t="s">
        <v>2241</v>
      </c>
      <c r="K2505" t="s">
        <v>97</v>
      </c>
      <c r="L2505" t="s">
        <v>1273</v>
      </c>
      <c r="M2505">
        <v>11</v>
      </c>
      <c r="P2505" s="13">
        <v>170</v>
      </c>
      <c r="Q2505" s="13">
        <v>39</v>
      </c>
      <c r="R2505">
        <v>26</v>
      </c>
      <c r="S2505">
        <v>40</v>
      </c>
      <c r="T2505" s="13">
        <v>28</v>
      </c>
      <c r="U2505" s="13">
        <v>44</v>
      </c>
      <c r="V2505" t="s">
        <v>99</v>
      </c>
      <c r="X2505" s="13">
        <v>170</v>
      </c>
    </row>
    <row r="2506" spans="1:24" x14ac:dyDescent="0.25">
      <c r="A2506" t="s">
        <v>2261</v>
      </c>
      <c r="B2506" t="s">
        <v>65</v>
      </c>
      <c r="C2506" t="s">
        <v>2238</v>
      </c>
      <c r="D2506" t="s">
        <v>2239</v>
      </c>
      <c r="E2506" t="s">
        <v>2240</v>
      </c>
      <c r="F2506" t="s">
        <v>94</v>
      </c>
      <c r="G2506" t="s">
        <v>277</v>
      </c>
      <c r="H2506" s="12">
        <v>7.5758000000000001</v>
      </c>
      <c r="I2506" s="12">
        <v>-75.348600000000005</v>
      </c>
      <c r="J2506" t="s">
        <v>2241</v>
      </c>
      <c r="K2506" t="s">
        <v>97</v>
      </c>
      <c r="L2506" t="s">
        <v>1273</v>
      </c>
      <c r="M2506">
        <v>11</v>
      </c>
      <c r="P2506" s="13">
        <v>170</v>
      </c>
      <c r="Q2506" s="13">
        <v>37</v>
      </c>
      <c r="R2506">
        <v>24</v>
      </c>
      <c r="S2506">
        <v>38</v>
      </c>
      <c r="T2506" s="13">
        <v>36</v>
      </c>
      <c r="U2506" s="13">
        <v>36</v>
      </c>
      <c r="V2506" t="s">
        <v>99</v>
      </c>
      <c r="X2506" s="13">
        <v>170</v>
      </c>
    </row>
    <row r="2507" spans="1:24" x14ac:dyDescent="0.25">
      <c r="A2507" t="s">
        <v>2262</v>
      </c>
      <c r="B2507" t="s">
        <v>65</v>
      </c>
      <c r="C2507" t="s">
        <v>2238</v>
      </c>
      <c r="D2507" t="s">
        <v>2239</v>
      </c>
      <c r="E2507" t="s">
        <v>2240</v>
      </c>
      <c r="F2507" t="s">
        <v>94</v>
      </c>
      <c r="G2507" t="s">
        <v>277</v>
      </c>
      <c r="H2507" s="12">
        <v>7.5758000000000001</v>
      </c>
      <c r="I2507" s="12">
        <v>-75.348600000000005</v>
      </c>
      <c r="J2507" t="s">
        <v>2241</v>
      </c>
      <c r="K2507" t="s">
        <v>97</v>
      </c>
      <c r="L2507" t="s">
        <v>1273</v>
      </c>
      <c r="M2507">
        <v>11</v>
      </c>
      <c r="P2507" s="13">
        <v>168</v>
      </c>
      <c r="Q2507" s="13">
        <v>32</v>
      </c>
      <c r="R2507">
        <v>26</v>
      </c>
      <c r="S2507">
        <v>48</v>
      </c>
      <c r="T2507" s="13">
        <v>29</v>
      </c>
      <c r="U2507" s="13">
        <v>33</v>
      </c>
      <c r="V2507" t="s">
        <v>99</v>
      </c>
      <c r="X2507" s="13">
        <v>168</v>
      </c>
    </row>
    <row r="2508" spans="1:24" x14ac:dyDescent="0.25">
      <c r="A2508" t="s">
        <v>2263</v>
      </c>
      <c r="B2508" t="s">
        <v>65</v>
      </c>
      <c r="C2508" t="s">
        <v>2238</v>
      </c>
      <c r="D2508" t="s">
        <v>2239</v>
      </c>
      <c r="E2508" t="s">
        <v>2240</v>
      </c>
      <c r="F2508" t="s">
        <v>94</v>
      </c>
      <c r="G2508" t="s">
        <v>277</v>
      </c>
      <c r="H2508" s="12">
        <v>7.5758000000000001</v>
      </c>
      <c r="I2508" s="12">
        <v>-75.348600000000005</v>
      </c>
      <c r="J2508" t="s">
        <v>2241</v>
      </c>
      <c r="K2508" t="s">
        <v>97</v>
      </c>
      <c r="L2508" t="s">
        <v>1273</v>
      </c>
      <c r="M2508">
        <v>11</v>
      </c>
      <c r="P2508" s="13">
        <v>168</v>
      </c>
      <c r="Q2508" s="13">
        <v>34</v>
      </c>
      <c r="R2508">
        <v>24</v>
      </c>
      <c r="S2508">
        <v>52</v>
      </c>
      <c r="T2508" s="13">
        <v>26</v>
      </c>
      <c r="U2508" s="13">
        <v>29</v>
      </c>
      <c r="V2508" t="s">
        <v>99</v>
      </c>
      <c r="X2508" s="13">
        <v>168</v>
      </c>
    </row>
    <row r="2509" spans="1:24" x14ac:dyDescent="0.25">
      <c r="A2509" t="s">
        <v>2264</v>
      </c>
      <c r="B2509" t="s">
        <v>65</v>
      </c>
      <c r="C2509" t="s">
        <v>2238</v>
      </c>
      <c r="D2509" t="s">
        <v>2239</v>
      </c>
      <c r="E2509" t="s">
        <v>2240</v>
      </c>
      <c r="F2509" t="s">
        <v>94</v>
      </c>
      <c r="G2509" t="s">
        <v>277</v>
      </c>
      <c r="H2509" s="12">
        <v>7.5758000000000001</v>
      </c>
      <c r="I2509" s="12">
        <v>-75.348600000000005</v>
      </c>
      <c r="J2509" t="s">
        <v>2241</v>
      </c>
      <c r="K2509" t="s">
        <v>97</v>
      </c>
      <c r="L2509" t="s">
        <v>1273</v>
      </c>
      <c r="M2509">
        <v>11</v>
      </c>
      <c r="P2509" s="13">
        <v>167</v>
      </c>
      <c r="Q2509" s="13">
        <v>41</v>
      </c>
      <c r="R2509">
        <v>20</v>
      </c>
      <c r="S2509">
        <v>40</v>
      </c>
      <c r="T2509" s="13">
        <v>31</v>
      </c>
      <c r="U2509" s="13">
        <v>36</v>
      </c>
      <c r="V2509" t="s">
        <v>99</v>
      </c>
      <c r="X2509" s="13">
        <v>167</v>
      </c>
    </row>
    <row r="2510" spans="1:24" x14ac:dyDescent="0.25">
      <c r="A2510" t="s">
        <v>2265</v>
      </c>
      <c r="B2510" t="s">
        <v>65</v>
      </c>
      <c r="C2510" t="s">
        <v>2238</v>
      </c>
      <c r="D2510" t="s">
        <v>2239</v>
      </c>
      <c r="E2510" t="s">
        <v>2240</v>
      </c>
      <c r="F2510" t="s">
        <v>94</v>
      </c>
      <c r="G2510" t="s">
        <v>277</v>
      </c>
      <c r="H2510" s="12">
        <v>7.5758000000000001</v>
      </c>
      <c r="I2510" s="12">
        <v>-75.348600000000005</v>
      </c>
      <c r="J2510" t="s">
        <v>2241</v>
      </c>
      <c r="K2510" t="s">
        <v>97</v>
      </c>
      <c r="L2510" t="s">
        <v>1273</v>
      </c>
      <c r="M2510">
        <v>11</v>
      </c>
      <c r="P2510" s="13">
        <v>166</v>
      </c>
      <c r="Q2510" s="13">
        <v>32</v>
      </c>
      <c r="R2510">
        <v>28</v>
      </c>
      <c r="S2510">
        <v>38</v>
      </c>
      <c r="T2510" s="13">
        <v>36</v>
      </c>
      <c r="U2510" s="13">
        <v>31</v>
      </c>
      <c r="V2510" t="s">
        <v>99</v>
      </c>
      <c r="X2510" s="13">
        <v>166</v>
      </c>
    </row>
    <row r="2511" spans="1:24" x14ac:dyDescent="0.25">
      <c r="A2511" t="s">
        <v>2266</v>
      </c>
      <c r="B2511" t="s">
        <v>65</v>
      </c>
      <c r="C2511" t="s">
        <v>2238</v>
      </c>
      <c r="D2511" t="s">
        <v>2239</v>
      </c>
      <c r="E2511" t="s">
        <v>2240</v>
      </c>
      <c r="F2511" t="s">
        <v>94</v>
      </c>
      <c r="G2511" t="s">
        <v>277</v>
      </c>
      <c r="H2511" s="12">
        <v>7.5758000000000001</v>
      </c>
      <c r="I2511" s="12">
        <v>-75.348600000000005</v>
      </c>
      <c r="J2511" t="s">
        <v>2241</v>
      </c>
      <c r="K2511" t="s">
        <v>97</v>
      </c>
      <c r="L2511" t="s">
        <v>1273</v>
      </c>
      <c r="M2511">
        <v>11</v>
      </c>
      <c r="P2511" s="13">
        <v>166</v>
      </c>
      <c r="Q2511" s="13">
        <v>39</v>
      </c>
      <c r="R2511">
        <v>24</v>
      </c>
      <c r="S2511">
        <v>36</v>
      </c>
      <c r="T2511" s="13">
        <v>34</v>
      </c>
      <c r="U2511" s="13">
        <v>31</v>
      </c>
      <c r="V2511" t="s">
        <v>99</v>
      </c>
      <c r="X2511" s="13">
        <v>166</v>
      </c>
    </row>
    <row r="2512" spans="1:24" x14ac:dyDescent="0.25">
      <c r="A2512" t="s">
        <v>2267</v>
      </c>
      <c r="B2512" t="s">
        <v>65</v>
      </c>
      <c r="C2512" t="s">
        <v>2238</v>
      </c>
      <c r="D2512" t="s">
        <v>2239</v>
      </c>
      <c r="E2512" t="s">
        <v>2240</v>
      </c>
      <c r="F2512" t="s">
        <v>94</v>
      </c>
      <c r="G2512" t="s">
        <v>277</v>
      </c>
      <c r="H2512" s="12">
        <v>7.5758000000000001</v>
      </c>
      <c r="I2512" s="12">
        <v>-75.348600000000005</v>
      </c>
      <c r="J2512" t="s">
        <v>2241</v>
      </c>
      <c r="K2512" t="s">
        <v>97</v>
      </c>
      <c r="L2512" t="s">
        <v>1273</v>
      </c>
      <c r="M2512">
        <v>11</v>
      </c>
      <c r="P2512" s="13">
        <v>165</v>
      </c>
      <c r="Q2512" s="13">
        <v>41</v>
      </c>
      <c r="R2512">
        <v>26</v>
      </c>
      <c r="S2512">
        <v>36</v>
      </c>
      <c r="T2512" s="13">
        <v>29</v>
      </c>
      <c r="U2512" s="13">
        <v>31</v>
      </c>
      <c r="V2512" t="s">
        <v>99</v>
      </c>
      <c r="X2512" s="13">
        <v>165</v>
      </c>
    </row>
    <row r="2513" spans="1:24" x14ac:dyDescent="0.25">
      <c r="A2513" t="s">
        <v>2268</v>
      </c>
      <c r="B2513" t="s">
        <v>65</v>
      </c>
      <c r="C2513" t="s">
        <v>2238</v>
      </c>
      <c r="D2513" t="s">
        <v>2239</v>
      </c>
      <c r="E2513" t="s">
        <v>2240</v>
      </c>
      <c r="F2513" t="s">
        <v>94</v>
      </c>
      <c r="G2513" t="s">
        <v>277</v>
      </c>
      <c r="H2513" s="12">
        <v>7.5758000000000001</v>
      </c>
      <c r="I2513" s="12">
        <v>-75.348600000000005</v>
      </c>
      <c r="J2513" t="s">
        <v>2241</v>
      </c>
      <c r="K2513" t="s">
        <v>97</v>
      </c>
      <c r="L2513" t="s">
        <v>1273</v>
      </c>
      <c r="M2513">
        <v>11</v>
      </c>
      <c r="P2513" s="13">
        <v>161</v>
      </c>
      <c r="Q2513" s="13">
        <v>37</v>
      </c>
      <c r="R2513">
        <v>28</v>
      </c>
      <c r="S2513">
        <v>42</v>
      </c>
      <c r="T2513" s="13">
        <v>24</v>
      </c>
      <c r="U2513" s="13">
        <v>25</v>
      </c>
      <c r="V2513" t="s">
        <v>99</v>
      </c>
      <c r="X2513" s="13">
        <v>161</v>
      </c>
    </row>
    <row r="2514" spans="1:24" x14ac:dyDescent="0.25">
      <c r="A2514" t="s">
        <v>2269</v>
      </c>
      <c r="B2514" t="s">
        <v>65</v>
      </c>
      <c r="C2514" t="s">
        <v>2238</v>
      </c>
      <c r="D2514" t="s">
        <v>2239</v>
      </c>
      <c r="E2514" t="s">
        <v>2240</v>
      </c>
      <c r="F2514" t="s">
        <v>94</v>
      </c>
      <c r="G2514" t="s">
        <v>277</v>
      </c>
      <c r="H2514" s="12">
        <v>7.5758000000000001</v>
      </c>
      <c r="I2514" s="12">
        <v>-75.348600000000005</v>
      </c>
      <c r="J2514" t="s">
        <v>2241</v>
      </c>
      <c r="K2514" t="s">
        <v>97</v>
      </c>
      <c r="L2514" t="s">
        <v>1273</v>
      </c>
      <c r="M2514">
        <v>11</v>
      </c>
      <c r="P2514" s="13">
        <v>160</v>
      </c>
      <c r="Q2514" s="13">
        <v>39</v>
      </c>
      <c r="R2514">
        <v>24</v>
      </c>
      <c r="S2514">
        <v>34</v>
      </c>
      <c r="T2514" s="13">
        <v>31</v>
      </c>
      <c r="U2514" s="13">
        <v>31</v>
      </c>
      <c r="V2514" t="s">
        <v>99</v>
      </c>
      <c r="X2514" s="13">
        <v>160</v>
      </c>
    </row>
    <row r="2515" spans="1:24" x14ac:dyDescent="0.25">
      <c r="A2515" t="s">
        <v>2270</v>
      </c>
      <c r="B2515" t="s">
        <v>65</v>
      </c>
      <c r="C2515" t="s">
        <v>2238</v>
      </c>
      <c r="D2515" t="s">
        <v>2239</v>
      </c>
      <c r="E2515" t="s">
        <v>2240</v>
      </c>
      <c r="F2515" t="s">
        <v>94</v>
      </c>
      <c r="G2515" t="s">
        <v>277</v>
      </c>
      <c r="H2515" s="12">
        <v>7.5758000000000001</v>
      </c>
      <c r="I2515" s="12">
        <v>-75.348600000000005</v>
      </c>
      <c r="J2515" t="s">
        <v>2241</v>
      </c>
      <c r="K2515" t="s">
        <v>97</v>
      </c>
      <c r="L2515" t="s">
        <v>1273</v>
      </c>
      <c r="M2515">
        <v>11</v>
      </c>
      <c r="P2515" s="13">
        <v>159</v>
      </c>
      <c r="Q2515" s="13">
        <v>32</v>
      </c>
      <c r="R2515">
        <v>20</v>
      </c>
      <c r="S2515">
        <v>42</v>
      </c>
      <c r="T2515" s="13">
        <v>29</v>
      </c>
      <c r="U2515" s="13">
        <v>44</v>
      </c>
      <c r="V2515" t="s">
        <v>99</v>
      </c>
      <c r="X2515" s="13">
        <v>159</v>
      </c>
    </row>
    <row r="2516" spans="1:24" x14ac:dyDescent="0.25">
      <c r="A2516" t="s">
        <v>2271</v>
      </c>
      <c r="B2516" t="s">
        <v>65</v>
      </c>
      <c r="C2516" t="s">
        <v>2238</v>
      </c>
      <c r="D2516" t="s">
        <v>2239</v>
      </c>
      <c r="E2516" t="s">
        <v>2240</v>
      </c>
      <c r="F2516" t="s">
        <v>94</v>
      </c>
      <c r="G2516" t="s">
        <v>277</v>
      </c>
      <c r="H2516" s="12">
        <v>7.5758000000000001</v>
      </c>
      <c r="I2516" s="12">
        <v>-75.348600000000005</v>
      </c>
      <c r="J2516" t="s">
        <v>2241</v>
      </c>
      <c r="K2516" t="s">
        <v>97</v>
      </c>
      <c r="L2516" t="s">
        <v>1273</v>
      </c>
      <c r="M2516">
        <v>11</v>
      </c>
      <c r="P2516" s="13">
        <v>157</v>
      </c>
      <c r="Q2516" s="13">
        <v>41</v>
      </c>
      <c r="R2516">
        <v>24</v>
      </c>
      <c r="S2516">
        <v>24</v>
      </c>
      <c r="T2516" s="13">
        <v>34</v>
      </c>
      <c r="U2516" s="13">
        <v>36</v>
      </c>
      <c r="V2516" t="s">
        <v>99</v>
      </c>
      <c r="X2516" s="13">
        <v>157</v>
      </c>
    </row>
    <row r="2517" spans="1:24" x14ac:dyDescent="0.25">
      <c r="A2517" t="s">
        <v>2272</v>
      </c>
      <c r="B2517" t="s">
        <v>65</v>
      </c>
      <c r="C2517" t="s">
        <v>2238</v>
      </c>
      <c r="D2517" t="s">
        <v>2239</v>
      </c>
      <c r="E2517" t="s">
        <v>2240</v>
      </c>
      <c r="F2517" t="s">
        <v>94</v>
      </c>
      <c r="G2517" t="s">
        <v>277</v>
      </c>
      <c r="H2517" s="12">
        <v>7.5758000000000001</v>
      </c>
      <c r="I2517" s="12">
        <v>-75.348600000000005</v>
      </c>
      <c r="J2517" t="s">
        <v>2241</v>
      </c>
      <c r="K2517" t="s">
        <v>97</v>
      </c>
      <c r="L2517" t="s">
        <v>1273</v>
      </c>
      <c r="M2517">
        <v>11</v>
      </c>
      <c r="P2517" s="13">
        <v>156</v>
      </c>
      <c r="Q2517" s="13">
        <v>37</v>
      </c>
      <c r="R2517">
        <v>28</v>
      </c>
      <c r="S2517">
        <v>46</v>
      </c>
      <c r="T2517" s="13">
        <v>14</v>
      </c>
      <c r="U2517" s="13">
        <v>33</v>
      </c>
      <c r="V2517" t="s">
        <v>99</v>
      </c>
      <c r="X2517" s="13">
        <v>156</v>
      </c>
    </row>
    <row r="2518" spans="1:24" x14ac:dyDescent="0.25">
      <c r="A2518" t="s">
        <v>2273</v>
      </c>
      <c r="B2518" t="s">
        <v>65</v>
      </c>
      <c r="C2518" t="s">
        <v>2238</v>
      </c>
      <c r="D2518" t="s">
        <v>2239</v>
      </c>
      <c r="E2518" t="s">
        <v>2240</v>
      </c>
      <c r="F2518" t="s">
        <v>94</v>
      </c>
      <c r="G2518" t="s">
        <v>277</v>
      </c>
      <c r="H2518" s="12">
        <v>7.5758000000000001</v>
      </c>
      <c r="I2518" s="12">
        <v>-75.348600000000005</v>
      </c>
      <c r="J2518" t="s">
        <v>2241</v>
      </c>
      <c r="K2518" t="s">
        <v>97</v>
      </c>
      <c r="L2518" t="s">
        <v>1273</v>
      </c>
      <c r="M2518">
        <v>11</v>
      </c>
      <c r="P2518" s="13">
        <v>154</v>
      </c>
      <c r="Q2518" s="13">
        <v>27</v>
      </c>
      <c r="R2518">
        <v>26</v>
      </c>
      <c r="S2518">
        <v>40</v>
      </c>
      <c r="T2518" s="13">
        <v>29</v>
      </c>
      <c r="U2518" s="13">
        <v>35</v>
      </c>
      <c r="V2518" t="s">
        <v>99</v>
      </c>
      <c r="X2518" s="13">
        <v>154</v>
      </c>
    </row>
    <row r="2519" spans="1:24" x14ac:dyDescent="0.25">
      <c r="A2519" t="s">
        <v>2274</v>
      </c>
      <c r="B2519" t="s">
        <v>65</v>
      </c>
      <c r="C2519" t="s">
        <v>2238</v>
      </c>
      <c r="D2519" t="s">
        <v>2239</v>
      </c>
      <c r="E2519" t="s">
        <v>2240</v>
      </c>
      <c r="F2519" t="s">
        <v>94</v>
      </c>
      <c r="G2519" t="s">
        <v>277</v>
      </c>
      <c r="H2519" s="12">
        <v>7.5758000000000001</v>
      </c>
      <c r="I2519" s="12">
        <v>-75.348600000000005</v>
      </c>
      <c r="J2519" t="s">
        <v>2241</v>
      </c>
      <c r="K2519" t="s">
        <v>97</v>
      </c>
      <c r="L2519" t="s">
        <v>1273</v>
      </c>
      <c r="M2519">
        <v>11</v>
      </c>
      <c r="P2519" s="13">
        <v>153</v>
      </c>
      <c r="Q2519" s="13">
        <v>32</v>
      </c>
      <c r="R2519">
        <v>34</v>
      </c>
      <c r="S2519">
        <v>34</v>
      </c>
      <c r="T2519" s="13">
        <v>24</v>
      </c>
      <c r="U2519" s="13">
        <v>27</v>
      </c>
      <c r="V2519" t="s">
        <v>99</v>
      </c>
      <c r="X2519" s="13">
        <v>153</v>
      </c>
    </row>
    <row r="2520" spans="1:24" x14ac:dyDescent="0.25">
      <c r="A2520" t="s">
        <v>2275</v>
      </c>
      <c r="B2520" t="s">
        <v>65</v>
      </c>
      <c r="C2520" t="s">
        <v>2238</v>
      </c>
      <c r="D2520" t="s">
        <v>2239</v>
      </c>
      <c r="E2520" t="s">
        <v>2240</v>
      </c>
      <c r="F2520" t="s">
        <v>94</v>
      </c>
      <c r="G2520" t="s">
        <v>277</v>
      </c>
      <c r="H2520" s="12">
        <v>7.5758000000000001</v>
      </c>
      <c r="I2520" s="12">
        <v>-75.348600000000005</v>
      </c>
      <c r="J2520" t="s">
        <v>2241</v>
      </c>
      <c r="K2520" t="s">
        <v>97</v>
      </c>
      <c r="L2520" t="s">
        <v>1273</v>
      </c>
      <c r="M2520">
        <v>11</v>
      </c>
      <c r="P2520" s="13">
        <v>150</v>
      </c>
      <c r="Q2520" s="13">
        <v>41</v>
      </c>
      <c r="R2520">
        <v>28</v>
      </c>
      <c r="S2520">
        <v>18</v>
      </c>
      <c r="T2520" s="13">
        <v>28</v>
      </c>
      <c r="U2520" s="13">
        <v>44</v>
      </c>
      <c r="V2520" t="s">
        <v>99</v>
      </c>
      <c r="X2520" s="13">
        <v>150</v>
      </c>
    </row>
    <row r="2521" spans="1:24" x14ac:dyDescent="0.25">
      <c r="A2521" t="s">
        <v>2276</v>
      </c>
      <c r="B2521" t="s">
        <v>65</v>
      </c>
      <c r="C2521" t="s">
        <v>2238</v>
      </c>
      <c r="D2521" t="s">
        <v>2239</v>
      </c>
      <c r="E2521" t="s">
        <v>2240</v>
      </c>
      <c r="F2521" t="s">
        <v>94</v>
      </c>
      <c r="G2521" t="s">
        <v>277</v>
      </c>
      <c r="H2521" s="12">
        <v>7.5758000000000001</v>
      </c>
      <c r="I2521" s="12">
        <v>-75.348600000000005</v>
      </c>
      <c r="J2521" t="s">
        <v>2241</v>
      </c>
      <c r="K2521" t="s">
        <v>97</v>
      </c>
      <c r="L2521" t="s">
        <v>1273</v>
      </c>
      <c r="M2521">
        <v>11</v>
      </c>
      <c r="P2521" s="13">
        <v>149</v>
      </c>
      <c r="Q2521" s="13">
        <v>34</v>
      </c>
      <c r="R2521">
        <v>12</v>
      </c>
      <c r="S2521">
        <v>48</v>
      </c>
      <c r="T2521" s="13">
        <v>26</v>
      </c>
      <c r="U2521" s="13">
        <v>27</v>
      </c>
      <c r="V2521" t="s">
        <v>99</v>
      </c>
      <c r="X2521" s="13">
        <v>149</v>
      </c>
    </row>
    <row r="2522" spans="1:24" x14ac:dyDescent="0.25">
      <c r="A2522" t="s">
        <v>2277</v>
      </c>
      <c r="B2522" t="s">
        <v>65</v>
      </c>
      <c r="C2522" t="s">
        <v>2238</v>
      </c>
      <c r="D2522" t="s">
        <v>2239</v>
      </c>
      <c r="E2522" t="s">
        <v>2240</v>
      </c>
      <c r="F2522" t="s">
        <v>94</v>
      </c>
      <c r="G2522" t="s">
        <v>277</v>
      </c>
      <c r="H2522" s="12">
        <v>7.5758000000000001</v>
      </c>
      <c r="I2522" s="12">
        <v>-75.348600000000005</v>
      </c>
      <c r="J2522" t="s">
        <v>2241</v>
      </c>
      <c r="K2522" t="s">
        <v>97</v>
      </c>
      <c r="L2522" t="s">
        <v>1273</v>
      </c>
      <c r="M2522">
        <v>11</v>
      </c>
      <c r="P2522" s="13">
        <v>149</v>
      </c>
      <c r="Q2522" s="13">
        <v>24</v>
      </c>
      <c r="R2522">
        <v>30</v>
      </c>
      <c r="S2522">
        <v>38</v>
      </c>
      <c r="T2522" s="13">
        <v>29</v>
      </c>
      <c r="U2522" s="13">
        <v>22</v>
      </c>
      <c r="V2522" t="s">
        <v>99</v>
      </c>
      <c r="X2522" s="13">
        <v>149</v>
      </c>
    </row>
    <row r="2523" spans="1:24" x14ac:dyDescent="0.25">
      <c r="A2523" t="s">
        <v>2278</v>
      </c>
      <c r="B2523" t="s">
        <v>65</v>
      </c>
      <c r="C2523" t="s">
        <v>2238</v>
      </c>
      <c r="D2523" t="s">
        <v>2239</v>
      </c>
      <c r="E2523" t="s">
        <v>2240</v>
      </c>
      <c r="F2523" t="s">
        <v>94</v>
      </c>
      <c r="G2523" t="s">
        <v>277</v>
      </c>
      <c r="H2523" s="12">
        <v>7.5758000000000001</v>
      </c>
      <c r="I2523" s="12">
        <v>-75.348600000000005</v>
      </c>
      <c r="J2523" t="s">
        <v>2241</v>
      </c>
      <c r="K2523" t="s">
        <v>97</v>
      </c>
      <c r="L2523" t="s">
        <v>1273</v>
      </c>
      <c r="M2523">
        <v>11</v>
      </c>
      <c r="P2523" s="13">
        <v>147</v>
      </c>
      <c r="Q2523" s="13">
        <v>32</v>
      </c>
      <c r="R2523">
        <v>28</v>
      </c>
      <c r="S2523">
        <v>24</v>
      </c>
      <c r="T2523" s="13">
        <v>34</v>
      </c>
      <c r="U2523" s="13">
        <v>27</v>
      </c>
      <c r="V2523" t="s">
        <v>99</v>
      </c>
      <c r="X2523" s="13">
        <v>147</v>
      </c>
    </row>
    <row r="2524" spans="1:24" x14ac:dyDescent="0.25">
      <c r="A2524" t="s">
        <v>2279</v>
      </c>
      <c r="B2524" t="s">
        <v>65</v>
      </c>
      <c r="C2524" t="s">
        <v>2238</v>
      </c>
      <c r="D2524" t="s">
        <v>2239</v>
      </c>
      <c r="E2524" t="s">
        <v>2240</v>
      </c>
      <c r="F2524" t="s">
        <v>94</v>
      </c>
      <c r="G2524" t="s">
        <v>277</v>
      </c>
      <c r="H2524" s="12">
        <v>7.5758000000000001</v>
      </c>
      <c r="I2524" s="12">
        <v>-75.348600000000005</v>
      </c>
      <c r="J2524" t="s">
        <v>2241</v>
      </c>
      <c r="K2524" t="s">
        <v>97</v>
      </c>
      <c r="L2524" t="s">
        <v>1273</v>
      </c>
      <c r="M2524">
        <v>11</v>
      </c>
      <c r="P2524" s="13">
        <v>146</v>
      </c>
      <c r="Q2524" s="13">
        <v>37</v>
      </c>
      <c r="R2524">
        <v>18</v>
      </c>
      <c r="S2524">
        <v>24</v>
      </c>
      <c r="T2524" s="13">
        <v>36</v>
      </c>
      <c r="U2524" s="13">
        <v>36</v>
      </c>
      <c r="V2524" t="s">
        <v>99</v>
      </c>
      <c r="X2524" s="13">
        <v>146</v>
      </c>
    </row>
    <row r="2525" spans="1:24" x14ac:dyDescent="0.25">
      <c r="A2525" t="s">
        <v>2280</v>
      </c>
      <c r="B2525" t="s">
        <v>65</v>
      </c>
      <c r="C2525" t="s">
        <v>2238</v>
      </c>
      <c r="D2525" t="s">
        <v>2239</v>
      </c>
      <c r="E2525" t="s">
        <v>2240</v>
      </c>
      <c r="F2525" t="s">
        <v>94</v>
      </c>
      <c r="G2525" t="s">
        <v>277</v>
      </c>
      <c r="H2525" s="12">
        <v>7.5758000000000001</v>
      </c>
      <c r="I2525" s="12">
        <v>-75.348600000000005</v>
      </c>
      <c r="J2525" t="s">
        <v>2241</v>
      </c>
      <c r="K2525" t="s">
        <v>97</v>
      </c>
      <c r="L2525" t="s">
        <v>1273</v>
      </c>
      <c r="M2525">
        <v>11</v>
      </c>
      <c r="P2525" s="13">
        <v>142</v>
      </c>
      <c r="Q2525" s="13">
        <v>44</v>
      </c>
      <c r="R2525">
        <v>24</v>
      </c>
      <c r="S2525">
        <v>26</v>
      </c>
      <c r="T2525" s="13">
        <v>21</v>
      </c>
      <c r="U2525" s="13">
        <v>25</v>
      </c>
      <c r="V2525" t="s">
        <v>99</v>
      </c>
      <c r="X2525" s="13">
        <v>142</v>
      </c>
    </row>
    <row r="2526" spans="1:24" x14ac:dyDescent="0.25">
      <c r="A2526" t="s">
        <v>2281</v>
      </c>
      <c r="B2526" t="s">
        <v>65</v>
      </c>
      <c r="C2526" t="s">
        <v>2238</v>
      </c>
      <c r="D2526" t="s">
        <v>2239</v>
      </c>
      <c r="E2526" t="s">
        <v>2240</v>
      </c>
      <c r="F2526" t="s">
        <v>94</v>
      </c>
      <c r="G2526" t="s">
        <v>277</v>
      </c>
      <c r="H2526" s="12">
        <v>7.5758000000000001</v>
      </c>
      <c r="I2526" s="12">
        <v>-75.348600000000005</v>
      </c>
      <c r="J2526" t="s">
        <v>2241</v>
      </c>
      <c r="K2526" t="s">
        <v>97</v>
      </c>
      <c r="L2526" t="s">
        <v>1273</v>
      </c>
      <c r="M2526">
        <v>11</v>
      </c>
      <c r="P2526" s="13">
        <v>141</v>
      </c>
      <c r="Q2526" s="13">
        <v>34</v>
      </c>
      <c r="R2526">
        <v>16</v>
      </c>
      <c r="S2526">
        <v>30</v>
      </c>
      <c r="T2526" s="13">
        <v>26</v>
      </c>
      <c r="U2526" s="13">
        <v>49</v>
      </c>
      <c r="V2526" t="s">
        <v>99</v>
      </c>
      <c r="X2526" s="13">
        <v>141</v>
      </c>
    </row>
    <row r="2527" spans="1:24" x14ac:dyDescent="0.25">
      <c r="A2527" t="s">
        <v>2282</v>
      </c>
      <c r="B2527" t="s">
        <v>65</v>
      </c>
      <c r="C2527" t="s">
        <v>2238</v>
      </c>
      <c r="D2527" t="s">
        <v>2239</v>
      </c>
      <c r="E2527" t="s">
        <v>2240</v>
      </c>
      <c r="F2527" t="s">
        <v>94</v>
      </c>
      <c r="G2527" t="s">
        <v>277</v>
      </c>
      <c r="H2527" s="12">
        <v>7.5758000000000001</v>
      </c>
      <c r="I2527" s="12">
        <v>-75.348600000000005</v>
      </c>
      <c r="J2527" t="s">
        <v>2241</v>
      </c>
      <c r="K2527" t="s">
        <v>97</v>
      </c>
      <c r="L2527" t="s">
        <v>1273</v>
      </c>
      <c r="M2527">
        <v>11</v>
      </c>
      <c r="P2527" s="13">
        <v>141</v>
      </c>
      <c r="Q2527" s="13">
        <v>39</v>
      </c>
      <c r="R2527">
        <v>32</v>
      </c>
      <c r="S2527">
        <v>32</v>
      </c>
      <c r="T2527" s="13">
        <v>12</v>
      </c>
      <c r="U2527" s="13">
        <v>22</v>
      </c>
      <c r="V2527" t="s">
        <v>99</v>
      </c>
      <c r="X2527" s="13">
        <v>141</v>
      </c>
    </row>
    <row r="2528" spans="1:24" x14ac:dyDescent="0.25">
      <c r="A2528" t="s">
        <v>2283</v>
      </c>
      <c r="B2528" t="s">
        <v>65</v>
      </c>
      <c r="C2528" t="s">
        <v>2238</v>
      </c>
      <c r="D2528" t="s">
        <v>2239</v>
      </c>
      <c r="E2528" t="s">
        <v>2240</v>
      </c>
      <c r="F2528" t="s">
        <v>94</v>
      </c>
      <c r="G2528" t="s">
        <v>277</v>
      </c>
      <c r="H2528" s="12">
        <v>7.5758000000000001</v>
      </c>
      <c r="I2528" s="12">
        <v>-75.348600000000005</v>
      </c>
      <c r="J2528" t="s">
        <v>2241</v>
      </c>
      <c r="K2528" t="s">
        <v>97</v>
      </c>
      <c r="L2528" t="s">
        <v>1273</v>
      </c>
      <c r="M2528">
        <v>11</v>
      </c>
      <c r="P2528" s="13">
        <v>140</v>
      </c>
      <c r="Q2528" s="13">
        <v>34</v>
      </c>
      <c r="R2528">
        <v>22</v>
      </c>
      <c r="S2528">
        <v>32</v>
      </c>
      <c r="T2528" s="13">
        <v>21</v>
      </c>
      <c r="U2528" s="13">
        <v>36</v>
      </c>
      <c r="V2528" t="s">
        <v>99</v>
      </c>
      <c r="X2528" s="13">
        <v>140</v>
      </c>
    </row>
    <row r="2529" spans="1:24" x14ac:dyDescent="0.25">
      <c r="A2529" t="s">
        <v>2284</v>
      </c>
      <c r="B2529" t="s">
        <v>65</v>
      </c>
      <c r="C2529" t="s">
        <v>2238</v>
      </c>
      <c r="D2529" t="s">
        <v>2239</v>
      </c>
      <c r="E2529" t="s">
        <v>2240</v>
      </c>
      <c r="F2529" t="s">
        <v>94</v>
      </c>
      <c r="G2529" t="s">
        <v>277</v>
      </c>
      <c r="H2529" s="12">
        <v>7.5758000000000001</v>
      </c>
      <c r="I2529" s="12">
        <v>-75.348600000000005</v>
      </c>
      <c r="J2529" t="s">
        <v>2241</v>
      </c>
      <c r="K2529" t="s">
        <v>97</v>
      </c>
      <c r="L2529" t="s">
        <v>1273</v>
      </c>
      <c r="M2529">
        <v>11</v>
      </c>
      <c r="P2529" s="13">
        <v>139</v>
      </c>
      <c r="Q2529" s="13">
        <v>22</v>
      </c>
      <c r="R2529">
        <v>24</v>
      </c>
      <c r="S2529">
        <v>32</v>
      </c>
      <c r="T2529" s="13">
        <v>36</v>
      </c>
      <c r="U2529" s="13">
        <v>20</v>
      </c>
      <c r="V2529" t="s">
        <v>99</v>
      </c>
      <c r="X2529" s="13">
        <v>139</v>
      </c>
    </row>
    <row r="2530" spans="1:24" x14ac:dyDescent="0.25">
      <c r="A2530" t="s">
        <v>2285</v>
      </c>
      <c r="B2530" t="s">
        <v>65</v>
      </c>
      <c r="C2530" t="s">
        <v>2238</v>
      </c>
      <c r="D2530" t="s">
        <v>2239</v>
      </c>
      <c r="E2530" t="s">
        <v>2240</v>
      </c>
      <c r="F2530" t="s">
        <v>94</v>
      </c>
      <c r="G2530" t="s">
        <v>277</v>
      </c>
      <c r="H2530" s="12">
        <v>7.5758000000000001</v>
      </c>
      <c r="I2530" s="12">
        <v>-75.348600000000005</v>
      </c>
      <c r="J2530" t="s">
        <v>2241</v>
      </c>
      <c r="K2530" t="s">
        <v>97</v>
      </c>
      <c r="L2530" t="s">
        <v>1273</v>
      </c>
      <c r="M2530">
        <v>11</v>
      </c>
      <c r="P2530" s="13">
        <v>138</v>
      </c>
      <c r="Q2530" s="13">
        <v>29</v>
      </c>
      <c r="R2530">
        <v>28</v>
      </c>
      <c r="S2530">
        <v>32</v>
      </c>
      <c r="T2530" s="13">
        <v>22</v>
      </c>
      <c r="U2530" s="13">
        <v>24</v>
      </c>
      <c r="V2530" t="s">
        <v>99</v>
      </c>
      <c r="X2530" s="13">
        <v>138</v>
      </c>
    </row>
    <row r="2531" spans="1:24" x14ac:dyDescent="0.25">
      <c r="A2531" t="s">
        <v>2286</v>
      </c>
      <c r="B2531" t="s">
        <v>65</v>
      </c>
      <c r="C2531" t="s">
        <v>2238</v>
      </c>
      <c r="D2531" t="s">
        <v>2239</v>
      </c>
      <c r="E2531" t="s">
        <v>2240</v>
      </c>
      <c r="F2531" t="s">
        <v>94</v>
      </c>
      <c r="G2531" t="s">
        <v>277</v>
      </c>
      <c r="H2531" s="12">
        <v>7.5758000000000001</v>
      </c>
      <c r="I2531" s="12">
        <v>-75.348600000000005</v>
      </c>
      <c r="J2531" t="s">
        <v>2241</v>
      </c>
      <c r="K2531" t="s">
        <v>97</v>
      </c>
      <c r="L2531" t="s">
        <v>1273</v>
      </c>
      <c r="M2531">
        <v>11</v>
      </c>
      <c r="P2531" s="13">
        <v>138</v>
      </c>
      <c r="Q2531" s="13">
        <v>34</v>
      </c>
      <c r="R2531">
        <v>18</v>
      </c>
      <c r="S2531">
        <v>30</v>
      </c>
      <c r="T2531" s="13">
        <v>26</v>
      </c>
      <c r="U2531" s="13">
        <v>35</v>
      </c>
      <c r="V2531" t="s">
        <v>99</v>
      </c>
      <c r="X2531" s="13">
        <v>138</v>
      </c>
    </row>
    <row r="2532" spans="1:24" x14ac:dyDescent="0.25">
      <c r="A2532" t="s">
        <v>2287</v>
      </c>
      <c r="B2532" t="s">
        <v>65</v>
      </c>
      <c r="C2532" t="s">
        <v>2238</v>
      </c>
      <c r="D2532" t="s">
        <v>2239</v>
      </c>
      <c r="E2532" t="s">
        <v>2240</v>
      </c>
      <c r="F2532" t="s">
        <v>94</v>
      </c>
      <c r="G2532" t="s">
        <v>277</v>
      </c>
      <c r="H2532" s="12">
        <v>7.5758000000000001</v>
      </c>
      <c r="I2532" s="12">
        <v>-75.348600000000005</v>
      </c>
      <c r="J2532" t="s">
        <v>2241</v>
      </c>
      <c r="K2532" t="s">
        <v>97</v>
      </c>
      <c r="L2532" t="s">
        <v>1273</v>
      </c>
      <c r="M2532">
        <v>11</v>
      </c>
      <c r="P2532" s="13">
        <v>138</v>
      </c>
      <c r="Q2532" s="13">
        <v>32</v>
      </c>
      <c r="R2532">
        <v>28</v>
      </c>
      <c r="S2532">
        <v>22</v>
      </c>
      <c r="T2532" s="13">
        <v>19</v>
      </c>
      <c r="U2532" s="13">
        <v>56</v>
      </c>
      <c r="V2532" t="s">
        <v>99</v>
      </c>
      <c r="X2532" s="13">
        <v>138</v>
      </c>
    </row>
    <row r="2533" spans="1:24" x14ac:dyDescent="0.25">
      <c r="A2533" t="s">
        <v>2288</v>
      </c>
      <c r="B2533" t="s">
        <v>65</v>
      </c>
      <c r="C2533" t="s">
        <v>2238</v>
      </c>
      <c r="D2533" t="s">
        <v>2239</v>
      </c>
      <c r="E2533" t="s">
        <v>2240</v>
      </c>
      <c r="F2533" t="s">
        <v>94</v>
      </c>
      <c r="G2533" t="s">
        <v>277</v>
      </c>
      <c r="H2533" s="12">
        <v>7.5758000000000001</v>
      </c>
      <c r="I2533" s="12">
        <v>-75.348600000000005</v>
      </c>
      <c r="J2533" t="s">
        <v>2241</v>
      </c>
      <c r="K2533" t="s">
        <v>97</v>
      </c>
      <c r="L2533" t="s">
        <v>1273</v>
      </c>
      <c r="M2533">
        <v>11</v>
      </c>
      <c r="P2533" s="13">
        <v>136</v>
      </c>
      <c r="Q2533" s="13">
        <v>37</v>
      </c>
      <c r="R2533">
        <v>22</v>
      </c>
      <c r="S2533">
        <v>32</v>
      </c>
      <c r="T2533" s="13">
        <v>19</v>
      </c>
      <c r="U2533" s="13">
        <v>25</v>
      </c>
      <c r="V2533" t="s">
        <v>99</v>
      </c>
      <c r="X2533" s="13">
        <v>136</v>
      </c>
    </row>
    <row r="2534" spans="1:24" x14ac:dyDescent="0.25">
      <c r="A2534" t="s">
        <v>2289</v>
      </c>
      <c r="B2534" t="s">
        <v>65</v>
      </c>
      <c r="C2534" t="s">
        <v>2238</v>
      </c>
      <c r="D2534" t="s">
        <v>2239</v>
      </c>
      <c r="E2534" t="s">
        <v>2240</v>
      </c>
      <c r="F2534" t="s">
        <v>94</v>
      </c>
      <c r="G2534" t="s">
        <v>277</v>
      </c>
      <c r="H2534" s="12">
        <v>7.5758000000000001</v>
      </c>
      <c r="I2534" s="12">
        <v>-75.348600000000005</v>
      </c>
      <c r="J2534" t="s">
        <v>2241</v>
      </c>
      <c r="K2534" t="s">
        <v>97</v>
      </c>
      <c r="L2534" t="s">
        <v>1273</v>
      </c>
      <c r="M2534">
        <v>11</v>
      </c>
      <c r="P2534" s="13">
        <v>132</v>
      </c>
      <c r="Q2534" s="13">
        <v>24</v>
      </c>
      <c r="R2534">
        <v>28</v>
      </c>
      <c r="S2534">
        <v>26</v>
      </c>
      <c r="T2534" s="13">
        <v>24</v>
      </c>
      <c r="U2534" s="13">
        <v>35</v>
      </c>
      <c r="V2534" t="s">
        <v>99</v>
      </c>
      <c r="X2534" s="13">
        <v>132</v>
      </c>
    </row>
    <row r="2535" spans="1:24" x14ac:dyDescent="0.25">
      <c r="A2535" t="s">
        <v>2290</v>
      </c>
      <c r="B2535" t="s">
        <v>65</v>
      </c>
      <c r="C2535" t="s">
        <v>2238</v>
      </c>
      <c r="D2535" t="s">
        <v>2239</v>
      </c>
      <c r="E2535" t="s">
        <v>2240</v>
      </c>
      <c r="F2535" t="s">
        <v>94</v>
      </c>
      <c r="G2535" t="s">
        <v>277</v>
      </c>
      <c r="H2535" s="12">
        <v>7.5758000000000001</v>
      </c>
      <c r="I2535" s="12">
        <v>-75.348600000000005</v>
      </c>
      <c r="J2535" t="s">
        <v>2241</v>
      </c>
      <c r="K2535" t="s">
        <v>97</v>
      </c>
      <c r="L2535" t="s">
        <v>1273</v>
      </c>
      <c r="M2535">
        <v>11</v>
      </c>
      <c r="P2535" s="13">
        <v>128</v>
      </c>
      <c r="Q2535" s="13">
        <v>32</v>
      </c>
      <c r="R2535">
        <v>26</v>
      </c>
      <c r="S2535">
        <v>26</v>
      </c>
      <c r="T2535" s="13">
        <v>17</v>
      </c>
      <c r="U2535" s="13">
        <v>31</v>
      </c>
      <c r="V2535" t="s">
        <v>99</v>
      </c>
      <c r="X2535" s="13">
        <v>128</v>
      </c>
    </row>
    <row r="2536" spans="1:24" x14ac:dyDescent="0.25">
      <c r="A2536" t="s">
        <v>2291</v>
      </c>
      <c r="B2536" t="s">
        <v>65</v>
      </c>
      <c r="C2536" t="s">
        <v>2238</v>
      </c>
      <c r="D2536" t="s">
        <v>2239</v>
      </c>
      <c r="E2536" t="s">
        <v>2240</v>
      </c>
      <c r="F2536" t="s">
        <v>94</v>
      </c>
      <c r="G2536" t="s">
        <v>277</v>
      </c>
      <c r="H2536" s="12">
        <v>7.5758000000000001</v>
      </c>
      <c r="I2536" s="12">
        <v>-75.348600000000005</v>
      </c>
      <c r="J2536" t="s">
        <v>2241</v>
      </c>
      <c r="K2536" t="s">
        <v>97</v>
      </c>
      <c r="L2536" t="s">
        <v>1273</v>
      </c>
      <c r="M2536">
        <v>11</v>
      </c>
      <c r="P2536" s="13">
        <v>127</v>
      </c>
      <c r="Q2536" s="13">
        <v>15</v>
      </c>
      <c r="R2536">
        <v>34</v>
      </c>
      <c r="S2536">
        <v>30</v>
      </c>
      <c r="T2536" s="13">
        <v>22</v>
      </c>
      <c r="U2536" s="13">
        <v>27</v>
      </c>
      <c r="V2536" t="s">
        <v>99</v>
      </c>
      <c r="X2536" s="13">
        <v>127</v>
      </c>
    </row>
    <row r="2537" spans="1:24" x14ac:dyDescent="0.25">
      <c r="A2537" t="s">
        <v>2292</v>
      </c>
      <c r="B2537" t="s">
        <v>65</v>
      </c>
      <c r="C2537" t="s">
        <v>2238</v>
      </c>
      <c r="D2537" t="s">
        <v>2239</v>
      </c>
      <c r="E2537" t="s">
        <v>2240</v>
      </c>
      <c r="F2537" t="s">
        <v>94</v>
      </c>
      <c r="G2537" t="s">
        <v>277</v>
      </c>
      <c r="H2537" s="12">
        <v>7.5758000000000001</v>
      </c>
      <c r="I2537" s="12">
        <v>-75.348600000000005</v>
      </c>
      <c r="J2537" t="s">
        <v>2241</v>
      </c>
      <c r="K2537" t="s">
        <v>97</v>
      </c>
      <c r="L2537" t="s">
        <v>1273</v>
      </c>
      <c r="M2537">
        <v>11</v>
      </c>
      <c r="P2537" s="13">
        <v>126</v>
      </c>
      <c r="Q2537" s="13">
        <v>27</v>
      </c>
      <c r="R2537">
        <v>26</v>
      </c>
      <c r="S2537">
        <v>24</v>
      </c>
      <c r="T2537" s="13">
        <v>24</v>
      </c>
      <c r="U2537" s="13">
        <v>25</v>
      </c>
      <c r="V2537" t="s">
        <v>99</v>
      </c>
      <c r="X2537" s="13">
        <v>126</v>
      </c>
    </row>
    <row r="2538" spans="1:24" x14ac:dyDescent="0.25">
      <c r="A2538" t="s">
        <v>2293</v>
      </c>
      <c r="B2538" t="s">
        <v>65</v>
      </c>
      <c r="C2538" t="s">
        <v>2238</v>
      </c>
      <c r="D2538" t="s">
        <v>2239</v>
      </c>
      <c r="E2538" t="s">
        <v>2240</v>
      </c>
      <c r="F2538" t="s">
        <v>94</v>
      </c>
      <c r="G2538" t="s">
        <v>277</v>
      </c>
      <c r="H2538" s="12">
        <v>7.5758000000000001</v>
      </c>
      <c r="I2538" s="12">
        <v>-75.348600000000005</v>
      </c>
      <c r="J2538" t="s">
        <v>2241</v>
      </c>
      <c r="K2538" t="s">
        <v>97</v>
      </c>
      <c r="L2538" t="s">
        <v>1273</v>
      </c>
      <c r="M2538">
        <v>11</v>
      </c>
      <c r="P2538" s="13">
        <v>124</v>
      </c>
      <c r="Q2538" s="13">
        <v>27</v>
      </c>
      <c r="R2538">
        <v>12</v>
      </c>
      <c r="S2538">
        <v>36</v>
      </c>
      <c r="T2538" s="13">
        <v>22</v>
      </c>
      <c r="U2538" s="13">
        <v>31</v>
      </c>
      <c r="V2538" t="s">
        <v>99</v>
      </c>
      <c r="X2538" s="13">
        <v>124</v>
      </c>
    </row>
    <row r="2539" spans="1:24" x14ac:dyDescent="0.25">
      <c r="A2539" t="s">
        <v>2294</v>
      </c>
      <c r="B2539" t="s">
        <v>65</v>
      </c>
      <c r="C2539" t="s">
        <v>2238</v>
      </c>
      <c r="D2539" t="s">
        <v>2239</v>
      </c>
      <c r="E2539" t="s">
        <v>2240</v>
      </c>
      <c r="F2539" t="s">
        <v>94</v>
      </c>
      <c r="G2539" t="s">
        <v>277</v>
      </c>
      <c r="H2539" s="12">
        <v>7.5758000000000001</v>
      </c>
      <c r="I2539" s="12">
        <v>-75.348600000000005</v>
      </c>
      <c r="J2539" t="s">
        <v>2241</v>
      </c>
      <c r="K2539" t="s">
        <v>97</v>
      </c>
      <c r="L2539" t="s">
        <v>1273</v>
      </c>
      <c r="M2539">
        <v>11</v>
      </c>
      <c r="P2539" s="13">
        <v>121</v>
      </c>
      <c r="Q2539" s="13">
        <v>37</v>
      </c>
      <c r="R2539">
        <v>16</v>
      </c>
      <c r="S2539">
        <v>28</v>
      </c>
      <c r="T2539" s="13">
        <v>16</v>
      </c>
      <c r="U2539" s="13">
        <v>27</v>
      </c>
      <c r="V2539" t="s">
        <v>99</v>
      </c>
      <c r="X2539" s="13">
        <v>121</v>
      </c>
    </row>
    <row r="2540" spans="1:24" x14ac:dyDescent="0.25">
      <c r="A2540" t="s">
        <v>2295</v>
      </c>
      <c r="B2540" t="s">
        <v>65</v>
      </c>
      <c r="C2540" t="s">
        <v>2238</v>
      </c>
      <c r="D2540" t="s">
        <v>2239</v>
      </c>
      <c r="E2540" t="s">
        <v>2240</v>
      </c>
      <c r="F2540" t="s">
        <v>94</v>
      </c>
      <c r="G2540" t="s">
        <v>277</v>
      </c>
      <c r="H2540" s="12">
        <v>7.5758000000000001</v>
      </c>
      <c r="I2540" s="12">
        <v>-75.348600000000005</v>
      </c>
      <c r="J2540" t="s">
        <v>2241</v>
      </c>
      <c r="K2540" t="s">
        <v>97</v>
      </c>
      <c r="L2540" t="s">
        <v>1273</v>
      </c>
      <c r="M2540">
        <v>11</v>
      </c>
      <c r="P2540" s="13">
        <v>120</v>
      </c>
      <c r="Q2540" s="13">
        <v>27</v>
      </c>
      <c r="R2540">
        <v>18</v>
      </c>
      <c r="S2540">
        <v>28</v>
      </c>
      <c r="T2540" s="13">
        <v>22</v>
      </c>
      <c r="U2540" s="13">
        <v>27</v>
      </c>
      <c r="V2540" t="s">
        <v>99</v>
      </c>
      <c r="X2540" s="13">
        <v>120</v>
      </c>
    </row>
    <row r="2541" spans="1:24" x14ac:dyDescent="0.25">
      <c r="A2541" t="s">
        <v>2296</v>
      </c>
      <c r="B2541" t="s">
        <v>65</v>
      </c>
      <c r="C2541" t="s">
        <v>2238</v>
      </c>
      <c r="D2541" t="s">
        <v>2239</v>
      </c>
      <c r="E2541" t="s">
        <v>2240</v>
      </c>
      <c r="F2541" t="s">
        <v>94</v>
      </c>
      <c r="G2541" t="s">
        <v>277</v>
      </c>
      <c r="H2541" s="12">
        <v>7.5758000000000001</v>
      </c>
      <c r="I2541" s="12">
        <v>-75.348600000000005</v>
      </c>
      <c r="J2541" t="s">
        <v>2241</v>
      </c>
      <c r="K2541" t="s">
        <v>97</v>
      </c>
      <c r="L2541" t="s">
        <v>1273</v>
      </c>
      <c r="M2541">
        <v>11</v>
      </c>
      <c r="P2541" s="13">
        <v>119</v>
      </c>
      <c r="Q2541" s="13">
        <v>29</v>
      </c>
      <c r="R2541">
        <v>32</v>
      </c>
      <c r="S2541">
        <v>14</v>
      </c>
      <c r="T2541" s="13">
        <v>17</v>
      </c>
      <c r="U2541" s="13">
        <v>31</v>
      </c>
      <c r="V2541" t="s">
        <v>99</v>
      </c>
      <c r="X2541" s="13">
        <v>119</v>
      </c>
    </row>
    <row r="2542" spans="1:24" x14ac:dyDescent="0.25">
      <c r="A2542" t="s">
        <v>2297</v>
      </c>
      <c r="B2542" t="s">
        <v>65</v>
      </c>
      <c r="C2542" t="s">
        <v>2238</v>
      </c>
      <c r="D2542" t="s">
        <v>2239</v>
      </c>
      <c r="E2542" t="s">
        <v>2240</v>
      </c>
      <c r="F2542" t="s">
        <v>94</v>
      </c>
      <c r="G2542" t="s">
        <v>277</v>
      </c>
      <c r="H2542" s="12">
        <v>7.5758000000000001</v>
      </c>
      <c r="I2542" s="12">
        <v>-75.348600000000005</v>
      </c>
      <c r="J2542" t="s">
        <v>2241</v>
      </c>
      <c r="K2542" t="s">
        <v>97</v>
      </c>
      <c r="L2542" t="s">
        <v>1273</v>
      </c>
      <c r="M2542">
        <v>11</v>
      </c>
      <c r="P2542" s="13">
        <v>103</v>
      </c>
      <c r="Q2542" s="13">
        <v>17</v>
      </c>
      <c r="R2542">
        <v>18</v>
      </c>
      <c r="S2542">
        <v>20</v>
      </c>
      <c r="T2542" s="13">
        <v>24</v>
      </c>
      <c r="U2542" s="13">
        <v>31</v>
      </c>
      <c r="V2542" t="s">
        <v>99</v>
      </c>
      <c r="X2542" s="13">
        <v>103</v>
      </c>
    </row>
    <row r="2543" spans="1:24" x14ac:dyDescent="0.25">
      <c r="A2543" t="s">
        <v>2298</v>
      </c>
      <c r="B2543" t="s">
        <v>65</v>
      </c>
      <c r="C2543" t="s">
        <v>2299</v>
      </c>
      <c r="D2543" t="s">
        <v>2300</v>
      </c>
      <c r="E2543" t="s">
        <v>2301</v>
      </c>
      <c r="F2543" t="s">
        <v>94</v>
      </c>
      <c r="G2543" t="s">
        <v>277</v>
      </c>
      <c r="H2543" s="12">
        <v>5.8789999999999996</v>
      </c>
      <c r="I2543" s="12">
        <v>-75.583299999999994</v>
      </c>
      <c r="J2543" t="s">
        <v>2302</v>
      </c>
      <c r="K2543" t="s">
        <v>97</v>
      </c>
      <c r="L2543" t="s">
        <v>1273</v>
      </c>
      <c r="M2543">
        <v>11</v>
      </c>
      <c r="P2543" s="13">
        <v>291</v>
      </c>
      <c r="Q2543" s="13">
        <v>68</v>
      </c>
      <c r="R2543">
        <v>56</v>
      </c>
      <c r="S2543">
        <v>68</v>
      </c>
      <c r="T2543" s="13">
        <v>31</v>
      </c>
      <c r="U2543" s="13">
        <v>85</v>
      </c>
      <c r="V2543" t="s">
        <v>99</v>
      </c>
      <c r="X2543" s="13">
        <v>291</v>
      </c>
    </row>
    <row r="2544" spans="1:24" x14ac:dyDescent="0.25">
      <c r="A2544" t="s">
        <v>2303</v>
      </c>
      <c r="B2544" t="s">
        <v>65</v>
      </c>
      <c r="C2544" t="s">
        <v>2299</v>
      </c>
      <c r="D2544" t="s">
        <v>2300</v>
      </c>
      <c r="E2544" t="s">
        <v>2301</v>
      </c>
      <c r="F2544" t="s">
        <v>94</v>
      </c>
      <c r="G2544" t="s">
        <v>277</v>
      </c>
      <c r="H2544" s="12">
        <v>5.8789999999999996</v>
      </c>
      <c r="I2544" s="12">
        <v>-75.583299999999994</v>
      </c>
      <c r="J2544" t="s">
        <v>2302</v>
      </c>
      <c r="K2544" t="s">
        <v>97</v>
      </c>
      <c r="L2544" t="s">
        <v>1273</v>
      </c>
      <c r="M2544">
        <v>11</v>
      </c>
      <c r="P2544" s="13">
        <v>225</v>
      </c>
      <c r="Q2544" s="13">
        <v>56</v>
      </c>
      <c r="R2544">
        <v>30</v>
      </c>
      <c r="S2544">
        <v>52</v>
      </c>
      <c r="T2544" s="13">
        <v>36</v>
      </c>
      <c r="U2544" s="13">
        <v>62</v>
      </c>
      <c r="V2544" t="s">
        <v>99</v>
      </c>
      <c r="X2544" s="13">
        <v>225</v>
      </c>
    </row>
    <row r="2545" spans="1:24" x14ac:dyDescent="0.25">
      <c r="A2545" t="s">
        <v>2304</v>
      </c>
      <c r="B2545" t="s">
        <v>65</v>
      </c>
      <c r="C2545" t="s">
        <v>2299</v>
      </c>
      <c r="D2545" t="s">
        <v>2300</v>
      </c>
      <c r="E2545" t="s">
        <v>2301</v>
      </c>
      <c r="F2545" t="s">
        <v>94</v>
      </c>
      <c r="G2545" t="s">
        <v>277</v>
      </c>
      <c r="H2545" s="12">
        <v>5.8789999999999996</v>
      </c>
      <c r="I2545" s="12">
        <v>-75.583299999999994</v>
      </c>
      <c r="J2545" t="s">
        <v>2302</v>
      </c>
      <c r="K2545" t="s">
        <v>97</v>
      </c>
      <c r="L2545" t="s">
        <v>1273</v>
      </c>
      <c r="M2545">
        <v>11</v>
      </c>
      <c r="P2545" s="13">
        <v>221</v>
      </c>
      <c r="Q2545" s="13">
        <v>54</v>
      </c>
      <c r="R2545">
        <v>32</v>
      </c>
      <c r="S2545">
        <v>54</v>
      </c>
      <c r="T2545" s="13">
        <v>43</v>
      </c>
      <c r="U2545" s="13">
        <v>27</v>
      </c>
      <c r="V2545" t="s">
        <v>99</v>
      </c>
      <c r="X2545" s="13">
        <v>221</v>
      </c>
    </row>
    <row r="2546" spans="1:24" x14ac:dyDescent="0.25">
      <c r="A2546" t="s">
        <v>2305</v>
      </c>
      <c r="B2546" t="s">
        <v>65</v>
      </c>
      <c r="C2546" t="s">
        <v>2299</v>
      </c>
      <c r="D2546" t="s">
        <v>2300</v>
      </c>
      <c r="E2546" t="s">
        <v>2301</v>
      </c>
      <c r="F2546" t="s">
        <v>94</v>
      </c>
      <c r="G2546" t="s">
        <v>277</v>
      </c>
      <c r="H2546" s="12">
        <v>5.8789999999999996</v>
      </c>
      <c r="I2546" s="12">
        <v>-75.583299999999994</v>
      </c>
      <c r="J2546" t="s">
        <v>2302</v>
      </c>
      <c r="K2546" t="s">
        <v>97</v>
      </c>
      <c r="L2546" t="s">
        <v>1273</v>
      </c>
      <c r="M2546">
        <v>11</v>
      </c>
      <c r="P2546" s="13">
        <v>220</v>
      </c>
      <c r="Q2546" s="13">
        <v>39</v>
      </c>
      <c r="R2546">
        <v>24</v>
      </c>
      <c r="S2546">
        <v>54</v>
      </c>
      <c r="T2546" s="13">
        <v>50</v>
      </c>
      <c r="U2546" s="13">
        <v>71</v>
      </c>
      <c r="V2546" t="s">
        <v>99</v>
      </c>
      <c r="X2546" s="13">
        <v>220</v>
      </c>
    </row>
    <row r="2547" spans="1:24" x14ac:dyDescent="0.25">
      <c r="A2547" t="s">
        <v>2306</v>
      </c>
      <c r="B2547" t="s">
        <v>65</v>
      </c>
      <c r="C2547" t="s">
        <v>2299</v>
      </c>
      <c r="D2547" t="s">
        <v>2300</v>
      </c>
      <c r="E2547" t="s">
        <v>2301</v>
      </c>
      <c r="F2547" t="s">
        <v>94</v>
      </c>
      <c r="G2547" t="s">
        <v>277</v>
      </c>
      <c r="H2547" s="12">
        <v>5.8789999999999996</v>
      </c>
      <c r="I2547" s="12">
        <v>-75.583299999999994</v>
      </c>
      <c r="J2547" t="s">
        <v>2302</v>
      </c>
      <c r="K2547" t="s">
        <v>97</v>
      </c>
      <c r="L2547" t="s">
        <v>1273</v>
      </c>
      <c r="M2547">
        <v>11</v>
      </c>
      <c r="P2547" s="13">
        <v>212</v>
      </c>
      <c r="Q2547" s="13">
        <v>59</v>
      </c>
      <c r="R2547">
        <v>22</v>
      </c>
      <c r="S2547">
        <v>58</v>
      </c>
      <c r="T2547" s="13">
        <v>28</v>
      </c>
      <c r="U2547" s="13">
        <v>53</v>
      </c>
      <c r="V2547" t="s">
        <v>99</v>
      </c>
      <c r="X2547" s="13">
        <v>212</v>
      </c>
    </row>
    <row r="2548" spans="1:24" x14ac:dyDescent="0.25">
      <c r="A2548" t="s">
        <v>2307</v>
      </c>
      <c r="B2548" t="s">
        <v>65</v>
      </c>
      <c r="C2548" t="s">
        <v>2299</v>
      </c>
      <c r="D2548" t="s">
        <v>2300</v>
      </c>
      <c r="E2548" t="s">
        <v>2301</v>
      </c>
      <c r="F2548" t="s">
        <v>94</v>
      </c>
      <c r="G2548" t="s">
        <v>277</v>
      </c>
      <c r="H2548" s="12">
        <v>5.8789999999999996</v>
      </c>
      <c r="I2548" s="12">
        <v>-75.583299999999994</v>
      </c>
      <c r="J2548" t="s">
        <v>2302</v>
      </c>
      <c r="K2548" t="s">
        <v>97</v>
      </c>
      <c r="L2548" t="s">
        <v>1273</v>
      </c>
      <c r="M2548">
        <v>11</v>
      </c>
      <c r="P2548" s="13">
        <v>205</v>
      </c>
      <c r="Q2548" s="13">
        <v>49</v>
      </c>
      <c r="R2548">
        <v>30</v>
      </c>
      <c r="S2548">
        <v>56</v>
      </c>
      <c r="T2548" s="13">
        <v>29</v>
      </c>
      <c r="U2548" s="13">
        <v>40</v>
      </c>
      <c r="V2548" t="s">
        <v>99</v>
      </c>
      <c r="X2548" s="13">
        <v>205</v>
      </c>
    </row>
    <row r="2549" spans="1:24" x14ac:dyDescent="0.25">
      <c r="A2549" t="s">
        <v>2308</v>
      </c>
      <c r="B2549" t="s">
        <v>65</v>
      </c>
      <c r="C2549" t="s">
        <v>2299</v>
      </c>
      <c r="D2549" t="s">
        <v>2300</v>
      </c>
      <c r="E2549" t="s">
        <v>2301</v>
      </c>
      <c r="F2549" t="s">
        <v>94</v>
      </c>
      <c r="G2549" t="s">
        <v>277</v>
      </c>
      <c r="H2549" s="12">
        <v>5.8789999999999996</v>
      </c>
      <c r="I2549" s="12">
        <v>-75.583299999999994</v>
      </c>
      <c r="J2549" t="s">
        <v>2302</v>
      </c>
      <c r="K2549" t="s">
        <v>97</v>
      </c>
      <c r="L2549" t="s">
        <v>1273</v>
      </c>
      <c r="M2549">
        <v>11</v>
      </c>
      <c r="P2549" s="13">
        <v>196</v>
      </c>
      <c r="Q2549" s="13">
        <v>54</v>
      </c>
      <c r="R2549">
        <v>22</v>
      </c>
      <c r="S2549">
        <v>46</v>
      </c>
      <c r="T2549" s="13">
        <v>34</v>
      </c>
      <c r="U2549" s="13">
        <v>42</v>
      </c>
      <c r="V2549" t="s">
        <v>99</v>
      </c>
      <c r="X2549" s="13">
        <v>196</v>
      </c>
    </row>
    <row r="2550" spans="1:24" x14ac:dyDescent="0.25">
      <c r="A2550" t="s">
        <v>2309</v>
      </c>
      <c r="B2550" t="s">
        <v>65</v>
      </c>
      <c r="C2550" t="s">
        <v>2299</v>
      </c>
      <c r="D2550" t="s">
        <v>2300</v>
      </c>
      <c r="E2550" t="s">
        <v>2301</v>
      </c>
      <c r="F2550" t="s">
        <v>94</v>
      </c>
      <c r="G2550" t="s">
        <v>277</v>
      </c>
      <c r="H2550" s="12">
        <v>5.8789999999999996</v>
      </c>
      <c r="I2550" s="12">
        <v>-75.583299999999994</v>
      </c>
      <c r="J2550" t="s">
        <v>2302</v>
      </c>
      <c r="K2550" t="s">
        <v>97</v>
      </c>
      <c r="L2550" t="s">
        <v>1273</v>
      </c>
      <c r="M2550">
        <v>11</v>
      </c>
      <c r="P2550" s="13">
        <v>196</v>
      </c>
      <c r="Q2550" s="13">
        <v>44</v>
      </c>
      <c r="R2550">
        <v>26</v>
      </c>
      <c r="S2550">
        <v>42</v>
      </c>
      <c r="T2550" s="13">
        <v>45</v>
      </c>
      <c r="U2550" s="13">
        <v>38</v>
      </c>
      <c r="V2550" t="s">
        <v>99</v>
      </c>
      <c r="X2550" s="13">
        <v>196</v>
      </c>
    </row>
    <row r="2551" spans="1:24" x14ac:dyDescent="0.25">
      <c r="A2551" t="s">
        <v>2310</v>
      </c>
      <c r="B2551" t="s">
        <v>65</v>
      </c>
      <c r="C2551" t="s">
        <v>2299</v>
      </c>
      <c r="D2551" t="s">
        <v>2300</v>
      </c>
      <c r="E2551" t="s">
        <v>2301</v>
      </c>
      <c r="F2551" t="s">
        <v>94</v>
      </c>
      <c r="G2551" t="s">
        <v>277</v>
      </c>
      <c r="H2551" s="12">
        <v>5.8789999999999996</v>
      </c>
      <c r="I2551" s="12">
        <v>-75.583299999999994</v>
      </c>
      <c r="J2551" t="s">
        <v>2302</v>
      </c>
      <c r="K2551" t="s">
        <v>97</v>
      </c>
      <c r="L2551" t="s">
        <v>1273</v>
      </c>
      <c r="M2551">
        <v>11</v>
      </c>
      <c r="P2551" s="13">
        <v>193</v>
      </c>
      <c r="Q2551" s="13">
        <v>63</v>
      </c>
      <c r="R2551">
        <v>18</v>
      </c>
      <c r="S2551">
        <v>50</v>
      </c>
      <c r="T2551" s="13">
        <v>22</v>
      </c>
      <c r="U2551" s="13">
        <v>40</v>
      </c>
      <c r="V2551" t="s">
        <v>99</v>
      </c>
      <c r="X2551" s="13">
        <v>193</v>
      </c>
    </row>
    <row r="2552" spans="1:24" x14ac:dyDescent="0.25">
      <c r="A2552" t="s">
        <v>2311</v>
      </c>
      <c r="B2552" t="s">
        <v>65</v>
      </c>
      <c r="C2552" t="s">
        <v>2299</v>
      </c>
      <c r="D2552" t="s">
        <v>2300</v>
      </c>
      <c r="E2552" t="s">
        <v>2301</v>
      </c>
      <c r="F2552" t="s">
        <v>94</v>
      </c>
      <c r="G2552" t="s">
        <v>277</v>
      </c>
      <c r="H2552" s="12">
        <v>5.8789999999999996</v>
      </c>
      <c r="I2552" s="12">
        <v>-75.583299999999994</v>
      </c>
      <c r="J2552" t="s">
        <v>2302</v>
      </c>
      <c r="K2552" t="s">
        <v>97</v>
      </c>
      <c r="L2552" t="s">
        <v>1273</v>
      </c>
      <c r="M2552">
        <v>11</v>
      </c>
      <c r="P2552" s="13">
        <v>189</v>
      </c>
      <c r="Q2552" s="13">
        <v>44</v>
      </c>
      <c r="R2552">
        <v>24</v>
      </c>
      <c r="S2552">
        <v>48</v>
      </c>
      <c r="T2552" s="13">
        <v>34</v>
      </c>
      <c r="U2552" s="13">
        <v>40</v>
      </c>
      <c r="V2552" t="s">
        <v>99</v>
      </c>
      <c r="X2552" s="13">
        <v>189</v>
      </c>
    </row>
    <row r="2553" spans="1:24" x14ac:dyDescent="0.25">
      <c r="A2553" t="s">
        <v>2312</v>
      </c>
      <c r="B2553" t="s">
        <v>65</v>
      </c>
      <c r="C2553" t="s">
        <v>2299</v>
      </c>
      <c r="D2553" t="s">
        <v>2300</v>
      </c>
      <c r="E2553" t="s">
        <v>2301</v>
      </c>
      <c r="F2553" t="s">
        <v>94</v>
      </c>
      <c r="G2553" t="s">
        <v>277</v>
      </c>
      <c r="H2553" s="12">
        <v>5.8789999999999996</v>
      </c>
      <c r="I2553" s="12">
        <v>-75.583299999999994</v>
      </c>
      <c r="J2553" t="s">
        <v>2302</v>
      </c>
      <c r="K2553" t="s">
        <v>97</v>
      </c>
      <c r="L2553" t="s">
        <v>1273</v>
      </c>
      <c r="M2553">
        <v>11</v>
      </c>
      <c r="P2553" s="13">
        <v>187</v>
      </c>
      <c r="Q2553" s="13">
        <v>41</v>
      </c>
      <c r="R2553">
        <v>28</v>
      </c>
      <c r="S2553">
        <v>50</v>
      </c>
      <c r="T2553" s="13">
        <v>26</v>
      </c>
      <c r="U2553" s="13">
        <v>51</v>
      </c>
      <c r="V2553" t="s">
        <v>99</v>
      </c>
      <c r="X2553" s="13">
        <v>187</v>
      </c>
    </row>
    <row r="2554" spans="1:24" x14ac:dyDescent="0.25">
      <c r="A2554" t="s">
        <v>2313</v>
      </c>
      <c r="B2554" t="s">
        <v>65</v>
      </c>
      <c r="C2554" t="s">
        <v>2299</v>
      </c>
      <c r="D2554" t="s">
        <v>2300</v>
      </c>
      <c r="E2554" t="s">
        <v>2301</v>
      </c>
      <c r="F2554" t="s">
        <v>94</v>
      </c>
      <c r="G2554" t="s">
        <v>277</v>
      </c>
      <c r="H2554" s="12">
        <v>5.8789999999999996</v>
      </c>
      <c r="I2554" s="12">
        <v>-75.583299999999994</v>
      </c>
      <c r="J2554" t="s">
        <v>2302</v>
      </c>
      <c r="K2554" t="s">
        <v>97</v>
      </c>
      <c r="L2554" t="s">
        <v>1273</v>
      </c>
      <c r="M2554">
        <v>11</v>
      </c>
      <c r="P2554" s="13">
        <v>186</v>
      </c>
      <c r="Q2554" s="13">
        <v>54</v>
      </c>
      <c r="R2554">
        <v>28</v>
      </c>
      <c r="S2554">
        <v>42</v>
      </c>
      <c r="T2554" s="13">
        <v>24</v>
      </c>
      <c r="U2554" s="13">
        <v>40</v>
      </c>
      <c r="V2554" t="s">
        <v>99</v>
      </c>
      <c r="X2554" s="13">
        <v>186</v>
      </c>
    </row>
    <row r="2555" spans="1:24" x14ac:dyDescent="0.25">
      <c r="A2555" t="s">
        <v>2314</v>
      </c>
      <c r="B2555" t="s">
        <v>65</v>
      </c>
      <c r="C2555" t="s">
        <v>2299</v>
      </c>
      <c r="D2555" t="s">
        <v>2300</v>
      </c>
      <c r="E2555" t="s">
        <v>2301</v>
      </c>
      <c r="F2555" t="s">
        <v>94</v>
      </c>
      <c r="G2555" t="s">
        <v>277</v>
      </c>
      <c r="H2555" s="12">
        <v>5.8789999999999996</v>
      </c>
      <c r="I2555" s="12">
        <v>-75.583299999999994</v>
      </c>
      <c r="J2555" t="s">
        <v>2302</v>
      </c>
      <c r="K2555" t="s">
        <v>97</v>
      </c>
      <c r="L2555" t="s">
        <v>1273</v>
      </c>
      <c r="M2555">
        <v>11</v>
      </c>
      <c r="P2555" s="13">
        <v>185</v>
      </c>
      <c r="Q2555" s="13">
        <v>51</v>
      </c>
      <c r="R2555">
        <v>32</v>
      </c>
      <c r="S2555">
        <v>40</v>
      </c>
      <c r="T2555" s="13">
        <v>26</v>
      </c>
      <c r="U2555" s="13">
        <v>35</v>
      </c>
      <c r="V2555" t="s">
        <v>99</v>
      </c>
      <c r="X2555" s="13">
        <v>185</v>
      </c>
    </row>
    <row r="2556" spans="1:24" x14ac:dyDescent="0.25">
      <c r="A2556" t="s">
        <v>2315</v>
      </c>
      <c r="B2556" t="s">
        <v>65</v>
      </c>
      <c r="C2556" t="s">
        <v>2299</v>
      </c>
      <c r="D2556" t="s">
        <v>2300</v>
      </c>
      <c r="E2556" t="s">
        <v>2301</v>
      </c>
      <c r="F2556" t="s">
        <v>94</v>
      </c>
      <c r="G2556" t="s">
        <v>277</v>
      </c>
      <c r="H2556" s="12">
        <v>5.8789999999999996</v>
      </c>
      <c r="I2556" s="12">
        <v>-75.583299999999994</v>
      </c>
      <c r="J2556" t="s">
        <v>2302</v>
      </c>
      <c r="K2556" t="s">
        <v>97</v>
      </c>
      <c r="L2556" t="s">
        <v>1273</v>
      </c>
      <c r="M2556">
        <v>11</v>
      </c>
      <c r="P2556" s="13">
        <v>182</v>
      </c>
      <c r="Q2556" s="13">
        <v>44</v>
      </c>
      <c r="R2556">
        <v>40</v>
      </c>
      <c r="S2556">
        <v>32</v>
      </c>
      <c r="T2556" s="13">
        <v>31</v>
      </c>
      <c r="U2556" s="13">
        <v>33</v>
      </c>
      <c r="V2556" t="s">
        <v>99</v>
      </c>
      <c r="X2556" s="13">
        <v>182</v>
      </c>
    </row>
    <row r="2557" spans="1:24" x14ac:dyDescent="0.25">
      <c r="A2557" t="s">
        <v>2316</v>
      </c>
      <c r="B2557" t="s">
        <v>65</v>
      </c>
      <c r="C2557" t="s">
        <v>2299</v>
      </c>
      <c r="D2557" t="s">
        <v>2300</v>
      </c>
      <c r="E2557" t="s">
        <v>2301</v>
      </c>
      <c r="F2557" t="s">
        <v>94</v>
      </c>
      <c r="G2557" t="s">
        <v>277</v>
      </c>
      <c r="H2557" s="12">
        <v>5.8789999999999996</v>
      </c>
      <c r="I2557" s="12">
        <v>-75.583299999999994</v>
      </c>
      <c r="J2557" t="s">
        <v>2302</v>
      </c>
      <c r="K2557" t="s">
        <v>97</v>
      </c>
      <c r="L2557" t="s">
        <v>1273</v>
      </c>
      <c r="M2557">
        <v>11</v>
      </c>
      <c r="P2557" s="13">
        <v>174</v>
      </c>
      <c r="Q2557" s="13">
        <v>29</v>
      </c>
      <c r="R2557">
        <v>40</v>
      </c>
      <c r="S2557">
        <v>46</v>
      </c>
      <c r="T2557" s="13">
        <v>26</v>
      </c>
      <c r="U2557" s="13">
        <v>29</v>
      </c>
      <c r="V2557" t="s">
        <v>99</v>
      </c>
      <c r="X2557" s="13">
        <v>174</v>
      </c>
    </row>
    <row r="2558" spans="1:24" x14ac:dyDescent="0.25">
      <c r="A2558" t="s">
        <v>2317</v>
      </c>
      <c r="B2558" t="s">
        <v>65</v>
      </c>
      <c r="C2558" t="s">
        <v>2299</v>
      </c>
      <c r="D2558" t="s">
        <v>2300</v>
      </c>
      <c r="E2558" t="s">
        <v>2301</v>
      </c>
      <c r="F2558" t="s">
        <v>94</v>
      </c>
      <c r="G2558" t="s">
        <v>277</v>
      </c>
      <c r="H2558" s="12">
        <v>5.8789999999999996</v>
      </c>
      <c r="I2558" s="12">
        <v>-75.583299999999994</v>
      </c>
      <c r="J2558" t="s">
        <v>2302</v>
      </c>
      <c r="K2558" t="s">
        <v>97</v>
      </c>
      <c r="L2558" t="s">
        <v>1273</v>
      </c>
      <c r="M2558">
        <v>11</v>
      </c>
      <c r="P2558" s="13">
        <v>174</v>
      </c>
      <c r="Q2558" s="13">
        <v>39</v>
      </c>
      <c r="R2558">
        <v>38</v>
      </c>
      <c r="S2558">
        <v>32</v>
      </c>
      <c r="T2558" s="13">
        <v>26</v>
      </c>
      <c r="U2558" s="13">
        <v>47</v>
      </c>
      <c r="V2558" t="s">
        <v>99</v>
      </c>
      <c r="X2558" s="13">
        <v>174</v>
      </c>
    </row>
    <row r="2559" spans="1:24" x14ac:dyDescent="0.25">
      <c r="A2559" t="s">
        <v>2318</v>
      </c>
      <c r="B2559" t="s">
        <v>65</v>
      </c>
      <c r="C2559" t="s">
        <v>2299</v>
      </c>
      <c r="D2559" t="s">
        <v>2300</v>
      </c>
      <c r="E2559" t="s">
        <v>2301</v>
      </c>
      <c r="F2559" t="s">
        <v>94</v>
      </c>
      <c r="G2559" t="s">
        <v>277</v>
      </c>
      <c r="H2559" s="12">
        <v>5.8789999999999996</v>
      </c>
      <c r="I2559" s="12">
        <v>-75.583299999999994</v>
      </c>
      <c r="J2559" t="s">
        <v>2302</v>
      </c>
      <c r="K2559" t="s">
        <v>97</v>
      </c>
      <c r="L2559" t="s">
        <v>1273</v>
      </c>
      <c r="M2559">
        <v>11</v>
      </c>
      <c r="P2559" s="13">
        <v>174</v>
      </c>
      <c r="Q2559" s="13">
        <v>44</v>
      </c>
      <c r="R2559">
        <v>32</v>
      </c>
      <c r="S2559">
        <v>36</v>
      </c>
      <c r="T2559" s="13">
        <v>28</v>
      </c>
      <c r="U2559" s="13">
        <v>33</v>
      </c>
      <c r="V2559" t="s">
        <v>99</v>
      </c>
      <c r="X2559" s="13">
        <v>174</v>
      </c>
    </row>
    <row r="2560" spans="1:24" x14ac:dyDescent="0.25">
      <c r="A2560" t="s">
        <v>2319</v>
      </c>
      <c r="B2560" t="s">
        <v>65</v>
      </c>
      <c r="C2560" t="s">
        <v>2299</v>
      </c>
      <c r="D2560" t="s">
        <v>2300</v>
      </c>
      <c r="E2560" t="s">
        <v>2301</v>
      </c>
      <c r="F2560" t="s">
        <v>94</v>
      </c>
      <c r="G2560" t="s">
        <v>277</v>
      </c>
      <c r="H2560" s="12">
        <v>5.8789999999999996</v>
      </c>
      <c r="I2560" s="12">
        <v>-75.583299999999994</v>
      </c>
      <c r="J2560" t="s">
        <v>2302</v>
      </c>
      <c r="K2560" t="s">
        <v>97</v>
      </c>
      <c r="L2560" t="s">
        <v>1273</v>
      </c>
      <c r="M2560">
        <v>11</v>
      </c>
      <c r="P2560" s="13">
        <v>171</v>
      </c>
      <c r="Q2560" s="13">
        <v>41</v>
      </c>
      <c r="R2560">
        <v>32</v>
      </c>
      <c r="S2560">
        <v>40</v>
      </c>
      <c r="T2560" s="13">
        <v>21</v>
      </c>
      <c r="U2560" s="13">
        <v>42</v>
      </c>
      <c r="V2560" t="s">
        <v>99</v>
      </c>
      <c r="X2560" s="13">
        <v>171</v>
      </c>
    </row>
    <row r="2561" spans="1:24" x14ac:dyDescent="0.25">
      <c r="A2561" t="s">
        <v>2320</v>
      </c>
      <c r="B2561" t="s">
        <v>65</v>
      </c>
      <c r="C2561" t="s">
        <v>2299</v>
      </c>
      <c r="D2561" t="s">
        <v>2300</v>
      </c>
      <c r="E2561" t="s">
        <v>2301</v>
      </c>
      <c r="F2561" t="s">
        <v>94</v>
      </c>
      <c r="G2561" t="s">
        <v>277</v>
      </c>
      <c r="H2561" s="12">
        <v>5.8789999999999996</v>
      </c>
      <c r="I2561" s="12">
        <v>-75.583299999999994</v>
      </c>
      <c r="J2561" t="s">
        <v>2302</v>
      </c>
      <c r="K2561" t="s">
        <v>97</v>
      </c>
      <c r="L2561" t="s">
        <v>1273</v>
      </c>
      <c r="M2561">
        <v>11</v>
      </c>
      <c r="P2561" s="13">
        <v>169</v>
      </c>
      <c r="Q2561" s="13">
        <v>29</v>
      </c>
      <c r="R2561">
        <v>20</v>
      </c>
      <c r="S2561">
        <v>46</v>
      </c>
      <c r="T2561" s="13">
        <v>34</v>
      </c>
      <c r="U2561" s="13">
        <v>49</v>
      </c>
      <c r="V2561" t="s">
        <v>99</v>
      </c>
      <c r="X2561" s="13">
        <v>169</v>
      </c>
    </row>
    <row r="2562" spans="1:24" x14ac:dyDescent="0.25">
      <c r="A2562" t="s">
        <v>2321</v>
      </c>
      <c r="B2562" t="s">
        <v>65</v>
      </c>
      <c r="C2562" t="s">
        <v>2299</v>
      </c>
      <c r="D2562" t="s">
        <v>2300</v>
      </c>
      <c r="E2562" t="s">
        <v>2301</v>
      </c>
      <c r="F2562" t="s">
        <v>94</v>
      </c>
      <c r="G2562" t="s">
        <v>277</v>
      </c>
      <c r="H2562" s="12">
        <v>5.8789999999999996</v>
      </c>
      <c r="I2562" s="12">
        <v>-75.583299999999994</v>
      </c>
      <c r="J2562" t="s">
        <v>2302</v>
      </c>
      <c r="K2562" t="s">
        <v>97</v>
      </c>
      <c r="L2562" t="s">
        <v>1273</v>
      </c>
      <c r="M2562">
        <v>11</v>
      </c>
      <c r="P2562" s="13">
        <v>168</v>
      </c>
      <c r="Q2562" s="13">
        <v>41</v>
      </c>
      <c r="R2562">
        <v>26</v>
      </c>
      <c r="S2562">
        <v>40</v>
      </c>
      <c r="T2562" s="13">
        <v>24</v>
      </c>
      <c r="U2562" s="13">
        <v>42</v>
      </c>
      <c r="V2562" t="s">
        <v>99</v>
      </c>
      <c r="X2562" s="13">
        <v>168</v>
      </c>
    </row>
    <row r="2563" spans="1:24" x14ac:dyDescent="0.25">
      <c r="A2563" t="s">
        <v>2322</v>
      </c>
      <c r="B2563" t="s">
        <v>65</v>
      </c>
      <c r="C2563" t="s">
        <v>2299</v>
      </c>
      <c r="D2563" t="s">
        <v>2300</v>
      </c>
      <c r="E2563" t="s">
        <v>2301</v>
      </c>
      <c r="F2563" t="s">
        <v>94</v>
      </c>
      <c r="G2563" t="s">
        <v>277</v>
      </c>
      <c r="H2563" s="12">
        <v>5.8789999999999996</v>
      </c>
      <c r="I2563" s="12">
        <v>-75.583299999999994</v>
      </c>
      <c r="J2563" t="s">
        <v>2302</v>
      </c>
      <c r="K2563" t="s">
        <v>97</v>
      </c>
      <c r="L2563" t="s">
        <v>1273</v>
      </c>
      <c r="M2563">
        <v>11</v>
      </c>
      <c r="P2563" s="13">
        <v>167</v>
      </c>
      <c r="Q2563" s="13">
        <v>44</v>
      </c>
      <c r="R2563">
        <v>22</v>
      </c>
      <c r="S2563">
        <v>42</v>
      </c>
      <c r="T2563" s="13">
        <v>21</v>
      </c>
      <c r="U2563" s="13">
        <v>49</v>
      </c>
      <c r="V2563" t="s">
        <v>99</v>
      </c>
      <c r="X2563" s="13">
        <v>167</v>
      </c>
    </row>
    <row r="2564" spans="1:24" x14ac:dyDescent="0.25">
      <c r="A2564" t="s">
        <v>2323</v>
      </c>
      <c r="B2564" t="s">
        <v>65</v>
      </c>
      <c r="C2564" t="s">
        <v>2299</v>
      </c>
      <c r="D2564" t="s">
        <v>2300</v>
      </c>
      <c r="E2564" t="s">
        <v>2301</v>
      </c>
      <c r="F2564" t="s">
        <v>94</v>
      </c>
      <c r="G2564" t="s">
        <v>277</v>
      </c>
      <c r="H2564" s="12">
        <v>5.8789999999999996</v>
      </c>
      <c r="I2564" s="12">
        <v>-75.583299999999994</v>
      </c>
      <c r="J2564" t="s">
        <v>2302</v>
      </c>
      <c r="K2564" t="s">
        <v>97</v>
      </c>
      <c r="L2564" t="s">
        <v>1273</v>
      </c>
      <c r="M2564">
        <v>11</v>
      </c>
      <c r="P2564" s="13">
        <v>166</v>
      </c>
      <c r="Q2564" s="13">
        <v>59</v>
      </c>
      <c r="R2564">
        <v>28</v>
      </c>
      <c r="S2564">
        <v>32</v>
      </c>
      <c r="T2564" s="13">
        <v>19</v>
      </c>
      <c r="U2564" s="13">
        <v>18</v>
      </c>
      <c r="V2564" t="s">
        <v>99</v>
      </c>
      <c r="X2564" s="13">
        <v>166</v>
      </c>
    </row>
    <row r="2565" spans="1:24" x14ac:dyDescent="0.25">
      <c r="A2565" t="s">
        <v>2324</v>
      </c>
      <c r="B2565" t="s">
        <v>65</v>
      </c>
      <c r="C2565" t="s">
        <v>2299</v>
      </c>
      <c r="D2565" t="s">
        <v>2300</v>
      </c>
      <c r="E2565" t="s">
        <v>2301</v>
      </c>
      <c r="F2565" t="s">
        <v>94</v>
      </c>
      <c r="G2565" t="s">
        <v>277</v>
      </c>
      <c r="H2565" s="12">
        <v>5.8789999999999996</v>
      </c>
      <c r="I2565" s="12">
        <v>-75.583299999999994</v>
      </c>
      <c r="J2565" t="s">
        <v>2302</v>
      </c>
      <c r="K2565" t="s">
        <v>97</v>
      </c>
      <c r="L2565" t="s">
        <v>1273</v>
      </c>
      <c r="M2565">
        <v>11</v>
      </c>
      <c r="P2565" s="13">
        <v>165</v>
      </c>
      <c r="Q2565" s="13">
        <v>27</v>
      </c>
      <c r="R2565">
        <v>34</v>
      </c>
      <c r="S2565">
        <v>34</v>
      </c>
      <c r="T2565" s="13">
        <v>22</v>
      </c>
      <c r="U2565" s="13">
        <v>78</v>
      </c>
      <c r="V2565" t="s">
        <v>99</v>
      </c>
      <c r="X2565" s="13">
        <v>165</v>
      </c>
    </row>
    <row r="2566" spans="1:24" x14ac:dyDescent="0.25">
      <c r="A2566" t="s">
        <v>2325</v>
      </c>
      <c r="B2566" t="s">
        <v>65</v>
      </c>
      <c r="C2566" t="s">
        <v>2299</v>
      </c>
      <c r="D2566" t="s">
        <v>2300</v>
      </c>
      <c r="E2566" t="s">
        <v>2301</v>
      </c>
      <c r="F2566" t="s">
        <v>94</v>
      </c>
      <c r="G2566" t="s">
        <v>277</v>
      </c>
      <c r="H2566" s="12">
        <v>5.8789999999999996</v>
      </c>
      <c r="I2566" s="12">
        <v>-75.583299999999994</v>
      </c>
      <c r="J2566" t="s">
        <v>2302</v>
      </c>
      <c r="K2566" t="s">
        <v>97</v>
      </c>
      <c r="L2566" t="s">
        <v>1273</v>
      </c>
      <c r="M2566">
        <v>11</v>
      </c>
      <c r="P2566" s="13">
        <v>165</v>
      </c>
      <c r="Q2566" s="13">
        <v>49</v>
      </c>
      <c r="R2566">
        <v>22</v>
      </c>
      <c r="S2566">
        <v>30</v>
      </c>
      <c r="T2566" s="13">
        <v>33</v>
      </c>
      <c r="U2566" s="13">
        <v>29</v>
      </c>
      <c r="V2566" t="s">
        <v>99</v>
      </c>
      <c r="X2566" s="13">
        <v>165</v>
      </c>
    </row>
    <row r="2567" spans="1:24" x14ac:dyDescent="0.25">
      <c r="A2567" t="s">
        <v>2326</v>
      </c>
      <c r="B2567" t="s">
        <v>65</v>
      </c>
      <c r="C2567" t="s">
        <v>2299</v>
      </c>
      <c r="D2567" t="s">
        <v>2300</v>
      </c>
      <c r="E2567" t="s">
        <v>2301</v>
      </c>
      <c r="F2567" t="s">
        <v>94</v>
      </c>
      <c r="G2567" t="s">
        <v>277</v>
      </c>
      <c r="H2567" s="12">
        <v>5.8789999999999996</v>
      </c>
      <c r="I2567" s="12">
        <v>-75.583299999999994</v>
      </c>
      <c r="J2567" t="s">
        <v>2302</v>
      </c>
      <c r="K2567" t="s">
        <v>97</v>
      </c>
      <c r="L2567" t="s">
        <v>1273</v>
      </c>
      <c r="M2567">
        <v>11</v>
      </c>
      <c r="P2567" s="13">
        <v>164</v>
      </c>
      <c r="Q2567" s="13">
        <v>34</v>
      </c>
      <c r="R2567">
        <v>14</v>
      </c>
      <c r="S2567">
        <v>44</v>
      </c>
      <c r="T2567" s="13">
        <v>38</v>
      </c>
      <c r="U2567" s="13">
        <v>36</v>
      </c>
      <c r="V2567" t="s">
        <v>99</v>
      </c>
      <c r="X2567" s="13">
        <v>164</v>
      </c>
    </row>
    <row r="2568" spans="1:24" x14ac:dyDescent="0.25">
      <c r="A2568" t="s">
        <v>2327</v>
      </c>
      <c r="B2568" t="s">
        <v>65</v>
      </c>
      <c r="C2568" t="s">
        <v>2299</v>
      </c>
      <c r="D2568" t="s">
        <v>2300</v>
      </c>
      <c r="E2568" t="s">
        <v>2301</v>
      </c>
      <c r="F2568" t="s">
        <v>94</v>
      </c>
      <c r="G2568" t="s">
        <v>277</v>
      </c>
      <c r="H2568" s="12">
        <v>5.8789999999999996</v>
      </c>
      <c r="I2568" s="12">
        <v>-75.583299999999994</v>
      </c>
      <c r="J2568" t="s">
        <v>2302</v>
      </c>
      <c r="K2568" t="s">
        <v>97</v>
      </c>
      <c r="L2568" t="s">
        <v>1273</v>
      </c>
      <c r="M2568">
        <v>11</v>
      </c>
      <c r="P2568" s="13">
        <v>164</v>
      </c>
      <c r="Q2568" s="13">
        <v>34</v>
      </c>
      <c r="R2568">
        <v>32</v>
      </c>
      <c r="S2568">
        <v>46</v>
      </c>
      <c r="T2568" s="13">
        <v>19</v>
      </c>
      <c r="U2568" s="13">
        <v>33</v>
      </c>
      <c r="V2568" t="s">
        <v>99</v>
      </c>
      <c r="X2568" s="13">
        <v>164</v>
      </c>
    </row>
    <row r="2569" spans="1:24" x14ac:dyDescent="0.25">
      <c r="A2569" t="s">
        <v>2328</v>
      </c>
      <c r="B2569" t="s">
        <v>65</v>
      </c>
      <c r="C2569" t="s">
        <v>2299</v>
      </c>
      <c r="D2569" t="s">
        <v>2300</v>
      </c>
      <c r="E2569" t="s">
        <v>2301</v>
      </c>
      <c r="F2569" t="s">
        <v>94</v>
      </c>
      <c r="G2569" t="s">
        <v>277</v>
      </c>
      <c r="H2569" s="12">
        <v>5.8789999999999996</v>
      </c>
      <c r="I2569" s="12">
        <v>-75.583299999999994</v>
      </c>
      <c r="J2569" t="s">
        <v>2302</v>
      </c>
      <c r="K2569" t="s">
        <v>97</v>
      </c>
      <c r="L2569" t="s">
        <v>1273</v>
      </c>
      <c r="M2569">
        <v>11</v>
      </c>
      <c r="P2569" s="13">
        <v>164</v>
      </c>
      <c r="Q2569" s="13">
        <v>41</v>
      </c>
      <c r="R2569">
        <v>28</v>
      </c>
      <c r="S2569">
        <v>26</v>
      </c>
      <c r="T2569" s="13">
        <v>36</v>
      </c>
      <c r="U2569" s="13">
        <v>31</v>
      </c>
      <c r="V2569" t="s">
        <v>99</v>
      </c>
      <c r="X2569" s="13">
        <v>164</v>
      </c>
    </row>
    <row r="2570" spans="1:24" x14ac:dyDescent="0.25">
      <c r="A2570" t="s">
        <v>2329</v>
      </c>
      <c r="B2570" t="s">
        <v>65</v>
      </c>
      <c r="C2570" t="s">
        <v>2299</v>
      </c>
      <c r="D2570" t="s">
        <v>2300</v>
      </c>
      <c r="E2570" t="s">
        <v>2301</v>
      </c>
      <c r="F2570" t="s">
        <v>94</v>
      </c>
      <c r="G2570" t="s">
        <v>277</v>
      </c>
      <c r="H2570" s="12">
        <v>5.8789999999999996</v>
      </c>
      <c r="I2570" s="12">
        <v>-75.583299999999994</v>
      </c>
      <c r="J2570" t="s">
        <v>2302</v>
      </c>
      <c r="K2570" t="s">
        <v>97</v>
      </c>
      <c r="L2570" t="s">
        <v>1273</v>
      </c>
      <c r="M2570">
        <v>11</v>
      </c>
      <c r="P2570" s="13">
        <v>164</v>
      </c>
      <c r="Q2570" s="13">
        <v>41</v>
      </c>
      <c r="R2570">
        <v>26</v>
      </c>
      <c r="S2570">
        <v>36</v>
      </c>
      <c r="T2570" s="13">
        <v>21</v>
      </c>
      <c r="U2570" s="13">
        <v>53</v>
      </c>
      <c r="V2570" t="s">
        <v>99</v>
      </c>
      <c r="X2570" s="13">
        <v>164</v>
      </c>
    </row>
    <row r="2571" spans="1:24" x14ac:dyDescent="0.25">
      <c r="A2571" t="s">
        <v>2330</v>
      </c>
      <c r="B2571" t="s">
        <v>65</v>
      </c>
      <c r="C2571" t="s">
        <v>2299</v>
      </c>
      <c r="D2571" t="s">
        <v>2300</v>
      </c>
      <c r="E2571" t="s">
        <v>2301</v>
      </c>
      <c r="F2571" t="s">
        <v>94</v>
      </c>
      <c r="G2571" t="s">
        <v>277</v>
      </c>
      <c r="H2571" s="12">
        <v>5.8789999999999996</v>
      </c>
      <c r="I2571" s="12">
        <v>-75.583299999999994</v>
      </c>
      <c r="J2571" t="s">
        <v>2302</v>
      </c>
      <c r="K2571" t="s">
        <v>97</v>
      </c>
      <c r="L2571" t="s">
        <v>1273</v>
      </c>
      <c r="M2571">
        <v>11</v>
      </c>
      <c r="P2571" s="13">
        <v>160</v>
      </c>
      <c r="Q2571" s="13">
        <v>37</v>
      </c>
      <c r="R2571">
        <v>28</v>
      </c>
      <c r="S2571">
        <v>32</v>
      </c>
      <c r="T2571" s="13">
        <v>22</v>
      </c>
      <c r="U2571" s="13">
        <v>60</v>
      </c>
      <c r="V2571" t="s">
        <v>99</v>
      </c>
      <c r="X2571" s="13">
        <v>160</v>
      </c>
    </row>
    <row r="2572" spans="1:24" x14ac:dyDescent="0.25">
      <c r="A2572" t="s">
        <v>2331</v>
      </c>
      <c r="B2572" t="s">
        <v>65</v>
      </c>
      <c r="C2572" t="s">
        <v>2299</v>
      </c>
      <c r="D2572" t="s">
        <v>2300</v>
      </c>
      <c r="E2572" t="s">
        <v>2301</v>
      </c>
      <c r="F2572" t="s">
        <v>94</v>
      </c>
      <c r="G2572" t="s">
        <v>277</v>
      </c>
      <c r="H2572" s="12">
        <v>5.8789999999999996</v>
      </c>
      <c r="I2572" s="12">
        <v>-75.583299999999994</v>
      </c>
      <c r="J2572" t="s">
        <v>2302</v>
      </c>
      <c r="K2572" t="s">
        <v>97</v>
      </c>
      <c r="L2572" t="s">
        <v>1273</v>
      </c>
      <c r="M2572">
        <v>11</v>
      </c>
      <c r="P2572" s="13">
        <v>157</v>
      </c>
      <c r="Q2572" s="13">
        <v>34</v>
      </c>
      <c r="R2572">
        <v>20</v>
      </c>
      <c r="S2572">
        <v>44</v>
      </c>
      <c r="T2572" s="13">
        <v>22</v>
      </c>
      <c r="U2572" s="13">
        <v>45</v>
      </c>
      <c r="V2572" t="s">
        <v>99</v>
      </c>
      <c r="X2572" s="13">
        <v>157</v>
      </c>
    </row>
    <row r="2573" spans="1:24" x14ac:dyDescent="0.25">
      <c r="A2573" t="s">
        <v>2332</v>
      </c>
      <c r="B2573" t="s">
        <v>65</v>
      </c>
      <c r="C2573" t="s">
        <v>2299</v>
      </c>
      <c r="D2573" t="s">
        <v>2300</v>
      </c>
      <c r="E2573" t="s">
        <v>2301</v>
      </c>
      <c r="F2573" t="s">
        <v>94</v>
      </c>
      <c r="G2573" t="s">
        <v>277</v>
      </c>
      <c r="H2573" s="12">
        <v>5.8789999999999996</v>
      </c>
      <c r="I2573" s="12">
        <v>-75.583299999999994</v>
      </c>
      <c r="J2573" t="s">
        <v>2302</v>
      </c>
      <c r="K2573" t="s">
        <v>97</v>
      </c>
      <c r="L2573" t="s">
        <v>1273</v>
      </c>
      <c r="M2573">
        <v>11</v>
      </c>
      <c r="P2573" s="13">
        <v>155</v>
      </c>
      <c r="Q2573" s="13">
        <v>34</v>
      </c>
      <c r="R2573">
        <v>18</v>
      </c>
      <c r="S2573">
        <v>32</v>
      </c>
      <c r="T2573" s="13">
        <v>40</v>
      </c>
      <c r="U2573" s="13">
        <v>31</v>
      </c>
      <c r="V2573" t="s">
        <v>99</v>
      </c>
      <c r="X2573" s="13">
        <v>155</v>
      </c>
    </row>
    <row r="2574" spans="1:24" x14ac:dyDescent="0.25">
      <c r="A2574" t="s">
        <v>2333</v>
      </c>
      <c r="B2574" t="s">
        <v>65</v>
      </c>
      <c r="C2574" t="s">
        <v>2299</v>
      </c>
      <c r="D2574" t="s">
        <v>2300</v>
      </c>
      <c r="E2574" t="s">
        <v>2301</v>
      </c>
      <c r="F2574" t="s">
        <v>94</v>
      </c>
      <c r="G2574" t="s">
        <v>277</v>
      </c>
      <c r="H2574" s="12">
        <v>5.8789999999999996</v>
      </c>
      <c r="I2574" s="12">
        <v>-75.583299999999994</v>
      </c>
      <c r="J2574" t="s">
        <v>2302</v>
      </c>
      <c r="K2574" t="s">
        <v>97</v>
      </c>
      <c r="L2574" t="s">
        <v>1273</v>
      </c>
      <c r="M2574">
        <v>11</v>
      </c>
      <c r="P2574" s="13">
        <v>152</v>
      </c>
      <c r="Q2574" s="13">
        <v>32</v>
      </c>
      <c r="R2574">
        <v>24</v>
      </c>
      <c r="S2574">
        <v>36</v>
      </c>
      <c r="T2574" s="13">
        <v>28</v>
      </c>
      <c r="U2574" s="13">
        <v>38</v>
      </c>
      <c r="V2574" t="s">
        <v>99</v>
      </c>
      <c r="X2574" s="13">
        <v>152</v>
      </c>
    </row>
    <row r="2575" spans="1:24" x14ac:dyDescent="0.25">
      <c r="A2575" t="s">
        <v>2334</v>
      </c>
      <c r="B2575" t="s">
        <v>65</v>
      </c>
      <c r="C2575" t="s">
        <v>2299</v>
      </c>
      <c r="D2575" t="s">
        <v>2300</v>
      </c>
      <c r="E2575" t="s">
        <v>2301</v>
      </c>
      <c r="F2575" t="s">
        <v>94</v>
      </c>
      <c r="G2575" t="s">
        <v>277</v>
      </c>
      <c r="H2575" s="12">
        <v>5.8789999999999996</v>
      </c>
      <c r="I2575" s="12">
        <v>-75.583299999999994</v>
      </c>
      <c r="J2575" t="s">
        <v>2302</v>
      </c>
      <c r="K2575" t="s">
        <v>97</v>
      </c>
      <c r="L2575" t="s">
        <v>1273</v>
      </c>
      <c r="M2575">
        <v>11</v>
      </c>
      <c r="P2575" s="13">
        <v>152</v>
      </c>
      <c r="Q2575" s="13">
        <v>32</v>
      </c>
      <c r="R2575">
        <v>26</v>
      </c>
      <c r="S2575">
        <v>40</v>
      </c>
      <c r="T2575" s="13">
        <v>22</v>
      </c>
      <c r="U2575" s="13">
        <v>35</v>
      </c>
      <c r="V2575" t="s">
        <v>99</v>
      </c>
      <c r="X2575" s="13">
        <v>152</v>
      </c>
    </row>
    <row r="2576" spans="1:24" x14ac:dyDescent="0.25">
      <c r="A2576" t="s">
        <v>2335</v>
      </c>
      <c r="B2576" t="s">
        <v>65</v>
      </c>
      <c r="C2576" t="s">
        <v>2299</v>
      </c>
      <c r="D2576" t="s">
        <v>2300</v>
      </c>
      <c r="E2576" t="s">
        <v>2301</v>
      </c>
      <c r="F2576" t="s">
        <v>94</v>
      </c>
      <c r="G2576" t="s">
        <v>277</v>
      </c>
      <c r="H2576" s="12">
        <v>5.8789999999999996</v>
      </c>
      <c r="I2576" s="12">
        <v>-75.583299999999994</v>
      </c>
      <c r="J2576" t="s">
        <v>2302</v>
      </c>
      <c r="K2576" t="s">
        <v>97</v>
      </c>
      <c r="L2576" t="s">
        <v>1273</v>
      </c>
      <c r="M2576">
        <v>11</v>
      </c>
      <c r="P2576" s="13">
        <v>152</v>
      </c>
      <c r="Q2576" s="13">
        <v>32</v>
      </c>
      <c r="R2576">
        <v>24</v>
      </c>
      <c r="S2576">
        <v>36</v>
      </c>
      <c r="T2576" s="13">
        <v>28</v>
      </c>
      <c r="U2576" s="13">
        <v>36</v>
      </c>
      <c r="V2576" t="s">
        <v>99</v>
      </c>
      <c r="X2576" s="13">
        <v>152</v>
      </c>
    </row>
    <row r="2577" spans="1:24" x14ac:dyDescent="0.25">
      <c r="A2577" t="s">
        <v>2336</v>
      </c>
      <c r="B2577" t="s">
        <v>65</v>
      </c>
      <c r="C2577" t="s">
        <v>2299</v>
      </c>
      <c r="D2577" t="s">
        <v>2300</v>
      </c>
      <c r="E2577" t="s">
        <v>2301</v>
      </c>
      <c r="F2577" t="s">
        <v>94</v>
      </c>
      <c r="G2577" t="s">
        <v>277</v>
      </c>
      <c r="H2577" s="12">
        <v>5.8789999999999996</v>
      </c>
      <c r="I2577" s="12">
        <v>-75.583299999999994</v>
      </c>
      <c r="J2577" t="s">
        <v>2302</v>
      </c>
      <c r="K2577" t="s">
        <v>97</v>
      </c>
      <c r="L2577" t="s">
        <v>1273</v>
      </c>
      <c r="M2577">
        <v>11</v>
      </c>
      <c r="P2577" s="13">
        <v>151</v>
      </c>
      <c r="Q2577" s="13">
        <v>29</v>
      </c>
      <c r="R2577">
        <v>26</v>
      </c>
      <c r="S2577">
        <v>40</v>
      </c>
      <c r="T2577" s="13">
        <v>29</v>
      </c>
      <c r="U2577" s="13">
        <v>20</v>
      </c>
      <c r="V2577" t="s">
        <v>99</v>
      </c>
      <c r="X2577" s="13">
        <v>151</v>
      </c>
    </row>
    <row r="2578" spans="1:24" x14ac:dyDescent="0.25">
      <c r="A2578" t="s">
        <v>2337</v>
      </c>
      <c r="B2578" t="s">
        <v>65</v>
      </c>
      <c r="C2578" t="s">
        <v>2299</v>
      </c>
      <c r="D2578" t="s">
        <v>2300</v>
      </c>
      <c r="E2578" t="s">
        <v>2301</v>
      </c>
      <c r="F2578" t="s">
        <v>94</v>
      </c>
      <c r="G2578" t="s">
        <v>277</v>
      </c>
      <c r="H2578" s="12">
        <v>5.8789999999999996</v>
      </c>
      <c r="I2578" s="12">
        <v>-75.583299999999994</v>
      </c>
      <c r="J2578" t="s">
        <v>2302</v>
      </c>
      <c r="K2578" t="s">
        <v>97</v>
      </c>
      <c r="L2578" t="s">
        <v>1273</v>
      </c>
      <c r="M2578">
        <v>11</v>
      </c>
      <c r="P2578" s="13">
        <v>150</v>
      </c>
      <c r="Q2578" s="13">
        <v>32</v>
      </c>
      <c r="R2578">
        <v>20</v>
      </c>
      <c r="S2578">
        <v>30</v>
      </c>
      <c r="T2578" s="13">
        <v>33</v>
      </c>
      <c r="U2578" s="13">
        <v>45</v>
      </c>
      <c r="V2578" t="s">
        <v>99</v>
      </c>
      <c r="X2578" s="13">
        <v>150</v>
      </c>
    </row>
    <row r="2579" spans="1:24" x14ac:dyDescent="0.25">
      <c r="A2579" t="s">
        <v>2338</v>
      </c>
      <c r="B2579" t="s">
        <v>65</v>
      </c>
      <c r="C2579" t="s">
        <v>2299</v>
      </c>
      <c r="D2579" t="s">
        <v>2300</v>
      </c>
      <c r="E2579" t="s">
        <v>2301</v>
      </c>
      <c r="F2579" t="s">
        <v>94</v>
      </c>
      <c r="G2579" t="s">
        <v>277</v>
      </c>
      <c r="H2579" s="12">
        <v>5.8789999999999996</v>
      </c>
      <c r="I2579" s="12">
        <v>-75.583299999999994</v>
      </c>
      <c r="J2579" t="s">
        <v>2302</v>
      </c>
      <c r="K2579" t="s">
        <v>97</v>
      </c>
      <c r="L2579" t="s">
        <v>1273</v>
      </c>
      <c r="M2579">
        <v>11</v>
      </c>
      <c r="P2579" s="13">
        <v>148</v>
      </c>
      <c r="Q2579" s="13">
        <v>46</v>
      </c>
      <c r="R2579">
        <v>18</v>
      </c>
      <c r="S2579">
        <v>32</v>
      </c>
      <c r="T2579" s="13">
        <v>19</v>
      </c>
      <c r="U2579" s="13">
        <v>40</v>
      </c>
      <c r="V2579" t="s">
        <v>99</v>
      </c>
      <c r="X2579" s="13">
        <v>148</v>
      </c>
    </row>
    <row r="2580" spans="1:24" x14ac:dyDescent="0.25">
      <c r="A2580" t="s">
        <v>2339</v>
      </c>
      <c r="B2580" t="s">
        <v>65</v>
      </c>
      <c r="C2580" t="s">
        <v>2299</v>
      </c>
      <c r="D2580" t="s">
        <v>2300</v>
      </c>
      <c r="E2580" t="s">
        <v>2301</v>
      </c>
      <c r="F2580" t="s">
        <v>94</v>
      </c>
      <c r="G2580" t="s">
        <v>277</v>
      </c>
      <c r="H2580" s="12">
        <v>5.8789999999999996</v>
      </c>
      <c r="I2580" s="12">
        <v>-75.583299999999994</v>
      </c>
      <c r="J2580" t="s">
        <v>2302</v>
      </c>
      <c r="K2580" t="s">
        <v>97</v>
      </c>
      <c r="L2580" t="s">
        <v>1273</v>
      </c>
      <c r="M2580">
        <v>11</v>
      </c>
      <c r="P2580" s="13">
        <v>148</v>
      </c>
      <c r="Q2580" s="13">
        <v>29</v>
      </c>
      <c r="R2580">
        <v>28</v>
      </c>
      <c r="S2580">
        <v>30</v>
      </c>
      <c r="T2580" s="13">
        <v>33</v>
      </c>
      <c r="U2580" s="13">
        <v>25</v>
      </c>
      <c r="V2580" t="s">
        <v>99</v>
      </c>
      <c r="X2580" s="13">
        <v>148</v>
      </c>
    </row>
    <row r="2581" spans="1:24" x14ac:dyDescent="0.25">
      <c r="A2581" t="s">
        <v>2340</v>
      </c>
      <c r="B2581" t="s">
        <v>65</v>
      </c>
      <c r="C2581" t="s">
        <v>2299</v>
      </c>
      <c r="D2581" t="s">
        <v>2300</v>
      </c>
      <c r="E2581" t="s">
        <v>2301</v>
      </c>
      <c r="F2581" t="s">
        <v>94</v>
      </c>
      <c r="G2581" t="s">
        <v>277</v>
      </c>
      <c r="H2581" s="12">
        <v>5.8789999999999996</v>
      </c>
      <c r="I2581" s="12">
        <v>-75.583299999999994</v>
      </c>
      <c r="J2581" t="s">
        <v>2302</v>
      </c>
      <c r="K2581" t="s">
        <v>97</v>
      </c>
      <c r="L2581" t="s">
        <v>1273</v>
      </c>
      <c r="M2581">
        <v>11</v>
      </c>
      <c r="P2581" s="13">
        <v>147</v>
      </c>
      <c r="Q2581" s="13">
        <v>39</v>
      </c>
      <c r="R2581">
        <v>16</v>
      </c>
      <c r="S2581">
        <v>30</v>
      </c>
      <c r="T2581" s="13">
        <v>33</v>
      </c>
      <c r="U2581" s="13">
        <v>29</v>
      </c>
      <c r="V2581" t="s">
        <v>99</v>
      </c>
      <c r="X2581" s="13">
        <v>147</v>
      </c>
    </row>
    <row r="2582" spans="1:24" x14ac:dyDescent="0.25">
      <c r="A2582" t="s">
        <v>2341</v>
      </c>
      <c r="B2582" t="s">
        <v>65</v>
      </c>
      <c r="C2582" t="s">
        <v>2299</v>
      </c>
      <c r="D2582" t="s">
        <v>2300</v>
      </c>
      <c r="E2582" t="s">
        <v>2301</v>
      </c>
      <c r="F2582" t="s">
        <v>94</v>
      </c>
      <c r="G2582" t="s">
        <v>277</v>
      </c>
      <c r="H2582" s="12">
        <v>5.8789999999999996</v>
      </c>
      <c r="I2582" s="12">
        <v>-75.583299999999994</v>
      </c>
      <c r="J2582" t="s">
        <v>2302</v>
      </c>
      <c r="K2582" t="s">
        <v>97</v>
      </c>
      <c r="L2582" t="s">
        <v>1273</v>
      </c>
      <c r="M2582">
        <v>11</v>
      </c>
      <c r="P2582" s="13">
        <v>146</v>
      </c>
      <c r="Q2582" s="13">
        <v>39</v>
      </c>
      <c r="R2582">
        <v>22</v>
      </c>
      <c r="S2582">
        <v>36</v>
      </c>
      <c r="T2582" s="13">
        <v>24</v>
      </c>
      <c r="U2582" s="13">
        <v>16</v>
      </c>
      <c r="V2582" t="s">
        <v>99</v>
      </c>
      <c r="X2582" s="13">
        <v>146</v>
      </c>
    </row>
    <row r="2583" spans="1:24" x14ac:dyDescent="0.25">
      <c r="A2583" t="s">
        <v>2342</v>
      </c>
      <c r="B2583" t="s">
        <v>65</v>
      </c>
      <c r="C2583" t="s">
        <v>2299</v>
      </c>
      <c r="D2583" t="s">
        <v>2300</v>
      </c>
      <c r="E2583" t="s">
        <v>2301</v>
      </c>
      <c r="F2583" t="s">
        <v>94</v>
      </c>
      <c r="G2583" t="s">
        <v>277</v>
      </c>
      <c r="H2583" s="12">
        <v>5.8789999999999996</v>
      </c>
      <c r="I2583" s="12">
        <v>-75.583299999999994</v>
      </c>
      <c r="J2583" t="s">
        <v>2302</v>
      </c>
      <c r="K2583" t="s">
        <v>97</v>
      </c>
      <c r="L2583" t="s">
        <v>1273</v>
      </c>
      <c r="M2583">
        <v>11</v>
      </c>
      <c r="P2583" s="13">
        <v>145</v>
      </c>
      <c r="Q2583" s="13">
        <v>34</v>
      </c>
      <c r="R2583">
        <v>16</v>
      </c>
      <c r="S2583">
        <v>32</v>
      </c>
      <c r="T2583" s="13">
        <v>29</v>
      </c>
      <c r="U2583" s="13">
        <v>44</v>
      </c>
      <c r="V2583" t="s">
        <v>99</v>
      </c>
      <c r="X2583" s="13">
        <v>145</v>
      </c>
    </row>
    <row r="2584" spans="1:24" x14ac:dyDescent="0.25">
      <c r="A2584" t="s">
        <v>2343</v>
      </c>
      <c r="B2584" t="s">
        <v>65</v>
      </c>
      <c r="C2584" t="s">
        <v>2299</v>
      </c>
      <c r="D2584" t="s">
        <v>2300</v>
      </c>
      <c r="E2584" t="s">
        <v>2301</v>
      </c>
      <c r="F2584" t="s">
        <v>94</v>
      </c>
      <c r="G2584" t="s">
        <v>277</v>
      </c>
      <c r="H2584" s="12">
        <v>5.8789999999999996</v>
      </c>
      <c r="I2584" s="12">
        <v>-75.583299999999994</v>
      </c>
      <c r="J2584" t="s">
        <v>2302</v>
      </c>
      <c r="K2584" t="s">
        <v>97</v>
      </c>
      <c r="L2584" t="s">
        <v>1273</v>
      </c>
      <c r="M2584">
        <v>11</v>
      </c>
      <c r="P2584" s="13">
        <v>143</v>
      </c>
      <c r="Q2584" s="13">
        <v>29</v>
      </c>
      <c r="R2584">
        <v>22</v>
      </c>
      <c r="S2584">
        <v>26</v>
      </c>
      <c r="T2584" s="13">
        <v>38</v>
      </c>
      <c r="U2584" s="13">
        <v>27</v>
      </c>
      <c r="V2584" t="s">
        <v>99</v>
      </c>
      <c r="X2584" s="13">
        <v>143</v>
      </c>
    </row>
    <row r="2585" spans="1:24" x14ac:dyDescent="0.25">
      <c r="A2585" t="s">
        <v>2344</v>
      </c>
      <c r="B2585" t="s">
        <v>65</v>
      </c>
      <c r="C2585" t="s">
        <v>2299</v>
      </c>
      <c r="D2585" t="s">
        <v>2300</v>
      </c>
      <c r="E2585" t="s">
        <v>2301</v>
      </c>
      <c r="F2585" t="s">
        <v>94</v>
      </c>
      <c r="G2585" t="s">
        <v>277</v>
      </c>
      <c r="H2585" s="12">
        <v>5.8789999999999996</v>
      </c>
      <c r="I2585" s="12">
        <v>-75.583299999999994</v>
      </c>
      <c r="J2585" t="s">
        <v>2302</v>
      </c>
      <c r="K2585" t="s">
        <v>97</v>
      </c>
      <c r="L2585" t="s">
        <v>1273</v>
      </c>
      <c r="M2585">
        <v>11</v>
      </c>
      <c r="P2585" s="13">
        <v>136</v>
      </c>
      <c r="Q2585" s="13">
        <v>27</v>
      </c>
      <c r="R2585">
        <v>20</v>
      </c>
      <c r="S2585">
        <v>30</v>
      </c>
      <c r="T2585" s="13">
        <v>29</v>
      </c>
      <c r="U2585" s="13">
        <v>35</v>
      </c>
      <c r="V2585" t="s">
        <v>99</v>
      </c>
      <c r="X2585" s="13">
        <v>136</v>
      </c>
    </row>
    <row r="2586" spans="1:24" x14ac:dyDescent="0.25">
      <c r="A2586" t="s">
        <v>2345</v>
      </c>
      <c r="B2586" t="s">
        <v>65</v>
      </c>
      <c r="C2586" t="s">
        <v>2299</v>
      </c>
      <c r="D2586" t="s">
        <v>2300</v>
      </c>
      <c r="E2586" t="s">
        <v>2301</v>
      </c>
      <c r="F2586" t="s">
        <v>94</v>
      </c>
      <c r="G2586" t="s">
        <v>277</v>
      </c>
      <c r="H2586" s="12">
        <v>5.8789999999999996</v>
      </c>
      <c r="I2586" s="12">
        <v>-75.583299999999994</v>
      </c>
      <c r="J2586" t="s">
        <v>2302</v>
      </c>
      <c r="K2586" t="s">
        <v>97</v>
      </c>
      <c r="L2586" t="s">
        <v>1273</v>
      </c>
      <c r="M2586">
        <v>11</v>
      </c>
      <c r="P2586" s="13">
        <v>134</v>
      </c>
      <c r="Q2586" s="13">
        <v>32</v>
      </c>
      <c r="R2586">
        <v>16</v>
      </c>
      <c r="S2586">
        <v>36</v>
      </c>
      <c r="T2586" s="13">
        <v>22</v>
      </c>
      <c r="U2586" s="13">
        <v>29</v>
      </c>
      <c r="V2586" t="s">
        <v>99</v>
      </c>
      <c r="X2586" s="13">
        <v>134</v>
      </c>
    </row>
    <row r="2587" spans="1:24" x14ac:dyDescent="0.25">
      <c r="A2587" t="s">
        <v>2346</v>
      </c>
      <c r="B2587" t="s">
        <v>65</v>
      </c>
      <c r="C2587" t="s">
        <v>2299</v>
      </c>
      <c r="D2587" t="s">
        <v>2300</v>
      </c>
      <c r="E2587" t="s">
        <v>2301</v>
      </c>
      <c r="F2587" t="s">
        <v>94</v>
      </c>
      <c r="G2587" t="s">
        <v>277</v>
      </c>
      <c r="H2587" s="12">
        <v>5.8789999999999996</v>
      </c>
      <c r="I2587" s="12">
        <v>-75.583299999999994</v>
      </c>
      <c r="J2587" t="s">
        <v>2302</v>
      </c>
      <c r="K2587" t="s">
        <v>97</v>
      </c>
      <c r="L2587" t="s">
        <v>1273</v>
      </c>
      <c r="M2587">
        <v>11</v>
      </c>
      <c r="P2587" s="13">
        <v>133</v>
      </c>
      <c r="Q2587" s="13">
        <v>29</v>
      </c>
      <c r="R2587">
        <v>14</v>
      </c>
      <c r="S2587">
        <v>32</v>
      </c>
      <c r="T2587" s="13">
        <v>29</v>
      </c>
      <c r="U2587" s="13">
        <v>33</v>
      </c>
      <c r="V2587" t="s">
        <v>99</v>
      </c>
      <c r="X2587" s="13">
        <v>133</v>
      </c>
    </row>
    <row r="2588" spans="1:24" x14ac:dyDescent="0.25">
      <c r="A2588" t="s">
        <v>2347</v>
      </c>
      <c r="B2588" t="s">
        <v>65</v>
      </c>
      <c r="C2588" t="s">
        <v>2299</v>
      </c>
      <c r="D2588" t="s">
        <v>2300</v>
      </c>
      <c r="E2588" t="s">
        <v>2301</v>
      </c>
      <c r="F2588" t="s">
        <v>94</v>
      </c>
      <c r="G2588" t="s">
        <v>277</v>
      </c>
      <c r="H2588" s="12">
        <v>5.8789999999999996</v>
      </c>
      <c r="I2588" s="12">
        <v>-75.583299999999994</v>
      </c>
      <c r="J2588" t="s">
        <v>2302</v>
      </c>
      <c r="K2588" t="s">
        <v>97</v>
      </c>
      <c r="L2588" t="s">
        <v>1273</v>
      </c>
      <c r="M2588">
        <v>11</v>
      </c>
      <c r="P2588" s="13">
        <v>125</v>
      </c>
      <c r="Q2588" s="13">
        <v>24</v>
      </c>
      <c r="R2588">
        <v>30</v>
      </c>
      <c r="S2588">
        <v>20</v>
      </c>
      <c r="T2588" s="13">
        <v>24</v>
      </c>
      <c r="U2588" s="13">
        <v>29</v>
      </c>
      <c r="V2588" t="s">
        <v>99</v>
      </c>
      <c r="X2588" s="13">
        <v>125</v>
      </c>
    </row>
    <row r="2589" spans="1:24" x14ac:dyDescent="0.25">
      <c r="A2589" t="s">
        <v>2348</v>
      </c>
      <c r="B2589" t="s">
        <v>65</v>
      </c>
      <c r="C2589" t="s">
        <v>2299</v>
      </c>
      <c r="D2589" t="s">
        <v>2300</v>
      </c>
      <c r="E2589" t="s">
        <v>2301</v>
      </c>
      <c r="F2589" t="s">
        <v>94</v>
      </c>
      <c r="G2589" t="s">
        <v>277</v>
      </c>
      <c r="H2589" s="12">
        <v>5.8789999999999996</v>
      </c>
      <c r="I2589" s="12">
        <v>-75.583299999999994</v>
      </c>
      <c r="J2589" t="s">
        <v>2302</v>
      </c>
      <c r="K2589" t="s">
        <v>97</v>
      </c>
      <c r="L2589" t="s">
        <v>1273</v>
      </c>
      <c r="M2589">
        <v>11</v>
      </c>
      <c r="P2589" s="13">
        <v>121</v>
      </c>
      <c r="Q2589" s="13">
        <v>27</v>
      </c>
      <c r="R2589">
        <v>22</v>
      </c>
      <c r="S2589">
        <v>26</v>
      </c>
      <c r="T2589" s="13">
        <v>24</v>
      </c>
      <c r="U2589" s="13">
        <v>18</v>
      </c>
      <c r="V2589" t="s">
        <v>99</v>
      </c>
      <c r="X2589" s="13">
        <v>121</v>
      </c>
    </row>
    <row r="2590" spans="1:24" x14ac:dyDescent="0.25">
      <c r="A2590" t="s">
        <v>2349</v>
      </c>
      <c r="B2590" t="s">
        <v>65</v>
      </c>
      <c r="C2590" t="s">
        <v>2299</v>
      </c>
      <c r="D2590" t="s">
        <v>2300</v>
      </c>
      <c r="E2590" t="s">
        <v>2301</v>
      </c>
      <c r="F2590" t="s">
        <v>94</v>
      </c>
      <c r="G2590" t="s">
        <v>277</v>
      </c>
      <c r="H2590" s="12">
        <v>5.8789999999999996</v>
      </c>
      <c r="I2590" s="12">
        <v>-75.583299999999994</v>
      </c>
      <c r="J2590" t="s">
        <v>2302</v>
      </c>
      <c r="K2590" t="s">
        <v>97</v>
      </c>
      <c r="L2590" t="s">
        <v>1273</v>
      </c>
      <c r="M2590">
        <v>11</v>
      </c>
      <c r="P2590" s="13">
        <v>118</v>
      </c>
      <c r="Q2590" s="13">
        <v>15</v>
      </c>
      <c r="R2590">
        <v>24</v>
      </c>
      <c r="S2590">
        <v>34</v>
      </c>
      <c r="T2590" s="13">
        <v>16</v>
      </c>
      <c r="U2590" s="13">
        <v>44</v>
      </c>
      <c r="V2590" t="s">
        <v>99</v>
      </c>
      <c r="X2590" s="13">
        <v>118</v>
      </c>
    </row>
    <row r="2591" spans="1:24" x14ac:dyDescent="0.25">
      <c r="A2591" t="s">
        <v>2350</v>
      </c>
      <c r="B2591" t="s">
        <v>65</v>
      </c>
      <c r="C2591" t="s">
        <v>2299</v>
      </c>
      <c r="D2591" t="s">
        <v>2300</v>
      </c>
      <c r="E2591" t="s">
        <v>2301</v>
      </c>
      <c r="F2591" t="s">
        <v>94</v>
      </c>
      <c r="G2591" t="s">
        <v>277</v>
      </c>
      <c r="H2591" s="12">
        <v>5.8789999999999996</v>
      </c>
      <c r="I2591" s="12">
        <v>-75.583299999999994</v>
      </c>
      <c r="J2591" t="s">
        <v>2302</v>
      </c>
      <c r="K2591" t="s">
        <v>97</v>
      </c>
      <c r="L2591" t="s">
        <v>1273</v>
      </c>
      <c r="M2591">
        <v>11</v>
      </c>
      <c r="P2591" s="13">
        <v>112</v>
      </c>
      <c r="Q2591" s="13">
        <v>27</v>
      </c>
      <c r="R2591">
        <v>22</v>
      </c>
      <c r="S2591">
        <v>22</v>
      </c>
      <c r="T2591" s="13">
        <v>17</v>
      </c>
      <c r="U2591" s="13">
        <v>27</v>
      </c>
      <c r="V2591" t="s">
        <v>99</v>
      </c>
      <c r="X2591" s="13">
        <v>112</v>
      </c>
    </row>
    <row r="2592" spans="1:24" x14ac:dyDescent="0.25">
      <c r="A2592" t="s">
        <v>2351</v>
      </c>
      <c r="B2592" t="s">
        <v>65</v>
      </c>
      <c r="C2592" t="s">
        <v>2299</v>
      </c>
      <c r="D2592" t="s">
        <v>2300</v>
      </c>
      <c r="E2592" t="s">
        <v>2301</v>
      </c>
      <c r="F2592" t="s">
        <v>94</v>
      </c>
      <c r="G2592" t="s">
        <v>277</v>
      </c>
      <c r="H2592" s="12">
        <v>5.8789999999999996</v>
      </c>
      <c r="I2592" s="12">
        <v>-75.583299999999994</v>
      </c>
      <c r="J2592" t="s">
        <v>2302</v>
      </c>
      <c r="K2592" t="s">
        <v>97</v>
      </c>
      <c r="L2592" t="s">
        <v>1273</v>
      </c>
      <c r="M2592">
        <v>11</v>
      </c>
      <c r="P2592" s="13">
        <v>101</v>
      </c>
      <c r="Q2592" s="13">
        <v>15</v>
      </c>
      <c r="R2592">
        <v>22</v>
      </c>
      <c r="S2592">
        <v>26</v>
      </c>
      <c r="T2592" s="13">
        <v>16</v>
      </c>
      <c r="U2592" s="13">
        <v>27</v>
      </c>
      <c r="V2592" t="s">
        <v>99</v>
      </c>
      <c r="X2592" s="13">
        <v>101</v>
      </c>
    </row>
    <row r="2593" spans="1:24" x14ac:dyDescent="0.25">
      <c r="A2593" t="s">
        <v>2352</v>
      </c>
      <c r="B2593" t="s">
        <v>65</v>
      </c>
      <c r="C2593" t="s">
        <v>2299</v>
      </c>
      <c r="D2593" t="s">
        <v>2300</v>
      </c>
      <c r="E2593" t="s">
        <v>2301</v>
      </c>
      <c r="F2593" t="s">
        <v>94</v>
      </c>
      <c r="G2593" t="s">
        <v>277</v>
      </c>
      <c r="H2593" s="12">
        <v>5.8789999999999996</v>
      </c>
      <c r="I2593" s="12">
        <v>-75.583299999999994</v>
      </c>
      <c r="J2593" t="s">
        <v>2302</v>
      </c>
      <c r="K2593" t="s">
        <v>97</v>
      </c>
      <c r="L2593" t="s">
        <v>1273</v>
      </c>
      <c r="M2593">
        <v>11</v>
      </c>
      <c r="P2593" s="13">
        <v>57</v>
      </c>
      <c r="Q2593" s="13">
        <v>22</v>
      </c>
      <c r="R2593">
        <v>18</v>
      </c>
      <c r="S2593">
        <v>2</v>
      </c>
      <c r="T2593" s="13">
        <v>0</v>
      </c>
      <c r="U2593" s="13">
        <v>24</v>
      </c>
      <c r="V2593" t="s">
        <v>99</v>
      </c>
      <c r="X2593" s="13">
        <v>57</v>
      </c>
    </row>
    <row r="2594" spans="1:24" x14ac:dyDescent="0.25">
      <c r="A2594" t="s">
        <v>2353</v>
      </c>
      <c r="B2594" t="s">
        <v>65</v>
      </c>
      <c r="C2594" t="s">
        <v>2354</v>
      </c>
      <c r="D2594" t="s">
        <v>2355</v>
      </c>
      <c r="E2594" t="s">
        <v>2356</v>
      </c>
      <c r="F2594" t="s">
        <v>94</v>
      </c>
      <c r="G2594" t="s">
        <v>277</v>
      </c>
      <c r="H2594" s="12">
        <v>8.8507999999999996</v>
      </c>
      <c r="I2594" s="12">
        <v>-76.426699999999997</v>
      </c>
      <c r="J2594" t="s">
        <v>2357</v>
      </c>
      <c r="K2594" t="s">
        <v>97</v>
      </c>
      <c r="L2594" t="s">
        <v>1273</v>
      </c>
      <c r="M2594">
        <v>11</v>
      </c>
      <c r="P2594" s="13">
        <v>267</v>
      </c>
      <c r="Q2594" s="13">
        <v>66</v>
      </c>
      <c r="R2594">
        <v>34</v>
      </c>
      <c r="S2594">
        <v>64</v>
      </c>
      <c r="T2594" s="13">
        <v>45</v>
      </c>
      <c r="U2594" s="13">
        <v>67</v>
      </c>
      <c r="V2594" t="s">
        <v>99</v>
      </c>
      <c r="X2594" s="13">
        <v>267</v>
      </c>
    </row>
    <row r="2595" spans="1:24" x14ac:dyDescent="0.25">
      <c r="A2595" t="s">
        <v>2358</v>
      </c>
      <c r="B2595" t="s">
        <v>65</v>
      </c>
      <c r="C2595" t="s">
        <v>2354</v>
      </c>
      <c r="D2595" t="s">
        <v>2355</v>
      </c>
      <c r="E2595" t="s">
        <v>2356</v>
      </c>
      <c r="F2595" t="s">
        <v>94</v>
      </c>
      <c r="G2595" t="s">
        <v>277</v>
      </c>
      <c r="H2595" s="12">
        <v>8.8507999999999996</v>
      </c>
      <c r="I2595" s="12">
        <v>-76.426699999999997</v>
      </c>
      <c r="J2595" t="s">
        <v>2357</v>
      </c>
      <c r="K2595" t="s">
        <v>97</v>
      </c>
      <c r="L2595" t="s">
        <v>1273</v>
      </c>
      <c r="M2595">
        <v>11</v>
      </c>
      <c r="P2595" s="13">
        <v>266</v>
      </c>
      <c r="Q2595" s="13">
        <v>56</v>
      </c>
      <c r="R2595">
        <v>42</v>
      </c>
      <c r="S2595">
        <v>50</v>
      </c>
      <c r="T2595" s="13">
        <v>52</v>
      </c>
      <c r="U2595" s="13">
        <v>91</v>
      </c>
      <c r="V2595" t="s">
        <v>99</v>
      </c>
      <c r="X2595" s="13">
        <v>266</v>
      </c>
    </row>
    <row r="2596" spans="1:24" x14ac:dyDescent="0.25">
      <c r="A2596" t="s">
        <v>2359</v>
      </c>
      <c r="B2596" t="s">
        <v>65</v>
      </c>
      <c r="C2596" t="s">
        <v>2354</v>
      </c>
      <c r="D2596" t="s">
        <v>2355</v>
      </c>
      <c r="E2596" t="s">
        <v>2356</v>
      </c>
      <c r="F2596" t="s">
        <v>94</v>
      </c>
      <c r="G2596" t="s">
        <v>277</v>
      </c>
      <c r="H2596" s="12">
        <v>8.8507999999999996</v>
      </c>
      <c r="I2596" s="12">
        <v>-76.426699999999997</v>
      </c>
      <c r="J2596" t="s">
        <v>2357</v>
      </c>
      <c r="K2596" t="s">
        <v>97</v>
      </c>
      <c r="L2596" t="s">
        <v>1273</v>
      </c>
      <c r="M2596">
        <v>11</v>
      </c>
      <c r="P2596" s="13">
        <v>257</v>
      </c>
      <c r="Q2596" s="13">
        <v>59</v>
      </c>
      <c r="R2596">
        <v>34</v>
      </c>
      <c r="S2596">
        <v>64</v>
      </c>
      <c r="T2596" s="13">
        <v>40</v>
      </c>
      <c r="U2596" s="13">
        <v>80</v>
      </c>
      <c r="V2596" t="s">
        <v>99</v>
      </c>
      <c r="X2596" s="13">
        <v>257</v>
      </c>
    </row>
    <row r="2597" spans="1:24" x14ac:dyDescent="0.25">
      <c r="A2597" t="s">
        <v>2360</v>
      </c>
      <c r="B2597" t="s">
        <v>65</v>
      </c>
      <c r="C2597" t="s">
        <v>2354</v>
      </c>
      <c r="D2597" t="s">
        <v>2355</v>
      </c>
      <c r="E2597" t="s">
        <v>2356</v>
      </c>
      <c r="F2597" t="s">
        <v>94</v>
      </c>
      <c r="G2597" t="s">
        <v>277</v>
      </c>
      <c r="H2597" s="12">
        <v>8.8507999999999996</v>
      </c>
      <c r="I2597" s="12">
        <v>-76.426699999999997</v>
      </c>
      <c r="J2597" t="s">
        <v>2357</v>
      </c>
      <c r="K2597" t="s">
        <v>97</v>
      </c>
      <c r="L2597" t="s">
        <v>1273</v>
      </c>
      <c r="M2597">
        <v>11</v>
      </c>
      <c r="P2597" s="13">
        <v>244</v>
      </c>
      <c r="Q2597" s="13">
        <v>73</v>
      </c>
      <c r="R2597">
        <v>36</v>
      </c>
      <c r="S2597">
        <v>54</v>
      </c>
      <c r="T2597" s="13">
        <v>28</v>
      </c>
      <c r="U2597" s="13">
        <v>62</v>
      </c>
      <c r="V2597" t="s">
        <v>99</v>
      </c>
      <c r="X2597" s="13">
        <v>244</v>
      </c>
    </row>
    <row r="2598" spans="1:24" x14ac:dyDescent="0.25">
      <c r="A2598" t="s">
        <v>2361</v>
      </c>
      <c r="B2598" t="s">
        <v>65</v>
      </c>
      <c r="C2598" t="s">
        <v>2354</v>
      </c>
      <c r="D2598" t="s">
        <v>2355</v>
      </c>
      <c r="E2598" t="s">
        <v>2356</v>
      </c>
      <c r="F2598" t="s">
        <v>94</v>
      </c>
      <c r="G2598" t="s">
        <v>277</v>
      </c>
      <c r="H2598" s="12">
        <v>8.8507999999999996</v>
      </c>
      <c r="I2598" s="12">
        <v>-76.426699999999997</v>
      </c>
      <c r="J2598" t="s">
        <v>2357</v>
      </c>
      <c r="K2598" t="s">
        <v>97</v>
      </c>
      <c r="L2598" t="s">
        <v>1273</v>
      </c>
      <c r="M2598">
        <v>11</v>
      </c>
      <c r="P2598" s="13">
        <v>217</v>
      </c>
      <c r="Q2598" s="13">
        <v>44</v>
      </c>
      <c r="R2598">
        <v>36</v>
      </c>
      <c r="S2598">
        <v>50</v>
      </c>
      <c r="T2598" s="13">
        <v>40</v>
      </c>
      <c r="U2598" s="13">
        <v>56</v>
      </c>
      <c r="V2598" t="s">
        <v>99</v>
      </c>
      <c r="X2598" s="13">
        <v>217</v>
      </c>
    </row>
    <row r="2599" spans="1:24" x14ac:dyDescent="0.25">
      <c r="A2599" t="s">
        <v>2362</v>
      </c>
      <c r="B2599" t="s">
        <v>65</v>
      </c>
      <c r="C2599" t="s">
        <v>2354</v>
      </c>
      <c r="D2599" t="s">
        <v>2355</v>
      </c>
      <c r="E2599" t="s">
        <v>2356</v>
      </c>
      <c r="F2599" t="s">
        <v>94</v>
      </c>
      <c r="G2599" t="s">
        <v>277</v>
      </c>
      <c r="H2599" s="12">
        <v>8.8507999999999996</v>
      </c>
      <c r="I2599" s="12">
        <v>-76.426699999999997</v>
      </c>
      <c r="J2599" t="s">
        <v>2357</v>
      </c>
      <c r="K2599" t="s">
        <v>97</v>
      </c>
      <c r="L2599" t="s">
        <v>1273</v>
      </c>
      <c r="M2599">
        <v>11</v>
      </c>
      <c r="P2599" s="13">
        <v>217</v>
      </c>
      <c r="Q2599" s="13">
        <v>68</v>
      </c>
      <c r="R2599">
        <v>30</v>
      </c>
      <c r="S2599">
        <v>36</v>
      </c>
      <c r="T2599" s="13">
        <v>33</v>
      </c>
      <c r="U2599" s="13">
        <v>62</v>
      </c>
      <c r="V2599" t="s">
        <v>99</v>
      </c>
      <c r="X2599" s="13">
        <v>217</v>
      </c>
    </row>
    <row r="2600" spans="1:24" x14ac:dyDescent="0.25">
      <c r="A2600" t="s">
        <v>2363</v>
      </c>
      <c r="B2600" t="s">
        <v>65</v>
      </c>
      <c r="C2600" t="s">
        <v>2354</v>
      </c>
      <c r="D2600" t="s">
        <v>2355</v>
      </c>
      <c r="E2600" t="s">
        <v>2356</v>
      </c>
      <c r="F2600" t="s">
        <v>94</v>
      </c>
      <c r="G2600" t="s">
        <v>277</v>
      </c>
      <c r="H2600" s="12">
        <v>8.8507999999999996</v>
      </c>
      <c r="I2600" s="12">
        <v>-76.426699999999997</v>
      </c>
      <c r="J2600" t="s">
        <v>2357</v>
      </c>
      <c r="K2600" t="s">
        <v>97</v>
      </c>
      <c r="L2600" t="s">
        <v>1273</v>
      </c>
      <c r="M2600">
        <v>11</v>
      </c>
      <c r="P2600" s="13">
        <v>207</v>
      </c>
      <c r="Q2600" s="13">
        <v>32</v>
      </c>
      <c r="R2600">
        <v>60</v>
      </c>
      <c r="S2600">
        <v>50</v>
      </c>
      <c r="T2600" s="13">
        <v>28</v>
      </c>
      <c r="U2600" s="13">
        <v>29</v>
      </c>
      <c r="V2600" t="s">
        <v>99</v>
      </c>
      <c r="X2600" s="13">
        <v>207</v>
      </c>
    </row>
    <row r="2601" spans="1:24" x14ac:dyDescent="0.25">
      <c r="A2601" t="s">
        <v>2364</v>
      </c>
      <c r="B2601" t="s">
        <v>65</v>
      </c>
      <c r="C2601" t="s">
        <v>2354</v>
      </c>
      <c r="D2601" t="s">
        <v>2355</v>
      </c>
      <c r="E2601" t="s">
        <v>2356</v>
      </c>
      <c r="F2601" t="s">
        <v>94</v>
      </c>
      <c r="G2601" t="s">
        <v>277</v>
      </c>
      <c r="H2601" s="12">
        <v>8.8507999999999996</v>
      </c>
      <c r="I2601" s="12">
        <v>-76.426699999999997</v>
      </c>
      <c r="J2601" t="s">
        <v>2357</v>
      </c>
      <c r="K2601" t="s">
        <v>97</v>
      </c>
      <c r="L2601" t="s">
        <v>1273</v>
      </c>
      <c r="M2601">
        <v>11</v>
      </c>
      <c r="P2601" s="13">
        <v>205</v>
      </c>
      <c r="Q2601" s="13">
        <v>37</v>
      </c>
      <c r="R2601">
        <v>38</v>
      </c>
      <c r="S2601">
        <v>42</v>
      </c>
      <c r="T2601" s="13">
        <v>31</v>
      </c>
      <c r="U2601" s="13">
        <v>91</v>
      </c>
      <c r="V2601" t="s">
        <v>99</v>
      </c>
      <c r="X2601" s="13">
        <v>205</v>
      </c>
    </row>
    <row r="2602" spans="1:24" x14ac:dyDescent="0.25">
      <c r="A2602" t="s">
        <v>2365</v>
      </c>
      <c r="B2602" t="s">
        <v>65</v>
      </c>
      <c r="C2602" t="s">
        <v>2354</v>
      </c>
      <c r="D2602" t="s">
        <v>2355</v>
      </c>
      <c r="E2602" t="s">
        <v>2356</v>
      </c>
      <c r="F2602" t="s">
        <v>94</v>
      </c>
      <c r="G2602" t="s">
        <v>277</v>
      </c>
      <c r="H2602" s="12">
        <v>8.8507999999999996</v>
      </c>
      <c r="I2602" s="12">
        <v>-76.426699999999997</v>
      </c>
      <c r="J2602" t="s">
        <v>2357</v>
      </c>
      <c r="K2602" t="s">
        <v>97</v>
      </c>
      <c r="L2602" t="s">
        <v>1273</v>
      </c>
      <c r="M2602">
        <v>11</v>
      </c>
      <c r="P2602" s="13">
        <v>204</v>
      </c>
      <c r="Q2602" s="13">
        <v>54</v>
      </c>
      <c r="R2602">
        <v>24</v>
      </c>
      <c r="S2602">
        <v>50</v>
      </c>
      <c r="T2602" s="13">
        <v>38</v>
      </c>
      <c r="U2602" s="13">
        <v>33</v>
      </c>
      <c r="V2602" t="s">
        <v>99</v>
      </c>
      <c r="X2602" s="13">
        <v>204</v>
      </c>
    </row>
    <row r="2603" spans="1:24" x14ac:dyDescent="0.25">
      <c r="A2603" t="s">
        <v>2366</v>
      </c>
      <c r="B2603" t="s">
        <v>65</v>
      </c>
      <c r="C2603" t="s">
        <v>2354</v>
      </c>
      <c r="D2603" t="s">
        <v>2355</v>
      </c>
      <c r="E2603" t="s">
        <v>2356</v>
      </c>
      <c r="F2603" t="s">
        <v>94</v>
      </c>
      <c r="G2603" t="s">
        <v>277</v>
      </c>
      <c r="H2603" s="12">
        <v>8.8507999999999996</v>
      </c>
      <c r="I2603" s="12">
        <v>-76.426699999999997</v>
      </c>
      <c r="J2603" t="s">
        <v>2357</v>
      </c>
      <c r="K2603" t="s">
        <v>97</v>
      </c>
      <c r="L2603" t="s">
        <v>1273</v>
      </c>
      <c r="M2603">
        <v>11</v>
      </c>
      <c r="P2603" s="13">
        <v>193</v>
      </c>
      <c r="Q2603" s="13">
        <v>49</v>
      </c>
      <c r="R2603">
        <v>40</v>
      </c>
      <c r="S2603">
        <v>46</v>
      </c>
      <c r="T2603" s="13">
        <v>22</v>
      </c>
      <c r="U2603" s="13">
        <v>31</v>
      </c>
      <c r="V2603" t="s">
        <v>99</v>
      </c>
      <c r="X2603" s="13">
        <v>193</v>
      </c>
    </row>
    <row r="2604" spans="1:24" x14ac:dyDescent="0.25">
      <c r="A2604" t="s">
        <v>2367</v>
      </c>
      <c r="B2604" t="s">
        <v>65</v>
      </c>
      <c r="C2604" t="s">
        <v>2354</v>
      </c>
      <c r="D2604" t="s">
        <v>2355</v>
      </c>
      <c r="E2604" t="s">
        <v>2356</v>
      </c>
      <c r="F2604" t="s">
        <v>94</v>
      </c>
      <c r="G2604" t="s">
        <v>277</v>
      </c>
      <c r="H2604" s="12">
        <v>8.8507999999999996</v>
      </c>
      <c r="I2604" s="12">
        <v>-76.426699999999997</v>
      </c>
      <c r="J2604" t="s">
        <v>2357</v>
      </c>
      <c r="K2604" t="s">
        <v>97</v>
      </c>
      <c r="L2604" t="s">
        <v>1273</v>
      </c>
      <c r="M2604">
        <v>11</v>
      </c>
      <c r="P2604" s="13">
        <v>193</v>
      </c>
      <c r="Q2604" s="13">
        <v>49</v>
      </c>
      <c r="R2604">
        <v>30</v>
      </c>
      <c r="S2604">
        <v>46</v>
      </c>
      <c r="T2604" s="13">
        <v>26</v>
      </c>
      <c r="U2604" s="13">
        <v>49</v>
      </c>
      <c r="V2604" t="s">
        <v>99</v>
      </c>
      <c r="X2604" s="13">
        <v>193</v>
      </c>
    </row>
    <row r="2605" spans="1:24" x14ac:dyDescent="0.25">
      <c r="A2605" t="s">
        <v>2368</v>
      </c>
      <c r="B2605" t="s">
        <v>65</v>
      </c>
      <c r="C2605" t="s">
        <v>2354</v>
      </c>
      <c r="D2605" t="s">
        <v>2355</v>
      </c>
      <c r="E2605" t="s">
        <v>2356</v>
      </c>
      <c r="F2605" t="s">
        <v>94</v>
      </c>
      <c r="G2605" t="s">
        <v>277</v>
      </c>
      <c r="H2605" s="12">
        <v>8.8507999999999996</v>
      </c>
      <c r="I2605" s="12">
        <v>-76.426699999999997</v>
      </c>
      <c r="J2605" t="s">
        <v>2357</v>
      </c>
      <c r="K2605" t="s">
        <v>97</v>
      </c>
      <c r="L2605" t="s">
        <v>1273</v>
      </c>
      <c r="M2605">
        <v>11</v>
      </c>
      <c r="P2605" s="13">
        <v>192</v>
      </c>
      <c r="Q2605" s="13">
        <v>49</v>
      </c>
      <c r="R2605">
        <v>34</v>
      </c>
      <c r="S2605">
        <v>46</v>
      </c>
      <c r="T2605" s="13">
        <v>21</v>
      </c>
      <c r="U2605" s="13">
        <v>51</v>
      </c>
      <c r="V2605" t="s">
        <v>99</v>
      </c>
      <c r="X2605" s="13">
        <v>192</v>
      </c>
    </row>
    <row r="2606" spans="1:24" x14ac:dyDescent="0.25">
      <c r="A2606" t="s">
        <v>2369</v>
      </c>
      <c r="B2606" t="s">
        <v>65</v>
      </c>
      <c r="C2606" t="s">
        <v>2354</v>
      </c>
      <c r="D2606" t="s">
        <v>2355</v>
      </c>
      <c r="E2606" t="s">
        <v>2356</v>
      </c>
      <c r="F2606" t="s">
        <v>94</v>
      </c>
      <c r="G2606" t="s">
        <v>277</v>
      </c>
      <c r="H2606" s="12">
        <v>8.8507999999999996</v>
      </c>
      <c r="I2606" s="12">
        <v>-76.426699999999997</v>
      </c>
      <c r="J2606" t="s">
        <v>2357</v>
      </c>
      <c r="K2606" t="s">
        <v>97</v>
      </c>
      <c r="L2606" t="s">
        <v>1273</v>
      </c>
      <c r="M2606">
        <v>11</v>
      </c>
      <c r="P2606" s="13">
        <v>187</v>
      </c>
      <c r="Q2606" s="13">
        <v>44</v>
      </c>
      <c r="R2606">
        <v>38</v>
      </c>
      <c r="S2606">
        <v>36</v>
      </c>
      <c r="T2606" s="13">
        <v>28</v>
      </c>
      <c r="U2606" s="13">
        <v>51</v>
      </c>
      <c r="V2606" t="s">
        <v>99</v>
      </c>
      <c r="X2606" s="13">
        <v>187</v>
      </c>
    </row>
    <row r="2607" spans="1:24" x14ac:dyDescent="0.25">
      <c r="A2607" t="s">
        <v>2370</v>
      </c>
      <c r="B2607" t="s">
        <v>65</v>
      </c>
      <c r="C2607" t="s">
        <v>2354</v>
      </c>
      <c r="D2607" t="s">
        <v>2355</v>
      </c>
      <c r="E2607" t="s">
        <v>2356</v>
      </c>
      <c r="F2607" t="s">
        <v>94</v>
      </c>
      <c r="G2607" t="s">
        <v>277</v>
      </c>
      <c r="H2607" s="12">
        <v>8.8507999999999996</v>
      </c>
      <c r="I2607" s="12">
        <v>-76.426699999999997</v>
      </c>
      <c r="J2607" t="s">
        <v>2357</v>
      </c>
      <c r="K2607" t="s">
        <v>97</v>
      </c>
      <c r="L2607" t="s">
        <v>1273</v>
      </c>
      <c r="M2607">
        <v>11</v>
      </c>
      <c r="P2607" s="13">
        <v>184</v>
      </c>
      <c r="Q2607" s="13">
        <v>37</v>
      </c>
      <c r="R2607">
        <v>46</v>
      </c>
      <c r="S2607">
        <v>36</v>
      </c>
      <c r="T2607" s="13">
        <v>31</v>
      </c>
      <c r="U2607" s="13">
        <v>29</v>
      </c>
      <c r="V2607" t="s">
        <v>99</v>
      </c>
      <c r="X2607" s="13">
        <v>184</v>
      </c>
    </row>
    <row r="2608" spans="1:24" x14ac:dyDescent="0.25">
      <c r="A2608" t="s">
        <v>2371</v>
      </c>
      <c r="B2608" t="s">
        <v>65</v>
      </c>
      <c r="C2608" t="s">
        <v>2354</v>
      </c>
      <c r="D2608" t="s">
        <v>2355</v>
      </c>
      <c r="E2608" t="s">
        <v>2356</v>
      </c>
      <c r="F2608" t="s">
        <v>94</v>
      </c>
      <c r="G2608" t="s">
        <v>277</v>
      </c>
      <c r="H2608" s="12">
        <v>8.8507999999999996</v>
      </c>
      <c r="I2608" s="12">
        <v>-76.426699999999997</v>
      </c>
      <c r="J2608" t="s">
        <v>2357</v>
      </c>
      <c r="K2608" t="s">
        <v>97</v>
      </c>
      <c r="L2608" t="s">
        <v>1273</v>
      </c>
      <c r="M2608">
        <v>11</v>
      </c>
      <c r="P2608" s="13">
        <v>182</v>
      </c>
      <c r="Q2608" s="13">
        <v>49</v>
      </c>
      <c r="R2608">
        <v>30</v>
      </c>
      <c r="S2608">
        <v>36</v>
      </c>
      <c r="T2608" s="13">
        <v>28</v>
      </c>
      <c r="U2608" s="13">
        <v>47</v>
      </c>
      <c r="V2608" t="s">
        <v>99</v>
      </c>
      <c r="X2608" s="13">
        <v>182</v>
      </c>
    </row>
    <row r="2609" spans="1:24" x14ac:dyDescent="0.25">
      <c r="A2609" t="s">
        <v>2372</v>
      </c>
      <c r="B2609" t="s">
        <v>65</v>
      </c>
      <c r="C2609" t="s">
        <v>2354</v>
      </c>
      <c r="D2609" t="s">
        <v>2355</v>
      </c>
      <c r="E2609" t="s">
        <v>2356</v>
      </c>
      <c r="F2609" t="s">
        <v>94</v>
      </c>
      <c r="G2609" t="s">
        <v>277</v>
      </c>
      <c r="H2609" s="12">
        <v>8.8507999999999996</v>
      </c>
      <c r="I2609" s="12">
        <v>-76.426699999999997</v>
      </c>
      <c r="J2609" t="s">
        <v>2357</v>
      </c>
      <c r="K2609" t="s">
        <v>97</v>
      </c>
      <c r="L2609" t="s">
        <v>1273</v>
      </c>
      <c r="M2609">
        <v>11</v>
      </c>
      <c r="P2609" s="13">
        <v>179</v>
      </c>
      <c r="Q2609" s="13">
        <v>46</v>
      </c>
      <c r="R2609">
        <v>22</v>
      </c>
      <c r="S2609">
        <v>46</v>
      </c>
      <c r="T2609" s="13">
        <v>21</v>
      </c>
      <c r="U2609" s="13">
        <v>60</v>
      </c>
      <c r="V2609" t="s">
        <v>99</v>
      </c>
      <c r="X2609" s="13">
        <v>179</v>
      </c>
    </row>
    <row r="2610" spans="1:24" x14ac:dyDescent="0.25">
      <c r="A2610" t="s">
        <v>2373</v>
      </c>
      <c r="B2610" t="s">
        <v>65</v>
      </c>
      <c r="C2610" t="s">
        <v>2354</v>
      </c>
      <c r="D2610" t="s">
        <v>2355</v>
      </c>
      <c r="E2610" t="s">
        <v>2356</v>
      </c>
      <c r="F2610" t="s">
        <v>94</v>
      </c>
      <c r="G2610" t="s">
        <v>277</v>
      </c>
      <c r="H2610" s="12">
        <v>8.8507999999999996</v>
      </c>
      <c r="I2610" s="12">
        <v>-76.426699999999997</v>
      </c>
      <c r="J2610" t="s">
        <v>2357</v>
      </c>
      <c r="K2610" t="s">
        <v>97</v>
      </c>
      <c r="L2610" t="s">
        <v>1273</v>
      </c>
      <c r="M2610">
        <v>11</v>
      </c>
      <c r="P2610" s="13">
        <v>175</v>
      </c>
      <c r="Q2610" s="13">
        <v>41</v>
      </c>
      <c r="R2610">
        <v>38</v>
      </c>
      <c r="S2610">
        <v>34</v>
      </c>
      <c r="T2610" s="13">
        <v>22</v>
      </c>
      <c r="U2610" s="13">
        <v>47</v>
      </c>
      <c r="V2610" t="s">
        <v>99</v>
      </c>
      <c r="X2610" s="13">
        <v>175</v>
      </c>
    </row>
    <row r="2611" spans="1:24" x14ac:dyDescent="0.25">
      <c r="A2611" t="s">
        <v>2374</v>
      </c>
      <c r="B2611" t="s">
        <v>65</v>
      </c>
      <c r="C2611" t="s">
        <v>2354</v>
      </c>
      <c r="D2611" t="s">
        <v>2355</v>
      </c>
      <c r="E2611" t="s">
        <v>2356</v>
      </c>
      <c r="F2611" t="s">
        <v>94</v>
      </c>
      <c r="G2611" t="s">
        <v>277</v>
      </c>
      <c r="H2611" s="12">
        <v>8.8507999999999996</v>
      </c>
      <c r="I2611" s="12">
        <v>-76.426699999999997</v>
      </c>
      <c r="J2611" t="s">
        <v>2357</v>
      </c>
      <c r="K2611" t="s">
        <v>97</v>
      </c>
      <c r="L2611" t="s">
        <v>1273</v>
      </c>
      <c r="M2611">
        <v>11</v>
      </c>
      <c r="P2611" s="13">
        <v>172</v>
      </c>
      <c r="Q2611" s="13">
        <v>32</v>
      </c>
      <c r="R2611">
        <v>36</v>
      </c>
      <c r="S2611">
        <v>32</v>
      </c>
      <c r="T2611" s="13">
        <v>34</v>
      </c>
      <c r="U2611" s="13">
        <v>44</v>
      </c>
      <c r="V2611" t="s">
        <v>99</v>
      </c>
      <c r="X2611" s="13">
        <v>172</v>
      </c>
    </row>
    <row r="2612" spans="1:24" x14ac:dyDescent="0.25">
      <c r="A2612" t="s">
        <v>2375</v>
      </c>
      <c r="B2612" t="s">
        <v>65</v>
      </c>
      <c r="C2612" t="s">
        <v>2354</v>
      </c>
      <c r="D2612" t="s">
        <v>2355</v>
      </c>
      <c r="E2612" t="s">
        <v>2356</v>
      </c>
      <c r="F2612" t="s">
        <v>94</v>
      </c>
      <c r="G2612" t="s">
        <v>277</v>
      </c>
      <c r="H2612" s="12">
        <v>8.8507999999999996</v>
      </c>
      <c r="I2612" s="12">
        <v>-76.426699999999997</v>
      </c>
      <c r="J2612" t="s">
        <v>2357</v>
      </c>
      <c r="K2612" t="s">
        <v>97</v>
      </c>
      <c r="L2612" t="s">
        <v>1273</v>
      </c>
      <c r="M2612">
        <v>11</v>
      </c>
      <c r="P2612" s="13">
        <v>170</v>
      </c>
      <c r="Q2612" s="13">
        <v>44</v>
      </c>
      <c r="R2612">
        <v>34</v>
      </c>
      <c r="S2612">
        <v>36</v>
      </c>
      <c r="T2612" s="13">
        <v>22</v>
      </c>
      <c r="U2612" s="13">
        <v>33</v>
      </c>
      <c r="V2612" t="s">
        <v>99</v>
      </c>
      <c r="X2612" s="13">
        <v>170</v>
      </c>
    </row>
    <row r="2613" spans="1:24" x14ac:dyDescent="0.25">
      <c r="A2613" t="s">
        <v>2376</v>
      </c>
      <c r="B2613" t="s">
        <v>65</v>
      </c>
      <c r="C2613" t="s">
        <v>2354</v>
      </c>
      <c r="D2613" t="s">
        <v>2355</v>
      </c>
      <c r="E2613" t="s">
        <v>2356</v>
      </c>
      <c r="F2613" t="s">
        <v>94</v>
      </c>
      <c r="G2613" t="s">
        <v>277</v>
      </c>
      <c r="H2613" s="12">
        <v>8.8507999999999996</v>
      </c>
      <c r="I2613" s="12">
        <v>-76.426699999999997</v>
      </c>
      <c r="J2613" t="s">
        <v>2357</v>
      </c>
      <c r="K2613" t="s">
        <v>97</v>
      </c>
      <c r="L2613" t="s">
        <v>1273</v>
      </c>
      <c r="M2613">
        <v>11</v>
      </c>
      <c r="P2613" s="13">
        <v>169</v>
      </c>
      <c r="Q2613" s="13">
        <v>41</v>
      </c>
      <c r="R2613">
        <v>36</v>
      </c>
      <c r="S2613">
        <v>26</v>
      </c>
      <c r="T2613" s="13">
        <v>28</v>
      </c>
      <c r="U2613" s="13">
        <v>45</v>
      </c>
      <c r="V2613" t="s">
        <v>99</v>
      </c>
      <c r="X2613" s="13">
        <v>169</v>
      </c>
    </row>
    <row r="2614" spans="1:24" x14ac:dyDescent="0.25">
      <c r="A2614" t="s">
        <v>2377</v>
      </c>
      <c r="B2614" t="s">
        <v>65</v>
      </c>
      <c r="C2614" t="s">
        <v>2354</v>
      </c>
      <c r="D2614" t="s">
        <v>2355</v>
      </c>
      <c r="E2614" t="s">
        <v>2356</v>
      </c>
      <c r="F2614" t="s">
        <v>94</v>
      </c>
      <c r="G2614" t="s">
        <v>277</v>
      </c>
      <c r="H2614" s="12">
        <v>8.8507999999999996</v>
      </c>
      <c r="I2614" s="12">
        <v>-76.426699999999997</v>
      </c>
      <c r="J2614" t="s">
        <v>2357</v>
      </c>
      <c r="K2614" t="s">
        <v>97</v>
      </c>
      <c r="L2614" t="s">
        <v>1273</v>
      </c>
      <c r="M2614">
        <v>11</v>
      </c>
      <c r="P2614" s="13">
        <v>168</v>
      </c>
      <c r="Q2614" s="13">
        <v>44</v>
      </c>
      <c r="R2614">
        <v>24</v>
      </c>
      <c r="S2614">
        <v>38</v>
      </c>
      <c r="T2614" s="13">
        <v>26</v>
      </c>
      <c r="U2614" s="13">
        <v>42</v>
      </c>
      <c r="V2614" t="s">
        <v>99</v>
      </c>
      <c r="X2614" s="13">
        <v>168</v>
      </c>
    </row>
    <row r="2615" spans="1:24" x14ac:dyDescent="0.25">
      <c r="A2615" t="s">
        <v>2378</v>
      </c>
      <c r="B2615" t="s">
        <v>65</v>
      </c>
      <c r="C2615" t="s">
        <v>2354</v>
      </c>
      <c r="D2615" t="s">
        <v>2355</v>
      </c>
      <c r="E2615" t="s">
        <v>2356</v>
      </c>
      <c r="F2615" t="s">
        <v>94</v>
      </c>
      <c r="G2615" t="s">
        <v>277</v>
      </c>
      <c r="H2615" s="12">
        <v>8.8507999999999996</v>
      </c>
      <c r="I2615" s="12">
        <v>-76.426699999999997</v>
      </c>
      <c r="J2615" t="s">
        <v>2357</v>
      </c>
      <c r="K2615" t="s">
        <v>97</v>
      </c>
      <c r="L2615" t="s">
        <v>1273</v>
      </c>
      <c r="M2615">
        <v>11</v>
      </c>
      <c r="P2615" s="13">
        <v>166</v>
      </c>
      <c r="Q2615" s="13">
        <v>46</v>
      </c>
      <c r="R2615">
        <v>26</v>
      </c>
      <c r="S2615">
        <v>32</v>
      </c>
      <c r="T2615" s="13">
        <v>26</v>
      </c>
      <c r="U2615" s="13">
        <v>40</v>
      </c>
      <c r="V2615" t="s">
        <v>99</v>
      </c>
      <c r="X2615" s="13">
        <v>166</v>
      </c>
    </row>
    <row r="2616" spans="1:24" x14ac:dyDescent="0.25">
      <c r="A2616" t="s">
        <v>2379</v>
      </c>
      <c r="B2616" t="s">
        <v>65</v>
      </c>
      <c r="C2616" t="s">
        <v>2354</v>
      </c>
      <c r="D2616" t="s">
        <v>2355</v>
      </c>
      <c r="E2616" t="s">
        <v>2356</v>
      </c>
      <c r="F2616" t="s">
        <v>94</v>
      </c>
      <c r="G2616" t="s">
        <v>277</v>
      </c>
      <c r="H2616" s="12">
        <v>8.8507999999999996</v>
      </c>
      <c r="I2616" s="12">
        <v>-76.426699999999997</v>
      </c>
      <c r="J2616" t="s">
        <v>2357</v>
      </c>
      <c r="K2616" t="s">
        <v>97</v>
      </c>
      <c r="L2616" t="s">
        <v>1273</v>
      </c>
      <c r="M2616">
        <v>11</v>
      </c>
      <c r="P2616" s="13">
        <v>163</v>
      </c>
      <c r="Q2616" s="13">
        <v>37</v>
      </c>
      <c r="R2616">
        <v>30</v>
      </c>
      <c r="S2616">
        <v>34</v>
      </c>
      <c r="T2616" s="13">
        <v>24</v>
      </c>
      <c r="U2616" s="13">
        <v>51</v>
      </c>
      <c r="V2616" t="s">
        <v>99</v>
      </c>
      <c r="X2616" s="13">
        <v>163</v>
      </c>
    </row>
    <row r="2617" spans="1:24" x14ac:dyDescent="0.25">
      <c r="A2617" t="s">
        <v>2380</v>
      </c>
      <c r="B2617" t="s">
        <v>65</v>
      </c>
      <c r="C2617" t="s">
        <v>2354</v>
      </c>
      <c r="D2617" t="s">
        <v>2355</v>
      </c>
      <c r="E2617" t="s">
        <v>2356</v>
      </c>
      <c r="F2617" t="s">
        <v>94</v>
      </c>
      <c r="G2617" t="s">
        <v>277</v>
      </c>
      <c r="H2617" s="12">
        <v>8.8507999999999996</v>
      </c>
      <c r="I2617" s="12">
        <v>-76.426699999999997</v>
      </c>
      <c r="J2617" t="s">
        <v>2357</v>
      </c>
      <c r="K2617" t="s">
        <v>97</v>
      </c>
      <c r="L2617" t="s">
        <v>1273</v>
      </c>
      <c r="M2617">
        <v>11</v>
      </c>
      <c r="P2617" s="13">
        <v>163</v>
      </c>
      <c r="Q2617" s="13">
        <v>32</v>
      </c>
      <c r="R2617">
        <v>30</v>
      </c>
      <c r="S2617">
        <v>32</v>
      </c>
      <c r="T2617" s="13">
        <v>31</v>
      </c>
      <c r="U2617" s="13">
        <v>49</v>
      </c>
      <c r="V2617" t="s">
        <v>99</v>
      </c>
      <c r="X2617" s="13">
        <v>163</v>
      </c>
    </row>
    <row r="2618" spans="1:24" x14ac:dyDescent="0.25">
      <c r="A2618" t="s">
        <v>2381</v>
      </c>
      <c r="B2618" t="s">
        <v>65</v>
      </c>
      <c r="C2618" t="s">
        <v>2354</v>
      </c>
      <c r="D2618" t="s">
        <v>2355</v>
      </c>
      <c r="E2618" t="s">
        <v>2356</v>
      </c>
      <c r="F2618" t="s">
        <v>94</v>
      </c>
      <c r="G2618" t="s">
        <v>277</v>
      </c>
      <c r="H2618" s="12">
        <v>8.8507999999999996</v>
      </c>
      <c r="I2618" s="12">
        <v>-76.426699999999997</v>
      </c>
      <c r="J2618" t="s">
        <v>2357</v>
      </c>
      <c r="K2618" t="s">
        <v>97</v>
      </c>
      <c r="L2618" t="s">
        <v>1273</v>
      </c>
      <c r="M2618">
        <v>11</v>
      </c>
      <c r="P2618" s="13">
        <v>162</v>
      </c>
      <c r="Q2618" s="13">
        <v>49</v>
      </c>
      <c r="R2618">
        <v>24</v>
      </c>
      <c r="S2618">
        <v>38</v>
      </c>
      <c r="T2618" s="13">
        <v>22</v>
      </c>
      <c r="U2618" s="13">
        <v>22</v>
      </c>
      <c r="V2618" t="s">
        <v>99</v>
      </c>
      <c r="X2618" s="13">
        <v>162</v>
      </c>
    </row>
    <row r="2619" spans="1:24" x14ac:dyDescent="0.25">
      <c r="A2619" t="s">
        <v>2382</v>
      </c>
      <c r="B2619" t="s">
        <v>65</v>
      </c>
      <c r="C2619" t="s">
        <v>2354</v>
      </c>
      <c r="D2619" t="s">
        <v>2355</v>
      </c>
      <c r="E2619" t="s">
        <v>2356</v>
      </c>
      <c r="F2619" t="s">
        <v>94</v>
      </c>
      <c r="G2619" t="s">
        <v>277</v>
      </c>
      <c r="H2619" s="12">
        <v>8.8507999999999996</v>
      </c>
      <c r="I2619" s="12">
        <v>-76.426699999999997</v>
      </c>
      <c r="J2619" t="s">
        <v>2357</v>
      </c>
      <c r="K2619" t="s">
        <v>97</v>
      </c>
      <c r="L2619" t="s">
        <v>1273</v>
      </c>
      <c r="M2619">
        <v>11</v>
      </c>
      <c r="P2619" s="13">
        <v>160</v>
      </c>
      <c r="Q2619" s="13">
        <v>29</v>
      </c>
      <c r="R2619">
        <v>14</v>
      </c>
      <c r="S2619">
        <v>44</v>
      </c>
      <c r="T2619" s="13">
        <v>34</v>
      </c>
      <c r="U2619" s="13">
        <v>51</v>
      </c>
      <c r="V2619" t="s">
        <v>99</v>
      </c>
      <c r="X2619" s="13">
        <v>160</v>
      </c>
    </row>
    <row r="2620" spans="1:24" x14ac:dyDescent="0.25">
      <c r="A2620" t="s">
        <v>2383</v>
      </c>
      <c r="B2620" t="s">
        <v>65</v>
      </c>
      <c r="C2620" t="s">
        <v>2354</v>
      </c>
      <c r="D2620" t="s">
        <v>2355</v>
      </c>
      <c r="E2620" t="s">
        <v>2356</v>
      </c>
      <c r="F2620" t="s">
        <v>94</v>
      </c>
      <c r="G2620" t="s">
        <v>277</v>
      </c>
      <c r="H2620" s="12">
        <v>8.8507999999999996</v>
      </c>
      <c r="I2620" s="12">
        <v>-76.426699999999997</v>
      </c>
      <c r="J2620" t="s">
        <v>2357</v>
      </c>
      <c r="K2620" t="s">
        <v>97</v>
      </c>
      <c r="L2620" t="s">
        <v>1273</v>
      </c>
      <c r="M2620">
        <v>11</v>
      </c>
      <c r="P2620" s="13">
        <v>159</v>
      </c>
      <c r="Q2620" s="13">
        <v>41</v>
      </c>
      <c r="R2620">
        <v>26</v>
      </c>
      <c r="S2620">
        <v>30</v>
      </c>
      <c r="T2620" s="13">
        <v>31</v>
      </c>
      <c r="U2620" s="13">
        <v>27</v>
      </c>
      <c r="V2620" t="s">
        <v>99</v>
      </c>
      <c r="X2620" s="13">
        <v>159</v>
      </c>
    </row>
    <row r="2621" spans="1:24" x14ac:dyDescent="0.25">
      <c r="A2621" t="s">
        <v>2384</v>
      </c>
      <c r="B2621" t="s">
        <v>65</v>
      </c>
      <c r="C2621" t="s">
        <v>2354</v>
      </c>
      <c r="D2621" t="s">
        <v>2355</v>
      </c>
      <c r="E2621" t="s">
        <v>2356</v>
      </c>
      <c r="F2621" t="s">
        <v>94</v>
      </c>
      <c r="G2621" t="s">
        <v>277</v>
      </c>
      <c r="H2621" s="12">
        <v>8.8507999999999996</v>
      </c>
      <c r="I2621" s="12">
        <v>-76.426699999999997</v>
      </c>
      <c r="J2621" t="s">
        <v>2357</v>
      </c>
      <c r="K2621" t="s">
        <v>97</v>
      </c>
      <c r="L2621" t="s">
        <v>1273</v>
      </c>
      <c r="M2621">
        <v>11</v>
      </c>
      <c r="P2621" s="13">
        <v>156</v>
      </c>
      <c r="Q2621" s="13">
        <v>37</v>
      </c>
      <c r="R2621">
        <v>30</v>
      </c>
      <c r="S2621">
        <v>34</v>
      </c>
      <c r="T2621" s="13">
        <v>21</v>
      </c>
      <c r="U2621" s="13">
        <v>42</v>
      </c>
      <c r="V2621" t="s">
        <v>99</v>
      </c>
      <c r="X2621" s="13">
        <v>156</v>
      </c>
    </row>
    <row r="2622" spans="1:24" x14ac:dyDescent="0.25">
      <c r="A2622" t="s">
        <v>2385</v>
      </c>
      <c r="B2622" t="s">
        <v>65</v>
      </c>
      <c r="C2622" t="s">
        <v>2354</v>
      </c>
      <c r="D2622" t="s">
        <v>2355</v>
      </c>
      <c r="E2622" t="s">
        <v>2356</v>
      </c>
      <c r="F2622" t="s">
        <v>94</v>
      </c>
      <c r="G2622" t="s">
        <v>277</v>
      </c>
      <c r="H2622" s="12">
        <v>8.8507999999999996</v>
      </c>
      <c r="I2622" s="12">
        <v>-76.426699999999997</v>
      </c>
      <c r="J2622" t="s">
        <v>2357</v>
      </c>
      <c r="K2622" t="s">
        <v>97</v>
      </c>
      <c r="L2622" t="s">
        <v>1273</v>
      </c>
      <c r="M2622">
        <v>11</v>
      </c>
      <c r="P2622" s="13">
        <v>155</v>
      </c>
      <c r="Q2622" s="13">
        <v>32</v>
      </c>
      <c r="R2622">
        <v>26</v>
      </c>
      <c r="S2622">
        <v>32</v>
      </c>
      <c r="T2622" s="13">
        <v>31</v>
      </c>
      <c r="U2622" s="13">
        <v>40</v>
      </c>
      <c r="V2622" t="s">
        <v>99</v>
      </c>
      <c r="X2622" s="13">
        <v>155</v>
      </c>
    </row>
    <row r="2623" spans="1:24" x14ac:dyDescent="0.25">
      <c r="A2623" t="s">
        <v>2386</v>
      </c>
      <c r="B2623" t="s">
        <v>65</v>
      </c>
      <c r="C2623" t="s">
        <v>2354</v>
      </c>
      <c r="D2623" t="s">
        <v>2355</v>
      </c>
      <c r="E2623" t="s">
        <v>2356</v>
      </c>
      <c r="F2623" t="s">
        <v>94</v>
      </c>
      <c r="G2623" t="s">
        <v>277</v>
      </c>
      <c r="H2623" s="12">
        <v>8.8507999999999996</v>
      </c>
      <c r="I2623" s="12">
        <v>-76.426699999999997</v>
      </c>
      <c r="J2623" t="s">
        <v>2357</v>
      </c>
      <c r="K2623" t="s">
        <v>97</v>
      </c>
      <c r="L2623" t="s">
        <v>1273</v>
      </c>
      <c r="M2623">
        <v>11</v>
      </c>
      <c r="P2623" s="13">
        <v>154</v>
      </c>
      <c r="Q2623" s="13">
        <v>37</v>
      </c>
      <c r="R2623">
        <v>26</v>
      </c>
      <c r="S2623">
        <v>28</v>
      </c>
      <c r="T2623" s="13">
        <v>24</v>
      </c>
      <c r="U2623" s="13">
        <v>56</v>
      </c>
      <c r="V2623" t="s">
        <v>99</v>
      </c>
      <c r="X2623" s="13">
        <v>154</v>
      </c>
    </row>
    <row r="2624" spans="1:24" x14ac:dyDescent="0.25">
      <c r="A2624" t="s">
        <v>2387</v>
      </c>
      <c r="B2624" t="s">
        <v>65</v>
      </c>
      <c r="C2624" t="s">
        <v>2354</v>
      </c>
      <c r="D2624" t="s">
        <v>2355</v>
      </c>
      <c r="E2624" t="s">
        <v>2356</v>
      </c>
      <c r="F2624" t="s">
        <v>94</v>
      </c>
      <c r="G2624" t="s">
        <v>277</v>
      </c>
      <c r="H2624" s="12">
        <v>8.8507999999999996</v>
      </c>
      <c r="I2624" s="12">
        <v>-76.426699999999997</v>
      </c>
      <c r="J2624" t="s">
        <v>2357</v>
      </c>
      <c r="K2624" t="s">
        <v>97</v>
      </c>
      <c r="L2624" t="s">
        <v>1273</v>
      </c>
      <c r="M2624">
        <v>11</v>
      </c>
      <c r="P2624" s="13">
        <v>153</v>
      </c>
      <c r="Q2624" s="13">
        <v>37</v>
      </c>
      <c r="R2624">
        <v>24</v>
      </c>
      <c r="S2624">
        <v>28</v>
      </c>
      <c r="T2624" s="13">
        <v>31</v>
      </c>
      <c r="U2624" s="13">
        <v>40</v>
      </c>
      <c r="V2624" t="s">
        <v>99</v>
      </c>
      <c r="X2624" s="13">
        <v>153</v>
      </c>
    </row>
    <row r="2625" spans="1:24" x14ac:dyDescent="0.25">
      <c r="A2625" t="s">
        <v>2388</v>
      </c>
      <c r="B2625" t="s">
        <v>65</v>
      </c>
      <c r="C2625" t="s">
        <v>2354</v>
      </c>
      <c r="D2625" t="s">
        <v>2355</v>
      </c>
      <c r="E2625" t="s">
        <v>2356</v>
      </c>
      <c r="F2625" t="s">
        <v>94</v>
      </c>
      <c r="G2625" t="s">
        <v>277</v>
      </c>
      <c r="H2625" s="12">
        <v>8.8507999999999996</v>
      </c>
      <c r="I2625" s="12">
        <v>-76.426699999999997</v>
      </c>
      <c r="J2625" t="s">
        <v>2357</v>
      </c>
      <c r="K2625" t="s">
        <v>97</v>
      </c>
      <c r="L2625" t="s">
        <v>1273</v>
      </c>
      <c r="M2625">
        <v>11</v>
      </c>
      <c r="P2625" s="13">
        <v>153</v>
      </c>
      <c r="Q2625" s="13">
        <v>39</v>
      </c>
      <c r="R2625">
        <v>36</v>
      </c>
      <c r="S2625">
        <v>28</v>
      </c>
      <c r="T2625" s="13">
        <v>22</v>
      </c>
      <c r="U2625" s="13">
        <v>22</v>
      </c>
      <c r="V2625" t="s">
        <v>99</v>
      </c>
      <c r="X2625" s="13">
        <v>153</v>
      </c>
    </row>
    <row r="2626" spans="1:24" x14ac:dyDescent="0.25">
      <c r="A2626" t="s">
        <v>2389</v>
      </c>
      <c r="B2626" t="s">
        <v>65</v>
      </c>
      <c r="C2626" t="s">
        <v>2354</v>
      </c>
      <c r="D2626" t="s">
        <v>2355</v>
      </c>
      <c r="E2626" t="s">
        <v>2356</v>
      </c>
      <c r="F2626" t="s">
        <v>94</v>
      </c>
      <c r="G2626" t="s">
        <v>277</v>
      </c>
      <c r="H2626" s="12">
        <v>8.8507999999999996</v>
      </c>
      <c r="I2626" s="12">
        <v>-76.426699999999997</v>
      </c>
      <c r="J2626" t="s">
        <v>2357</v>
      </c>
      <c r="K2626" t="s">
        <v>97</v>
      </c>
      <c r="L2626" t="s">
        <v>1273</v>
      </c>
      <c r="M2626">
        <v>11</v>
      </c>
      <c r="P2626" s="13">
        <v>152</v>
      </c>
      <c r="Q2626" s="13">
        <v>39</v>
      </c>
      <c r="R2626">
        <v>42</v>
      </c>
      <c r="S2626">
        <v>28</v>
      </c>
      <c r="T2626" s="13">
        <v>12</v>
      </c>
      <c r="U2626" s="13">
        <v>33</v>
      </c>
      <c r="V2626" t="s">
        <v>99</v>
      </c>
      <c r="X2626" s="13">
        <v>152</v>
      </c>
    </row>
    <row r="2627" spans="1:24" x14ac:dyDescent="0.25">
      <c r="A2627" t="s">
        <v>2390</v>
      </c>
      <c r="B2627" t="s">
        <v>65</v>
      </c>
      <c r="C2627" t="s">
        <v>2354</v>
      </c>
      <c r="D2627" t="s">
        <v>2355</v>
      </c>
      <c r="E2627" t="s">
        <v>2356</v>
      </c>
      <c r="F2627" t="s">
        <v>94</v>
      </c>
      <c r="G2627" t="s">
        <v>277</v>
      </c>
      <c r="H2627" s="12">
        <v>8.8507999999999996</v>
      </c>
      <c r="I2627" s="12">
        <v>-76.426699999999997</v>
      </c>
      <c r="J2627" t="s">
        <v>2357</v>
      </c>
      <c r="K2627" t="s">
        <v>97</v>
      </c>
      <c r="L2627" t="s">
        <v>1273</v>
      </c>
      <c r="M2627">
        <v>11</v>
      </c>
      <c r="P2627" s="13">
        <v>150</v>
      </c>
      <c r="Q2627" s="13">
        <v>37</v>
      </c>
      <c r="R2627">
        <v>32</v>
      </c>
      <c r="S2627">
        <v>28</v>
      </c>
      <c r="T2627" s="13">
        <v>24</v>
      </c>
      <c r="U2627" s="13">
        <v>29</v>
      </c>
      <c r="V2627" t="s">
        <v>99</v>
      </c>
      <c r="X2627" s="13">
        <v>150</v>
      </c>
    </row>
    <row r="2628" spans="1:24" x14ac:dyDescent="0.25">
      <c r="A2628" t="s">
        <v>2391</v>
      </c>
      <c r="B2628" t="s">
        <v>65</v>
      </c>
      <c r="C2628" t="s">
        <v>2354</v>
      </c>
      <c r="D2628" t="s">
        <v>2355</v>
      </c>
      <c r="E2628" t="s">
        <v>2356</v>
      </c>
      <c r="F2628" t="s">
        <v>94</v>
      </c>
      <c r="G2628" t="s">
        <v>277</v>
      </c>
      <c r="H2628" s="12">
        <v>8.8507999999999996</v>
      </c>
      <c r="I2628" s="12">
        <v>-76.426699999999997</v>
      </c>
      <c r="J2628" t="s">
        <v>2357</v>
      </c>
      <c r="K2628" t="s">
        <v>97</v>
      </c>
      <c r="L2628" t="s">
        <v>1273</v>
      </c>
      <c r="M2628">
        <v>11</v>
      </c>
      <c r="P2628" s="13">
        <v>150</v>
      </c>
      <c r="Q2628" s="13">
        <v>27</v>
      </c>
      <c r="R2628">
        <v>28</v>
      </c>
      <c r="S2628">
        <v>30</v>
      </c>
      <c r="T2628" s="13">
        <v>33</v>
      </c>
      <c r="U2628" s="13">
        <v>36</v>
      </c>
      <c r="V2628" t="s">
        <v>99</v>
      </c>
      <c r="X2628" s="13">
        <v>150</v>
      </c>
    </row>
    <row r="2629" spans="1:24" x14ac:dyDescent="0.25">
      <c r="A2629" t="s">
        <v>2392</v>
      </c>
      <c r="B2629" t="s">
        <v>65</v>
      </c>
      <c r="C2629" t="s">
        <v>2354</v>
      </c>
      <c r="D2629" t="s">
        <v>2355</v>
      </c>
      <c r="E2629" t="s">
        <v>2356</v>
      </c>
      <c r="F2629" t="s">
        <v>94</v>
      </c>
      <c r="G2629" t="s">
        <v>277</v>
      </c>
      <c r="H2629" s="12">
        <v>8.8507999999999996</v>
      </c>
      <c r="I2629" s="12">
        <v>-76.426699999999997</v>
      </c>
      <c r="J2629" t="s">
        <v>2357</v>
      </c>
      <c r="K2629" t="s">
        <v>97</v>
      </c>
      <c r="L2629" t="s">
        <v>1273</v>
      </c>
      <c r="M2629">
        <v>11</v>
      </c>
      <c r="P2629" s="13">
        <v>149</v>
      </c>
      <c r="Q2629" s="13">
        <v>41</v>
      </c>
      <c r="R2629">
        <v>38</v>
      </c>
      <c r="S2629">
        <v>14</v>
      </c>
      <c r="T2629" s="13">
        <v>28</v>
      </c>
      <c r="U2629" s="13">
        <v>25</v>
      </c>
      <c r="V2629" t="s">
        <v>99</v>
      </c>
      <c r="X2629" s="13">
        <v>149</v>
      </c>
    </row>
    <row r="2630" spans="1:24" x14ac:dyDescent="0.25">
      <c r="A2630" t="s">
        <v>2393</v>
      </c>
      <c r="B2630" t="s">
        <v>65</v>
      </c>
      <c r="C2630" t="s">
        <v>2354</v>
      </c>
      <c r="D2630" t="s">
        <v>2355</v>
      </c>
      <c r="E2630" t="s">
        <v>2356</v>
      </c>
      <c r="F2630" t="s">
        <v>94</v>
      </c>
      <c r="G2630" t="s">
        <v>277</v>
      </c>
      <c r="H2630" s="12">
        <v>8.8507999999999996</v>
      </c>
      <c r="I2630" s="12">
        <v>-76.426699999999997</v>
      </c>
      <c r="J2630" t="s">
        <v>2357</v>
      </c>
      <c r="K2630" t="s">
        <v>97</v>
      </c>
      <c r="L2630" t="s">
        <v>1273</v>
      </c>
      <c r="M2630">
        <v>11</v>
      </c>
      <c r="P2630" s="13">
        <v>146</v>
      </c>
      <c r="Q2630" s="13">
        <v>44</v>
      </c>
      <c r="R2630">
        <v>16</v>
      </c>
      <c r="S2630">
        <v>30</v>
      </c>
      <c r="T2630" s="13">
        <v>28</v>
      </c>
      <c r="U2630" s="13">
        <v>27</v>
      </c>
      <c r="V2630" t="s">
        <v>99</v>
      </c>
      <c r="X2630" s="13">
        <v>146</v>
      </c>
    </row>
    <row r="2631" spans="1:24" x14ac:dyDescent="0.25">
      <c r="A2631" t="s">
        <v>2394</v>
      </c>
      <c r="B2631" t="s">
        <v>65</v>
      </c>
      <c r="C2631" t="s">
        <v>2354</v>
      </c>
      <c r="D2631" t="s">
        <v>2355</v>
      </c>
      <c r="E2631" t="s">
        <v>2356</v>
      </c>
      <c r="F2631" t="s">
        <v>94</v>
      </c>
      <c r="G2631" t="s">
        <v>277</v>
      </c>
      <c r="H2631" s="12">
        <v>8.8507999999999996</v>
      </c>
      <c r="I2631" s="12">
        <v>-76.426699999999997</v>
      </c>
      <c r="J2631" t="s">
        <v>2357</v>
      </c>
      <c r="K2631" t="s">
        <v>97</v>
      </c>
      <c r="L2631" t="s">
        <v>1273</v>
      </c>
      <c r="M2631">
        <v>11</v>
      </c>
      <c r="P2631" s="13">
        <v>144</v>
      </c>
      <c r="Q2631" s="13">
        <v>29</v>
      </c>
      <c r="R2631">
        <v>26</v>
      </c>
      <c r="S2631">
        <v>40</v>
      </c>
      <c r="T2631" s="13">
        <v>22</v>
      </c>
      <c r="U2631" s="13">
        <v>22</v>
      </c>
      <c r="V2631" t="s">
        <v>99</v>
      </c>
      <c r="X2631" s="13">
        <v>144</v>
      </c>
    </row>
    <row r="2632" spans="1:24" x14ac:dyDescent="0.25">
      <c r="A2632" t="s">
        <v>2395</v>
      </c>
      <c r="B2632" t="s">
        <v>65</v>
      </c>
      <c r="C2632" t="s">
        <v>2354</v>
      </c>
      <c r="D2632" t="s">
        <v>2355</v>
      </c>
      <c r="E2632" t="s">
        <v>2356</v>
      </c>
      <c r="F2632" t="s">
        <v>94</v>
      </c>
      <c r="G2632" t="s">
        <v>277</v>
      </c>
      <c r="H2632" s="12">
        <v>8.8507999999999996</v>
      </c>
      <c r="I2632" s="12">
        <v>-76.426699999999997</v>
      </c>
      <c r="J2632" t="s">
        <v>2357</v>
      </c>
      <c r="K2632" t="s">
        <v>97</v>
      </c>
      <c r="L2632" t="s">
        <v>1273</v>
      </c>
      <c r="M2632">
        <v>11</v>
      </c>
      <c r="P2632" s="13">
        <v>144</v>
      </c>
      <c r="Q2632" s="13">
        <v>41</v>
      </c>
      <c r="R2632">
        <v>16</v>
      </c>
      <c r="S2632">
        <v>30</v>
      </c>
      <c r="T2632" s="13">
        <v>24</v>
      </c>
      <c r="U2632" s="13">
        <v>40</v>
      </c>
      <c r="V2632" t="s">
        <v>99</v>
      </c>
      <c r="X2632" s="13">
        <v>144</v>
      </c>
    </row>
    <row r="2633" spans="1:24" x14ac:dyDescent="0.25">
      <c r="A2633" t="s">
        <v>2396</v>
      </c>
      <c r="B2633" t="s">
        <v>65</v>
      </c>
      <c r="C2633" t="s">
        <v>2354</v>
      </c>
      <c r="D2633" t="s">
        <v>2355</v>
      </c>
      <c r="E2633" t="s">
        <v>2356</v>
      </c>
      <c r="F2633" t="s">
        <v>94</v>
      </c>
      <c r="G2633" t="s">
        <v>277</v>
      </c>
      <c r="H2633" s="12">
        <v>8.8507999999999996</v>
      </c>
      <c r="I2633" s="12">
        <v>-76.426699999999997</v>
      </c>
      <c r="J2633" t="s">
        <v>2357</v>
      </c>
      <c r="K2633" t="s">
        <v>97</v>
      </c>
      <c r="L2633" t="s">
        <v>1273</v>
      </c>
      <c r="M2633">
        <v>11</v>
      </c>
      <c r="P2633" s="13">
        <v>144</v>
      </c>
      <c r="Q2633" s="13">
        <v>37</v>
      </c>
      <c r="R2633">
        <v>28</v>
      </c>
      <c r="S2633">
        <v>26</v>
      </c>
      <c r="T2633" s="13">
        <v>28</v>
      </c>
      <c r="U2633" s="13">
        <v>20</v>
      </c>
      <c r="V2633" t="s">
        <v>99</v>
      </c>
      <c r="X2633" s="13">
        <v>144</v>
      </c>
    </row>
    <row r="2634" spans="1:24" x14ac:dyDescent="0.25">
      <c r="A2634" t="s">
        <v>2397</v>
      </c>
      <c r="B2634" t="s">
        <v>65</v>
      </c>
      <c r="C2634" t="s">
        <v>2354</v>
      </c>
      <c r="D2634" t="s">
        <v>2355</v>
      </c>
      <c r="E2634" t="s">
        <v>2356</v>
      </c>
      <c r="F2634" t="s">
        <v>94</v>
      </c>
      <c r="G2634" t="s">
        <v>277</v>
      </c>
      <c r="H2634" s="12">
        <v>8.8507999999999996</v>
      </c>
      <c r="I2634" s="12">
        <v>-76.426699999999997</v>
      </c>
      <c r="J2634" t="s">
        <v>2357</v>
      </c>
      <c r="K2634" t="s">
        <v>97</v>
      </c>
      <c r="L2634" t="s">
        <v>1273</v>
      </c>
      <c r="M2634">
        <v>11</v>
      </c>
      <c r="P2634" s="13">
        <v>144</v>
      </c>
      <c r="Q2634" s="13">
        <v>39</v>
      </c>
      <c r="R2634">
        <v>20</v>
      </c>
      <c r="S2634">
        <v>30</v>
      </c>
      <c r="T2634" s="13">
        <v>22</v>
      </c>
      <c r="U2634" s="13">
        <v>40</v>
      </c>
      <c r="V2634" t="s">
        <v>99</v>
      </c>
      <c r="X2634" s="13">
        <v>144</v>
      </c>
    </row>
    <row r="2635" spans="1:24" x14ac:dyDescent="0.25">
      <c r="A2635" t="s">
        <v>2398</v>
      </c>
      <c r="B2635" t="s">
        <v>65</v>
      </c>
      <c r="C2635" t="s">
        <v>2354</v>
      </c>
      <c r="D2635" t="s">
        <v>2355</v>
      </c>
      <c r="E2635" t="s">
        <v>2356</v>
      </c>
      <c r="F2635" t="s">
        <v>94</v>
      </c>
      <c r="G2635" t="s">
        <v>277</v>
      </c>
      <c r="H2635" s="12">
        <v>8.8507999999999996</v>
      </c>
      <c r="I2635" s="12">
        <v>-76.426699999999997</v>
      </c>
      <c r="J2635" t="s">
        <v>2357</v>
      </c>
      <c r="K2635" t="s">
        <v>97</v>
      </c>
      <c r="L2635" t="s">
        <v>1273</v>
      </c>
      <c r="M2635">
        <v>11</v>
      </c>
      <c r="P2635" s="13">
        <v>144</v>
      </c>
      <c r="Q2635" s="13">
        <v>39</v>
      </c>
      <c r="R2635">
        <v>24</v>
      </c>
      <c r="S2635">
        <v>22</v>
      </c>
      <c r="T2635" s="13">
        <v>29</v>
      </c>
      <c r="U2635" s="13">
        <v>31</v>
      </c>
      <c r="V2635" t="s">
        <v>99</v>
      </c>
      <c r="X2635" s="13">
        <v>144</v>
      </c>
    </row>
    <row r="2636" spans="1:24" x14ac:dyDescent="0.25">
      <c r="A2636" t="s">
        <v>2399</v>
      </c>
      <c r="B2636" t="s">
        <v>65</v>
      </c>
      <c r="C2636" t="s">
        <v>2354</v>
      </c>
      <c r="D2636" t="s">
        <v>2355</v>
      </c>
      <c r="E2636" t="s">
        <v>2356</v>
      </c>
      <c r="F2636" t="s">
        <v>94</v>
      </c>
      <c r="G2636" t="s">
        <v>277</v>
      </c>
      <c r="H2636" s="12">
        <v>8.8507999999999996</v>
      </c>
      <c r="I2636" s="12">
        <v>-76.426699999999997</v>
      </c>
      <c r="J2636" t="s">
        <v>2357</v>
      </c>
      <c r="K2636" t="s">
        <v>97</v>
      </c>
      <c r="L2636" t="s">
        <v>1273</v>
      </c>
      <c r="M2636">
        <v>11</v>
      </c>
      <c r="P2636" s="13">
        <v>143</v>
      </c>
      <c r="Q2636" s="13">
        <v>34</v>
      </c>
      <c r="R2636">
        <v>26</v>
      </c>
      <c r="S2636">
        <v>22</v>
      </c>
      <c r="T2636" s="13">
        <v>31</v>
      </c>
      <c r="U2636" s="13">
        <v>33</v>
      </c>
      <c r="V2636" t="s">
        <v>99</v>
      </c>
      <c r="X2636" s="13">
        <v>143</v>
      </c>
    </row>
    <row r="2637" spans="1:24" x14ac:dyDescent="0.25">
      <c r="A2637" t="s">
        <v>2400</v>
      </c>
      <c r="B2637" t="s">
        <v>65</v>
      </c>
      <c r="C2637" t="s">
        <v>2354</v>
      </c>
      <c r="D2637" t="s">
        <v>2355</v>
      </c>
      <c r="E2637" t="s">
        <v>2356</v>
      </c>
      <c r="F2637" t="s">
        <v>94</v>
      </c>
      <c r="G2637" t="s">
        <v>277</v>
      </c>
      <c r="H2637" s="12">
        <v>8.8507999999999996</v>
      </c>
      <c r="I2637" s="12">
        <v>-76.426699999999997</v>
      </c>
      <c r="J2637" t="s">
        <v>2357</v>
      </c>
      <c r="K2637" t="s">
        <v>97</v>
      </c>
      <c r="L2637" t="s">
        <v>1273</v>
      </c>
      <c r="M2637">
        <v>11</v>
      </c>
      <c r="P2637" s="13">
        <v>141</v>
      </c>
      <c r="Q2637" s="13">
        <v>27</v>
      </c>
      <c r="R2637">
        <v>32</v>
      </c>
      <c r="S2637">
        <v>34</v>
      </c>
      <c r="T2637" s="13">
        <v>17</v>
      </c>
      <c r="U2637" s="13">
        <v>36</v>
      </c>
      <c r="V2637" t="s">
        <v>99</v>
      </c>
      <c r="X2637" s="13">
        <v>141</v>
      </c>
    </row>
    <row r="2638" spans="1:24" x14ac:dyDescent="0.25">
      <c r="A2638" t="s">
        <v>2401</v>
      </c>
      <c r="B2638" t="s">
        <v>65</v>
      </c>
      <c r="C2638" t="s">
        <v>2354</v>
      </c>
      <c r="D2638" t="s">
        <v>2355</v>
      </c>
      <c r="E2638" t="s">
        <v>2356</v>
      </c>
      <c r="F2638" t="s">
        <v>94</v>
      </c>
      <c r="G2638" t="s">
        <v>277</v>
      </c>
      <c r="H2638" s="12">
        <v>8.8507999999999996</v>
      </c>
      <c r="I2638" s="12">
        <v>-76.426699999999997</v>
      </c>
      <c r="J2638" t="s">
        <v>2357</v>
      </c>
      <c r="K2638" t="s">
        <v>97</v>
      </c>
      <c r="L2638" t="s">
        <v>1273</v>
      </c>
      <c r="M2638">
        <v>11</v>
      </c>
      <c r="P2638" s="13">
        <v>140</v>
      </c>
      <c r="Q2638" s="13">
        <v>32</v>
      </c>
      <c r="R2638">
        <v>18</v>
      </c>
      <c r="S2638">
        <v>32</v>
      </c>
      <c r="T2638" s="13">
        <v>26</v>
      </c>
      <c r="U2638" s="13">
        <v>42</v>
      </c>
      <c r="V2638" t="s">
        <v>99</v>
      </c>
      <c r="X2638" s="13">
        <v>140</v>
      </c>
    </row>
    <row r="2639" spans="1:24" x14ac:dyDescent="0.25">
      <c r="A2639" t="s">
        <v>2402</v>
      </c>
      <c r="B2639" t="s">
        <v>65</v>
      </c>
      <c r="C2639" t="s">
        <v>2354</v>
      </c>
      <c r="D2639" t="s">
        <v>2355</v>
      </c>
      <c r="E2639" t="s">
        <v>2356</v>
      </c>
      <c r="F2639" t="s">
        <v>94</v>
      </c>
      <c r="G2639" t="s">
        <v>277</v>
      </c>
      <c r="H2639" s="12">
        <v>8.8507999999999996</v>
      </c>
      <c r="I2639" s="12">
        <v>-76.426699999999997</v>
      </c>
      <c r="J2639" t="s">
        <v>2357</v>
      </c>
      <c r="K2639" t="s">
        <v>97</v>
      </c>
      <c r="L2639" t="s">
        <v>1273</v>
      </c>
      <c r="M2639">
        <v>11</v>
      </c>
      <c r="P2639" s="13">
        <v>139</v>
      </c>
      <c r="Q2639" s="13">
        <v>37</v>
      </c>
      <c r="R2639">
        <v>24</v>
      </c>
      <c r="S2639">
        <v>28</v>
      </c>
      <c r="T2639" s="13">
        <v>21</v>
      </c>
      <c r="U2639" s="13">
        <v>35</v>
      </c>
      <c r="V2639" t="s">
        <v>99</v>
      </c>
      <c r="X2639" s="13">
        <v>139</v>
      </c>
    </row>
    <row r="2640" spans="1:24" x14ac:dyDescent="0.25">
      <c r="A2640" t="s">
        <v>2403</v>
      </c>
      <c r="B2640" t="s">
        <v>65</v>
      </c>
      <c r="C2640" t="s">
        <v>2354</v>
      </c>
      <c r="D2640" t="s">
        <v>2355</v>
      </c>
      <c r="E2640" t="s">
        <v>2356</v>
      </c>
      <c r="F2640" t="s">
        <v>94</v>
      </c>
      <c r="G2640" t="s">
        <v>277</v>
      </c>
      <c r="H2640" s="12">
        <v>8.8507999999999996</v>
      </c>
      <c r="I2640" s="12">
        <v>-76.426699999999997</v>
      </c>
      <c r="J2640" t="s">
        <v>2357</v>
      </c>
      <c r="K2640" t="s">
        <v>97</v>
      </c>
      <c r="L2640" t="s">
        <v>1273</v>
      </c>
      <c r="M2640">
        <v>11</v>
      </c>
      <c r="P2640" s="13">
        <v>137</v>
      </c>
      <c r="Q2640" s="13">
        <v>27</v>
      </c>
      <c r="R2640">
        <v>26</v>
      </c>
      <c r="S2640">
        <v>26</v>
      </c>
      <c r="T2640" s="13">
        <v>19</v>
      </c>
      <c r="U2640" s="13">
        <v>62</v>
      </c>
      <c r="V2640" t="s">
        <v>99</v>
      </c>
      <c r="X2640" s="13">
        <v>137</v>
      </c>
    </row>
    <row r="2641" spans="1:24" x14ac:dyDescent="0.25">
      <c r="A2641" t="s">
        <v>2404</v>
      </c>
      <c r="B2641" t="s">
        <v>65</v>
      </c>
      <c r="C2641" t="s">
        <v>2354</v>
      </c>
      <c r="D2641" t="s">
        <v>2355</v>
      </c>
      <c r="E2641" t="s">
        <v>2356</v>
      </c>
      <c r="F2641" t="s">
        <v>94</v>
      </c>
      <c r="G2641" t="s">
        <v>277</v>
      </c>
      <c r="H2641" s="12">
        <v>8.8507999999999996</v>
      </c>
      <c r="I2641" s="12">
        <v>-76.426699999999997</v>
      </c>
      <c r="J2641" t="s">
        <v>2357</v>
      </c>
      <c r="K2641" t="s">
        <v>97</v>
      </c>
      <c r="L2641" t="s">
        <v>1273</v>
      </c>
      <c r="M2641">
        <v>11</v>
      </c>
      <c r="P2641" s="13">
        <v>135</v>
      </c>
      <c r="Q2641" s="13">
        <v>32</v>
      </c>
      <c r="R2641">
        <v>26</v>
      </c>
      <c r="S2641">
        <v>34</v>
      </c>
      <c r="T2641" s="13">
        <v>14</v>
      </c>
      <c r="U2641" s="13">
        <v>35</v>
      </c>
      <c r="V2641" t="s">
        <v>99</v>
      </c>
      <c r="X2641" s="13">
        <v>135</v>
      </c>
    </row>
    <row r="2642" spans="1:24" x14ac:dyDescent="0.25">
      <c r="A2642" t="s">
        <v>2405</v>
      </c>
      <c r="B2642" t="s">
        <v>65</v>
      </c>
      <c r="C2642" t="s">
        <v>2354</v>
      </c>
      <c r="D2642" t="s">
        <v>2355</v>
      </c>
      <c r="E2642" t="s">
        <v>2356</v>
      </c>
      <c r="F2642" t="s">
        <v>94</v>
      </c>
      <c r="G2642" t="s">
        <v>277</v>
      </c>
      <c r="H2642" s="12">
        <v>8.8507999999999996</v>
      </c>
      <c r="I2642" s="12">
        <v>-76.426699999999997</v>
      </c>
      <c r="J2642" t="s">
        <v>2357</v>
      </c>
      <c r="K2642" t="s">
        <v>97</v>
      </c>
      <c r="L2642" t="s">
        <v>1273</v>
      </c>
      <c r="M2642">
        <v>11</v>
      </c>
      <c r="P2642" s="13">
        <v>135</v>
      </c>
      <c r="Q2642" s="13">
        <v>44</v>
      </c>
      <c r="R2642">
        <v>20</v>
      </c>
      <c r="S2642">
        <v>22</v>
      </c>
      <c r="T2642" s="13">
        <v>21</v>
      </c>
      <c r="U2642" s="13">
        <v>31</v>
      </c>
      <c r="V2642" t="s">
        <v>99</v>
      </c>
      <c r="X2642" s="13">
        <v>135</v>
      </c>
    </row>
    <row r="2643" spans="1:24" x14ac:dyDescent="0.25">
      <c r="A2643" t="s">
        <v>2406</v>
      </c>
      <c r="B2643" t="s">
        <v>65</v>
      </c>
      <c r="C2643" t="s">
        <v>2354</v>
      </c>
      <c r="D2643" t="s">
        <v>2355</v>
      </c>
      <c r="E2643" t="s">
        <v>2356</v>
      </c>
      <c r="F2643" t="s">
        <v>94</v>
      </c>
      <c r="G2643" t="s">
        <v>277</v>
      </c>
      <c r="H2643" s="12">
        <v>8.8507999999999996</v>
      </c>
      <c r="I2643" s="12">
        <v>-76.426699999999997</v>
      </c>
      <c r="J2643" t="s">
        <v>2357</v>
      </c>
      <c r="K2643" t="s">
        <v>97</v>
      </c>
      <c r="L2643" t="s">
        <v>1273</v>
      </c>
      <c r="M2643">
        <v>11</v>
      </c>
      <c r="P2643" s="13">
        <v>130</v>
      </c>
      <c r="Q2643" s="13">
        <v>27</v>
      </c>
      <c r="R2643">
        <v>14</v>
      </c>
      <c r="S2643">
        <v>26</v>
      </c>
      <c r="T2643" s="13">
        <v>33</v>
      </c>
      <c r="U2643" s="13">
        <v>40</v>
      </c>
      <c r="V2643" t="s">
        <v>99</v>
      </c>
      <c r="X2643" s="13">
        <v>130</v>
      </c>
    </row>
    <row r="2644" spans="1:24" x14ac:dyDescent="0.25">
      <c r="A2644" t="s">
        <v>2407</v>
      </c>
      <c r="B2644" t="s">
        <v>65</v>
      </c>
      <c r="C2644" t="s">
        <v>2354</v>
      </c>
      <c r="D2644" t="s">
        <v>2355</v>
      </c>
      <c r="E2644" t="s">
        <v>2356</v>
      </c>
      <c r="F2644" t="s">
        <v>94</v>
      </c>
      <c r="G2644" t="s">
        <v>277</v>
      </c>
      <c r="H2644" s="12">
        <v>8.8507999999999996</v>
      </c>
      <c r="I2644" s="12">
        <v>-76.426699999999997</v>
      </c>
      <c r="J2644" t="s">
        <v>2357</v>
      </c>
      <c r="K2644" t="s">
        <v>97</v>
      </c>
      <c r="L2644" t="s">
        <v>1273</v>
      </c>
      <c r="M2644">
        <v>11</v>
      </c>
      <c r="P2644" s="13">
        <v>126</v>
      </c>
      <c r="Q2644" s="13">
        <v>27</v>
      </c>
      <c r="R2644">
        <v>18</v>
      </c>
      <c r="S2644">
        <v>24</v>
      </c>
      <c r="T2644" s="13">
        <v>29</v>
      </c>
      <c r="U2644" s="13">
        <v>33</v>
      </c>
      <c r="V2644" t="s">
        <v>99</v>
      </c>
      <c r="X2644" s="13">
        <v>126</v>
      </c>
    </row>
    <row r="2645" spans="1:24" x14ac:dyDescent="0.25">
      <c r="A2645" t="s">
        <v>2408</v>
      </c>
      <c r="B2645" t="s">
        <v>65</v>
      </c>
      <c r="C2645" t="s">
        <v>2354</v>
      </c>
      <c r="D2645" t="s">
        <v>2355</v>
      </c>
      <c r="E2645" t="s">
        <v>2356</v>
      </c>
      <c r="F2645" t="s">
        <v>94</v>
      </c>
      <c r="G2645" t="s">
        <v>277</v>
      </c>
      <c r="H2645" s="12">
        <v>8.8507999999999996</v>
      </c>
      <c r="I2645" s="12">
        <v>-76.426699999999997</v>
      </c>
      <c r="J2645" t="s">
        <v>2357</v>
      </c>
      <c r="K2645" t="s">
        <v>97</v>
      </c>
      <c r="L2645" t="s">
        <v>1273</v>
      </c>
      <c r="M2645">
        <v>11</v>
      </c>
      <c r="P2645" s="13">
        <v>116</v>
      </c>
      <c r="Q2645" s="13">
        <v>32</v>
      </c>
      <c r="R2645">
        <v>18</v>
      </c>
      <c r="S2645">
        <v>20</v>
      </c>
      <c r="T2645" s="13">
        <v>22</v>
      </c>
      <c r="U2645" s="13">
        <v>25</v>
      </c>
      <c r="V2645" t="s">
        <v>99</v>
      </c>
      <c r="X2645" s="13">
        <v>116</v>
      </c>
    </row>
    <row r="2646" spans="1:24" x14ac:dyDescent="0.25">
      <c r="A2646" t="s">
        <v>2409</v>
      </c>
      <c r="B2646" t="s">
        <v>65</v>
      </c>
      <c r="C2646" t="s">
        <v>2354</v>
      </c>
      <c r="D2646" t="s">
        <v>2355</v>
      </c>
      <c r="E2646" t="s">
        <v>2356</v>
      </c>
      <c r="F2646" t="s">
        <v>94</v>
      </c>
      <c r="G2646" t="s">
        <v>277</v>
      </c>
      <c r="H2646" s="12">
        <v>8.8507999999999996</v>
      </c>
      <c r="I2646" s="12">
        <v>-76.426699999999997</v>
      </c>
      <c r="J2646" t="s">
        <v>2357</v>
      </c>
      <c r="K2646" t="s">
        <v>97</v>
      </c>
      <c r="L2646" t="s">
        <v>1273</v>
      </c>
      <c r="M2646">
        <v>11</v>
      </c>
      <c r="P2646" s="13">
        <v>114</v>
      </c>
      <c r="Q2646" s="13">
        <v>15</v>
      </c>
      <c r="R2646">
        <v>26</v>
      </c>
      <c r="S2646">
        <v>24</v>
      </c>
      <c r="T2646" s="13">
        <v>21</v>
      </c>
      <c r="U2646" s="13">
        <v>40</v>
      </c>
      <c r="V2646" t="s">
        <v>99</v>
      </c>
      <c r="X2646" s="13">
        <v>114</v>
      </c>
    </row>
    <row r="2647" spans="1:24" x14ac:dyDescent="0.25">
      <c r="A2647" t="s">
        <v>2410</v>
      </c>
      <c r="B2647" t="s">
        <v>65</v>
      </c>
      <c r="C2647" t="s">
        <v>2354</v>
      </c>
      <c r="D2647" t="s">
        <v>2355</v>
      </c>
      <c r="E2647" t="s">
        <v>2356</v>
      </c>
      <c r="F2647" t="s">
        <v>94</v>
      </c>
      <c r="G2647" t="s">
        <v>277</v>
      </c>
      <c r="H2647" s="12">
        <v>8.8507999999999996</v>
      </c>
      <c r="I2647" s="12">
        <v>-76.426699999999997</v>
      </c>
      <c r="J2647" t="s">
        <v>2357</v>
      </c>
      <c r="K2647" t="s">
        <v>97</v>
      </c>
      <c r="L2647" t="s">
        <v>1273</v>
      </c>
      <c r="M2647">
        <v>11</v>
      </c>
      <c r="P2647" s="13">
        <v>61</v>
      </c>
      <c r="Q2647" s="13">
        <v>0</v>
      </c>
      <c r="R2647">
        <v>12</v>
      </c>
      <c r="S2647">
        <v>16</v>
      </c>
      <c r="T2647" s="13">
        <v>16</v>
      </c>
      <c r="U2647" s="13">
        <v>29</v>
      </c>
      <c r="V2647" t="s">
        <v>99</v>
      </c>
      <c r="X2647" s="13">
        <v>61</v>
      </c>
    </row>
    <row r="2648" spans="1:24" x14ac:dyDescent="0.25">
      <c r="A2648" t="s">
        <v>2411</v>
      </c>
      <c r="B2648" t="s">
        <v>65</v>
      </c>
      <c r="C2648" t="s">
        <v>2412</v>
      </c>
      <c r="D2648" t="s">
        <v>2413</v>
      </c>
      <c r="E2648" t="s">
        <v>2414</v>
      </c>
      <c r="F2648" t="s">
        <v>94</v>
      </c>
      <c r="G2648" t="s">
        <v>277</v>
      </c>
      <c r="H2648" s="12">
        <v>7.7577999999999996</v>
      </c>
      <c r="I2648" s="12">
        <v>-76.654700000000005</v>
      </c>
      <c r="J2648" t="s">
        <v>2415</v>
      </c>
      <c r="K2648" t="s">
        <v>97</v>
      </c>
      <c r="L2648" t="s">
        <v>1273</v>
      </c>
      <c r="M2648">
        <v>11</v>
      </c>
      <c r="P2648" s="13">
        <v>288</v>
      </c>
      <c r="Q2648" s="13">
        <v>61</v>
      </c>
      <c r="R2648">
        <v>42</v>
      </c>
      <c r="S2648">
        <v>74</v>
      </c>
      <c r="T2648" s="13">
        <v>48</v>
      </c>
      <c r="U2648" s="13">
        <v>73</v>
      </c>
      <c r="V2648" t="s">
        <v>99</v>
      </c>
      <c r="X2648" s="13">
        <v>288</v>
      </c>
    </row>
    <row r="2649" spans="1:24" x14ac:dyDescent="0.25">
      <c r="A2649" t="s">
        <v>2416</v>
      </c>
      <c r="B2649" t="s">
        <v>65</v>
      </c>
      <c r="C2649" t="s">
        <v>2412</v>
      </c>
      <c r="D2649" t="s">
        <v>2413</v>
      </c>
      <c r="E2649" t="s">
        <v>2414</v>
      </c>
      <c r="F2649" t="s">
        <v>94</v>
      </c>
      <c r="G2649" t="s">
        <v>277</v>
      </c>
      <c r="H2649" s="12">
        <v>7.7577999999999996</v>
      </c>
      <c r="I2649" s="12">
        <v>-76.654700000000005</v>
      </c>
      <c r="J2649" t="s">
        <v>2415</v>
      </c>
      <c r="K2649" t="s">
        <v>97</v>
      </c>
      <c r="L2649" t="s">
        <v>1273</v>
      </c>
      <c r="M2649">
        <v>11</v>
      </c>
      <c r="P2649" s="13">
        <v>279</v>
      </c>
      <c r="Q2649" s="13">
        <v>76</v>
      </c>
      <c r="R2649">
        <v>40</v>
      </c>
      <c r="S2649">
        <v>72</v>
      </c>
      <c r="T2649" s="13">
        <v>40</v>
      </c>
      <c r="U2649" s="13">
        <v>44</v>
      </c>
      <c r="V2649" t="s">
        <v>99</v>
      </c>
      <c r="X2649" s="13">
        <v>279</v>
      </c>
    </row>
    <row r="2650" spans="1:24" x14ac:dyDescent="0.25">
      <c r="A2650" t="s">
        <v>2417</v>
      </c>
      <c r="B2650" t="s">
        <v>65</v>
      </c>
      <c r="C2650" t="s">
        <v>2412</v>
      </c>
      <c r="D2650" t="s">
        <v>2413</v>
      </c>
      <c r="E2650" t="s">
        <v>2414</v>
      </c>
      <c r="F2650" t="s">
        <v>94</v>
      </c>
      <c r="G2650" t="s">
        <v>277</v>
      </c>
      <c r="H2650" s="12">
        <v>7.7577999999999996</v>
      </c>
      <c r="I2650" s="12">
        <v>-76.654700000000005</v>
      </c>
      <c r="J2650" t="s">
        <v>2415</v>
      </c>
      <c r="K2650" t="s">
        <v>97</v>
      </c>
      <c r="L2650" t="s">
        <v>1273</v>
      </c>
      <c r="M2650">
        <v>11</v>
      </c>
      <c r="P2650" s="13">
        <v>272</v>
      </c>
      <c r="Q2650" s="13">
        <v>71</v>
      </c>
      <c r="R2650">
        <v>44</v>
      </c>
      <c r="S2650">
        <v>66</v>
      </c>
      <c r="T2650" s="13">
        <v>36</v>
      </c>
      <c r="U2650" s="13">
        <v>56</v>
      </c>
      <c r="V2650" t="s">
        <v>99</v>
      </c>
      <c r="X2650" s="13">
        <v>272</v>
      </c>
    </row>
    <row r="2651" spans="1:24" x14ac:dyDescent="0.25">
      <c r="A2651" t="s">
        <v>2418</v>
      </c>
      <c r="B2651" t="s">
        <v>65</v>
      </c>
      <c r="C2651" t="s">
        <v>2412</v>
      </c>
      <c r="D2651" t="s">
        <v>2413</v>
      </c>
      <c r="E2651" t="s">
        <v>2414</v>
      </c>
      <c r="F2651" t="s">
        <v>94</v>
      </c>
      <c r="G2651" t="s">
        <v>277</v>
      </c>
      <c r="H2651" s="12">
        <v>7.7577999999999996</v>
      </c>
      <c r="I2651" s="12">
        <v>-76.654700000000005</v>
      </c>
      <c r="J2651" t="s">
        <v>2415</v>
      </c>
      <c r="K2651" t="s">
        <v>97</v>
      </c>
      <c r="L2651" t="s">
        <v>1273</v>
      </c>
      <c r="M2651">
        <v>11</v>
      </c>
      <c r="P2651" s="13">
        <v>253</v>
      </c>
      <c r="Q2651" s="13">
        <v>68</v>
      </c>
      <c r="R2651">
        <v>34</v>
      </c>
      <c r="S2651">
        <v>60</v>
      </c>
      <c r="T2651" s="13">
        <v>34</v>
      </c>
      <c r="U2651" s="13">
        <v>67</v>
      </c>
      <c r="V2651" t="s">
        <v>99</v>
      </c>
      <c r="X2651" s="13">
        <v>253</v>
      </c>
    </row>
    <row r="2652" spans="1:24" x14ac:dyDescent="0.25">
      <c r="A2652" t="s">
        <v>2419</v>
      </c>
      <c r="B2652" t="s">
        <v>65</v>
      </c>
      <c r="C2652" t="s">
        <v>2412</v>
      </c>
      <c r="D2652" t="s">
        <v>2413</v>
      </c>
      <c r="E2652" t="s">
        <v>2414</v>
      </c>
      <c r="F2652" t="s">
        <v>94</v>
      </c>
      <c r="G2652" t="s">
        <v>277</v>
      </c>
      <c r="H2652" s="12">
        <v>7.7577999999999996</v>
      </c>
      <c r="I2652" s="12">
        <v>-76.654700000000005</v>
      </c>
      <c r="J2652" t="s">
        <v>2415</v>
      </c>
      <c r="K2652" t="s">
        <v>97</v>
      </c>
      <c r="L2652" t="s">
        <v>1273</v>
      </c>
      <c r="M2652">
        <v>11</v>
      </c>
      <c r="P2652" s="13">
        <v>245</v>
      </c>
      <c r="Q2652" s="13">
        <v>66</v>
      </c>
      <c r="R2652">
        <v>28</v>
      </c>
      <c r="S2652">
        <v>62</v>
      </c>
      <c r="T2652" s="13">
        <v>38</v>
      </c>
      <c r="U2652" s="13">
        <v>55</v>
      </c>
      <c r="V2652" t="s">
        <v>99</v>
      </c>
      <c r="X2652" s="13">
        <v>245</v>
      </c>
    </row>
    <row r="2653" spans="1:24" x14ac:dyDescent="0.25">
      <c r="A2653" t="s">
        <v>2420</v>
      </c>
      <c r="B2653" t="s">
        <v>65</v>
      </c>
      <c r="C2653" t="s">
        <v>2412</v>
      </c>
      <c r="D2653" t="s">
        <v>2413</v>
      </c>
      <c r="E2653" t="s">
        <v>2414</v>
      </c>
      <c r="F2653" t="s">
        <v>94</v>
      </c>
      <c r="G2653" t="s">
        <v>277</v>
      </c>
      <c r="H2653" s="12">
        <v>7.7577999999999996</v>
      </c>
      <c r="I2653" s="12">
        <v>-76.654700000000005</v>
      </c>
      <c r="J2653" t="s">
        <v>2415</v>
      </c>
      <c r="K2653" t="s">
        <v>97</v>
      </c>
      <c r="L2653" t="s">
        <v>1273</v>
      </c>
      <c r="M2653">
        <v>11</v>
      </c>
      <c r="P2653" s="13">
        <v>244</v>
      </c>
      <c r="Q2653" s="13">
        <v>46</v>
      </c>
      <c r="R2653">
        <v>32</v>
      </c>
      <c r="S2653">
        <v>72</v>
      </c>
      <c r="T2653" s="13">
        <v>41</v>
      </c>
      <c r="U2653" s="13">
        <v>60</v>
      </c>
      <c r="V2653" t="s">
        <v>99</v>
      </c>
      <c r="X2653" s="13">
        <v>244</v>
      </c>
    </row>
    <row r="2654" spans="1:24" x14ac:dyDescent="0.25">
      <c r="A2654" t="s">
        <v>2421</v>
      </c>
      <c r="B2654" t="s">
        <v>65</v>
      </c>
      <c r="C2654" t="s">
        <v>2412</v>
      </c>
      <c r="D2654" t="s">
        <v>2413</v>
      </c>
      <c r="E2654" t="s">
        <v>2414</v>
      </c>
      <c r="F2654" t="s">
        <v>94</v>
      </c>
      <c r="G2654" t="s">
        <v>277</v>
      </c>
      <c r="H2654" s="12">
        <v>7.7577999999999996</v>
      </c>
      <c r="I2654" s="12">
        <v>-76.654700000000005</v>
      </c>
      <c r="J2654" t="s">
        <v>2415</v>
      </c>
      <c r="K2654" t="s">
        <v>97</v>
      </c>
      <c r="L2654" t="s">
        <v>1273</v>
      </c>
      <c r="M2654">
        <v>11</v>
      </c>
      <c r="P2654" s="13">
        <v>244</v>
      </c>
      <c r="Q2654" s="13">
        <v>61</v>
      </c>
      <c r="R2654">
        <v>28</v>
      </c>
      <c r="S2654">
        <v>62</v>
      </c>
      <c r="T2654" s="13">
        <v>41</v>
      </c>
      <c r="U2654" s="13">
        <v>56</v>
      </c>
      <c r="V2654" t="s">
        <v>99</v>
      </c>
      <c r="X2654" s="13">
        <v>244</v>
      </c>
    </row>
    <row r="2655" spans="1:24" x14ac:dyDescent="0.25">
      <c r="A2655" t="s">
        <v>2422</v>
      </c>
      <c r="B2655" t="s">
        <v>65</v>
      </c>
      <c r="C2655" t="s">
        <v>2412</v>
      </c>
      <c r="D2655" t="s">
        <v>2413</v>
      </c>
      <c r="E2655" t="s">
        <v>2414</v>
      </c>
      <c r="F2655" t="s">
        <v>94</v>
      </c>
      <c r="G2655" t="s">
        <v>277</v>
      </c>
      <c r="H2655" s="12">
        <v>7.7577999999999996</v>
      </c>
      <c r="I2655" s="12">
        <v>-76.654700000000005</v>
      </c>
      <c r="J2655" t="s">
        <v>2415</v>
      </c>
      <c r="K2655" t="s">
        <v>97</v>
      </c>
      <c r="L2655" t="s">
        <v>1273</v>
      </c>
      <c r="M2655">
        <v>11</v>
      </c>
      <c r="P2655" s="13">
        <v>237</v>
      </c>
      <c r="Q2655" s="13">
        <v>61</v>
      </c>
      <c r="R2655">
        <v>36</v>
      </c>
      <c r="S2655">
        <v>68</v>
      </c>
      <c r="T2655" s="13">
        <v>29</v>
      </c>
      <c r="U2655" s="13">
        <v>33</v>
      </c>
      <c r="V2655" t="s">
        <v>99</v>
      </c>
      <c r="X2655" s="13">
        <v>237</v>
      </c>
    </row>
    <row r="2656" spans="1:24" x14ac:dyDescent="0.25">
      <c r="A2656" t="s">
        <v>2423</v>
      </c>
      <c r="B2656" t="s">
        <v>65</v>
      </c>
      <c r="C2656" t="s">
        <v>2412</v>
      </c>
      <c r="D2656" t="s">
        <v>2413</v>
      </c>
      <c r="E2656" t="s">
        <v>2414</v>
      </c>
      <c r="F2656" t="s">
        <v>94</v>
      </c>
      <c r="G2656" t="s">
        <v>277</v>
      </c>
      <c r="H2656" s="12">
        <v>7.7577999999999996</v>
      </c>
      <c r="I2656" s="12">
        <v>-76.654700000000005</v>
      </c>
      <c r="J2656" t="s">
        <v>2415</v>
      </c>
      <c r="K2656" t="s">
        <v>97</v>
      </c>
      <c r="L2656" t="s">
        <v>1273</v>
      </c>
      <c r="M2656">
        <v>11</v>
      </c>
      <c r="P2656" s="13">
        <v>231</v>
      </c>
      <c r="Q2656" s="13">
        <v>49</v>
      </c>
      <c r="R2656">
        <v>28</v>
      </c>
      <c r="S2656">
        <v>62</v>
      </c>
      <c r="T2656" s="13">
        <v>43</v>
      </c>
      <c r="U2656" s="13">
        <v>55</v>
      </c>
      <c r="V2656" t="s">
        <v>99</v>
      </c>
      <c r="X2656" s="13">
        <v>231</v>
      </c>
    </row>
    <row r="2657" spans="1:24" x14ac:dyDescent="0.25">
      <c r="A2657" t="s">
        <v>2424</v>
      </c>
      <c r="B2657" t="s">
        <v>65</v>
      </c>
      <c r="C2657" t="s">
        <v>2412</v>
      </c>
      <c r="D2657" t="s">
        <v>2413</v>
      </c>
      <c r="E2657" t="s">
        <v>2414</v>
      </c>
      <c r="F2657" t="s">
        <v>94</v>
      </c>
      <c r="G2657" t="s">
        <v>277</v>
      </c>
      <c r="H2657" s="12">
        <v>7.7577999999999996</v>
      </c>
      <c r="I2657" s="12">
        <v>-76.654700000000005</v>
      </c>
      <c r="J2657" t="s">
        <v>2415</v>
      </c>
      <c r="K2657" t="s">
        <v>97</v>
      </c>
      <c r="L2657" t="s">
        <v>1273</v>
      </c>
      <c r="M2657">
        <v>11</v>
      </c>
      <c r="P2657" s="13">
        <v>228</v>
      </c>
      <c r="Q2657" s="13">
        <v>49</v>
      </c>
      <c r="R2657">
        <v>24</v>
      </c>
      <c r="S2657">
        <v>72</v>
      </c>
      <c r="T2657" s="13">
        <v>33</v>
      </c>
      <c r="U2657" s="13">
        <v>60</v>
      </c>
      <c r="V2657" t="s">
        <v>99</v>
      </c>
      <c r="X2657" s="13">
        <v>228</v>
      </c>
    </row>
    <row r="2658" spans="1:24" x14ac:dyDescent="0.25">
      <c r="A2658" t="s">
        <v>2425</v>
      </c>
      <c r="B2658" t="s">
        <v>65</v>
      </c>
      <c r="C2658" t="s">
        <v>2412</v>
      </c>
      <c r="D2658" t="s">
        <v>2413</v>
      </c>
      <c r="E2658" t="s">
        <v>2414</v>
      </c>
      <c r="F2658" t="s">
        <v>94</v>
      </c>
      <c r="G2658" t="s">
        <v>277</v>
      </c>
      <c r="H2658" s="12">
        <v>7.7577999999999996</v>
      </c>
      <c r="I2658" s="12">
        <v>-76.654700000000005</v>
      </c>
      <c r="J2658" t="s">
        <v>2415</v>
      </c>
      <c r="K2658" t="s">
        <v>97</v>
      </c>
      <c r="L2658" t="s">
        <v>1273</v>
      </c>
      <c r="M2658">
        <v>11</v>
      </c>
      <c r="P2658" s="13">
        <v>224</v>
      </c>
      <c r="Q2658" s="13">
        <v>51</v>
      </c>
      <c r="R2658">
        <v>30</v>
      </c>
      <c r="S2658">
        <v>64</v>
      </c>
      <c r="T2658" s="13">
        <v>34</v>
      </c>
      <c r="U2658" s="13">
        <v>44</v>
      </c>
      <c r="V2658" t="s">
        <v>99</v>
      </c>
      <c r="X2658" s="13">
        <v>224</v>
      </c>
    </row>
    <row r="2659" spans="1:24" x14ac:dyDescent="0.25">
      <c r="A2659" t="s">
        <v>2426</v>
      </c>
      <c r="B2659" t="s">
        <v>65</v>
      </c>
      <c r="C2659" t="s">
        <v>2412</v>
      </c>
      <c r="D2659" t="s">
        <v>2413</v>
      </c>
      <c r="E2659" t="s">
        <v>2414</v>
      </c>
      <c r="F2659" t="s">
        <v>94</v>
      </c>
      <c r="G2659" t="s">
        <v>277</v>
      </c>
      <c r="H2659" s="12">
        <v>7.7577999999999996</v>
      </c>
      <c r="I2659" s="12">
        <v>-76.654700000000005</v>
      </c>
      <c r="J2659" t="s">
        <v>2415</v>
      </c>
      <c r="K2659" t="s">
        <v>97</v>
      </c>
      <c r="L2659" t="s">
        <v>1273</v>
      </c>
      <c r="M2659">
        <v>11</v>
      </c>
      <c r="P2659" s="13">
        <v>222</v>
      </c>
      <c r="Q2659" s="13">
        <v>51</v>
      </c>
      <c r="R2659">
        <v>30</v>
      </c>
      <c r="S2659">
        <v>60</v>
      </c>
      <c r="T2659" s="13">
        <v>33</v>
      </c>
      <c r="U2659" s="13">
        <v>55</v>
      </c>
      <c r="V2659" t="s">
        <v>99</v>
      </c>
      <c r="X2659" s="13">
        <v>222</v>
      </c>
    </row>
    <row r="2660" spans="1:24" x14ac:dyDescent="0.25">
      <c r="A2660" t="s">
        <v>2427</v>
      </c>
      <c r="B2660" t="s">
        <v>65</v>
      </c>
      <c r="C2660" t="s">
        <v>2412</v>
      </c>
      <c r="D2660" t="s">
        <v>2413</v>
      </c>
      <c r="E2660" t="s">
        <v>2414</v>
      </c>
      <c r="F2660" t="s">
        <v>94</v>
      </c>
      <c r="G2660" t="s">
        <v>277</v>
      </c>
      <c r="H2660" s="12">
        <v>7.7577999999999996</v>
      </c>
      <c r="I2660" s="12">
        <v>-76.654700000000005</v>
      </c>
      <c r="J2660" t="s">
        <v>2415</v>
      </c>
      <c r="K2660" t="s">
        <v>97</v>
      </c>
      <c r="L2660" t="s">
        <v>1273</v>
      </c>
      <c r="M2660">
        <v>11</v>
      </c>
      <c r="P2660" s="13">
        <v>220</v>
      </c>
      <c r="Q2660" s="13">
        <v>56</v>
      </c>
      <c r="R2660">
        <v>38</v>
      </c>
      <c r="S2660">
        <v>52</v>
      </c>
      <c r="T2660" s="13">
        <v>28</v>
      </c>
      <c r="U2660" s="13">
        <v>51</v>
      </c>
      <c r="V2660" t="s">
        <v>99</v>
      </c>
      <c r="X2660" s="13">
        <v>220</v>
      </c>
    </row>
    <row r="2661" spans="1:24" x14ac:dyDescent="0.25">
      <c r="A2661" t="s">
        <v>2428</v>
      </c>
      <c r="B2661" t="s">
        <v>65</v>
      </c>
      <c r="C2661" t="s">
        <v>2412</v>
      </c>
      <c r="D2661" t="s">
        <v>2413</v>
      </c>
      <c r="E2661" t="s">
        <v>2414</v>
      </c>
      <c r="F2661" t="s">
        <v>94</v>
      </c>
      <c r="G2661" t="s">
        <v>277</v>
      </c>
      <c r="H2661" s="12">
        <v>7.7577999999999996</v>
      </c>
      <c r="I2661" s="12">
        <v>-76.654700000000005</v>
      </c>
      <c r="J2661" t="s">
        <v>2415</v>
      </c>
      <c r="K2661" t="s">
        <v>97</v>
      </c>
      <c r="L2661" t="s">
        <v>1273</v>
      </c>
      <c r="M2661">
        <v>11</v>
      </c>
      <c r="P2661" s="13">
        <v>219</v>
      </c>
      <c r="Q2661" s="13">
        <v>59</v>
      </c>
      <c r="R2661">
        <v>26</v>
      </c>
      <c r="S2661">
        <v>60</v>
      </c>
      <c r="T2661" s="13">
        <v>28</v>
      </c>
      <c r="U2661" s="13">
        <v>53</v>
      </c>
      <c r="V2661" t="s">
        <v>99</v>
      </c>
      <c r="X2661" s="13">
        <v>219</v>
      </c>
    </row>
    <row r="2662" spans="1:24" x14ac:dyDescent="0.25">
      <c r="A2662" t="s">
        <v>2429</v>
      </c>
      <c r="B2662" t="s">
        <v>65</v>
      </c>
      <c r="C2662" t="s">
        <v>2412</v>
      </c>
      <c r="D2662" t="s">
        <v>2413</v>
      </c>
      <c r="E2662" t="s">
        <v>2414</v>
      </c>
      <c r="F2662" t="s">
        <v>94</v>
      </c>
      <c r="G2662" t="s">
        <v>277</v>
      </c>
      <c r="H2662" s="12">
        <v>7.7577999999999996</v>
      </c>
      <c r="I2662" s="12">
        <v>-76.654700000000005</v>
      </c>
      <c r="J2662" t="s">
        <v>2415</v>
      </c>
      <c r="K2662" t="s">
        <v>97</v>
      </c>
      <c r="L2662" t="s">
        <v>1273</v>
      </c>
      <c r="M2662">
        <v>11</v>
      </c>
      <c r="P2662" s="13">
        <v>218</v>
      </c>
      <c r="Q2662" s="13">
        <v>51</v>
      </c>
      <c r="R2662">
        <v>34</v>
      </c>
      <c r="S2662">
        <v>52</v>
      </c>
      <c r="T2662" s="13">
        <v>36</v>
      </c>
      <c r="U2662" s="13">
        <v>45</v>
      </c>
      <c r="V2662" t="s">
        <v>99</v>
      </c>
      <c r="X2662" s="13">
        <v>218</v>
      </c>
    </row>
    <row r="2663" spans="1:24" x14ac:dyDescent="0.25">
      <c r="A2663" t="s">
        <v>2430</v>
      </c>
      <c r="B2663" t="s">
        <v>65</v>
      </c>
      <c r="C2663" t="s">
        <v>2412</v>
      </c>
      <c r="D2663" t="s">
        <v>2413</v>
      </c>
      <c r="E2663" t="s">
        <v>2414</v>
      </c>
      <c r="F2663" t="s">
        <v>94</v>
      </c>
      <c r="G2663" t="s">
        <v>277</v>
      </c>
      <c r="H2663" s="12">
        <v>7.7577999999999996</v>
      </c>
      <c r="I2663" s="12">
        <v>-76.654700000000005</v>
      </c>
      <c r="J2663" t="s">
        <v>2415</v>
      </c>
      <c r="K2663" t="s">
        <v>97</v>
      </c>
      <c r="L2663" t="s">
        <v>1273</v>
      </c>
      <c r="M2663">
        <v>11</v>
      </c>
      <c r="P2663" s="13">
        <v>208</v>
      </c>
      <c r="Q2663" s="13">
        <v>63</v>
      </c>
      <c r="R2663">
        <v>24</v>
      </c>
      <c r="S2663">
        <v>44</v>
      </c>
      <c r="T2663" s="13">
        <v>33</v>
      </c>
      <c r="U2663" s="13">
        <v>49</v>
      </c>
      <c r="V2663" t="s">
        <v>99</v>
      </c>
      <c r="X2663" s="13">
        <v>208</v>
      </c>
    </row>
    <row r="2664" spans="1:24" x14ac:dyDescent="0.25">
      <c r="A2664" t="s">
        <v>2431</v>
      </c>
      <c r="B2664" t="s">
        <v>65</v>
      </c>
      <c r="C2664" t="s">
        <v>2412</v>
      </c>
      <c r="D2664" t="s">
        <v>2413</v>
      </c>
      <c r="E2664" t="s">
        <v>2414</v>
      </c>
      <c r="F2664" t="s">
        <v>94</v>
      </c>
      <c r="G2664" t="s">
        <v>277</v>
      </c>
      <c r="H2664" s="12">
        <v>7.7577999999999996</v>
      </c>
      <c r="I2664" s="12">
        <v>-76.654700000000005</v>
      </c>
      <c r="J2664" t="s">
        <v>2415</v>
      </c>
      <c r="K2664" t="s">
        <v>97</v>
      </c>
      <c r="L2664" t="s">
        <v>1273</v>
      </c>
      <c r="M2664">
        <v>11</v>
      </c>
      <c r="P2664" s="13">
        <v>206</v>
      </c>
      <c r="Q2664" s="13">
        <v>46</v>
      </c>
      <c r="R2664">
        <v>22</v>
      </c>
      <c r="S2664">
        <v>62</v>
      </c>
      <c r="T2664" s="13">
        <v>29</v>
      </c>
      <c r="U2664" s="13">
        <v>56</v>
      </c>
      <c r="V2664" t="s">
        <v>99</v>
      </c>
      <c r="X2664" s="13">
        <v>206</v>
      </c>
    </row>
    <row r="2665" spans="1:24" x14ac:dyDescent="0.25">
      <c r="A2665" t="s">
        <v>2432</v>
      </c>
      <c r="B2665" t="s">
        <v>65</v>
      </c>
      <c r="C2665" t="s">
        <v>2412</v>
      </c>
      <c r="D2665" t="s">
        <v>2413</v>
      </c>
      <c r="E2665" t="s">
        <v>2414</v>
      </c>
      <c r="F2665" t="s">
        <v>94</v>
      </c>
      <c r="G2665" t="s">
        <v>277</v>
      </c>
      <c r="H2665" s="12">
        <v>7.7577999999999996</v>
      </c>
      <c r="I2665" s="12">
        <v>-76.654700000000005</v>
      </c>
      <c r="J2665" t="s">
        <v>2415</v>
      </c>
      <c r="K2665" t="s">
        <v>97</v>
      </c>
      <c r="L2665" t="s">
        <v>1273</v>
      </c>
      <c r="M2665">
        <v>11</v>
      </c>
      <c r="P2665" s="13">
        <v>204</v>
      </c>
      <c r="Q2665" s="13">
        <v>41</v>
      </c>
      <c r="R2665">
        <v>36</v>
      </c>
      <c r="S2665">
        <v>48</v>
      </c>
      <c r="T2665" s="13">
        <v>33</v>
      </c>
      <c r="U2665" s="13">
        <v>56</v>
      </c>
      <c r="V2665" t="s">
        <v>99</v>
      </c>
      <c r="X2665" s="13">
        <v>204</v>
      </c>
    </row>
    <row r="2666" spans="1:24" x14ac:dyDescent="0.25">
      <c r="A2666" t="s">
        <v>2433</v>
      </c>
      <c r="B2666" t="s">
        <v>65</v>
      </c>
      <c r="C2666" t="s">
        <v>2412</v>
      </c>
      <c r="D2666" t="s">
        <v>2413</v>
      </c>
      <c r="E2666" t="s">
        <v>2414</v>
      </c>
      <c r="F2666" t="s">
        <v>94</v>
      </c>
      <c r="G2666" t="s">
        <v>277</v>
      </c>
      <c r="H2666" s="12">
        <v>7.7577999999999996</v>
      </c>
      <c r="I2666" s="12">
        <v>-76.654700000000005</v>
      </c>
      <c r="J2666" t="s">
        <v>2415</v>
      </c>
      <c r="K2666" t="s">
        <v>97</v>
      </c>
      <c r="L2666" t="s">
        <v>1273</v>
      </c>
      <c r="M2666">
        <v>11</v>
      </c>
      <c r="P2666" s="13">
        <v>204</v>
      </c>
      <c r="Q2666" s="13">
        <v>49</v>
      </c>
      <c r="R2666">
        <v>24</v>
      </c>
      <c r="S2666">
        <v>50</v>
      </c>
      <c r="T2666" s="13">
        <v>36</v>
      </c>
      <c r="U2666" s="13">
        <v>53</v>
      </c>
      <c r="V2666" t="s">
        <v>99</v>
      </c>
      <c r="X2666" s="13">
        <v>204</v>
      </c>
    </row>
    <row r="2667" spans="1:24" x14ac:dyDescent="0.25">
      <c r="A2667" t="s">
        <v>2434</v>
      </c>
      <c r="B2667" t="s">
        <v>65</v>
      </c>
      <c r="C2667" t="s">
        <v>2412</v>
      </c>
      <c r="D2667" t="s">
        <v>2413</v>
      </c>
      <c r="E2667" t="s">
        <v>2414</v>
      </c>
      <c r="F2667" t="s">
        <v>94</v>
      </c>
      <c r="G2667" t="s">
        <v>277</v>
      </c>
      <c r="H2667" s="12">
        <v>7.7577999999999996</v>
      </c>
      <c r="I2667" s="12">
        <v>-76.654700000000005</v>
      </c>
      <c r="J2667" t="s">
        <v>2415</v>
      </c>
      <c r="K2667" t="s">
        <v>97</v>
      </c>
      <c r="L2667" t="s">
        <v>1273</v>
      </c>
      <c r="M2667">
        <v>11</v>
      </c>
      <c r="P2667" s="13">
        <v>202</v>
      </c>
      <c r="Q2667" s="13">
        <v>54</v>
      </c>
      <c r="R2667">
        <v>36</v>
      </c>
      <c r="S2667">
        <v>50</v>
      </c>
      <c r="T2667" s="13">
        <v>26</v>
      </c>
      <c r="U2667" s="13">
        <v>29</v>
      </c>
      <c r="V2667" t="s">
        <v>99</v>
      </c>
      <c r="X2667" s="13">
        <v>202</v>
      </c>
    </row>
    <row r="2668" spans="1:24" x14ac:dyDescent="0.25">
      <c r="A2668" t="s">
        <v>2435</v>
      </c>
      <c r="B2668" t="s">
        <v>65</v>
      </c>
      <c r="C2668" t="s">
        <v>2412</v>
      </c>
      <c r="D2668" t="s">
        <v>2413</v>
      </c>
      <c r="E2668" t="s">
        <v>2414</v>
      </c>
      <c r="F2668" t="s">
        <v>94</v>
      </c>
      <c r="G2668" t="s">
        <v>277</v>
      </c>
      <c r="H2668" s="12">
        <v>7.7577999999999996</v>
      </c>
      <c r="I2668" s="12">
        <v>-76.654700000000005</v>
      </c>
      <c r="J2668" t="s">
        <v>2415</v>
      </c>
      <c r="K2668" t="s">
        <v>97</v>
      </c>
      <c r="L2668" t="s">
        <v>1273</v>
      </c>
      <c r="M2668">
        <v>11</v>
      </c>
      <c r="P2668" s="13">
        <v>198</v>
      </c>
      <c r="Q2668" s="13">
        <v>51</v>
      </c>
      <c r="R2668">
        <v>30</v>
      </c>
      <c r="S2668">
        <v>46</v>
      </c>
      <c r="T2668" s="13">
        <v>22</v>
      </c>
      <c r="U2668" s="13">
        <v>65</v>
      </c>
      <c r="V2668" t="s">
        <v>99</v>
      </c>
      <c r="X2668" s="13">
        <v>198</v>
      </c>
    </row>
    <row r="2669" spans="1:24" x14ac:dyDescent="0.25">
      <c r="A2669" t="s">
        <v>2436</v>
      </c>
      <c r="B2669" t="s">
        <v>65</v>
      </c>
      <c r="C2669" t="s">
        <v>2412</v>
      </c>
      <c r="D2669" t="s">
        <v>2413</v>
      </c>
      <c r="E2669" t="s">
        <v>2414</v>
      </c>
      <c r="F2669" t="s">
        <v>94</v>
      </c>
      <c r="G2669" t="s">
        <v>277</v>
      </c>
      <c r="H2669" s="12">
        <v>7.7577999999999996</v>
      </c>
      <c r="I2669" s="12">
        <v>-76.654700000000005</v>
      </c>
      <c r="J2669" t="s">
        <v>2415</v>
      </c>
      <c r="K2669" t="s">
        <v>97</v>
      </c>
      <c r="L2669" t="s">
        <v>1273</v>
      </c>
      <c r="M2669">
        <v>11</v>
      </c>
      <c r="P2669" s="13">
        <v>196</v>
      </c>
      <c r="Q2669" s="13">
        <v>46</v>
      </c>
      <c r="R2669">
        <v>30</v>
      </c>
      <c r="S2669">
        <v>50</v>
      </c>
      <c r="T2669" s="13">
        <v>24</v>
      </c>
      <c r="U2669" s="13">
        <v>58</v>
      </c>
      <c r="V2669" t="s">
        <v>99</v>
      </c>
      <c r="X2669" s="13">
        <v>196</v>
      </c>
    </row>
    <row r="2670" spans="1:24" x14ac:dyDescent="0.25">
      <c r="A2670" t="s">
        <v>2437</v>
      </c>
      <c r="B2670" t="s">
        <v>65</v>
      </c>
      <c r="C2670" t="s">
        <v>2412</v>
      </c>
      <c r="D2670" t="s">
        <v>2413</v>
      </c>
      <c r="E2670" t="s">
        <v>2414</v>
      </c>
      <c r="F2670" t="s">
        <v>94</v>
      </c>
      <c r="G2670" t="s">
        <v>277</v>
      </c>
      <c r="H2670" s="12">
        <v>7.7577999999999996</v>
      </c>
      <c r="I2670" s="12">
        <v>-76.654700000000005</v>
      </c>
      <c r="J2670" t="s">
        <v>2415</v>
      </c>
      <c r="K2670" t="s">
        <v>97</v>
      </c>
      <c r="L2670" t="s">
        <v>1273</v>
      </c>
      <c r="M2670">
        <v>11</v>
      </c>
      <c r="P2670" s="13">
        <v>191</v>
      </c>
      <c r="Q2670" s="13">
        <v>49</v>
      </c>
      <c r="R2670">
        <v>28</v>
      </c>
      <c r="S2670">
        <v>44</v>
      </c>
      <c r="T2670" s="13">
        <v>26</v>
      </c>
      <c r="U2670" s="13">
        <v>56</v>
      </c>
      <c r="V2670" t="s">
        <v>99</v>
      </c>
      <c r="X2670" s="13">
        <v>191</v>
      </c>
    </row>
    <row r="2671" spans="1:24" x14ac:dyDescent="0.25">
      <c r="A2671" t="s">
        <v>2438</v>
      </c>
      <c r="B2671" t="s">
        <v>65</v>
      </c>
      <c r="C2671" t="s">
        <v>2412</v>
      </c>
      <c r="D2671" t="s">
        <v>2413</v>
      </c>
      <c r="E2671" t="s">
        <v>2414</v>
      </c>
      <c r="F2671" t="s">
        <v>94</v>
      </c>
      <c r="G2671" t="s">
        <v>277</v>
      </c>
      <c r="H2671" s="12">
        <v>7.7577999999999996</v>
      </c>
      <c r="I2671" s="12">
        <v>-76.654700000000005</v>
      </c>
      <c r="J2671" t="s">
        <v>2415</v>
      </c>
      <c r="K2671" t="s">
        <v>97</v>
      </c>
      <c r="L2671" t="s">
        <v>1273</v>
      </c>
      <c r="M2671">
        <v>11</v>
      </c>
      <c r="P2671" s="13">
        <v>190</v>
      </c>
      <c r="Q2671" s="13">
        <v>46</v>
      </c>
      <c r="R2671">
        <v>36</v>
      </c>
      <c r="S2671">
        <v>44</v>
      </c>
      <c r="T2671" s="13">
        <v>26</v>
      </c>
      <c r="U2671" s="13">
        <v>38</v>
      </c>
      <c r="V2671" t="s">
        <v>99</v>
      </c>
      <c r="X2671" s="13">
        <v>190</v>
      </c>
    </row>
    <row r="2672" spans="1:24" x14ac:dyDescent="0.25">
      <c r="A2672" t="s">
        <v>2439</v>
      </c>
      <c r="B2672" t="s">
        <v>65</v>
      </c>
      <c r="C2672" t="s">
        <v>2412</v>
      </c>
      <c r="D2672" t="s">
        <v>2413</v>
      </c>
      <c r="E2672" t="s">
        <v>2414</v>
      </c>
      <c r="F2672" t="s">
        <v>94</v>
      </c>
      <c r="G2672" t="s">
        <v>277</v>
      </c>
      <c r="H2672" s="12">
        <v>7.7577999999999996</v>
      </c>
      <c r="I2672" s="12">
        <v>-76.654700000000005</v>
      </c>
      <c r="J2672" t="s">
        <v>2415</v>
      </c>
      <c r="K2672" t="s">
        <v>97</v>
      </c>
      <c r="L2672" t="s">
        <v>1273</v>
      </c>
      <c r="M2672">
        <v>11</v>
      </c>
      <c r="P2672" s="13">
        <v>188</v>
      </c>
      <c r="Q2672" s="13">
        <v>41</v>
      </c>
      <c r="R2672">
        <v>28</v>
      </c>
      <c r="S2672">
        <v>48</v>
      </c>
      <c r="T2672" s="13">
        <v>29</v>
      </c>
      <c r="U2672" s="13">
        <v>49</v>
      </c>
      <c r="V2672" t="s">
        <v>99</v>
      </c>
      <c r="X2672" s="13">
        <v>188</v>
      </c>
    </row>
    <row r="2673" spans="1:24" x14ac:dyDescent="0.25">
      <c r="A2673" t="s">
        <v>2440</v>
      </c>
      <c r="B2673" t="s">
        <v>65</v>
      </c>
      <c r="C2673" t="s">
        <v>2412</v>
      </c>
      <c r="D2673" t="s">
        <v>2413</v>
      </c>
      <c r="E2673" t="s">
        <v>2414</v>
      </c>
      <c r="F2673" t="s">
        <v>94</v>
      </c>
      <c r="G2673" t="s">
        <v>277</v>
      </c>
      <c r="H2673" s="12">
        <v>7.7577999999999996</v>
      </c>
      <c r="I2673" s="12">
        <v>-76.654700000000005</v>
      </c>
      <c r="J2673" t="s">
        <v>2415</v>
      </c>
      <c r="K2673" t="s">
        <v>97</v>
      </c>
      <c r="L2673" t="s">
        <v>1273</v>
      </c>
      <c r="M2673">
        <v>11</v>
      </c>
      <c r="P2673" s="13">
        <v>188</v>
      </c>
      <c r="Q2673" s="13">
        <v>51</v>
      </c>
      <c r="R2673">
        <v>16</v>
      </c>
      <c r="S2673">
        <v>48</v>
      </c>
      <c r="T2673" s="13">
        <v>28</v>
      </c>
      <c r="U2673" s="13">
        <v>60</v>
      </c>
      <c r="V2673" t="s">
        <v>99</v>
      </c>
      <c r="X2673" s="13">
        <v>188</v>
      </c>
    </row>
    <row r="2674" spans="1:24" x14ac:dyDescent="0.25">
      <c r="A2674" t="s">
        <v>2441</v>
      </c>
      <c r="B2674" t="s">
        <v>65</v>
      </c>
      <c r="C2674" t="s">
        <v>2412</v>
      </c>
      <c r="D2674" t="s">
        <v>2413</v>
      </c>
      <c r="E2674" t="s">
        <v>2414</v>
      </c>
      <c r="F2674" t="s">
        <v>94</v>
      </c>
      <c r="G2674" t="s">
        <v>277</v>
      </c>
      <c r="H2674" s="12">
        <v>7.7577999999999996</v>
      </c>
      <c r="I2674" s="12">
        <v>-76.654700000000005</v>
      </c>
      <c r="J2674" t="s">
        <v>2415</v>
      </c>
      <c r="K2674" t="s">
        <v>97</v>
      </c>
      <c r="L2674" t="s">
        <v>1273</v>
      </c>
      <c r="M2674">
        <v>11</v>
      </c>
      <c r="P2674" s="13">
        <v>187</v>
      </c>
      <c r="Q2674" s="13">
        <v>46</v>
      </c>
      <c r="R2674">
        <v>26</v>
      </c>
      <c r="S2674">
        <v>46</v>
      </c>
      <c r="T2674" s="13">
        <v>28</v>
      </c>
      <c r="U2674" s="13">
        <v>49</v>
      </c>
      <c r="V2674" t="s">
        <v>99</v>
      </c>
      <c r="X2674" s="13">
        <v>187</v>
      </c>
    </row>
    <row r="2675" spans="1:24" x14ac:dyDescent="0.25">
      <c r="A2675" t="s">
        <v>2442</v>
      </c>
      <c r="B2675" t="s">
        <v>65</v>
      </c>
      <c r="C2675" t="s">
        <v>2412</v>
      </c>
      <c r="D2675" t="s">
        <v>2413</v>
      </c>
      <c r="E2675" t="s">
        <v>2414</v>
      </c>
      <c r="F2675" t="s">
        <v>94</v>
      </c>
      <c r="G2675" t="s">
        <v>277</v>
      </c>
      <c r="H2675" s="12">
        <v>7.7577999999999996</v>
      </c>
      <c r="I2675" s="12">
        <v>-76.654700000000005</v>
      </c>
      <c r="J2675" t="s">
        <v>2415</v>
      </c>
      <c r="K2675" t="s">
        <v>97</v>
      </c>
      <c r="L2675" t="s">
        <v>1273</v>
      </c>
      <c r="M2675">
        <v>11</v>
      </c>
      <c r="P2675" s="13">
        <v>183</v>
      </c>
      <c r="Q2675" s="13">
        <v>44</v>
      </c>
      <c r="R2675">
        <v>22</v>
      </c>
      <c r="S2675">
        <v>44</v>
      </c>
      <c r="T2675" s="13">
        <v>33</v>
      </c>
      <c r="U2675" s="13">
        <v>49</v>
      </c>
      <c r="V2675" t="s">
        <v>99</v>
      </c>
      <c r="X2675" s="13">
        <v>183</v>
      </c>
    </row>
    <row r="2676" spans="1:24" x14ac:dyDescent="0.25">
      <c r="A2676" t="s">
        <v>2443</v>
      </c>
      <c r="B2676" t="s">
        <v>65</v>
      </c>
      <c r="C2676" t="s">
        <v>2412</v>
      </c>
      <c r="D2676" t="s">
        <v>2413</v>
      </c>
      <c r="E2676" t="s">
        <v>2414</v>
      </c>
      <c r="F2676" t="s">
        <v>94</v>
      </c>
      <c r="G2676" t="s">
        <v>277</v>
      </c>
      <c r="H2676" s="12">
        <v>7.7577999999999996</v>
      </c>
      <c r="I2676" s="12">
        <v>-76.654700000000005</v>
      </c>
      <c r="J2676" t="s">
        <v>2415</v>
      </c>
      <c r="K2676" t="s">
        <v>97</v>
      </c>
      <c r="L2676" t="s">
        <v>1273</v>
      </c>
      <c r="M2676">
        <v>11</v>
      </c>
      <c r="P2676" s="13">
        <v>182</v>
      </c>
      <c r="Q2676" s="13">
        <v>49</v>
      </c>
      <c r="R2676">
        <v>28</v>
      </c>
      <c r="S2676">
        <v>46</v>
      </c>
      <c r="T2676" s="13">
        <v>21</v>
      </c>
      <c r="U2676" s="13">
        <v>44</v>
      </c>
      <c r="V2676" t="s">
        <v>99</v>
      </c>
      <c r="X2676" s="13">
        <v>182</v>
      </c>
    </row>
    <row r="2677" spans="1:24" x14ac:dyDescent="0.25">
      <c r="A2677" t="s">
        <v>2444</v>
      </c>
      <c r="B2677" t="s">
        <v>65</v>
      </c>
      <c r="C2677" t="s">
        <v>2412</v>
      </c>
      <c r="D2677" t="s">
        <v>2413</v>
      </c>
      <c r="E2677" t="s">
        <v>2414</v>
      </c>
      <c r="F2677" t="s">
        <v>94</v>
      </c>
      <c r="G2677" t="s">
        <v>277</v>
      </c>
      <c r="H2677" s="12">
        <v>7.7577999999999996</v>
      </c>
      <c r="I2677" s="12">
        <v>-76.654700000000005</v>
      </c>
      <c r="J2677" t="s">
        <v>2415</v>
      </c>
      <c r="K2677" t="s">
        <v>97</v>
      </c>
      <c r="L2677" t="s">
        <v>1273</v>
      </c>
      <c r="M2677">
        <v>11</v>
      </c>
      <c r="P2677" s="13">
        <v>181</v>
      </c>
      <c r="Q2677" s="13">
        <v>44</v>
      </c>
      <c r="R2677">
        <v>26</v>
      </c>
      <c r="S2677">
        <v>40</v>
      </c>
      <c r="T2677" s="13">
        <v>33</v>
      </c>
      <c r="U2677" s="13">
        <v>44</v>
      </c>
      <c r="V2677" t="s">
        <v>99</v>
      </c>
      <c r="X2677" s="13">
        <v>181</v>
      </c>
    </row>
    <row r="2678" spans="1:24" x14ac:dyDescent="0.25">
      <c r="A2678" t="s">
        <v>2445</v>
      </c>
      <c r="B2678" t="s">
        <v>65</v>
      </c>
      <c r="C2678" t="s">
        <v>2412</v>
      </c>
      <c r="D2678" t="s">
        <v>2413</v>
      </c>
      <c r="E2678" t="s">
        <v>2414</v>
      </c>
      <c r="F2678" t="s">
        <v>94</v>
      </c>
      <c r="G2678" t="s">
        <v>277</v>
      </c>
      <c r="H2678" s="12">
        <v>7.7577999999999996</v>
      </c>
      <c r="I2678" s="12">
        <v>-76.654700000000005</v>
      </c>
      <c r="J2678" t="s">
        <v>2415</v>
      </c>
      <c r="K2678" t="s">
        <v>97</v>
      </c>
      <c r="L2678" t="s">
        <v>1273</v>
      </c>
      <c r="M2678">
        <v>11</v>
      </c>
      <c r="P2678" s="13">
        <v>179</v>
      </c>
      <c r="Q2678" s="13">
        <v>46</v>
      </c>
      <c r="R2678">
        <v>24</v>
      </c>
      <c r="S2678">
        <v>34</v>
      </c>
      <c r="T2678" s="13">
        <v>34</v>
      </c>
      <c r="U2678" s="13">
        <v>49</v>
      </c>
      <c r="V2678" t="s">
        <v>99</v>
      </c>
      <c r="X2678" s="13">
        <v>179</v>
      </c>
    </row>
    <row r="2679" spans="1:24" x14ac:dyDescent="0.25">
      <c r="A2679" t="s">
        <v>2446</v>
      </c>
      <c r="B2679" t="s">
        <v>65</v>
      </c>
      <c r="C2679" t="s">
        <v>2412</v>
      </c>
      <c r="D2679" t="s">
        <v>2413</v>
      </c>
      <c r="E2679" t="s">
        <v>2414</v>
      </c>
      <c r="F2679" t="s">
        <v>94</v>
      </c>
      <c r="G2679" t="s">
        <v>277</v>
      </c>
      <c r="H2679" s="12">
        <v>7.7577999999999996</v>
      </c>
      <c r="I2679" s="12">
        <v>-76.654700000000005</v>
      </c>
      <c r="J2679" t="s">
        <v>2415</v>
      </c>
      <c r="K2679" t="s">
        <v>97</v>
      </c>
      <c r="L2679" t="s">
        <v>1273</v>
      </c>
      <c r="M2679">
        <v>11</v>
      </c>
      <c r="P2679" s="13">
        <v>175</v>
      </c>
      <c r="Q2679" s="13">
        <v>41</v>
      </c>
      <c r="R2679">
        <v>32</v>
      </c>
      <c r="S2679">
        <v>36</v>
      </c>
      <c r="T2679" s="13">
        <v>28</v>
      </c>
      <c r="U2679" s="13">
        <v>44</v>
      </c>
      <c r="V2679" t="s">
        <v>99</v>
      </c>
      <c r="X2679" s="13">
        <v>175</v>
      </c>
    </row>
    <row r="2680" spans="1:24" x14ac:dyDescent="0.25">
      <c r="A2680" t="s">
        <v>2447</v>
      </c>
      <c r="B2680" t="s">
        <v>65</v>
      </c>
      <c r="C2680" t="s">
        <v>2412</v>
      </c>
      <c r="D2680" t="s">
        <v>2413</v>
      </c>
      <c r="E2680" t="s">
        <v>2414</v>
      </c>
      <c r="F2680" t="s">
        <v>94</v>
      </c>
      <c r="G2680" t="s">
        <v>277</v>
      </c>
      <c r="H2680" s="12">
        <v>7.7577999999999996</v>
      </c>
      <c r="I2680" s="12">
        <v>-76.654700000000005</v>
      </c>
      <c r="J2680" t="s">
        <v>2415</v>
      </c>
      <c r="K2680" t="s">
        <v>97</v>
      </c>
      <c r="L2680" t="s">
        <v>1273</v>
      </c>
      <c r="M2680">
        <v>11</v>
      </c>
      <c r="P2680" s="13">
        <v>172</v>
      </c>
      <c r="Q2680" s="13">
        <v>29</v>
      </c>
      <c r="R2680">
        <v>24</v>
      </c>
      <c r="S2680">
        <v>50</v>
      </c>
      <c r="T2680" s="13">
        <v>33</v>
      </c>
      <c r="U2680" s="13">
        <v>38</v>
      </c>
      <c r="V2680" t="s">
        <v>99</v>
      </c>
      <c r="X2680" s="13">
        <v>172</v>
      </c>
    </row>
    <row r="2681" spans="1:24" x14ac:dyDescent="0.25">
      <c r="A2681" t="s">
        <v>2448</v>
      </c>
      <c r="B2681" t="s">
        <v>65</v>
      </c>
      <c r="C2681" t="s">
        <v>2412</v>
      </c>
      <c r="D2681" t="s">
        <v>2413</v>
      </c>
      <c r="E2681" t="s">
        <v>2414</v>
      </c>
      <c r="F2681" t="s">
        <v>94</v>
      </c>
      <c r="G2681" t="s">
        <v>277</v>
      </c>
      <c r="H2681" s="12">
        <v>7.7577999999999996</v>
      </c>
      <c r="I2681" s="12">
        <v>-76.654700000000005</v>
      </c>
      <c r="J2681" t="s">
        <v>2415</v>
      </c>
      <c r="K2681" t="s">
        <v>97</v>
      </c>
      <c r="L2681" t="s">
        <v>1273</v>
      </c>
      <c r="M2681">
        <v>11</v>
      </c>
      <c r="P2681" s="13">
        <v>169</v>
      </c>
      <c r="Q2681" s="13">
        <v>24</v>
      </c>
      <c r="R2681">
        <v>34</v>
      </c>
      <c r="S2681">
        <v>50</v>
      </c>
      <c r="T2681" s="13">
        <v>26</v>
      </c>
      <c r="U2681" s="13">
        <v>36</v>
      </c>
      <c r="V2681" t="s">
        <v>99</v>
      </c>
      <c r="X2681" s="13">
        <v>169</v>
      </c>
    </row>
    <row r="2682" spans="1:24" x14ac:dyDescent="0.25">
      <c r="A2682" t="s">
        <v>2449</v>
      </c>
      <c r="B2682" t="s">
        <v>65</v>
      </c>
      <c r="C2682" t="s">
        <v>2412</v>
      </c>
      <c r="D2682" t="s">
        <v>2413</v>
      </c>
      <c r="E2682" t="s">
        <v>2414</v>
      </c>
      <c r="F2682" t="s">
        <v>94</v>
      </c>
      <c r="G2682" t="s">
        <v>277</v>
      </c>
      <c r="H2682" s="12">
        <v>7.7577999999999996</v>
      </c>
      <c r="I2682" s="12">
        <v>-76.654700000000005</v>
      </c>
      <c r="J2682" t="s">
        <v>2415</v>
      </c>
      <c r="K2682" t="s">
        <v>97</v>
      </c>
      <c r="L2682" t="s">
        <v>1273</v>
      </c>
      <c r="M2682">
        <v>11</v>
      </c>
      <c r="P2682" s="13">
        <v>169</v>
      </c>
      <c r="Q2682" s="13">
        <v>54</v>
      </c>
      <c r="R2682">
        <v>24</v>
      </c>
      <c r="S2682">
        <v>38</v>
      </c>
      <c r="T2682" s="13">
        <v>21</v>
      </c>
      <c r="U2682" s="13">
        <v>29</v>
      </c>
      <c r="V2682" t="s">
        <v>99</v>
      </c>
      <c r="X2682" s="13">
        <v>169</v>
      </c>
    </row>
    <row r="2683" spans="1:24" x14ac:dyDescent="0.25">
      <c r="A2683" t="s">
        <v>2450</v>
      </c>
      <c r="B2683" t="s">
        <v>65</v>
      </c>
      <c r="C2683" t="s">
        <v>2412</v>
      </c>
      <c r="D2683" t="s">
        <v>2413</v>
      </c>
      <c r="E2683" t="s">
        <v>2414</v>
      </c>
      <c r="F2683" t="s">
        <v>94</v>
      </c>
      <c r="G2683" t="s">
        <v>277</v>
      </c>
      <c r="H2683" s="12">
        <v>7.7577999999999996</v>
      </c>
      <c r="I2683" s="12">
        <v>-76.654700000000005</v>
      </c>
      <c r="J2683" t="s">
        <v>2415</v>
      </c>
      <c r="K2683" t="s">
        <v>97</v>
      </c>
      <c r="L2683" t="s">
        <v>1273</v>
      </c>
      <c r="M2683">
        <v>11</v>
      </c>
      <c r="P2683" s="13">
        <v>167</v>
      </c>
      <c r="Q2683" s="13">
        <v>41</v>
      </c>
      <c r="R2683">
        <v>28</v>
      </c>
      <c r="S2683">
        <v>38</v>
      </c>
      <c r="T2683" s="13">
        <v>26</v>
      </c>
      <c r="U2683" s="13">
        <v>35</v>
      </c>
      <c r="V2683" t="s">
        <v>99</v>
      </c>
      <c r="X2683" s="13">
        <v>167</v>
      </c>
    </row>
    <row r="2684" spans="1:24" x14ac:dyDescent="0.25">
      <c r="A2684" t="s">
        <v>2451</v>
      </c>
      <c r="B2684" t="s">
        <v>65</v>
      </c>
      <c r="C2684" t="s">
        <v>2412</v>
      </c>
      <c r="D2684" t="s">
        <v>2413</v>
      </c>
      <c r="E2684" t="s">
        <v>2414</v>
      </c>
      <c r="F2684" t="s">
        <v>94</v>
      </c>
      <c r="G2684" t="s">
        <v>277</v>
      </c>
      <c r="H2684" s="12">
        <v>7.7577999999999996</v>
      </c>
      <c r="I2684" s="12">
        <v>-76.654700000000005</v>
      </c>
      <c r="J2684" t="s">
        <v>2415</v>
      </c>
      <c r="K2684" t="s">
        <v>97</v>
      </c>
      <c r="L2684" t="s">
        <v>1273</v>
      </c>
      <c r="M2684">
        <v>11</v>
      </c>
      <c r="P2684" s="13">
        <v>163</v>
      </c>
      <c r="Q2684" s="13">
        <v>37</v>
      </c>
      <c r="R2684">
        <v>30</v>
      </c>
      <c r="S2684">
        <v>34</v>
      </c>
      <c r="T2684" s="13">
        <v>28</v>
      </c>
      <c r="U2684" s="13">
        <v>40</v>
      </c>
      <c r="V2684" t="s">
        <v>99</v>
      </c>
      <c r="X2684" s="13">
        <v>163</v>
      </c>
    </row>
    <row r="2685" spans="1:24" x14ac:dyDescent="0.25">
      <c r="A2685" t="s">
        <v>2452</v>
      </c>
      <c r="B2685" t="s">
        <v>65</v>
      </c>
      <c r="C2685" t="s">
        <v>2412</v>
      </c>
      <c r="D2685" t="s">
        <v>2413</v>
      </c>
      <c r="E2685" t="s">
        <v>2414</v>
      </c>
      <c r="F2685" t="s">
        <v>94</v>
      </c>
      <c r="G2685" t="s">
        <v>277</v>
      </c>
      <c r="H2685" s="12">
        <v>7.7577999999999996</v>
      </c>
      <c r="I2685" s="12">
        <v>-76.654700000000005</v>
      </c>
      <c r="J2685" t="s">
        <v>2415</v>
      </c>
      <c r="K2685" t="s">
        <v>97</v>
      </c>
      <c r="L2685" t="s">
        <v>1273</v>
      </c>
      <c r="M2685">
        <v>11</v>
      </c>
      <c r="P2685" s="13">
        <v>158</v>
      </c>
      <c r="Q2685" s="13">
        <v>44</v>
      </c>
      <c r="R2685">
        <v>26</v>
      </c>
      <c r="S2685">
        <v>26</v>
      </c>
      <c r="T2685" s="13">
        <v>29</v>
      </c>
      <c r="U2685" s="13">
        <v>36</v>
      </c>
      <c r="V2685" t="s">
        <v>99</v>
      </c>
      <c r="X2685" s="13">
        <v>158</v>
      </c>
    </row>
    <row r="2686" spans="1:24" x14ac:dyDescent="0.25">
      <c r="A2686" t="s">
        <v>2453</v>
      </c>
      <c r="B2686" t="s">
        <v>65</v>
      </c>
      <c r="C2686" t="s">
        <v>2412</v>
      </c>
      <c r="D2686" t="s">
        <v>2413</v>
      </c>
      <c r="E2686" t="s">
        <v>2414</v>
      </c>
      <c r="F2686" t="s">
        <v>94</v>
      </c>
      <c r="G2686" t="s">
        <v>277</v>
      </c>
      <c r="H2686" s="12">
        <v>7.7577999999999996</v>
      </c>
      <c r="I2686" s="12">
        <v>-76.654700000000005</v>
      </c>
      <c r="J2686" t="s">
        <v>2415</v>
      </c>
      <c r="K2686" t="s">
        <v>97</v>
      </c>
      <c r="L2686" t="s">
        <v>1273</v>
      </c>
      <c r="M2686">
        <v>11</v>
      </c>
      <c r="P2686" s="13">
        <v>155</v>
      </c>
      <c r="Q2686" s="13">
        <v>32</v>
      </c>
      <c r="R2686">
        <v>26</v>
      </c>
      <c r="S2686">
        <v>40</v>
      </c>
      <c r="T2686" s="13">
        <v>24</v>
      </c>
      <c r="U2686" s="13">
        <v>36</v>
      </c>
      <c r="V2686" t="s">
        <v>99</v>
      </c>
      <c r="X2686" s="13">
        <v>155</v>
      </c>
    </row>
    <row r="2687" spans="1:24" x14ac:dyDescent="0.25">
      <c r="A2687" t="s">
        <v>2454</v>
      </c>
      <c r="B2687" t="s">
        <v>65</v>
      </c>
      <c r="C2687" t="s">
        <v>2412</v>
      </c>
      <c r="D2687" t="s">
        <v>2413</v>
      </c>
      <c r="E2687" t="s">
        <v>2414</v>
      </c>
      <c r="F2687" t="s">
        <v>94</v>
      </c>
      <c r="G2687" t="s">
        <v>277</v>
      </c>
      <c r="H2687" s="12">
        <v>7.7577999999999996</v>
      </c>
      <c r="I2687" s="12">
        <v>-76.654700000000005</v>
      </c>
      <c r="J2687" t="s">
        <v>2415</v>
      </c>
      <c r="K2687" t="s">
        <v>97</v>
      </c>
      <c r="L2687" t="s">
        <v>1273</v>
      </c>
      <c r="M2687">
        <v>11</v>
      </c>
      <c r="P2687" s="13">
        <v>154</v>
      </c>
      <c r="Q2687" s="13">
        <v>39</v>
      </c>
      <c r="R2687">
        <v>20</v>
      </c>
      <c r="S2687">
        <v>42</v>
      </c>
      <c r="T2687" s="13">
        <v>17</v>
      </c>
      <c r="U2687" s="13">
        <v>45</v>
      </c>
      <c r="V2687" t="s">
        <v>99</v>
      </c>
      <c r="X2687" s="13">
        <v>154</v>
      </c>
    </row>
    <row r="2688" spans="1:24" x14ac:dyDescent="0.25">
      <c r="A2688" t="s">
        <v>2455</v>
      </c>
      <c r="B2688" t="s">
        <v>65</v>
      </c>
      <c r="C2688" t="s">
        <v>2412</v>
      </c>
      <c r="D2688" t="s">
        <v>2413</v>
      </c>
      <c r="E2688" t="s">
        <v>2414</v>
      </c>
      <c r="F2688" t="s">
        <v>94</v>
      </c>
      <c r="G2688" t="s">
        <v>277</v>
      </c>
      <c r="H2688" s="12">
        <v>7.7577999999999996</v>
      </c>
      <c r="I2688" s="12">
        <v>-76.654700000000005</v>
      </c>
      <c r="J2688" t="s">
        <v>2415</v>
      </c>
      <c r="K2688" t="s">
        <v>97</v>
      </c>
      <c r="L2688" t="s">
        <v>1273</v>
      </c>
      <c r="M2688">
        <v>11</v>
      </c>
      <c r="P2688" s="13">
        <v>153</v>
      </c>
      <c r="Q2688" s="13">
        <v>39</v>
      </c>
      <c r="R2688">
        <v>18</v>
      </c>
      <c r="S2688">
        <v>40</v>
      </c>
      <c r="T2688" s="13">
        <v>21</v>
      </c>
      <c r="U2688" s="13">
        <v>45</v>
      </c>
      <c r="V2688" t="s">
        <v>99</v>
      </c>
      <c r="X2688" s="13">
        <v>153</v>
      </c>
    </row>
    <row r="2689" spans="1:24" x14ac:dyDescent="0.25">
      <c r="A2689" t="s">
        <v>2456</v>
      </c>
      <c r="B2689" t="s">
        <v>65</v>
      </c>
      <c r="C2689" t="s">
        <v>2412</v>
      </c>
      <c r="D2689" t="s">
        <v>2413</v>
      </c>
      <c r="E2689" t="s">
        <v>2414</v>
      </c>
      <c r="F2689" t="s">
        <v>94</v>
      </c>
      <c r="G2689" t="s">
        <v>277</v>
      </c>
      <c r="H2689" s="12">
        <v>7.7577999999999996</v>
      </c>
      <c r="I2689" s="12">
        <v>-76.654700000000005</v>
      </c>
      <c r="J2689" t="s">
        <v>2415</v>
      </c>
      <c r="K2689" t="s">
        <v>97</v>
      </c>
      <c r="L2689" t="s">
        <v>1273</v>
      </c>
      <c r="M2689">
        <v>11</v>
      </c>
      <c r="P2689" s="13">
        <v>152</v>
      </c>
      <c r="Q2689" s="13">
        <v>27</v>
      </c>
      <c r="R2689">
        <v>30</v>
      </c>
      <c r="S2689">
        <v>32</v>
      </c>
      <c r="T2689" s="13">
        <v>28</v>
      </c>
      <c r="U2689" s="13">
        <v>45</v>
      </c>
      <c r="V2689" t="s">
        <v>99</v>
      </c>
      <c r="X2689" s="13">
        <v>152</v>
      </c>
    </row>
    <row r="2690" spans="1:24" x14ac:dyDescent="0.25">
      <c r="A2690" t="s">
        <v>2457</v>
      </c>
      <c r="B2690" t="s">
        <v>65</v>
      </c>
      <c r="C2690" t="s">
        <v>2412</v>
      </c>
      <c r="D2690" t="s">
        <v>2413</v>
      </c>
      <c r="E2690" t="s">
        <v>2414</v>
      </c>
      <c r="F2690" t="s">
        <v>94</v>
      </c>
      <c r="G2690" t="s">
        <v>277</v>
      </c>
      <c r="H2690" s="12">
        <v>7.7577999999999996</v>
      </c>
      <c r="I2690" s="12">
        <v>-76.654700000000005</v>
      </c>
      <c r="J2690" t="s">
        <v>2415</v>
      </c>
      <c r="K2690" t="s">
        <v>97</v>
      </c>
      <c r="L2690" t="s">
        <v>1273</v>
      </c>
      <c r="M2690">
        <v>11</v>
      </c>
      <c r="P2690" s="13">
        <v>139</v>
      </c>
      <c r="Q2690" s="13">
        <v>29</v>
      </c>
      <c r="R2690">
        <v>16</v>
      </c>
      <c r="S2690">
        <v>24</v>
      </c>
      <c r="T2690" s="13">
        <v>33</v>
      </c>
      <c r="U2690" s="13">
        <v>56</v>
      </c>
      <c r="V2690" t="s">
        <v>99</v>
      </c>
      <c r="X2690" s="13">
        <v>139</v>
      </c>
    </row>
    <row r="2691" spans="1:24" x14ac:dyDescent="0.25">
      <c r="A2691" t="s">
        <v>2458</v>
      </c>
      <c r="B2691" t="s">
        <v>65</v>
      </c>
      <c r="C2691" t="s">
        <v>2412</v>
      </c>
      <c r="D2691" t="s">
        <v>2413</v>
      </c>
      <c r="E2691" t="s">
        <v>2414</v>
      </c>
      <c r="F2691" t="s">
        <v>94</v>
      </c>
      <c r="G2691" t="s">
        <v>277</v>
      </c>
      <c r="H2691" s="12">
        <v>7.7577999999999996</v>
      </c>
      <c r="I2691" s="12">
        <v>-76.654700000000005</v>
      </c>
      <c r="J2691" t="s">
        <v>2415</v>
      </c>
      <c r="K2691" t="s">
        <v>97</v>
      </c>
      <c r="L2691" t="s">
        <v>1273</v>
      </c>
      <c r="M2691">
        <v>11</v>
      </c>
      <c r="P2691" s="13">
        <v>123</v>
      </c>
      <c r="Q2691" s="13">
        <v>17</v>
      </c>
      <c r="R2691">
        <v>26</v>
      </c>
      <c r="S2691">
        <v>22</v>
      </c>
      <c r="T2691" s="13">
        <v>31</v>
      </c>
      <c r="U2691" s="13">
        <v>33</v>
      </c>
      <c r="V2691" t="s">
        <v>99</v>
      </c>
      <c r="X2691" s="13">
        <v>123</v>
      </c>
    </row>
    <row r="2692" spans="1:24" x14ac:dyDescent="0.25">
      <c r="A2692" t="s">
        <v>2459</v>
      </c>
      <c r="B2692" t="s">
        <v>65</v>
      </c>
      <c r="C2692" t="s">
        <v>2460</v>
      </c>
      <c r="D2692" t="s">
        <v>2461</v>
      </c>
      <c r="E2692" t="s">
        <v>2462</v>
      </c>
      <c r="F2692" t="s">
        <v>94</v>
      </c>
      <c r="G2692" t="s">
        <v>277</v>
      </c>
      <c r="H2692" s="12">
        <v>6.5007999999999999</v>
      </c>
      <c r="I2692" s="12">
        <v>-75.742800000000003</v>
      </c>
      <c r="J2692" t="s">
        <v>2463</v>
      </c>
      <c r="K2692" t="s">
        <v>97</v>
      </c>
      <c r="L2692" t="s">
        <v>1273</v>
      </c>
      <c r="M2692">
        <v>11</v>
      </c>
      <c r="P2692" s="13">
        <v>291</v>
      </c>
      <c r="Q2692" s="13">
        <v>63</v>
      </c>
      <c r="R2692">
        <v>52</v>
      </c>
      <c r="S2692">
        <v>50</v>
      </c>
      <c r="T2692" s="13">
        <v>57</v>
      </c>
      <c r="U2692" s="13">
        <v>91</v>
      </c>
      <c r="V2692" t="s">
        <v>99</v>
      </c>
      <c r="X2692" s="13">
        <v>291</v>
      </c>
    </row>
    <row r="2693" spans="1:24" x14ac:dyDescent="0.25">
      <c r="A2693" t="s">
        <v>2464</v>
      </c>
      <c r="B2693" t="s">
        <v>65</v>
      </c>
      <c r="C2693" t="s">
        <v>2460</v>
      </c>
      <c r="D2693" t="s">
        <v>2461</v>
      </c>
      <c r="E2693" t="s">
        <v>2462</v>
      </c>
      <c r="F2693" t="s">
        <v>94</v>
      </c>
      <c r="G2693" t="s">
        <v>277</v>
      </c>
      <c r="H2693" s="12">
        <v>6.5007999999999999</v>
      </c>
      <c r="I2693" s="12">
        <v>-75.742800000000003</v>
      </c>
      <c r="J2693" t="s">
        <v>2463</v>
      </c>
      <c r="K2693" t="s">
        <v>97</v>
      </c>
      <c r="L2693" t="s">
        <v>1273</v>
      </c>
      <c r="M2693">
        <v>11</v>
      </c>
      <c r="P2693" s="13">
        <v>257</v>
      </c>
      <c r="Q2693" s="13">
        <v>63</v>
      </c>
      <c r="R2693">
        <v>36</v>
      </c>
      <c r="S2693">
        <v>54</v>
      </c>
      <c r="T2693" s="13">
        <v>41</v>
      </c>
      <c r="U2693" s="13">
        <v>84</v>
      </c>
      <c r="V2693" t="s">
        <v>99</v>
      </c>
      <c r="X2693" s="13">
        <v>257</v>
      </c>
    </row>
    <row r="2694" spans="1:24" x14ac:dyDescent="0.25">
      <c r="A2694" t="s">
        <v>2465</v>
      </c>
      <c r="B2694" t="s">
        <v>65</v>
      </c>
      <c r="C2694" t="s">
        <v>2460</v>
      </c>
      <c r="D2694" t="s">
        <v>2461</v>
      </c>
      <c r="E2694" t="s">
        <v>2462</v>
      </c>
      <c r="F2694" t="s">
        <v>94</v>
      </c>
      <c r="G2694" t="s">
        <v>277</v>
      </c>
      <c r="H2694" s="12">
        <v>6.5007999999999999</v>
      </c>
      <c r="I2694" s="12">
        <v>-75.742800000000003</v>
      </c>
      <c r="J2694" t="s">
        <v>2463</v>
      </c>
      <c r="K2694" t="s">
        <v>97</v>
      </c>
      <c r="L2694" t="s">
        <v>1273</v>
      </c>
      <c r="M2694">
        <v>11</v>
      </c>
      <c r="P2694" s="13">
        <v>239</v>
      </c>
      <c r="Q2694" s="13">
        <v>49</v>
      </c>
      <c r="R2694">
        <v>24</v>
      </c>
      <c r="S2694">
        <v>78</v>
      </c>
      <c r="T2694" s="13">
        <v>29</v>
      </c>
      <c r="U2694" s="13">
        <v>82</v>
      </c>
      <c r="V2694" t="s">
        <v>99</v>
      </c>
      <c r="X2694" s="13">
        <v>239</v>
      </c>
    </row>
    <row r="2695" spans="1:24" x14ac:dyDescent="0.25">
      <c r="A2695" t="s">
        <v>2466</v>
      </c>
      <c r="B2695" t="s">
        <v>65</v>
      </c>
      <c r="C2695" t="s">
        <v>2460</v>
      </c>
      <c r="D2695" t="s">
        <v>2461</v>
      </c>
      <c r="E2695" t="s">
        <v>2462</v>
      </c>
      <c r="F2695" t="s">
        <v>94</v>
      </c>
      <c r="G2695" t="s">
        <v>277</v>
      </c>
      <c r="H2695" s="12">
        <v>6.5007999999999999</v>
      </c>
      <c r="I2695" s="12">
        <v>-75.742800000000003</v>
      </c>
      <c r="J2695" t="s">
        <v>2463</v>
      </c>
      <c r="K2695" t="s">
        <v>97</v>
      </c>
      <c r="L2695" t="s">
        <v>1273</v>
      </c>
      <c r="M2695">
        <v>11</v>
      </c>
      <c r="P2695" s="13">
        <v>228</v>
      </c>
      <c r="Q2695" s="13">
        <v>54</v>
      </c>
      <c r="R2695">
        <v>32</v>
      </c>
      <c r="S2695">
        <v>70</v>
      </c>
      <c r="T2695" s="13">
        <v>26</v>
      </c>
      <c r="U2695" s="13">
        <v>47</v>
      </c>
      <c r="V2695" t="s">
        <v>99</v>
      </c>
      <c r="X2695" s="13">
        <v>228</v>
      </c>
    </row>
    <row r="2696" spans="1:24" x14ac:dyDescent="0.25">
      <c r="A2696" t="s">
        <v>2467</v>
      </c>
      <c r="B2696" t="s">
        <v>65</v>
      </c>
      <c r="C2696" t="s">
        <v>2460</v>
      </c>
      <c r="D2696" t="s">
        <v>2461</v>
      </c>
      <c r="E2696" t="s">
        <v>2462</v>
      </c>
      <c r="F2696" t="s">
        <v>94</v>
      </c>
      <c r="G2696" t="s">
        <v>277</v>
      </c>
      <c r="H2696" s="12">
        <v>6.5007999999999999</v>
      </c>
      <c r="I2696" s="12">
        <v>-75.742800000000003</v>
      </c>
      <c r="J2696" t="s">
        <v>2463</v>
      </c>
      <c r="K2696" t="s">
        <v>97</v>
      </c>
      <c r="L2696" t="s">
        <v>1273</v>
      </c>
      <c r="M2696">
        <v>11</v>
      </c>
      <c r="P2696" s="13">
        <v>222</v>
      </c>
      <c r="Q2696" s="13">
        <v>44</v>
      </c>
      <c r="R2696">
        <v>32</v>
      </c>
      <c r="S2696">
        <v>74</v>
      </c>
      <c r="T2696" s="13">
        <v>28</v>
      </c>
      <c r="U2696" s="13">
        <v>44</v>
      </c>
      <c r="V2696" t="s">
        <v>99</v>
      </c>
      <c r="X2696" s="13">
        <v>222</v>
      </c>
    </row>
    <row r="2697" spans="1:24" x14ac:dyDescent="0.25">
      <c r="A2697" t="s">
        <v>2468</v>
      </c>
      <c r="B2697" t="s">
        <v>65</v>
      </c>
      <c r="C2697" t="s">
        <v>2460</v>
      </c>
      <c r="D2697" t="s">
        <v>2461</v>
      </c>
      <c r="E2697" t="s">
        <v>2462</v>
      </c>
      <c r="F2697" t="s">
        <v>94</v>
      </c>
      <c r="G2697" t="s">
        <v>277</v>
      </c>
      <c r="H2697" s="12">
        <v>6.5007999999999999</v>
      </c>
      <c r="I2697" s="12">
        <v>-75.742800000000003</v>
      </c>
      <c r="J2697" t="s">
        <v>2463</v>
      </c>
      <c r="K2697" t="s">
        <v>97</v>
      </c>
      <c r="L2697" t="s">
        <v>1273</v>
      </c>
      <c r="M2697">
        <v>11</v>
      </c>
      <c r="P2697" s="13">
        <v>216</v>
      </c>
      <c r="Q2697" s="13">
        <v>51</v>
      </c>
      <c r="R2697">
        <v>36</v>
      </c>
      <c r="S2697">
        <v>54</v>
      </c>
      <c r="T2697" s="13">
        <v>31</v>
      </c>
      <c r="U2697" s="13">
        <v>45</v>
      </c>
      <c r="V2697" t="s">
        <v>99</v>
      </c>
      <c r="X2697" s="13">
        <v>216</v>
      </c>
    </row>
    <row r="2698" spans="1:24" x14ac:dyDescent="0.25">
      <c r="A2698" t="s">
        <v>2469</v>
      </c>
      <c r="B2698" t="s">
        <v>65</v>
      </c>
      <c r="C2698" t="s">
        <v>2460</v>
      </c>
      <c r="D2698" t="s">
        <v>2461</v>
      </c>
      <c r="E2698" t="s">
        <v>2462</v>
      </c>
      <c r="F2698" t="s">
        <v>94</v>
      </c>
      <c r="G2698" t="s">
        <v>277</v>
      </c>
      <c r="H2698" s="12">
        <v>6.5007999999999999</v>
      </c>
      <c r="I2698" s="12">
        <v>-75.742800000000003</v>
      </c>
      <c r="J2698" t="s">
        <v>2463</v>
      </c>
      <c r="K2698" t="s">
        <v>97</v>
      </c>
      <c r="L2698" t="s">
        <v>1273</v>
      </c>
      <c r="M2698">
        <v>11</v>
      </c>
      <c r="P2698" s="13">
        <v>216</v>
      </c>
      <c r="Q2698" s="13">
        <v>61</v>
      </c>
      <c r="R2698">
        <v>26</v>
      </c>
      <c r="S2698">
        <v>52</v>
      </c>
      <c r="T2698" s="13">
        <v>31</v>
      </c>
      <c r="U2698" s="13">
        <v>51</v>
      </c>
      <c r="V2698" t="s">
        <v>99</v>
      </c>
      <c r="X2698" s="13">
        <v>216</v>
      </c>
    </row>
    <row r="2699" spans="1:24" x14ac:dyDescent="0.25">
      <c r="A2699" t="s">
        <v>2470</v>
      </c>
      <c r="B2699" t="s">
        <v>65</v>
      </c>
      <c r="C2699" t="s">
        <v>2460</v>
      </c>
      <c r="D2699" t="s">
        <v>2461</v>
      </c>
      <c r="E2699" t="s">
        <v>2462</v>
      </c>
      <c r="F2699" t="s">
        <v>94</v>
      </c>
      <c r="G2699" t="s">
        <v>277</v>
      </c>
      <c r="H2699" s="12">
        <v>6.5007999999999999</v>
      </c>
      <c r="I2699" s="12">
        <v>-75.742800000000003</v>
      </c>
      <c r="J2699" t="s">
        <v>2463</v>
      </c>
      <c r="K2699" t="s">
        <v>97</v>
      </c>
      <c r="L2699" t="s">
        <v>1273</v>
      </c>
      <c r="M2699">
        <v>11</v>
      </c>
      <c r="P2699" s="13">
        <v>214</v>
      </c>
      <c r="Q2699" s="13">
        <v>51</v>
      </c>
      <c r="R2699">
        <v>34</v>
      </c>
      <c r="S2699">
        <v>50</v>
      </c>
      <c r="T2699" s="13">
        <v>38</v>
      </c>
      <c r="U2699" s="13">
        <v>38</v>
      </c>
      <c r="V2699" t="s">
        <v>99</v>
      </c>
      <c r="X2699" s="13">
        <v>214</v>
      </c>
    </row>
    <row r="2700" spans="1:24" x14ac:dyDescent="0.25">
      <c r="A2700" t="s">
        <v>2471</v>
      </c>
      <c r="B2700" t="s">
        <v>65</v>
      </c>
      <c r="C2700" t="s">
        <v>2460</v>
      </c>
      <c r="D2700" t="s">
        <v>2461</v>
      </c>
      <c r="E2700" t="s">
        <v>2462</v>
      </c>
      <c r="F2700" t="s">
        <v>94</v>
      </c>
      <c r="G2700" t="s">
        <v>277</v>
      </c>
      <c r="H2700" s="12">
        <v>6.5007999999999999</v>
      </c>
      <c r="I2700" s="12">
        <v>-75.742800000000003</v>
      </c>
      <c r="J2700" t="s">
        <v>2463</v>
      </c>
      <c r="K2700" t="s">
        <v>97</v>
      </c>
      <c r="L2700" t="s">
        <v>1273</v>
      </c>
      <c r="M2700">
        <v>11</v>
      </c>
      <c r="P2700" s="13">
        <v>208</v>
      </c>
      <c r="Q2700" s="13">
        <v>59</v>
      </c>
      <c r="R2700">
        <v>32</v>
      </c>
      <c r="S2700">
        <v>38</v>
      </c>
      <c r="T2700" s="13">
        <v>38</v>
      </c>
      <c r="U2700" s="13">
        <v>42</v>
      </c>
      <c r="V2700" t="s">
        <v>99</v>
      </c>
      <c r="X2700" s="13">
        <v>208</v>
      </c>
    </row>
    <row r="2701" spans="1:24" x14ac:dyDescent="0.25">
      <c r="A2701" t="s">
        <v>2472</v>
      </c>
      <c r="B2701" t="s">
        <v>65</v>
      </c>
      <c r="C2701" t="s">
        <v>2460</v>
      </c>
      <c r="D2701" t="s">
        <v>2461</v>
      </c>
      <c r="E2701" t="s">
        <v>2462</v>
      </c>
      <c r="F2701" t="s">
        <v>94</v>
      </c>
      <c r="G2701" t="s">
        <v>277</v>
      </c>
      <c r="H2701" s="12">
        <v>6.5007999999999999</v>
      </c>
      <c r="I2701" s="12">
        <v>-75.742800000000003</v>
      </c>
      <c r="J2701" t="s">
        <v>2463</v>
      </c>
      <c r="K2701" t="s">
        <v>97</v>
      </c>
      <c r="L2701" t="s">
        <v>1273</v>
      </c>
      <c r="M2701">
        <v>11</v>
      </c>
      <c r="P2701" s="13">
        <v>207</v>
      </c>
      <c r="Q2701" s="13">
        <v>49</v>
      </c>
      <c r="R2701">
        <v>30</v>
      </c>
      <c r="S2701">
        <v>46</v>
      </c>
      <c r="T2701" s="13">
        <v>40</v>
      </c>
      <c r="U2701" s="13">
        <v>44</v>
      </c>
      <c r="V2701" t="s">
        <v>99</v>
      </c>
      <c r="X2701" s="13">
        <v>207</v>
      </c>
    </row>
    <row r="2702" spans="1:24" x14ac:dyDescent="0.25">
      <c r="A2702" t="s">
        <v>2473</v>
      </c>
      <c r="B2702" t="s">
        <v>65</v>
      </c>
      <c r="C2702" t="s">
        <v>2460</v>
      </c>
      <c r="D2702" t="s">
        <v>2461</v>
      </c>
      <c r="E2702" t="s">
        <v>2462</v>
      </c>
      <c r="F2702" t="s">
        <v>94</v>
      </c>
      <c r="G2702" t="s">
        <v>277</v>
      </c>
      <c r="H2702" s="12">
        <v>6.5007999999999999</v>
      </c>
      <c r="I2702" s="12">
        <v>-75.742800000000003</v>
      </c>
      <c r="J2702" t="s">
        <v>2463</v>
      </c>
      <c r="K2702" t="s">
        <v>97</v>
      </c>
      <c r="L2702" t="s">
        <v>1273</v>
      </c>
      <c r="M2702">
        <v>11</v>
      </c>
      <c r="P2702" s="13">
        <v>205</v>
      </c>
      <c r="Q2702" s="13">
        <v>49</v>
      </c>
      <c r="R2702">
        <v>28</v>
      </c>
      <c r="S2702">
        <v>56</v>
      </c>
      <c r="T2702" s="13">
        <v>26</v>
      </c>
      <c r="U2702" s="13">
        <v>58</v>
      </c>
      <c r="V2702" t="s">
        <v>99</v>
      </c>
      <c r="X2702" s="13">
        <v>205</v>
      </c>
    </row>
    <row r="2703" spans="1:24" x14ac:dyDescent="0.25">
      <c r="A2703" t="s">
        <v>2474</v>
      </c>
      <c r="B2703" t="s">
        <v>65</v>
      </c>
      <c r="C2703" t="s">
        <v>2460</v>
      </c>
      <c r="D2703" t="s">
        <v>2461</v>
      </c>
      <c r="E2703" t="s">
        <v>2462</v>
      </c>
      <c r="F2703" t="s">
        <v>94</v>
      </c>
      <c r="G2703" t="s">
        <v>277</v>
      </c>
      <c r="H2703" s="12">
        <v>6.5007999999999999</v>
      </c>
      <c r="I2703" s="12">
        <v>-75.742800000000003</v>
      </c>
      <c r="J2703" t="s">
        <v>2463</v>
      </c>
      <c r="K2703" t="s">
        <v>97</v>
      </c>
      <c r="L2703" t="s">
        <v>1273</v>
      </c>
      <c r="M2703">
        <v>11</v>
      </c>
      <c r="P2703" s="13">
        <v>204</v>
      </c>
      <c r="Q2703" s="13">
        <v>49</v>
      </c>
      <c r="R2703">
        <v>30</v>
      </c>
      <c r="S2703">
        <v>56</v>
      </c>
      <c r="T2703" s="13">
        <v>29</v>
      </c>
      <c r="U2703" s="13">
        <v>38</v>
      </c>
      <c r="V2703" t="s">
        <v>99</v>
      </c>
      <c r="X2703" s="13">
        <v>204</v>
      </c>
    </row>
    <row r="2704" spans="1:24" x14ac:dyDescent="0.25">
      <c r="A2704" t="s">
        <v>2475</v>
      </c>
      <c r="B2704" t="s">
        <v>65</v>
      </c>
      <c r="C2704" t="s">
        <v>2460</v>
      </c>
      <c r="D2704" t="s">
        <v>2461</v>
      </c>
      <c r="E2704" t="s">
        <v>2462</v>
      </c>
      <c r="F2704" t="s">
        <v>94</v>
      </c>
      <c r="G2704" t="s">
        <v>277</v>
      </c>
      <c r="H2704" s="12">
        <v>6.5007999999999999</v>
      </c>
      <c r="I2704" s="12">
        <v>-75.742800000000003</v>
      </c>
      <c r="J2704" t="s">
        <v>2463</v>
      </c>
      <c r="K2704" t="s">
        <v>97</v>
      </c>
      <c r="L2704" t="s">
        <v>1273</v>
      </c>
      <c r="M2704">
        <v>11</v>
      </c>
      <c r="P2704" s="13">
        <v>202</v>
      </c>
      <c r="Q2704" s="13">
        <v>49</v>
      </c>
      <c r="R2704">
        <v>24</v>
      </c>
      <c r="S2704">
        <v>62</v>
      </c>
      <c r="T2704" s="13">
        <v>26</v>
      </c>
      <c r="U2704" s="13">
        <v>44</v>
      </c>
      <c r="V2704" t="s">
        <v>99</v>
      </c>
      <c r="X2704" s="13">
        <v>202</v>
      </c>
    </row>
    <row r="2705" spans="1:24" x14ac:dyDescent="0.25">
      <c r="A2705" t="s">
        <v>2476</v>
      </c>
      <c r="B2705" t="s">
        <v>65</v>
      </c>
      <c r="C2705" t="s">
        <v>2460</v>
      </c>
      <c r="D2705" t="s">
        <v>2461</v>
      </c>
      <c r="E2705" t="s">
        <v>2462</v>
      </c>
      <c r="F2705" t="s">
        <v>94</v>
      </c>
      <c r="G2705" t="s">
        <v>277</v>
      </c>
      <c r="H2705" s="12">
        <v>6.5007999999999999</v>
      </c>
      <c r="I2705" s="12">
        <v>-75.742800000000003</v>
      </c>
      <c r="J2705" t="s">
        <v>2463</v>
      </c>
      <c r="K2705" t="s">
        <v>97</v>
      </c>
      <c r="L2705" t="s">
        <v>1273</v>
      </c>
      <c r="M2705">
        <v>11</v>
      </c>
      <c r="P2705" s="13">
        <v>200</v>
      </c>
      <c r="Q2705" s="13">
        <v>54</v>
      </c>
      <c r="R2705">
        <v>22</v>
      </c>
      <c r="S2705">
        <v>46</v>
      </c>
      <c r="T2705" s="13">
        <v>38</v>
      </c>
      <c r="U2705" s="13">
        <v>40</v>
      </c>
      <c r="V2705" t="s">
        <v>99</v>
      </c>
      <c r="X2705" s="13">
        <v>200</v>
      </c>
    </row>
    <row r="2706" spans="1:24" x14ac:dyDescent="0.25">
      <c r="A2706" t="s">
        <v>2477</v>
      </c>
      <c r="B2706" t="s">
        <v>65</v>
      </c>
      <c r="C2706" t="s">
        <v>2460</v>
      </c>
      <c r="D2706" t="s">
        <v>2461</v>
      </c>
      <c r="E2706" t="s">
        <v>2462</v>
      </c>
      <c r="F2706" t="s">
        <v>94</v>
      </c>
      <c r="G2706" t="s">
        <v>277</v>
      </c>
      <c r="H2706" s="12">
        <v>6.5007999999999999</v>
      </c>
      <c r="I2706" s="12">
        <v>-75.742800000000003</v>
      </c>
      <c r="J2706" t="s">
        <v>2463</v>
      </c>
      <c r="K2706" t="s">
        <v>97</v>
      </c>
      <c r="L2706" t="s">
        <v>1273</v>
      </c>
      <c r="M2706">
        <v>11</v>
      </c>
      <c r="P2706" s="13">
        <v>195</v>
      </c>
      <c r="Q2706" s="13">
        <v>41</v>
      </c>
      <c r="R2706">
        <v>30</v>
      </c>
      <c r="S2706">
        <v>46</v>
      </c>
      <c r="T2706" s="13">
        <v>34</v>
      </c>
      <c r="U2706" s="13">
        <v>51</v>
      </c>
      <c r="V2706" t="s">
        <v>99</v>
      </c>
      <c r="X2706" s="13">
        <v>195</v>
      </c>
    </row>
    <row r="2707" spans="1:24" x14ac:dyDescent="0.25">
      <c r="A2707" t="s">
        <v>2478</v>
      </c>
      <c r="B2707" t="s">
        <v>65</v>
      </c>
      <c r="C2707" t="s">
        <v>2460</v>
      </c>
      <c r="D2707" t="s">
        <v>2461</v>
      </c>
      <c r="E2707" t="s">
        <v>2462</v>
      </c>
      <c r="F2707" t="s">
        <v>94</v>
      </c>
      <c r="G2707" t="s">
        <v>277</v>
      </c>
      <c r="H2707" s="12">
        <v>6.5007999999999999</v>
      </c>
      <c r="I2707" s="12">
        <v>-75.742800000000003</v>
      </c>
      <c r="J2707" t="s">
        <v>2463</v>
      </c>
      <c r="K2707" t="s">
        <v>97</v>
      </c>
      <c r="L2707" t="s">
        <v>1273</v>
      </c>
      <c r="M2707">
        <v>11</v>
      </c>
      <c r="P2707" s="13">
        <v>189</v>
      </c>
      <c r="Q2707" s="13">
        <v>39</v>
      </c>
      <c r="R2707">
        <v>28</v>
      </c>
      <c r="S2707">
        <v>52</v>
      </c>
      <c r="T2707" s="13">
        <v>31</v>
      </c>
      <c r="U2707" s="13">
        <v>40</v>
      </c>
      <c r="V2707" t="s">
        <v>99</v>
      </c>
      <c r="X2707" s="13">
        <v>189</v>
      </c>
    </row>
    <row r="2708" spans="1:24" x14ac:dyDescent="0.25">
      <c r="A2708" t="s">
        <v>2479</v>
      </c>
      <c r="B2708" t="s">
        <v>65</v>
      </c>
      <c r="C2708" t="s">
        <v>2460</v>
      </c>
      <c r="D2708" t="s">
        <v>2461</v>
      </c>
      <c r="E2708" t="s">
        <v>2462</v>
      </c>
      <c r="F2708" t="s">
        <v>94</v>
      </c>
      <c r="G2708" t="s">
        <v>277</v>
      </c>
      <c r="H2708" s="12">
        <v>6.5007999999999999</v>
      </c>
      <c r="I2708" s="12">
        <v>-75.742800000000003</v>
      </c>
      <c r="J2708" t="s">
        <v>2463</v>
      </c>
      <c r="K2708" t="s">
        <v>97</v>
      </c>
      <c r="L2708" t="s">
        <v>1273</v>
      </c>
      <c r="M2708">
        <v>11</v>
      </c>
      <c r="P2708" s="13">
        <v>185</v>
      </c>
      <c r="Q2708" s="13">
        <v>44</v>
      </c>
      <c r="R2708">
        <v>22</v>
      </c>
      <c r="S2708">
        <v>44</v>
      </c>
      <c r="T2708" s="13">
        <v>38</v>
      </c>
      <c r="U2708" s="13">
        <v>38</v>
      </c>
      <c r="V2708" t="s">
        <v>99</v>
      </c>
      <c r="X2708" s="13">
        <v>185</v>
      </c>
    </row>
    <row r="2709" spans="1:24" x14ac:dyDescent="0.25">
      <c r="A2709" t="s">
        <v>2480</v>
      </c>
      <c r="B2709" t="s">
        <v>65</v>
      </c>
      <c r="C2709" t="s">
        <v>2460</v>
      </c>
      <c r="D2709" t="s">
        <v>2461</v>
      </c>
      <c r="E2709" t="s">
        <v>2462</v>
      </c>
      <c r="F2709" t="s">
        <v>94</v>
      </c>
      <c r="G2709" t="s">
        <v>277</v>
      </c>
      <c r="H2709" s="12">
        <v>6.5007999999999999</v>
      </c>
      <c r="I2709" s="12">
        <v>-75.742800000000003</v>
      </c>
      <c r="J2709" t="s">
        <v>2463</v>
      </c>
      <c r="K2709" t="s">
        <v>97</v>
      </c>
      <c r="L2709" t="s">
        <v>1273</v>
      </c>
      <c r="M2709">
        <v>11</v>
      </c>
      <c r="P2709" s="13">
        <v>184</v>
      </c>
      <c r="Q2709" s="13">
        <v>49</v>
      </c>
      <c r="R2709">
        <v>24</v>
      </c>
      <c r="S2709">
        <v>54</v>
      </c>
      <c r="T2709" s="13">
        <v>28</v>
      </c>
      <c r="U2709" s="13">
        <v>15</v>
      </c>
      <c r="V2709" t="s">
        <v>99</v>
      </c>
      <c r="X2709" s="13">
        <v>184</v>
      </c>
    </row>
    <row r="2710" spans="1:24" x14ac:dyDescent="0.25">
      <c r="A2710" t="s">
        <v>2481</v>
      </c>
      <c r="B2710" t="s">
        <v>65</v>
      </c>
      <c r="C2710" t="s">
        <v>2460</v>
      </c>
      <c r="D2710" t="s">
        <v>2461</v>
      </c>
      <c r="E2710" t="s">
        <v>2462</v>
      </c>
      <c r="F2710" t="s">
        <v>94</v>
      </c>
      <c r="G2710" t="s">
        <v>277</v>
      </c>
      <c r="H2710" s="12">
        <v>6.5007999999999999</v>
      </c>
      <c r="I2710" s="12">
        <v>-75.742800000000003</v>
      </c>
      <c r="J2710" t="s">
        <v>2463</v>
      </c>
      <c r="K2710" t="s">
        <v>97</v>
      </c>
      <c r="L2710" t="s">
        <v>1273</v>
      </c>
      <c r="M2710">
        <v>11</v>
      </c>
      <c r="P2710" s="13">
        <v>180</v>
      </c>
      <c r="Q2710" s="13">
        <v>39</v>
      </c>
      <c r="R2710">
        <v>30</v>
      </c>
      <c r="S2710">
        <v>44</v>
      </c>
      <c r="T2710" s="13">
        <v>28</v>
      </c>
      <c r="U2710" s="13">
        <v>47</v>
      </c>
      <c r="V2710" t="s">
        <v>99</v>
      </c>
      <c r="X2710" s="13">
        <v>180</v>
      </c>
    </row>
    <row r="2711" spans="1:24" x14ac:dyDescent="0.25">
      <c r="A2711" t="s">
        <v>2482</v>
      </c>
      <c r="B2711" t="s">
        <v>65</v>
      </c>
      <c r="C2711" t="s">
        <v>2460</v>
      </c>
      <c r="D2711" t="s">
        <v>2461</v>
      </c>
      <c r="E2711" t="s">
        <v>2462</v>
      </c>
      <c r="F2711" t="s">
        <v>94</v>
      </c>
      <c r="G2711" t="s">
        <v>277</v>
      </c>
      <c r="H2711" s="12">
        <v>6.5007999999999999</v>
      </c>
      <c r="I2711" s="12">
        <v>-75.742800000000003</v>
      </c>
      <c r="J2711" t="s">
        <v>2463</v>
      </c>
      <c r="K2711" t="s">
        <v>97</v>
      </c>
      <c r="L2711" t="s">
        <v>1273</v>
      </c>
      <c r="M2711">
        <v>11</v>
      </c>
      <c r="P2711" s="13">
        <v>180</v>
      </c>
      <c r="Q2711" s="13">
        <v>49</v>
      </c>
      <c r="R2711">
        <v>16</v>
      </c>
      <c r="S2711">
        <v>54</v>
      </c>
      <c r="T2711" s="13">
        <v>22</v>
      </c>
      <c r="U2711" s="13">
        <v>44</v>
      </c>
      <c r="V2711" t="s">
        <v>99</v>
      </c>
      <c r="X2711" s="13">
        <v>180</v>
      </c>
    </row>
    <row r="2712" spans="1:24" x14ac:dyDescent="0.25">
      <c r="A2712" t="s">
        <v>2483</v>
      </c>
      <c r="B2712" t="s">
        <v>65</v>
      </c>
      <c r="C2712" t="s">
        <v>2460</v>
      </c>
      <c r="D2712" t="s">
        <v>2461</v>
      </c>
      <c r="E2712" t="s">
        <v>2462</v>
      </c>
      <c r="F2712" t="s">
        <v>94</v>
      </c>
      <c r="G2712" t="s">
        <v>277</v>
      </c>
      <c r="H2712" s="12">
        <v>6.5007999999999999</v>
      </c>
      <c r="I2712" s="12">
        <v>-75.742800000000003</v>
      </c>
      <c r="J2712" t="s">
        <v>2463</v>
      </c>
      <c r="K2712" t="s">
        <v>97</v>
      </c>
      <c r="L2712" t="s">
        <v>1273</v>
      </c>
      <c r="M2712">
        <v>11</v>
      </c>
      <c r="P2712" s="13">
        <v>177</v>
      </c>
      <c r="Q2712" s="13">
        <v>44</v>
      </c>
      <c r="R2712">
        <v>18</v>
      </c>
      <c r="S2712">
        <v>50</v>
      </c>
      <c r="T2712" s="13">
        <v>28</v>
      </c>
      <c r="U2712" s="13">
        <v>42</v>
      </c>
      <c r="V2712" t="s">
        <v>99</v>
      </c>
      <c r="X2712" s="13">
        <v>177</v>
      </c>
    </row>
    <row r="2713" spans="1:24" x14ac:dyDescent="0.25">
      <c r="A2713" t="s">
        <v>2484</v>
      </c>
      <c r="B2713" t="s">
        <v>65</v>
      </c>
      <c r="C2713" t="s">
        <v>2460</v>
      </c>
      <c r="D2713" t="s">
        <v>2461</v>
      </c>
      <c r="E2713" t="s">
        <v>2462</v>
      </c>
      <c r="F2713" t="s">
        <v>94</v>
      </c>
      <c r="G2713" t="s">
        <v>277</v>
      </c>
      <c r="H2713" s="12">
        <v>6.5007999999999999</v>
      </c>
      <c r="I2713" s="12">
        <v>-75.742800000000003</v>
      </c>
      <c r="J2713" t="s">
        <v>2463</v>
      </c>
      <c r="K2713" t="s">
        <v>97</v>
      </c>
      <c r="L2713" t="s">
        <v>1273</v>
      </c>
      <c r="M2713">
        <v>11</v>
      </c>
      <c r="P2713" s="13">
        <v>175</v>
      </c>
      <c r="Q2713" s="13">
        <v>32</v>
      </c>
      <c r="R2713">
        <v>24</v>
      </c>
      <c r="S2713">
        <v>48</v>
      </c>
      <c r="T2713" s="13">
        <v>33</v>
      </c>
      <c r="U2713" s="13">
        <v>45</v>
      </c>
      <c r="V2713" t="s">
        <v>99</v>
      </c>
      <c r="X2713" s="13">
        <v>175</v>
      </c>
    </row>
    <row r="2714" spans="1:24" x14ac:dyDescent="0.25">
      <c r="A2714" t="s">
        <v>2485</v>
      </c>
      <c r="B2714" t="s">
        <v>65</v>
      </c>
      <c r="C2714" t="s">
        <v>2460</v>
      </c>
      <c r="D2714" t="s">
        <v>2461</v>
      </c>
      <c r="E2714" t="s">
        <v>2462</v>
      </c>
      <c r="F2714" t="s">
        <v>94</v>
      </c>
      <c r="G2714" t="s">
        <v>277</v>
      </c>
      <c r="H2714" s="12">
        <v>6.5007999999999999</v>
      </c>
      <c r="I2714" s="12">
        <v>-75.742800000000003</v>
      </c>
      <c r="J2714" t="s">
        <v>2463</v>
      </c>
      <c r="K2714" t="s">
        <v>97</v>
      </c>
      <c r="L2714" t="s">
        <v>1273</v>
      </c>
      <c r="M2714">
        <v>11</v>
      </c>
      <c r="P2714" s="13">
        <v>174</v>
      </c>
      <c r="Q2714" s="13">
        <v>51</v>
      </c>
      <c r="R2714">
        <v>28</v>
      </c>
      <c r="S2714">
        <v>34</v>
      </c>
      <c r="T2714" s="13">
        <v>26</v>
      </c>
      <c r="U2714" s="13">
        <v>36</v>
      </c>
      <c r="V2714" t="s">
        <v>99</v>
      </c>
      <c r="X2714" s="13">
        <v>174</v>
      </c>
    </row>
    <row r="2715" spans="1:24" x14ac:dyDescent="0.25">
      <c r="A2715" t="s">
        <v>2486</v>
      </c>
      <c r="B2715" t="s">
        <v>65</v>
      </c>
      <c r="C2715" t="s">
        <v>2460</v>
      </c>
      <c r="D2715" t="s">
        <v>2461</v>
      </c>
      <c r="E2715" t="s">
        <v>2462</v>
      </c>
      <c r="F2715" t="s">
        <v>94</v>
      </c>
      <c r="G2715" t="s">
        <v>277</v>
      </c>
      <c r="H2715" s="12">
        <v>6.5007999999999999</v>
      </c>
      <c r="I2715" s="12">
        <v>-75.742800000000003</v>
      </c>
      <c r="J2715" t="s">
        <v>2463</v>
      </c>
      <c r="K2715" t="s">
        <v>97</v>
      </c>
      <c r="L2715" t="s">
        <v>1273</v>
      </c>
      <c r="M2715">
        <v>11</v>
      </c>
      <c r="P2715" s="13">
        <v>170</v>
      </c>
      <c r="Q2715" s="13">
        <v>51</v>
      </c>
      <c r="R2715">
        <v>28</v>
      </c>
      <c r="S2715">
        <v>36</v>
      </c>
      <c r="T2715" s="13">
        <v>21</v>
      </c>
      <c r="U2715" s="13">
        <v>35</v>
      </c>
      <c r="V2715" t="s">
        <v>99</v>
      </c>
      <c r="X2715" s="13">
        <v>170</v>
      </c>
    </row>
    <row r="2716" spans="1:24" x14ac:dyDescent="0.25">
      <c r="A2716" t="s">
        <v>2487</v>
      </c>
      <c r="B2716" t="s">
        <v>65</v>
      </c>
      <c r="C2716" t="s">
        <v>2460</v>
      </c>
      <c r="D2716" t="s">
        <v>2461</v>
      </c>
      <c r="E2716" t="s">
        <v>2462</v>
      </c>
      <c r="F2716" t="s">
        <v>94</v>
      </c>
      <c r="G2716" t="s">
        <v>277</v>
      </c>
      <c r="H2716" s="12">
        <v>6.5007999999999999</v>
      </c>
      <c r="I2716" s="12">
        <v>-75.742800000000003</v>
      </c>
      <c r="J2716" t="s">
        <v>2463</v>
      </c>
      <c r="K2716" t="s">
        <v>97</v>
      </c>
      <c r="L2716" t="s">
        <v>1273</v>
      </c>
      <c r="M2716">
        <v>11</v>
      </c>
      <c r="P2716" s="13">
        <v>170</v>
      </c>
      <c r="Q2716" s="13">
        <v>44</v>
      </c>
      <c r="R2716">
        <v>24</v>
      </c>
      <c r="S2716">
        <v>38</v>
      </c>
      <c r="T2716" s="13">
        <v>26</v>
      </c>
      <c r="U2716" s="13">
        <v>45</v>
      </c>
      <c r="V2716" t="s">
        <v>99</v>
      </c>
      <c r="X2716" s="13">
        <v>170</v>
      </c>
    </row>
    <row r="2717" spans="1:24" x14ac:dyDescent="0.25">
      <c r="A2717" t="s">
        <v>2488</v>
      </c>
      <c r="B2717" t="s">
        <v>65</v>
      </c>
      <c r="C2717" t="s">
        <v>2460</v>
      </c>
      <c r="D2717" t="s">
        <v>2461</v>
      </c>
      <c r="E2717" t="s">
        <v>2462</v>
      </c>
      <c r="F2717" t="s">
        <v>94</v>
      </c>
      <c r="G2717" t="s">
        <v>277</v>
      </c>
      <c r="H2717" s="12">
        <v>6.5007999999999999</v>
      </c>
      <c r="I2717" s="12">
        <v>-75.742800000000003</v>
      </c>
      <c r="J2717" t="s">
        <v>2463</v>
      </c>
      <c r="K2717" t="s">
        <v>97</v>
      </c>
      <c r="L2717" t="s">
        <v>1273</v>
      </c>
      <c r="M2717">
        <v>11</v>
      </c>
      <c r="P2717" s="13">
        <v>167</v>
      </c>
      <c r="Q2717" s="13">
        <v>37</v>
      </c>
      <c r="R2717">
        <v>30</v>
      </c>
      <c r="S2717">
        <v>24</v>
      </c>
      <c r="T2717" s="13">
        <v>34</v>
      </c>
      <c r="U2717" s="13">
        <v>58</v>
      </c>
      <c r="V2717" t="s">
        <v>99</v>
      </c>
      <c r="X2717" s="13">
        <v>167</v>
      </c>
    </row>
    <row r="2718" spans="1:24" x14ac:dyDescent="0.25">
      <c r="A2718" t="s">
        <v>2489</v>
      </c>
      <c r="B2718" t="s">
        <v>65</v>
      </c>
      <c r="C2718" t="s">
        <v>2460</v>
      </c>
      <c r="D2718" t="s">
        <v>2461</v>
      </c>
      <c r="E2718" t="s">
        <v>2462</v>
      </c>
      <c r="F2718" t="s">
        <v>94</v>
      </c>
      <c r="G2718" t="s">
        <v>277</v>
      </c>
      <c r="H2718" s="12">
        <v>6.5007999999999999</v>
      </c>
      <c r="I2718" s="12">
        <v>-75.742800000000003</v>
      </c>
      <c r="J2718" t="s">
        <v>2463</v>
      </c>
      <c r="K2718" t="s">
        <v>97</v>
      </c>
      <c r="L2718" t="s">
        <v>1273</v>
      </c>
      <c r="M2718">
        <v>11</v>
      </c>
      <c r="P2718" s="13">
        <v>166</v>
      </c>
      <c r="Q2718" s="13">
        <v>32</v>
      </c>
      <c r="R2718">
        <v>32</v>
      </c>
      <c r="S2718">
        <v>46</v>
      </c>
      <c r="T2718" s="13">
        <v>22</v>
      </c>
      <c r="U2718" s="13">
        <v>35</v>
      </c>
      <c r="V2718" t="s">
        <v>99</v>
      </c>
      <c r="X2718" s="13">
        <v>166</v>
      </c>
    </row>
    <row r="2719" spans="1:24" x14ac:dyDescent="0.25">
      <c r="A2719" t="s">
        <v>2490</v>
      </c>
      <c r="B2719" t="s">
        <v>65</v>
      </c>
      <c r="C2719" t="s">
        <v>2460</v>
      </c>
      <c r="D2719" t="s">
        <v>2461</v>
      </c>
      <c r="E2719" t="s">
        <v>2462</v>
      </c>
      <c r="F2719" t="s">
        <v>94</v>
      </c>
      <c r="G2719" t="s">
        <v>277</v>
      </c>
      <c r="H2719" s="12">
        <v>6.5007999999999999</v>
      </c>
      <c r="I2719" s="12">
        <v>-75.742800000000003</v>
      </c>
      <c r="J2719" t="s">
        <v>2463</v>
      </c>
      <c r="K2719" t="s">
        <v>97</v>
      </c>
      <c r="L2719" t="s">
        <v>1273</v>
      </c>
      <c r="M2719">
        <v>11</v>
      </c>
      <c r="P2719" s="13">
        <v>165</v>
      </c>
      <c r="Q2719" s="13">
        <v>27</v>
      </c>
      <c r="R2719">
        <v>26</v>
      </c>
      <c r="S2719">
        <v>32</v>
      </c>
      <c r="T2719" s="13">
        <v>40</v>
      </c>
      <c r="U2719" s="13">
        <v>56</v>
      </c>
      <c r="V2719" t="s">
        <v>99</v>
      </c>
      <c r="X2719" s="13">
        <v>165</v>
      </c>
    </row>
    <row r="2720" spans="1:24" x14ac:dyDescent="0.25">
      <c r="A2720" t="s">
        <v>2491</v>
      </c>
      <c r="B2720" t="s">
        <v>65</v>
      </c>
      <c r="C2720" t="s">
        <v>2460</v>
      </c>
      <c r="D2720" t="s">
        <v>2461</v>
      </c>
      <c r="E2720" t="s">
        <v>2462</v>
      </c>
      <c r="F2720" t="s">
        <v>94</v>
      </c>
      <c r="G2720" t="s">
        <v>277</v>
      </c>
      <c r="H2720" s="12">
        <v>6.5007999999999999</v>
      </c>
      <c r="I2720" s="12">
        <v>-75.742800000000003</v>
      </c>
      <c r="J2720" t="s">
        <v>2463</v>
      </c>
      <c r="K2720" t="s">
        <v>97</v>
      </c>
      <c r="L2720" t="s">
        <v>1273</v>
      </c>
      <c r="M2720">
        <v>11</v>
      </c>
      <c r="P2720" s="13">
        <v>163</v>
      </c>
      <c r="Q2720" s="13">
        <v>27</v>
      </c>
      <c r="R2720">
        <v>28</v>
      </c>
      <c r="S2720">
        <v>32</v>
      </c>
      <c r="T2720" s="13">
        <v>43</v>
      </c>
      <c r="U2720" s="13">
        <v>35</v>
      </c>
      <c r="V2720" t="s">
        <v>99</v>
      </c>
      <c r="X2720" s="13">
        <v>163</v>
      </c>
    </row>
    <row r="2721" spans="1:24" x14ac:dyDescent="0.25">
      <c r="A2721" t="s">
        <v>2492</v>
      </c>
      <c r="B2721" t="s">
        <v>65</v>
      </c>
      <c r="C2721" t="s">
        <v>2460</v>
      </c>
      <c r="D2721" t="s">
        <v>2461</v>
      </c>
      <c r="E2721" t="s">
        <v>2462</v>
      </c>
      <c r="F2721" t="s">
        <v>94</v>
      </c>
      <c r="G2721" t="s">
        <v>277</v>
      </c>
      <c r="H2721" s="12">
        <v>6.5007999999999999</v>
      </c>
      <c r="I2721" s="12">
        <v>-75.742800000000003</v>
      </c>
      <c r="J2721" t="s">
        <v>2463</v>
      </c>
      <c r="K2721" t="s">
        <v>97</v>
      </c>
      <c r="L2721" t="s">
        <v>1273</v>
      </c>
      <c r="M2721">
        <v>11</v>
      </c>
      <c r="P2721" s="13">
        <v>163</v>
      </c>
      <c r="Q2721" s="13">
        <v>22</v>
      </c>
      <c r="R2721">
        <v>28</v>
      </c>
      <c r="S2721">
        <v>54</v>
      </c>
      <c r="T2721" s="13">
        <v>24</v>
      </c>
      <c r="U2721" s="13">
        <v>40</v>
      </c>
      <c r="V2721" t="s">
        <v>99</v>
      </c>
      <c r="X2721" s="13">
        <v>163</v>
      </c>
    </row>
    <row r="2722" spans="1:24" x14ac:dyDescent="0.25">
      <c r="A2722" t="s">
        <v>2493</v>
      </c>
      <c r="B2722" t="s">
        <v>65</v>
      </c>
      <c r="C2722" t="s">
        <v>2460</v>
      </c>
      <c r="D2722" t="s">
        <v>2461</v>
      </c>
      <c r="E2722" t="s">
        <v>2462</v>
      </c>
      <c r="F2722" t="s">
        <v>94</v>
      </c>
      <c r="G2722" t="s">
        <v>277</v>
      </c>
      <c r="H2722" s="12">
        <v>6.5007999999999999</v>
      </c>
      <c r="I2722" s="12">
        <v>-75.742800000000003</v>
      </c>
      <c r="J2722" t="s">
        <v>2463</v>
      </c>
      <c r="K2722" t="s">
        <v>97</v>
      </c>
      <c r="L2722" t="s">
        <v>1273</v>
      </c>
      <c r="M2722">
        <v>11</v>
      </c>
      <c r="P2722" s="13">
        <v>159</v>
      </c>
      <c r="Q2722" s="13">
        <v>27</v>
      </c>
      <c r="R2722">
        <v>20</v>
      </c>
      <c r="S2722">
        <v>36</v>
      </c>
      <c r="T2722" s="13">
        <v>41</v>
      </c>
      <c r="U2722" s="13">
        <v>40</v>
      </c>
      <c r="V2722" t="s">
        <v>99</v>
      </c>
      <c r="X2722" s="13">
        <v>159</v>
      </c>
    </row>
    <row r="2723" spans="1:24" x14ac:dyDescent="0.25">
      <c r="A2723" t="s">
        <v>2494</v>
      </c>
      <c r="B2723" t="s">
        <v>65</v>
      </c>
      <c r="C2723" t="s">
        <v>2460</v>
      </c>
      <c r="D2723" t="s">
        <v>2461</v>
      </c>
      <c r="E2723" t="s">
        <v>2462</v>
      </c>
      <c r="F2723" t="s">
        <v>94</v>
      </c>
      <c r="G2723" t="s">
        <v>277</v>
      </c>
      <c r="H2723" s="12">
        <v>6.5007999999999999</v>
      </c>
      <c r="I2723" s="12">
        <v>-75.742800000000003</v>
      </c>
      <c r="J2723" t="s">
        <v>2463</v>
      </c>
      <c r="K2723" t="s">
        <v>97</v>
      </c>
      <c r="L2723" t="s">
        <v>1273</v>
      </c>
      <c r="M2723">
        <v>11</v>
      </c>
      <c r="P2723" s="13">
        <v>151</v>
      </c>
      <c r="Q2723" s="13">
        <v>37</v>
      </c>
      <c r="R2723">
        <v>18</v>
      </c>
      <c r="S2723">
        <v>38</v>
      </c>
      <c r="T2723" s="13">
        <v>21</v>
      </c>
      <c r="U2723" s="13">
        <v>53</v>
      </c>
      <c r="V2723" t="s">
        <v>99</v>
      </c>
      <c r="X2723" s="13">
        <v>151</v>
      </c>
    </row>
    <row r="2724" spans="1:24" x14ac:dyDescent="0.25">
      <c r="A2724" t="s">
        <v>2495</v>
      </c>
      <c r="B2724" t="s">
        <v>65</v>
      </c>
      <c r="C2724" t="s">
        <v>2460</v>
      </c>
      <c r="D2724" t="s">
        <v>2461</v>
      </c>
      <c r="E2724" t="s">
        <v>2462</v>
      </c>
      <c r="F2724" t="s">
        <v>94</v>
      </c>
      <c r="G2724" t="s">
        <v>277</v>
      </c>
      <c r="H2724" s="12">
        <v>6.5007999999999999</v>
      </c>
      <c r="I2724" s="12">
        <v>-75.742800000000003</v>
      </c>
      <c r="J2724" t="s">
        <v>2463</v>
      </c>
      <c r="K2724" t="s">
        <v>97</v>
      </c>
      <c r="L2724" t="s">
        <v>1273</v>
      </c>
      <c r="M2724">
        <v>11</v>
      </c>
      <c r="P2724" s="13">
        <v>142</v>
      </c>
      <c r="Q2724" s="13">
        <v>34</v>
      </c>
      <c r="R2724">
        <v>28</v>
      </c>
      <c r="S2724">
        <v>30</v>
      </c>
      <c r="T2724" s="13">
        <v>24</v>
      </c>
      <c r="U2724" s="13">
        <v>20</v>
      </c>
      <c r="V2724" t="s">
        <v>99</v>
      </c>
      <c r="X2724" s="13">
        <v>142</v>
      </c>
    </row>
    <row r="2725" spans="1:24" x14ac:dyDescent="0.25">
      <c r="A2725" t="s">
        <v>2496</v>
      </c>
      <c r="B2725" t="s">
        <v>65</v>
      </c>
      <c r="C2725" t="s">
        <v>2460</v>
      </c>
      <c r="D2725" t="s">
        <v>2461</v>
      </c>
      <c r="E2725" t="s">
        <v>2462</v>
      </c>
      <c r="F2725" t="s">
        <v>94</v>
      </c>
      <c r="G2725" t="s">
        <v>277</v>
      </c>
      <c r="H2725" s="12">
        <v>6.5007999999999999</v>
      </c>
      <c r="I2725" s="12">
        <v>-75.742800000000003</v>
      </c>
      <c r="J2725" t="s">
        <v>2463</v>
      </c>
      <c r="K2725" t="s">
        <v>97</v>
      </c>
      <c r="L2725" t="s">
        <v>1273</v>
      </c>
      <c r="M2725">
        <v>11</v>
      </c>
      <c r="P2725" s="13">
        <v>138</v>
      </c>
      <c r="Q2725" s="13">
        <v>37</v>
      </c>
      <c r="R2725">
        <v>8</v>
      </c>
      <c r="S2725">
        <v>38</v>
      </c>
      <c r="T2725" s="13">
        <v>28</v>
      </c>
      <c r="U2725" s="13">
        <v>27</v>
      </c>
      <c r="V2725" t="s">
        <v>99</v>
      </c>
      <c r="X2725" s="13">
        <v>138</v>
      </c>
    </row>
    <row r="2726" spans="1:24" x14ac:dyDescent="0.25">
      <c r="A2726" t="s">
        <v>2497</v>
      </c>
      <c r="B2726" t="s">
        <v>65</v>
      </c>
      <c r="C2726" t="s">
        <v>2460</v>
      </c>
      <c r="D2726" t="s">
        <v>2461</v>
      </c>
      <c r="E2726" t="s">
        <v>2462</v>
      </c>
      <c r="F2726" t="s">
        <v>94</v>
      </c>
      <c r="G2726" t="s">
        <v>277</v>
      </c>
      <c r="H2726" s="12">
        <v>6.5007999999999999</v>
      </c>
      <c r="I2726" s="12">
        <v>-75.742800000000003</v>
      </c>
      <c r="J2726" t="s">
        <v>2463</v>
      </c>
      <c r="K2726" t="s">
        <v>97</v>
      </c>
      <c r="L2726" t="s">
        <v>1273</v>
      </c>
      <c r="M2726">
        <v>11</v>
      </c>
      <c r="P2726" s="13">
        <v>136</v>
      </c>
      <c r="Q2726" s="13">
        <v>29</v>
      </c>
      <c r="R2726">
        <v>18</v>
      </c>
      <c r="S2726">
        <v>32</v>
      </c>
      <c r="T2726" s="13">
        <v>29</v>
      </c>
      <c r="U2726" s="13">
        <v>27</v>
      </c>
      <c r="V2726" t="s">
        <v>99</v>
      </c>
      <c r="X2726" s="13">
        <v>136</v>
      </c>
    </row>
    <row r="2727" spans="1:24" x14ac:dyDescent="0.25">
      <c r="A2727" t="s">
        <v>2498</v>
      </c>
      <c r="B2727" t="s">
        <v>65</v>
      </c>
      <c r="C2727" t="s">
        <v>2460</v>
      </c>
      <c r="D2727" t="s">
        <v>2461</v>
      </c>
      <c r="E2727" t="s">
        <v>2462</v>
      </c>
      <c r="F2727" t="s">
        <v>94</v>
      </c>
      <c r="G2727" t="s">
        <v>277</v>
      </c>
      <c r="H2727" s="12">
        <v>6.5007999999999999</v>
      </c>
      <c r="I2727" s="12">
        <v>-75.742800000000003</v>
      </c>
      <c r="J2727" t="s">
        <v>2463</v>
      </c>
      <c r="K2727" t="s">
        <v>97</v>
      </c>
      <c r="L2727" t="s">
        <v>1273</v>
      </c>
      <c r="M2727">
        <v>11</v>
      </c>
      <c r="P2727" s="13">
        <v>102</v>
      </c>
      <c r="Q2727" s="13">
        <v>39</v>
      </c>
      <c r="R2727">
        <v>14</v>
      </c>
      <c r="S2727">
        <v>22</v>
      </c>
      <c r="T2727" s="13">
        <v>14</v>
      </c>
      <c r="U2727" s="13">
        <v>0</v>
      </c>
      <c r="V2727" t="s">
        <v>99</v>
      </c>
      <c r="X2727" s="13">
        <v>102</v>
      </c>
    </row>
    <row r="2728" spans="1:24" x14ac:dyDescent="0.25">
      <c r="A2728" t="s">
        <v>2499</v>
      </c>
      <c r="B2728" t="s">
        <v>65</v>
      </c>
      <c r="C2728" t="s">
        <v>2500</v>
      </c>
      <c r="D2728" t="s">
        <v>2501</v>
      </c>
      <c r="E2728" t="s">
        <v>2502</v>
      </c>
      <c r="F2728" t="s">
        <v>94</v>
      </c>
      <c r="G2728" t="s">
        <v>277</v>
      </c>
      <c r="H2728" s="12">
        <v>7.6672000000000002</v>
      </c>
      <c r="I2728" s="12">
        <v>-76.681100000000001</v>
      </c>
      <c r="J2728" t="s">
        <v>2503</v>
      </c>
      <c r="K2728" t="s">
        <v>97</v>
      </c>
      <c r="L2728" t="s">
        <v>1273</v>
      </c>
      <c r="M2728">
        <v>11</v>
      </c>
      <c r="P2728" s="13">
        <v>248</v>
      </c>
      <c r="Q2728" s="13">
        <v>61</v>
      </c>
      <c r="R2728">
        <v>44</v>
      </c>
      <c r="S2728">
        <v>54</v>
      </c>
      <c r="T2728" s="13">
        <v>33</v>
      </c>
      <c r="U2728" s="13">
        <v>69</v>
      </c>
      <c r="V2728" t="s">
        <v>99</v>
      </c>
      <c r="X2728" s="13">
        <v>248</v>
      </c>
    </row>
    <row r="2729" spans="1:24" x14ac:dyDescent="0.25">
      <c r="A2729" t="s">
        <v>2504</v>
      </c>
      <c r="B2729" t="s">
        <v>65</v>
      </c>
      <c r="C2729" t="s">
        <v>2500</v>
      </c>
      <c r="D2729" t="s">
        <v>2501</v>
      </c>
      <c r="E2729" t="s">
        <v>2502</v>
      </c>
      <c r="F2729" t="s">
        <v>94</v>
      </c>
      <c r="G2729" t="s">
        <v>277</v>
      </c>
      <c r="H2729" s="12">
        <v>7.6672000000000002</v>
      </c>
      <c r="I2729" s="12">
        <v>-76.681100000000001</v>
      </c>
      <c r="J2729" t="s">
        <v>2503</v>
      </c>
      <c r="K2729" t="s">
        <v>97</v>
      </c>
      <c r="L2729" t="s">
        <v>1273</v>
      </c>
      <c r="M2729">
        <v>11</v>
      </c>
      <c r="P2729" s="13">
        <v>216</v>
      </c>
      <c r="Q2729" s="13">
        <v>59</v>
      </c>
      <c r="R2729">
        <v>30</v>
      </c>
      <c r="S2729">
        <v>52</v>
      </c>
      <c r="T2729" s="13">
        <v>28</v>
      </c>
      <c r="U2729" s="13">
        <v>58</v>
      </c>
      <c r="V2729" t="s">
        <v>99</v>
      </c>
      <c r="X2729" s="13">
        <v>216</v>
      </c>
    </row>
    <row r="2730" spans="1:24" x14ac:dyDescent="0.25">
      <c r="A2730" t="s">
        <v>2505</v>
      </c>
      <c r="B2730" t="s">
        <v>65</v>
      </c>
      <c r="C2730" t="s">
        <v>2500</v>
      </c>
      <c r="D2730" t="s">
        <v>2501</v>
      </c>
      <c r="E2730" t="s">
        <v>2502</v>
      </c>
      <c r="F2730" t="s">
        <v>94</v>
      </c>
      <c r="G2730" t="s">
        <v>277</v>
      </c>
      <c r="H2730" s="12">
        <v>7.6672000000000002</v>
      </c>
      <c r="I2730" s="12">
        <v>-76.681100000000001</v>
      </c>
      <c r="J2730" t="s">
        <v>2503</v>
      </c>
      <c r="K2730" t="s">
        <v>97</v>
      </c>
      <c r="L2730" t="s">
        <v>1273</v>
      </c>
      <c r="M2730">
        <v>11</v>
      </c>
      <c r="P2730" s="13">
        <v>213</v>
      </c>
      <c r="Q2730" s="13">
        <v>49</v>
      </c>
      <c r="R2730">
        <v>34</v>
      </c>
      <c r="S2730">
        <v>60</v>
      </c>
      <c r="T2730" s="13">
        <v>28</v>
      </c>
      <c r="U2730" s="13">
        <v>42</v>
      </c>
      <c r="V2730" t="s">
        <v>99</v>
      </c>
      <c r="X2730" s="13">
        <v>213</v>
      </c>
    </row>
    <row r="2731" spans="1:24" x14ac:dyDescent="0.25">
      <c r="A2731" t="s">
        <v>2506</v>
      </c>
      <c r="B2731" t="s">
        <v>65</v>
      </c>
      <c r="C2731" t="s">
        <v>2500</v>
      </c>
      <c r="D2731" t="s">
        <v>2501</v>
      </c>
      <c r="E2731" t="s">
        <v>2502</v>
      </c>
      <c r="F2731" t="s">
        <v>94</v>
      </c>
      <c r="G2731" t="s">
        <v>277</v>
      </c>
      <c r="H2731" s="12">
        <v>7.6672000000000002</v>
      </c>
      <c r="I2731" s="12">
        <v>-76.681100000000001</v>
      </c>
      <c r="J2731" t="s">
        <v>2503</v>
      </c>
      <c r="K2731" t="s">
        <v>97</v>
      </c>
      <c r="L2731" t="s">
        <v>1273</v>
      </c>
      <c r="M2731">
        <v>11</v>
      </c>
      <c r="P2731" s="13">
        <v>204</v>
      </c>
      <c r="Q2731" s="13">
        <v>39</v>
      </c>
      <c r="R2731">
        <v>26</v>
      </c>
      <c r="S2731">
        <v>60</v>
      </c>
      <c r="T2731" s="13">
        <v>36</v>
      </c>
      <c r="U2731" s="13">
        <v>47</v>
      </c>
      <c r="V2731" t="s">
        <v>99</v>
      </c>
      <c r="X2731" s="13">
        <v>204</v>
      </c>
    </row>
    <row r="2732" spans="1:24" x14ac:dyDescent="0.25">
      <c r="A2732" t="s">
        <v>2507</v>
      </c>
      <c r="B2732" t="s">
        <v>65</v>
      </c>
      <c r="C2732" t="s">
        <v>2500</v>
      </c>
      <c r="D2732" t="s">
        <v>2501</v>
      </c>
      <c r="E2732" t="s">
        <v>2502</v>
      </c>
      <c r="F2732" t="s">
        <v>94</v>
      </c>
      <c r="G2732" t="s">
        <v>277</v>
      </c>
      <c r="H2732" s="12">
        <v>7.6672000000000002</v>
      </c>
      <c r="I2732" s="12">
        <v>-76.681100000000001</v>
      </c>
      <c r="J2732" t="s">
        <v>2503</v>
      </c>
      <c r="K2732" t="s">
        <v>97</v>
      </c>
      <c r="L2732" t="s">
        <v>1273</v>
      </c>
      <c r="M2732">
        <v>11</v>
      </c>
      <c r="P2732" s="13">
        <v>203</v>
      </c>
      <c r="Q2732" s="13">
        <v>51</v>
      </c>
      <c r="R2732">
        <v>20</v>
      </c>
      <c r="S2732">
        <v>46</v>
      </c>
      <c r="T2732" s="13">
        <v>38</v>
      </c>
      <c r="U2732" s="13">
        <v>62</v>
      </c>
      <c r="V2732" t="s">
        <v>99</v>
      </c>
      <c r="X2732" s="13">
        <v>203</v>
      </c>
    </row>
    <row r="2733" spans="1:24" x14ac:dyDescent="0.25">
      <c r="A2733" t="s">
        <v>2508</v>
      </c>
      <c r="B2733" t="s">
        <v>65</v>
      </c>
      <c r="C2733" t="s">
        <v>2500</v>
      </c>
      <c r="D2733" t="s">
        <v>2501</v>
      </c>
      <c r="E2733" t="s">
        <v>2502</v>
      </c>
      <c r="F2733" t="s">
        <v>94</v>
      </c>
      <c r="G2733" t="s">
        <v>277</v>
      </c>
      <c r="H2733" s="12">
        <v>7.6672000000000002</v>
      </c>
      <c r="I2733" s="12">
        <v>-76.681100000000001</v>
      </c>
      <c r="J2733" t="s">
        <v>2503</v>
      </c>
      <c r="K2733" t="s">
        <v>97</v>
      </c>
      <c r="L2733" t="s">
        <v>1273</v>
      </c>
      <c r="M2733">
        <v>11</v>
      </c>
      <c r="P2733" s="13">
        <v>202</v>
      </c>
      <c r="Q2733" s="13">
        <v>44</v>
      </c>
      <c r="R2733">
        <v>34</v>
      </c>
      <c r="S2733">
        <v>46</v>
      </c>
      <c r="T2733" s="13">
        <v>36</v>
      </c>
      <c r="U2733" s="13">
        <v>44</v>
      </c>
      <c r="V2733" t="s">
        <v>99</v>
      </c>
      <c r="X2733" s="13">
        <v>202</v>
      </c>
    </row>
    <row r="2734" spans="1:24" x14ac:dyDescent="0.25">
      <c r="A2734" t="s">
        <v>2509</v>
      </c>
      <c r="B2734" t="s">
        <v>65</v>
      </c>
      <c r="C2734" t="s">
        <v>2500</v>
      </c>
      <c r="D2734" t="s">
        <v>2501</v>
      </c>
      <c r="E2734" t="s">
        <v>2502</v>
      </c>
      <c r="F2734" t="s">
        <v>94</v>
      </c>
      <c r="G2734" t="s">
        <v>277</v>
      </c>
      <c r="H2734" s="12">
        <v>7.6672000000000002</v>
      </c>
      <c r="I2734" s="12">
        <v>-76.681100000000001</v>
      </c>
      <c r="J2734" t="s">
        <v>2503</v>
      </c>
      <c r="K2734" t="s">
        <v>97</v>
      </c>
      <c r="L2734" t="s">
        <v>1273</v>
      </c>
      <c r="M2734">
        <v>11</v>
      </c>
      <c r="P2734" s="13">
        <v>200</v>
      </c>
      <c r="Q2734" s="13">
        <v>46</v>
      </c>
      <c r="R2734">
        <v>32</v>
      </c>
      <c r="S2734">
        <v>56</v>
      </c>
      <c r="T2734" s="13">
        <v>26</v>
      </c>
      <c r="U2734" s="13">
        <v>40</v>
      </c>
      <c r="V2734" t="s">
        <v>99</v>
      </c>
      <c r="X2734" s="13">
        <v>200</v>
      </c>
    </row>
    <row r="2735" spans="1:24" x14ac:dyDescent="0.25">
      <c r="A2735" t="s">
        <v>2510</v>
      </c>
      <c r="B2735" t="s">
        <v>65</v>
      </c>
      <c r="C2735" t="s">
        <v>2500</v>
      </c>
      <c r="D2735" t="s">
        <v>2501</v>
      </c>
      <c r="E2735" t="s">
        <v>2502</v>
      </c>
      <c r="F2735" t="s">
        <v>94</v>
      </c>
      <c r="G2735" t="s">
        <v>277</v>
      </c>
      <c r="H2735" s="12">
        <v>7.6672000000000002</v>
      </c>
      <c r="I2735" s="12">
        <v>-76.681100000000001</v>
      </c>
      <c r="J2735" t="s">
        <v>2503</v>
      </c>
      <c r="K2735" t="s">
        <v>97</v>
      </c>
      <c r="L2735" t="s">
        <v>1273</v>
      </c>
      <c r="M2735">
        <v>11</v>
      </c>
      <c r="P2735" s="13">
        <v>199</v>
      </c>
      <c r="Q2735" s="13">
        <v>41</v>
      </c>
      <c r="R2735">
        <v>26</v>
      </c>
      <c r="S2735">
        <v>52</v>
      </c>
      <c r="T2735" s="13">
        <v>28</v>
      </c>
      <c r="U2735" s="13">
        <v>76</v>
      </c>
      <c r="V2735" t="s">
        <v>99</v>
      </c>
      <c r="X2735" s="13">
        <v>199</v>
      </c>
    </row>
    <row r="2736" spans="1:24" x14ac:dyDescent="0.25">
      <c r="A2736" t="s">
        <v>2511</v>
      </c>
      <c r="B2736" t="s">
        <v>65</v>
      </c>
      <c r="C2736" t="s">
        <v>2500</v>
      </c>
      <c r="D2736" t="s">
        <v>2501</v>
      </c>
      <c r="E2736" t="s">
        <v>2502</v>
      </c>
      <c r="F2736" t="s">
        <v>94</v>
      </c>
      <c r="G2736" t="s">
        <v>277</v>
      </c>
      <c r="H2736" s="12">
        <v>7.6672000000000002</v>
      </c>
      <c r="I2736" s="12">
        <v>-76.681100000000001</v>
      </c>
      <c r="J2736" t="s">
        <v>2503</v>
      </c>
      <c r="K2736" t="s">
        <v>97</v>
      </c>
      <c r="L2736" t="s">
        <v>1273</v>
      </c>
      <c r="M2736">
        <v>11</v>
      </c>
      <c r="P2736" s="13">
        <v>183</v>
      </c>
      <c r="Q2736" s="13">
        <v>29</v>
      </c>
      <c r="R2736">
        <v>38</v>
      </c>
      <c r="S2736">
        <v>58</v>
      </c>
      <c r="T2736" s="13">
        <v>24</v>
      </c>
      <c r="U2736" s="13">
        <v>27</v>
      </c>
      <c r="V2736" t="s">
        <v>99</v>
      </c>
      <c r="X2736" s="13">
        <v>183</v>
      </c>
    </row>
    <row r="2737" spans="1:24" x14ac:dyDescent="0.25">
      <c r="A2737" t="s">
        <v>2512</v>
      </c>
      <c r="B2737" t="s">
        <v>65</v>
      </c>
      <c r="C2737" t="s">
        <v>2500</v>
      </c>
      <c r="D2737" t="s">
        <v>2501</v>
      </c>
      <c r="E2737" t="s">
        <v>2502</v>
      </c>
      <c r="F2737" t="s">
        <v>94</v>
      </c>
      <c r="G2737" t="s">
        <v>277</v>
      </c>
      <c r="H2737" s="12">
        <v>7.6672000000000002</v>
      </c>
      <c r="I2737" s="12">
        <v>-76.681100000000001</v>
      </c>
      <c r="J2737" t="s">
        <v>2503</v>
      </c>
      <c r="K2737" t="s">
        <v>97</v>
      </c>
      <c r="L2737" t="s">
        <v>1273</v>
      </c>
      <c r="M2737">
        <v>11</v>
      </c>
      <c r="P2737" s="13">
        <v>177</v>
      </c>
      <c r="Q2737" s="13">
        <v>49</v>
      </c>
      <c r="R2737">
        <v>28</v>
      </c>
      <c r="S2737">
        <v>38</v>
      </c>
      <c r="T2737" s="13">
        <v>24</v>
      </c>
      <c r="U2737" s="13">
        <v>44</v>
      </c>
      <c r="V2737" t="s">
        <v>99</v>
      </c>
      <c r="X2737" s="13">
        <v>177</v>
      </c>
    </row>
    <row r="2738" spans="1:24" x14ac:dyDescent="0.25">
      <c r="A2738" t="s">
        <v>2513</v>
      </c>
      <c r="B2738" t="s">
        <v>65</v>
      </c>
      <c r="C2738" t="s">
        <v>2500</v>
      </c>
      <c r="D2738" t="s">
        <v>2501</v>
      </c>
      <c r="E2738" t="s">
        <v>2502</v>
      </c>
      <c r="F2738" t="s">
        <v>94</v>
      </c>
      <c r="G2738" t="s">
        <v>277</v>
      </c>
      <c r="H2738" s="12">
        <v>7.6672000000000002</v>
      </c>
      <c r="I2738" s="12">
        <v>-76.681100000000001</v>
      </c>
      <c r="J2738" t="s">
        <v>2503</v>
      </c>
      <c r="K2738" t="s">
        <v>97</v>
      </c>
      <c r="L2738" t="s">
        <v>1273</v>
      </c>
      <c r="M2738">
        <v>11</v>
      </c>
      <c r="P2738" s="13">
        <v>171</v>
      </c>
      <c r="Q2738" s="13">
        <v>41</v>
      </c>
      <c r="R2738">
        <v>20</v>
      </c>
      <c r="S2738">
        <v>42</v>
      </c>
      <c r="T2738" s="13">
        <v>31</v>
      </c>
      <c r="U2738" s="13">
        <v>40</v>
      </c>
      <c r="V2738" t="s">
        <v>99</v>
      </c>
      <c r="X2738" s="13">
        <v>171</v>
      </c>
    </row>
    <row r="2739" spans="1:24" x14ac:dyDescent="0.25">
      <c r="A2739" t="s">
        <v>2514</v>
      </c>
      <c r="B2739" t="s">
        <v>65</v>
      </c>
      <c r="C2739" t="s">
        <v>2500</v>
      </c>
      <c r="D2739" t="s">
        <v>2501</v>
      </c>
      <c r="E2739" t="s">
        <v>2502</v>
      </c>
      <c r="F2739" t="s">
        <v>94</v>
      </c>
      <c r="G2739" t="s">
        <v>277</v>
      </c>
      <c r="H2739" s="12">
        <v>7.6672000000000002</v>
      </c>
      <c r="I2739" s="12">
        <v>-76.681100000000001</v>
      </c>
      <c r="J2739" t="s">
        <v>2503</v>
      </c>
      <c r="K2739" t="s">
        <v>97</v>
      </c>
      <c r="L2739" t="s">
        <v>1273</v>
      </c>
      <c r="M2739">
        <v>11</v>
      </c>
      <c r="P2739" s="13">
        <v>166</v>
      </c>
      <c r="Q2739" s="13">
        <v>34</v>
      </c>
      <c r="R2739">
        <v>28</v>
      </c>
      <c r="S2739">
        <v>44</v>
      </c>
      <c r="T2739" s="13">
        <v>26</v>
      </c>
      <c r="U2739" s="13">
        <v>35</v>
      </c>
      <c r="V2739" t="s">
        <v>99</v>
      </c>
      <c r="X2739" s="13">
        <v>166</v>
      </c>
    </row>
    <row r="2740" spans="1:24" x14ac:dyDescent="0.25">
      <c r="A2740" t="s">
        <v>2515</v>
      </c>
      <c r="B2740" t="s">
        <v>65</v>
      </c>
      <c r="C2740" t="s">
        <v>2500</v>
      </c>
      <c r="D2740" t="s">
        <v>2501</v>
      </c>
      <c r="E2740" t="s">
        <v>2502</v>
      </c>
      <c r="F2740" t="s">
        <v>94</v>
      </c>
      <c r="G2740" t="s">
        <v>277</v>
      </c>
      <c r="H2740" s="12">
        <v>7.6672000000000002</v>
      </c>
      <c r="I2740" s="12">
        <v>-76.681100000000001</v>
      </c>
      <c r="J2740" t="s">
        <v>2503</v>
      </c>
      <c r="K2740" t="s">
        <v>97</v>
      </c>
      <c r="L2740" t="s">
        <v>1273</v>
      </c>
      <c r="M2740">
        <v>11</v>
      </c>
      <c r="P2740" s="13">
        <v>164</v>
      </c>
      <c r="Q2740" s="13">
        <v>24</v>
      </c>
      <c r="R2740">
        <v>20</v>
      </c>
      <c r="S2740">
        <v>50</v>
      </c>
      <c r="T2740" s="13">
        <v>38</v>
      </c>
      <c r="U2740" s="13">
        <v>29</v>
      </c>
      <c r="V2740" t="s">
        <v>99</v>
      </c>
      <c r="X2740" s="13">
        <v>164</v>
      </c>
    </row>
    <row r="2741" spans="1:24" x14ac:dyDescent="0.25">
      <c r="A2741" t="s">
        <v>2516</v>
      </c>
      <c r="B2741" t="s">
        <v>65</v>
      </c>
      <c r="C2741" t="s">
        <v>2500</v>
      </c>
      <c r="D2741" t="s">
        <v>2501</v>
      </c>
      <c r="E2741" t="s">
        <v>2502</v>
      </c>
      <c r="F2741" t="s">
        <v>94</v>
      </c>
      <c r="G2741" t="s">
        <v>277</v>
      </c>
      <c r="H2741" s="12">
        <v>7.6672000000000002</v>
      </c>
      <c r="I2741" s="12">
        <v>-76.681100000000001</v>
      </c>
      <c r="J2741" t="s">
        <v>2503</v>
      </c>
      <c r="K2741" t="s">
        <v>97</v>
      </c>
      <c r="L2741" t="s">
        <v>1273</v>
      </c>
      <c r="M2741">
        <v>11</v>
      </c>
      <c r="P2741" s="13">
        <v>159</v>
      </c>
      <c r="Q2741" s="13">
        <v>34</v>
      </c>
      <c r="R2741">
        <v>30</v>
      </c>
      <c r="S2741">
        <v>38</v>
      </c>
      <c r="T2741" s="13">
        <v>28</v>
      </c>
      <c r="U2741" s="13">
        <v>25</v>
      </c>
      <c r="V2741" t="s">
        <v>99</v>
      </c>
      <c r="X2741" s="13">
        <v>159</v>
      </c>
    </row>
    <row r="2742" spans="1:24" x14ac:dyDescent="0.25">
      <c r="A2742" t="s">
        <v>2517</v>
      </c>
      <c r="B2742" t="s">
        <v>65</v>
      </c>
      <c r="C2742" t="s">
        <v>2500</v>
      </c>
      <c r="D2742" t="s">
        <v>2501</v>
      </c>
      <c r="E2742" t="s">
        <v>2502</v>
      </c>
      <c r="F2742" t="s">
        <v>94</v>
      </c>
      <c r="G2742" t="s">
        <v>277</v>
      </c>
      <c r="H2742" s="12">
        <v>7.6672000000000002</v>
      </c>
      <c r="I2742" s="12">
        <v>-76.681100000000001</v>
      </c>
      <c r="J2742" t="s">
        <v>2503</v>
      </c>
      <c r="K2742" t="s">
        <v>97</v>
      </c>
      <c r="L2742" t="s">
        <v>1273</v>
      </c>
      <c r="M2742">
        <v>11</v>
      </c>
      <c r="P2742" s="13">
        <v>157</v>
      </c>
      <c r="Q2742" s="13">
        <v>37</v>
      </c>
      <c r="R2742">
        <v>22</v>
      </c>
      <c r="S2742">
        <v>44</v>
      </c>
      <c r="T2742" s="13">
        <v>21</v>
      </c>
      <c r="U2742" s="13">
        <v>38</v>
      </c>
      <c r="V2742" t="s">
        <v>99</v>
      </c>
      <c r="X2742" s="13">
        <v>157</v>
      </c>
    </row>
    <row r="2743" spans="1:24" x14ac:dyDescent="0.25">
      <c r="A2743" t="s">
        <v>2518</v>
      </c>
      <c r="B2743" t="s">
        <v>65</v>
      </c>
      <c r="C2743" t="s">
        <v>2500</v>
      </c>
      <c r="D2743" t="s">
        <v>2501</v>
      </c>
      <c r="E2743" t="s">
        <v>2502</v>
      </c>
      <c r="F2743" t="s">
        <v>94</v>
      </c>
      <c r="G2743" t="s">
        <v>277</v>
      </c>
      <c r="H2743" s="12">
        <v>7.6672000000000002</v>
      </c>
      <c r="I2743" s="12">
        <v>-76.681100000000001</v>
      </c>
      <c r="J2743" t="s">
        <v>2503</v>
      </c>
      <c r="K2743" t="s">
        <v>97</v>
      </c>
      <c r="L2743" t="s">
        <v>1273</v>
      </c>
      <c r="M2743">
        <v>11</v>
      </c>
      <c r="P2743" s="13">
        <v>156</v>
      </c>
      <c r="Q2743" s="13">
        <v>29</v>
      </c>
      <c r="R2743">
        <v>40</v>
      </c>
      <c r="S2743">
        <v>38</v>
      </c>
      <c r="T2743" s="13">
        <v>19</v>
      </c>
      <c r="U2743" s="13">
        <v>27</v>
      </c>
      <c r="V2743" t="s">
        <v>99</v>
      </c>
      <c r="X2743" s="13">
        <v>156</v>
      </c>
    </row>
    <row r="2744" spans="1:24" x14ac:dyDescent="0.25">
      <c r="A2744" t="s">
        <v>2519</v>
      </c>
      <c r="B2744" t="s">
        <v>65</v>
      </c>
      <c r="C2744" t="s">
        <v>2500</v>
      </c>
      <c r="D2744" t="s">
        <v>2501</v>
      </c>
      <c r="E2744" t="s">
        <v>2502</v>
      </c>
      <c r="F2744" t="s">
        <v>94</v>
      </c>
      <c r="G2744" t="s">
        <v>277</v>
      </c>
      <c r="H2744" s="12">
        <v>7.6672000000000002</v>
      </c>
      <c r="I2744" s="12">
        <v>-76.681100000000001</v>
      </c>
      <c r="J2744" t="s">
        <v>2503</v>
      </c>
      <c r="K2744" t="s">
        <v>97</v>
      </c>
      <c r="L2744" t="s">
        <v>1273</v>
      </c>
      <c r="M2744">
        <v>11</v>
      </c>
      <c r="P2744" s="13">
        <v>153</v>
      </c>
      <c r="Q2744" s="13">
        <v>41</v>
      </c>
      <c r="R2744">
        <v>24</v>
      </c>
      <c r="S2744">
        <v>36</v>
      </c>
      <c r="T2744" s="13">
        <v>17</v>
      </c>
      <c r="U2744" s="13">
        <v>42</v>
      </c>
      <c r="V2744" t="s">
        <v>99</v>
      </c>
      <c r="X2744" s="13">
        <v>153</v>
      </c>
    </row>
    <row r="2745" spans="1:24" x14ac:dyDescent="0.25">
      <c r="A2745" t="s">
        <v>2520</v>
      </c>
      <c r="B2745" t="s">
        <v>65</v>
      </c>
      <c r="C2745" t="s">
        <v>2500</v>
      </c>
      <c r="D2745" t="s">
        <v>2501</v>
      </c>
      <c r="E2745" t="s">
        <v>2502</v>
      </c>
      <c r="F2745" t="s">
        <v>94</v>
      </c>
      <c r="G2745" t="s">
        <v>277</v>
      </c>
      <c r="H2745" s="12">
        <v>7.6672000000000002</v>
      </c>
      <c r="I2745" s="12">
        <v>-76.681100000000001</v>
      </c>
      <c r="J2745" t="s">
        <v>2503</v>
      </c>
      <c r="K2745" t="s">
        <v>97</v>
      </c>
      <c r="L2745" t="s">
        <v>1273</v>
      </c>
      <c r="M2745">
        <v>11</v>
      </c>
      <c r="P2745" s="13">
        <v>152</v>
      </c>
      <c r="Q2745" s="13">
        <v>44</v>
      </c>
      <c r="R2745">
        <v>28</v>
      </c>
      <c r="S2745">
        <v>32</v>
      </c>
      <c r="T2745" s="13">
        <v>16</v>
      </c>
      <c r="U2745" s="13">
        <v>36</v>
      </c>
      <c r="V2745" t="s">
        <v>99</v>
      </c>
      <c r="X2745" s="13">
        <v>152</v>
      </c>
    </row>
    <row r="2746" spans="1:24" x14ac:dyDescent="0.25">
      <c r="A2746" t="s">
        <v>2521</v>
      </c>
      <c r="B2746" t="s">
        <v>65</v>
      </c>
      <c r="C2746" t="s">
        <v>2500</v>
      </c>
      <c r="D2746" t="s">
        <v>2501</v>
      </c>
      <c r="E2746" t="s">
        <v>2502</v>
      </c>
      <c r="F2746" t="s">
        <v>94</v>
      </c>
      <c r="G2746" t="s">
        <v>277</v>
      </c>
      <c r="H2746" s="12">
        <v>7.6672000000000002</v>
      </c>
      <c r="I2746" s="12">
        <v>-76.681100000000001</v>
      </c>
      <c r="J2746" t="s">
        <v>2503</v>
      </c>
      <c r="K2746" t="s">
        <v>97</v>
      </c>
      <c r="L2746" t="s">
        <v>1273</v>
      </c>
      <c r="M2746">
        <v>11</v>
      </c>
      <c r="P2746" s="13">
        <v>152</v>
      </c>
      <c r="Q2746" s="13">
        <v>41</v>
      </c>
      <c r="R2746">
        <v>14</v>
      </c>
      <c r="S2746">
        <v>32</v>
      </c>
      <c r="T2746" s="13">
        <v>26</v>
      </c>
      <c r="U2746" s="13">
        <v>55</v>
      </c>
      <c r="V2746" t="s">
        <v>99</v>
      </c>
      <c r="X2746" s="13">
        <v>152</v>
      </c>
    </row>
    <row r="2747" spans="1:24" x14ac:dyDescent="0.25">
      <c r="A2747" t="s">
        <v>2522</v>
      </c>
      <c r="B2747" t="s">
        <v>65</v>
      </c>
      <c r="C2747" t="s">
        <v>2500</v>
      </c>
      <c r="D2747" t="s">
        <v>2501</v>
      </c>
      <c r="E2747" t="s">
        <v>2502</v>
      </c>
      <c r="F2747" t="s">
        <v>94</v>
      </c>
      <c r="G2747" t="s">
        <v>277</v>
      </c>
      <c r="H2747" s="12">
        <v>7.6672000000000002</v>
      </c>
      <c r="I2747" s="12">
        <v>-76.681100000000001</v>
      </c>
      <c r="J2747" t="s">
        <v>2503</v>
      </c>
      <c r="K2747" t="s">
        <v>97</v>
      </c>
      <c r="L2747" t="s">
        <v>1273</v>
      </c>
      <c r="M2747">
        <v>11</v>
      </c>
      <c r="P2747" s="13">
        <v>144</v>
      </c>
      <c r="Q2747" s="13">
        <v>29</v>
      </c>
      <c r="R2747">
        <v>28</v>
      </c>
      <c r="S2747">
        <v>32</v>
      </c>
      <c r="T2747" s="13">
        <v>24</v>
      </c>
      <c r="U2747" s="13">
        <v>35</v>
      </c>
      <c r="V2747" t="s">
        <v>99</v>
      </c>
      <c r="X2747" s="13">
        <v>144</v>
      </c>
    </row>
    <row r="2748" spans="1:24" x14ac:dyDescent="0.25">
      <c r="A2748" t="s">
        <v>2523</v>
      </c>
      <c r="B2748" t="s">
        <v>65</v>
      </c>
      <c r="C2748" t="s">
        <v>2500</v>
      </c>
      <c r="D2748" t="s">
        <v>2501</v>
      </c>
      <c r="E2748" t="s">
        <v>2502</v>
      </c>
      <c r="F2748" t="s">
        <v>94</v>
      </c>
      <c r="G2748" t="s">
        <v>277</v>
      </c>
      <c r="H2748" s="12">
        <v>7.6672000000000002</v>
      </c>
      <c r="I2748" s="12">
        <v>-76.681100000000001</v>
      </c>
      <c r="J2748" t="s">
        <v>2503</v>
      </c>
      <c r="K2748" t="s">
        <v>97</v>
      </c>
      <c r="L2748" t="s">
        <v>1273</v>
      </c>
      <c r="M2748">
        <v>11</v>
      </c>
      <c r="P2748" s="13">
        <v>143</v>
      </c>
      <c r="Q2748" s="13">
        <v>32</v>
      </c>
      <c r="R2748">
        <v>30</v>
      </c>
      <c r="S2748">
        <v>26</v>
      </c>
      <c r="T2748" s="13">
        <v>29</v>
      </c>
      <c r="U2748" s="13">
        <v>22</v>
      </c>
      <c r="V2748" t="s">
        <v>99</v>
      </c>
      <c r="X2748" s="13">
        <v>143</v>
      </c>
    </row>
    <row r="2749" spans="1:24" x14ac:dyDescent="0.25">
      <c r="A2749" t="s">
        <v>2524</v>
      </c>
      <c r="B2749" t="s">
        <v>65</v>
      </c>
      <c r="C2749" t="s">
        <v>2500</v>
      </c>
      <c r="D2749" t="s">
        <v>2501</v>
      </c>
      <c r="E2749" t="s">
        <v>2502</v>
      </c>
      <c r="F2749" t="s">
        <v>94</v>
      </c>
      <c r="G2749" t="s">
        <v>277</v>
      </c>
      <c r="H2749" s="12">
        <v>7.6672000000000002</v>
      </c>
      <c r="I2749" s="12">
        <v>-76.681100000000001</v>
      </c>
      <c r="J2749" t="s">
        <v>2503</v>
      </c>
      <c r="K2749" t="s">
        <v>97</v>
      </c>
      <c r="L2749" t="s">
        <v>1273</v>
      </c>
      <c r="M2749">
        <v>11</v>
      </c>
      <c r="P2749" s="13">
        <v>138</v>
      </c>
      <c r="Q2749" s="13">
        <v>37</v>
      </c>
      <c r="R2749">
        <v>22</v>
      </c>
      <c r="S2749">
        <v>38</v>
      </c>
      <c r="T2749" s="13">
        <v>16</v>
      </c>
      <c r="U2749" s="13">
        <v>22</v>
      </c>
      <c r="V2749" t="s">
        <v>99</v>
      </c>
      <c r="X2749" s="13">
        <v>138</v>
      </c>
    </row>
    <row r="2750" spans="1:24" x14ac:dyDescent="0.25">
      <c r="A2750" t="s">
        <v>2525</v>
      </c>
      <c r="B2750" t="s">
        <v>65</v>
      </c>
      <c r="C2750" t="s">
        <v>2500</v>
      </c>
      <c r="D2750" t="s">
        <v>2501</v>
      </c>
      <c r="E2750" t="s">
        <v>2502</v>
      </c>
      <c r="F2750" t="s">
        <v>94</v>
      </c>
      <c r="G2750" t="s">
        <v>277</v>
      </c>
      <c r="H2750" s="12">
        <v>7.6672000000000002</v>
      </c>
      <c r="I2750" s="12">
        <v>-76.681100000000001</v>
      </c>
      <c r="J2750" t="s">
        <v>2503</v>
      </c>
      <c r="K2750" t="s">
        <v>97</v>
      </c>
      <c r="L2750" t="s">
        <v>1273</v>
      </c>
      <c r="M2750">
        <v>11</v>
      </c>
      <c r="P2750" s="13">
        <v>135</v>
      </c>
      <c r="Q2750" s="13">
        <v>32</v>
      </c>
      <c r="R2750">
        <v>28</v>
      </c>
      <c r="S2750">
        <v>26</v>
      </c>
      <c r="T2750" s="13">
        <v>24</v>
      </c>
      <c r="U2750" s="13">
        <v>22</v>
      </c>
      <c r="V2750" t="s">
        <v>99</v>
      </c>
      <c r="X2750" s="13">
        <v>135</v>
      </c>
    </row>
    <row r="2751" spans="1:24" x14ac:dyDescent="0.25">
      <c r="A2751" t="s">
        <v>2526</v>
      </c>
      <c r="B2751" t="s">
        <v>65</v>
      </c>
      <c r="C2751" t="s">
        <v>2500</v>
      </c>
      <c r="D2751" t="s">
        <v>2501</v>
      </c>
      <c r="E2751" t="s">
        <v>2502</v>
      </c>
      <c r="F2751" t="s">
        <v>94</v>
      </c>
      <c r="G2751" t="s">
        <v>277</v>
      </c>
      <c r="H2751" s="12">
        <v>7.6672000000000002</v>
      </c>
      <c r="I2751" s="12">
        <v>-76.681100000000001</v>
      </c>
      <c r="J2751" t="s">
        <v>2503</v>
      </c>
      <c r="K2751" t="s">
        <v>97</v>
      </c>
      <c r="L2751" t="s">
        <v>1273</v>
      </c>
      <c r="M2751">
        <v>11</v>
      </c>
      <c r="P2751" s="13">
        <v>135</v>
      </c>
      <c r="Q2751" s="13">
        <v>27</v>
      </c>
      <c r="R2751">
        <v>28</v>
      </c>
      <c r="S2751">
        <v>34</v>
      </c>
      <c r="T2751" s="13">
        <v>17</v>
      </c>
      <c r="U2751" s="13">
        <v>33</v>
      </c>
      <c r="V2751" t="s">
        <v>99</v>
      </c>
      <c r="X2751" s="13">
        <v>135</v>
      </c>
    </row>
    <row r="2752" spans="1:24" x14ac:dyDescent="0.25">
      <c r="A2752" t="s">
        <v>2527</v>
      </c>
      <c r="B2752" t="s">
        <v>65</v>
      </c>
      <c r="C2752" t="s">
        <v>2500</v>
      </c>
      <c r="D2752" t="s">
        <v>2501</v>
      </c>
      <c r="E2752" t="s">
        <v>2502</v>
      </c>
      <c r="F2752" t="s">
        <v>94</v>
      </c>
      <c r="G2752" t="s">
        <v>277</v>
      </c>
      <c r="H2752" s="12">
        <v>7.6672000000000002</v>
      </c>
      <c r="I2752" s="12">
        <v>-76.681100000000001</v>
      </c>
      <c r="J2752" t="s">
        <v>2503</v>
      </c>
      <c r="K2752" t="s">
        <v>97</v>
      </c>
      <c r="L2752" t="s">
        <v>1273</v>
      </c>
      <c r="M2752">
        <v>11</v>
      </c>
      <c r="P2752" s="13">
        <v>134</v>
      </c>
      <c r="Q2752" s="13">
        <v>32</v>
      </c>
      <c r="R2752">
        <v>20</v>
      </c>
      <c r="S2752">
        <v>32</v>
      </c>
      <c r="T2752" s="13">
        <v>21</v>
      </c>
      <c r="U2752" s="13">
        <v>35</v>
      </c>
      <c r="V2752" t="s">
        <v>99</v>
      </c>
      <c r="X2752" s="13">
        <v>134</v>
      </c>
    </row>
    <row r="2753" spans="1:24" x14ac:dyDescent="0.25">
      <c r="A2753" t="s">
        <v>2528</v>
      </c>
      <c r="B2753" t="s">
        <v>65</v>
      </c>
      <c r="C2753" t="s">
        <v>2500</v>
      </c>
      <c r="D2753" t="s">
        <v>2501</v>
      </c>
      <c r="E2753" t="s">
        <v>2502</v>
      </c>
      <c r="F2753" t="s">
        <v>94</v>
      </c>
      <c r="G2753" t="s">
        <v>277</v>
      </c>
      <c r="H2753" s="12">
        <v>7.6672000000000002</v>
      </c>
      <c r="I2753" s="12">
        <v>-76.681100000000001</v>
      </c>
      <c r="J2753" t="s">
        <v>2503</v>
      </c>
      <c r="K2753" t="s">
        <v>97</v>
      </c>
      <c r="L2753" t="s">
        <v>1273</v>
      </c>
      <c r="M2753">
        <v>11</v>
      </c>
      <c r="P2753" s="13">
        <v>133</v>
      </c>
      <c r="Q2753" s="13">
        <v>22</v>
      </c>
      <c r="R2753">
        <v>28</v>
      </c>
      <c r="S2753">
        <v>38</v>
      </c>
      <c r="T2753" s="13">
        <v>19</v>
      </c>
      <c r="U2753" s="13">
        <v>25</v>
      </c>
      <c r="V2753" t="s">
        <v>99</v>
      </c>
      <c r="X2753" s="13">
        <v>133</v>
      </c>
    </row>
    <row r="2754" spans="1:24" x14ac:dyDescent="0.25">
      <c r="A2754" t="s">
        <v>2529</v>
      </c>
      <c r="B2754" t="s">
        <v>65</v>
      </c>
      <c r="C2754" t="s">
        <v>2500</v>
      </c>
      <c r="D2754" t="s">
        <v>2501</v>
      </c>
      <c r="E2754" t="s">
        <v>2502</v>
      </c>
      <c r="F2754" t="s">
        <v>94</v>
      </c>
      <c r="G2754" t="s">
        <v>277</v>
      </c>
      <c r="H2754" s="12">
        <v>7.6672000000000002</v>
      </c>
      <c r="I2754" s="12">
        <v>-76.681100000000001</v>
      </c>
      <c r="J2754" t="s">
        <v>2503</v>
      </c>
      <c r="K2754" t="s">
        <v>97</v>
      </c>
      <c r="L2754" t="s">
        <v>1273</v>
      </c>
      <c r="M2754">
        <v>11</v>
      </c>
      <c r="P2754" s="13">
        <v>133</v>
      </c>
      <c r="Q2754" s="13">
        <v>32</v>
      </c>
      <c r="R2754">
        <v>20</v>
      </c>
      <c r="S2754">
        <v>26</v>
      </c>
      <c r="T2754" s="13">
        <v>29</v>
      </c>
      <c r="U2754" s="13">
        <v>24</v>
      </c>
      <c r="V2754" t="s">
        <v>99</v>
      </c>
      <c r="X2754" s="13">
        <v>133</v>
      </c>
    </row>
    <row r="2755" spans="1:24" x14ac:dyDescent="0.25">
      <c r="A2755" t="s">
        <v>2530</v>
      </c>
      <c r="B2755" t="s">
        <v>65</v>
      </c>
      <c r="C2755" t="s">
        <v>2500</v>
      </c>
      <c r="D2755" t="s">
        <v>2501</v>
      </c>
      <c r="E2755" t="s">
        <v>2502</v>
      </c>
      <c r="F2755" t="s">
        <v>94</v>
      </c>
      <c r="G2755" t="s">
        <v>277</v>
      </c>
      <c r="H2755" s="12">
        <v>7.6672000000000002</v>
      </c>
      <c r="I2755" s="12">
        <v>-76.681100000000001</v>
      </c>
      <c r="J2755" t="s">
        <v>2503</v>
      </c>
      <c r="K2755" t="s">
        <v>97</v>
      </c>
      <c r="L2755" t="s">
        <v>1273</v>
      </c>
      <c r="M2755">
        <v>11</v>
      </c>
      <c r="P2755" s="13">
        <v>130</v>
      </c>
      <c r="Q2755" s="13">
        <v>34</v>
      </c>
      <c r="R2755">
        <v>26</v>
      </c>
      <c r="S2755">
        <v>24</v>
      </c>
      <c r="T2755" s="13">
        <v>22</v>
      </c>
      <c r="U2755" s="13">
        <v>18</v>
      </c>
      <c r="V2755" t="s">
        <v>99</v>
      </c>
      <c r="X2755" s="13">
        <v>130</v>
      </c>
    </row>
    <row r="2756" spans="1:24" x14ac:dyDescent="0.25">
      <c r="A2756" t="s">
        <v>2531</v>
      </c>
      <c r="B2756" t="s">
        <v>65</v>
      </c>
      <c r="C2756" t="s">
        <v>2500</v>
      </c>
      <c r="D2756" t="s">
        <v>2501</v>
      </c>
      <c r="E2756" t="s">
        <v>2502</v>
      </c>
      <c r="F2756" t="s">
        <v>94</v>
      </c>
      <c r="G2756" t="s">
        <v>277</v>
      </c>
      <c r="H2756" s="12">
        <v>7.6672000000000002</v>
      </c>
      <c r="I2756" s="12">
        <v>-76.681100000000001</v>
      </c>
      <c r="J2756" t="s">
        <v>2503</v>
      </c>
      <c r="K2756" t="s">
        <v>97</v>
      </c>
      <c r="L2756" t="s">
        <v>1273</v>
      </c>
      <c r="M2756">
        <v>11</v>
      </c>
      <c r="P2756" s="13">
        <v>125</v>
      </c>
      <c r="Q2756" s="13">
        <v>27</v>
      </c>
      <c r="R2756">
        <v>12</v>
      </c>
      <c r="S2756">
        <v>30</v>
      </c>
      <c r="T2756" s="13">
        <v>26</v>
      </c>
      <c r="U2756" s="13">
        <v>40</v>
      </c>
      <c r="V2756" t="s">
        <v>99</v>
      </c>
      <c r="X2756" s="13">
        <v>125</v>
      </c>
    </row>
    <row r="2757" spans="1:24" x14ac:dyDescent="0.25">
      <c r="A2757" t="s">
        <v>2532</v>
      </c>
      <c r="B2757" t="s">
        <v>65</v>
      </c>
      <c r="C2757" t="s">
        <v>2500</v>
      </c>
      <c r="D2757" t="s">
        <v>2501</v>
      </c>
      <c r="E2757" t="s">
        <v>2502</v>
      </c>
      <c r="F2757" t="s">
        <v>94</v>
      </c>
      <c r="G2757" t="s">
        <v>277</v>
      </c>
      <c r="H2757" s="12">
        <v>7.6672000000000002</v>
      </c>
      <c r="I2757" s="12">
        <v>-76.681100000000001</v>
      </c>
      <c r="J2757" t="s">
        <v>2503</v>
      </c>
      <c r="K2757" t="s">
        <v>97</v>
      </c>
      <c r="L2757" t="s">
        <v>1273</v>
      </c>
      <c r="M2757">
        <v>11</v>
      </c>
      <c r="P2757" s="13">
        <v>125</v>
      </c>
      <c r="Q2757" s="13">
        <v>32</v>
      </c>
      <c r="R2757">
        <v>24</v>
      </c>
      <c r="S2757">
        <v>24</v>
      </c>
      <c r="T2757" s="13">
        <v>16</v>
      </c>
      <c r="U2757" s="13">
        <v>38</v>
      </c>
      <c r="V2757" t="s">
        <v>99</v>
      </c>
      <c r="X2757" s="13">
        <v>125</v>
      </c>
    </row>
    <row r="2758" spans="1:24" x14ac:dyDescent="0.25">
      <c r="A2758" t="s">
        <v>2533</v>
      </c>
      <c r="B2758" t="s">
        <v>65</v>
      </c>
      <c r="C2758" t="s">
        <v>2534</v>
      </c>
      <c r="D2758" t="s">
        <v>2535</v>
      </c>
      <c r="E2758" t="s">
        <v>2536</v>
      </c>
      <c r="F2758" t="s">
        <v>94</v>
      </c>
      <c r="G2758" t="s">
        <v>277</v>
      </c>
      <c r="H2758" s="12">
        <v>5.5468999999999999</v>
      </c>
      <c r="I2758" s="12">
        <v>-75.642499999999998</v>
      </c>
      <c r="J2758" t="s">
        <v>2537</v>
      </c>
      <c r="K2758" t="s">
        <v>97</v>
      </c>
      <c r="L2758" t="s">
        <v>1273</v>
      </c>
      <c r="M2758">
        <v>11</v>
      </c>
      <c r="P2758" s="13">
        <v>241</v>
      </c>
      <c r="Q2758" s="13">
        <v>59</v>
      </c>
      <c r="R2758">
        <v>40</v>
      </c>
      <c r="S2758">
        <v>56</v>
      </c>
      <c r="T2758" s="13">
        <v>40</v>
      </c>
      <c r="U2758" s="13">
        <v>44</v>
      </c>
      <c r="V2758" t="s">
        <v>99</v>
      </c>
      <c r="X2758" s="13">
        <v>241</v>
      </c>
    </row>
    <row r="2759" spans="1:24" x14ac:dyDescent="0.25">
      <c r="A2759" t="s">
        <v>2538</v>
      </c>
      <c r="B2759" t="s">
        <v>65</v>
      </c>
      <c r="C2759" t="s">
        <v>2534</v>
      </c>
      <c r="D2759" t="s">
        <v>2535</v>
      </c>
      <c r="E2759" t="s">
        <v>2536</v>
      </c>
      <c r="F2759" t="s">
        <v>94</v>
      </c>
      <c r="G2759" t="s">
        <v>277</v>
      </c>
      <c r="H2759" s="12">
        <v>5.5468999999999999</v>
      </c>
      <c r="I2759" s="12">
        <v>-75.642499999999998</v>
      </c>
      <c r="J2759" t="s">
        <v>2537</v>
      </c>
      <c r="K2759" t="s">
        <v>97</v>
      </c>
      <c r="L2759" t="s">
        <v>1273</v>
      </c>
      <c r="M2759">
        <v>11</v>
      </c>
      <c r="P2759" s="13">
        <v>227</v>
      </c>
      <c r="Q2759" s="13">
        <v>54</v>
      </c>
      <c r="R2759">
        <v>42</v>
      </c>
      <c r="S2759">
        <v>48</v>
      </c>
      <c r="T2759" s="13">
        <v>41</v>
      </c>
      <c r="U2759" s="13">
        <v>35</v>
      </c>
      <c r="V2759" t="s">
        <v>99</v>
      </c>
      <c r="X2759" s="13">
        <v>227</v>
      </c>
    </row>
    <row r="2760" spans="1:24" x14ac:dyDescent="0.25">
      <c r="A2760" t="s">
        <v>2539</v>
      </c>
      <c r="B2760" t="s">
        <v>65</v>
      </c>
      <c r="C2760" t="s">
        <v>2534</v>
      </c>
      <c r="D2760" t="s">
        <v>2535</v>
      </c>
      <c r="E2760" t="s">
        <v>2536</v>
      </c>
      <c r="F2760" t="s">
        <v>94</v>
      </c>
      <c r="G2760" t="s">
        <v>277</v>
      </c>
      <c r="H2760" s="12">
        <v>5.5468999999999999</v>
      </c>
      <c r="I2760" s="12">
        <v>-75.642499999999998</v>
      </c>
      <c r="J2760" t="s">
        <v>2537</v>
      </c>
      <c r="K2760" t="s">
        <v>97</v>
      </c>
      <c r="L2760" t="s">
        <v>1273</v>
      </c>
      <c r="M2760">
        <v>11</v>
      </c>
      <c r="P2760" s="13">
        <v>205</v>
      </c>
      <c r="Q2760" s="13">
        <v>46</v>
      </c>
      <c r="R2760">
        <v>28</v>
      </c>
      <c r="S2760">
        <v>52</v>
      </c>
      <c r="T2760" s="13">
        <v>34</v>
      </c>
      <c r="U2760" s="13">
        <v>51</v>
      </c>
      <c r="V2760" t="s">
        <v>99</v>
      </c>
      <c r="X2760" s="13">
        <v>205</v>
      </c>
    </row>
    <row r="2761" spans="1:24" x14ac:dyDescent="0.25">
      <c r="A2761" t="s">
        <v>2540</v>
      </c>
      <c r="B2761" t="s">
        <v>65</v>
      </c>
      <c r="C2761" t="s">
        <v>2534</v>
      </c>
      <c r="D2761" t="s">
        <v>2535</v>
      </c>
      <c r="E2761" t="s">
        <v>2536</v>
      </c>
      <c r="F2761" t="s">
        <v>94</v>
      </c>
      <c r="G2761" t="s">
        <v>277</v>
      </c>
      <c r="H2761" s="12">
        <v>5.5468999999999999</v>
      </c>
      <c r="I2761" s="12">
        <v>-75.642499999999998</v>
      </c>
      <c r="J2761" t="s">
        <v>2537</v>
      </c>
      <c r="K2761" t="s">
        <v>97</v>
      </c>
      <c r="L2761" t="s">
        <v>1273</v>
      </c>
      <c r="M2761">
        <v>11</v>
      </c>
      <c r="P2761" s="13">
        <v>201</v>
      </c>
      <c r="Q2761" s="13">
        <v>49</v>
      </c>
      <c r="R2761">
        <v>32</v>
      </c>
      <c r="S2761">
        <v>42</v>
      </c>
      <c r="T2761" s="13">
        <v>31</v>
      </c>
      <c r="U2761" s="13">
        <v>62</v>
      </c>
      <c r="V2761" t="s">
        <v>99</v>
      </c>
      <c r="X2761" s="13">
        <v>201</v>
      </c>
    </row>
    <row r="2762" spans="1:24" x14ac:dyDescent="0.25">
      <c r="A2762" t="s">
        <v>2541</v>
      </c>
      <c r="B2762" t="s">
        <v>65</v>
      </c>
      <c r="C2762" t="s">
        <v>2534</v>
      </c>
      <c r="D2762" t="s">
        <v>2535</v>
      </c>
      <c r="E2762" t="s">
        <v>2536</v>
      </c>
      <c r="F2762" t="s">
        <v>94</v>
      </c>
      <c r="G2762" t="s">
        <v>277</v>
      </c>
      <c r="H2762" s="12">
        <v>5.5468999999999999</v>
      </c>
      <c r="I2762" s="12">
        <v>-75.642499999999998</v>
      </c>
      <c r="J2762" t="s">
        <v>2537</v>
      </c>
      <c r="K2762" t="s">
        <v>97</v>
      </c>
      <c r="L2762" t="s">
        <v>1273</v>
      </c>
      <c r="M2762">
        <v>11</v>
      </c>
      <c r="P2762" s="13">
        <v>199</v>
      </c>
      <c r="Q2762" s="13">
        <v>63</v>
      </c>
      <c r="R2762">
        <v>36</v>
      </c>
      <c r="S2762">
        <v>34</v>
      </c>
      <c r="T2762" s="13">
        <v>22</v>
      </c>
      <c r="U2762" s="13">
        <v>51</v>
      </c>
      <c r="V2762" t="s">
        <v>99</v>
      </c>
      <c r="X2762" s="13">
        <v>199</v>
      </c>
    </row>
    <row r="2763" spans="1:24" x14ac:dyDescent="0.25">
      <c r="A2763" t="s">
        <v>2542</v>
      </c>
      <c r="B2763" t="s">
        <v>65</v>
      </c>
      <c r="C2763" t="s">
        <v>2534</v>
      </c>
      <c r="D2763" t="s">
        <v>2535</v>
      </c>
      <c r="E2763" t="s">
        <v>2536</v>
      </c>
      <c r="F2763" t="s">
        <v>94</v>
      </c>
      <c r="G2763" t="s">
        <v>277</v>
      </c>
      <c r="H2763" s="12">
        <v>5.5468999999999999</v>
      </c>
      <c r="I2763" s="12">
        <v>-75.642499999999998</v>
      </c>
      <c r="J2763" t="s">
        <v>2537</v>
      </c>
      <c r="K2763" t="s">
        <v>97</v>
      </c>
      <c r="L2763" t="s">
        <v>1273</v>
      </c>
      <c r="M2763">
        <v>11</v>
      </c>
      <c r="P2763" s="13">
        <v>199</v>
      </c>
      <c r="Q2763" s="13">
        <v>46</v>
      </c>
      <c r="R2763">
        <v>38</v>
      </c>
      <c r="S2763">
        <v>48</v>
      </c>
      <c r="T2763" s="13">
        <v>28</v>
      </c>
      <c r="U2763" s="13">
        <v>38</v>
      </c>
      <c r="V2763" t="s">
        <v>99</v>
      </c>
      <c r="X2763" s="13">
        <v>199</v>
      </c>
    </row>
    <row r="2764" spans="1:24" x14ac:dyDescent="0.25">
      <c r="A2764" t="s">
        <v>2543</v>
      </c>
      <c r="B2764" t="s">
        <v>65</v>
      </c>
      <c r="C2764" t="s">
        <v>2534</v>
      </c>
      <c r="D2764" t="s">
        <v>2535</v>
      </c>
      <c r="E2764" t="s">
        <v>2536</v>
      </c>
      <c r="F2764" t="s">
        <v>94</v>
      </c>
      <c r="G2764" t="s">
        <v>277</v>
      </c>
      <c r="H2764" s="12">
        <v>5.5468999999999999</v>
      </c>
      <c r="I2764" s="12">
        <v>-75.642499999999998</v>
      </c>
      <c r="J2764" t="s">
        <v>2537</v>
      </c>
      <c r="K2764" t="s">
        <v>97</v>
      </c>
      <c r="L2764" t="s">
        <v>1273</v>
      </c>
      <c r="M2764">
        <v>11</v>
      </c>
      <c r="P2764" s="13">
        <v>191</v>
      </c>
      <c r="Q2764" s="13">
        <v>37</v>
      </c>
      <c r="R2764">
        <v>26</v>
      </c>
      <c r="S2764">
        <v>50</v>
      </c>
      <c r="T2764" s="13">
        <v>45</v>
      </c>
      <c r="U2764" s="13">
        <v>25</v>
      </c>
      <c r="V2764" t="s">
        <v>99</v>
      </c>
      <c r="X2764" s="13">
        <v>191</v>
      </c>
    </row>
    <row r="2765" spans="1:24" x14ac:dyDescent="0.25">
      <c r="A2765" t="s">
        <v>2544</v>
      </c>
      <c r="B2765" t="s">
        <v>65</v>
      </c>
      <c r="C2765" t="s">
        <v>2534</v>
      </c>
      <c r="D2765" t="s">
        <v>2535</v>
      </c>
      <c r="E2765" t="s">
        <v>2536</v>
      </c>
      <c r="F2765" t="s">
        <v>94</v>
      </c>
      <c r="G2765" t="s">
        <v>277</v>
      </c>
      <c r="H2765" s="12">
        <v>5.5468999999999999</v>
      </c>
      <c r="I2765" s="12">
        <v>-75.642499999999998</v>
      </c>
      <c r="J2765" t="s">
        <v>2537</v>
      </c>
      <c r="K2765" t="s">
        <v>97</v>
      </c>
      <c r="L2765" t="s">
        <v>1273</v>
      </c>
      <c r="M2765">
        <v>11</v>
      </c>
      <c r="P2765" s="13">
        <v>185</v>
      </c>
      <c r="Q2765" s="13">
        <v>54</v>
      </c>
      <c r="R2765">
        <v>16</v>
      </c>
      <c r="S2765">
        <v>44</v>
      </c>
      <c r="T2765" s="13">
        <v>34</v>
      </c>
      <c r="U2765" s="13">
        <v>36</v>
      </c>
      <c r="V2765" t="s">
        <v>99</v>
      </c>
      <c r="X2765" s="13">
        <v>185</v>
      </c>
    </row>
    <row r="2766" spans="1:24" x14ac:dyDescent="0.25">
      <c r="A2766" t="s">
        <v>2545</v>
      </c>
      <c r="B2766" t="s">
        <v>65</v>
      </c>
      <c r="C2766" t="s">
        <v>2534</v>
      </c>
      <c r="D2766" t="s">
        <v>2535</v>
      </c>
      <c r="E2766" t="s">
        <v>2536</v>
      </c>
      <c r="F2766" t="s">
        <v>94</v>
      </c>
      <c r="G2766" t="s">
        <v>277</v>
      </c>
      <c r="H2766" s="12">
        <v>5.5468999999999999</v>
      </c>
      <c r="I2766" s="12">
        <v>-75.642499999999998</v>
      </c>
      <c r="J2766" t="s">
        <v>2537</v>
      </c>
      <c r="K2766" t="s">
        <v>97</v>
      </c>
      <c r="L2766" t="s">
        <v>1273</v>
      </c>
      <c r="M2766">
        <v>11</v>
      </c>
      <c r="P2766" s="13">
        <v>183</v>
      </c>
      <c r="Q2766" s="13">
        <v>51</v>
      </c>
      <c r="R2766">
        <v>22</v>
      </c>
      <c r="S2766">
        <v>42</v>
      </c>
      <c r="T2766" s="13">
        <v>33</v>
      </c>
      <c r="U2766" s="13">
        <v>33</v>
      </c>
      <c r="V2766" t="s">
        <v>99</v>
      </c>
      <c r="X2766" s="13">
        <v>183</v>
      </c>
    </row>
    <row r="2767" spans="1:24" x14ac:dyDescent="0.25">
      <c r="A2767" t="s">
        <v>2546</v>
      </c>
      <c r="B2767" t="s">
        <v>65</v>
      </c>
      <c r="C2767" t="s">
        <v>2534</v>
      </c>
      <c r="D2767" t="s">
        <v>2535</v>
      </c>
      <c r="E2767" t="s">
        <v>2536</v>
      </c>
      <c r="F2767" t="s">
        <v>94</v>
      </c>
      <c r="G2767" t="s">
        <v>277</v>
      </c>
      <c r="H2767" s="12">
        <v>5.5468999999999999</v>
      </c>
      <c r="I2767" s="12">
        <v>-75.642499999999998</v>
      </c>
      <c r="J2767" t="s">
        <v>2537</v>
      </c>
      <c r="K2767" t="s">
        <v>97</v>
      </c>
      <c r="L2767" t="s">
        <v>1273</v>
      </c>
      <c r="M2767">
        <v>11</v>
      </c>
      <c r="P2767" s="13">
        <v>183</v>
      </c>
      <c r="Q2767" s="13">
        <v>44</v>
      </c>
      <c r="R2767">
        <v>34</v>
      </c>
      <c r="S2767">
        <v>46</v>
      </c>
      <c r="T2767" s="13">
        <v>26</v>
      </c>
      <c r="U2767" s="13">
        <v>25</v>
      </c>
      <c r="V2767" t="s">
        <v>99</v>
      </c>
      <c r="X2767" s="13">
        <v>183</v>
      </c>
    </row>
    <row r="2768" spans="1:24" x14ac:dyDescent="0.25">
      <c r="A2768" t="s">
        <v>2547</v>
      </c>
      <c r="B2768" t="s">
        <v>65</v>
      </c>
      <c r="C2768" t="s">
        <v>2534</v>
      </c>
      <c r="D2768" t="s">
        <v>2535</v>
      </c>
      <c r="E2768" t="s">
        <v>2536</v>
      </c>
      <c r="F2768" t="s">
        <v>94</v>
      </c>
      <c r="G2768" t="s">
        <v>277</v>
      </c>
      <c r="H2768" s="12">
        <v>5.5468999999999999</v>
      </c>
      <c r="I2768" s="12">
        <v>-75.642499999999998</v>
      </c>
      <c r="J2768" t="s">
        <v>2537</v>
      </c>
      <c r="K2768" t="s">
        <v>97</v>
      </c>
      <c r="L2768" t="s">
        <v>1273</v>
      </c>
      <c r="M2768">
        <v>11</v>
      </c>
      <c r="P2768" s="13">
        <v>182</v>
      </c>
      <c r="Q2768" s="13">
        <v>44</v>
      </c>
      <c r="R2768">
        <v>26</v>
      </c>
      <c r="S2768">
        <v>48</v>
      </c>
      <c r="T2768" s="13">
        <v>29</v>
      </c>
      <c r="U2768" s="13">
        <v>31</v>
      </c>
      <c r="V2768" t="s">
        <v>99</v>
      </c>
      <c r="X2768" s="13">
        <v>182</v>
      </c>
    </row>
    <row r="2769" spans="1:24" x14ac:dyDescent="0.25">
      <c r="A2769" t="s">
        <v>2548</v>
      </c>
      <c r="B2769" t="s">
        <v>65</v>
      </c>
      <c r="C2769" t="s">
        <v>2534</v>
      </c>
      <c r="D2769" t="s">
        <v>2535</v>
      </c>
      <c r="E2769" t="s">
        <v>2536</v>
      </c>
      <c r="F2769" t="s">
        <v>94</v>
      </c>
      <c r="G2769" t="s">
        <v>277</v>
      </c>
      <c r="H2769" s="12">
        <v>5.5468999999999999</v>
      </c>
      <c r="I2769" s="12">
        <v>-75.642499999999998</v>
      </c>
      <c r="J2769" t="s">
        <v>2537</v>
      </c>
      <c r="K2769" t="s">
        <v>97</v>
      </c>
      <c r="L2769" t="s">
        <v>1273</v>
      </c>
      <c r="M2769">
        <v>11</v>
      </c>
      <c r="P2769" s="13">
        <v>181</v>
      </c>
      <c r="Q2769" s="13">
        <v>49</v>
      </c>
      <c r="R2769">
        <v>26</v>
      </c>
      <c r="S2769">
        <v>38</v>
      </c>
      <c r="T2769" s="13">
        <v>31</v>
      </c>
      <c r="U2769" s="13">
        <v>38</v>
      </c>
      <c r="V2769" t="s">
        <v>99</v>
      </c>
      <c r="X2769" s="13">
        <v>181</v>
      </c>
    </row>
    <row r="2770" spans="1:24" x14ac:dyDescent="0.25">
      <c r="A2770" t="s">
        <v>2549</v>
      </c>
      <c r="B2770" t="s">
        <v>65</v>
      </c>
      <c r="C2770" t="s">
        <v>2534</v>
      </c>
      <c r="D2770" t="s">
        <v>2535</v>
      </c>
      <c r="E2770" t="s">
        <v>2536</v>
      </c>
      <c r="F2770" t="s">
        <v>94</v>
      </c>
      <c r="G2770" t="s">
        <v>277</v>
      </c>
      <c r="H2770" s="12">
        <v>5.5468999999999999</v>
      </c>
      <c r="I2770" s="12">
        <v>-75.642499999999998</v>
      </c>
      <c r="J2770" t="s">
        <v>2537</v>
      </c>
      <c r="K2770" t="s">
        <v>97</v>
      </c>
      <c r="L2770" t="s">
        <v>1273</v>
      </c>
      <c r="M2770">
        <v>11</v>
      </c>
      <c r="P2770" s="13">
        <v>180</v>
      </c>
      <c r="Q2770" s="13">
        <v>44</v>
      </c>
      <c r="R2770">
        <v>26</v>
      </c>
      <c r="S2770">
        <v>38</v>
      </c>
      <c r="T2770" s="13">
        <v>34</v>
      </c>
      <c r="U2770" s="13">
        <v>40</v>
      </c>
      <c r="V2770" t="s">
        <v>99</v>
      </c>
      <c r="X2770" s="13">
        <v>180</v>
      </c>
    </row>
    <row r="2771" spans="1:24" x14ac:dyDescent="0.25">
      <c r="A2771" t="s">
        <v>2550</v>
      </c>
      <c r="B2771" t="s">
        <v>65</v>
      </c>
      <c r="C2771" t="s">
        <v>2534</v>
      </c>
      <c r="D2771" t="s">
        <v>2535</v>
      </c>
      <c r="E2771" t="s">
        <v>2536</v>
      </c>
      <c r="F2771" t="s">
        <v>94</v>
      </c>
      <c r="G2771" t="s">
        <v>277</v>
      </c>
      <c r="H2771" s="12">
        <v>5.5468999999999999</v>
      </c>
      <c r="I2771" s="12">
        <v>-75.642499999999998</v>
      </c>
      <c r="J2771" t="s">
        <v>2537</v>
      </c>
      <c r="K2771" t="s">
        <v>97</v>
      </c>
      <c r="L2771" t="s">
        <v>1273</v>
      </c>
      <c r="M2771">
        <v>11</v>
      </c>
      <c r="P2771" s="13">
        <v>177</v>
      </c>
      <c r="Q2771" s="13">
        <v>46</v>
      </c>
      <c r="R2771">
        <v>24</v>
      </c>
      <c r="S2771">
        <v>46</v>
      </c>
      <c r="T2771" s="13">
        <v>22</v>
      </c>
      <c r="U2771" s="13">
        <v>44</v>
      </c>
      <c r="V2771" t="s">
        <v>99</v>
      </c>
      <c r="X2771" s="13">
        <v>177</v>
      </c>
    </row>
    <row r="2772" spans="1:24" x14ac:dyDescent="0.25">
      <c r="A2772" t="s">
        <v>2551</v>
      </c>
      <c r="B2772" t="s">
        <v>65</v>
      </c>
      <c r="C2772" t="s">
        <v>2534</v>
      </c>
      <c r="D2772" t="s">
        <v>2535</v>
      </c>
      <c r="E2772" t="s">
        <v>2536</v>
      </c>
      <c r="F2772" t="s">
        <v>94</v>
      </c>
      <c r="G2772" t="s">
        <v>277</v>
      </c>
      <c r="H2772" s="12">
        <v>5.5468999999999999</v>
      </c>
      <c r="I2772" s="12">
        <v>-75.642499999999998</v>
      </c>
      <c r="J2772" t="s">
        <v>2537</v>
      </c>
      <c r="K2772" t="s">
        <v>97</v>
      </c>
      <c r="L2772" t="s">
        <v>1273</v>
      </c>
      <c r="M2772">
        <v>11</v>
      </c>
      <c r="P2772" s="13">
        <v>176</v>
      </c>
      <c r="Q2772" s="13">
        <v>37</v>
      </c>
      <c r="R2772">
        <v>26</v>
      </c>
      <c r="S2772">
        <v>34</v>
      </c>
      <c r="T2772" s="13">
        <v>36</v>
      </c>
      <c r="U2772" s="13">
        <v>60</v>
      </c>
      <c r="V2772" t="s">
        <v>99</v>
      </c>
      <c r="X2772" s="13">
        <v>176</v>
      </c>
    </row>
    <row r="2773" spans="1:24" x14ac:dyDescent="0.25">
      <c r="A2773" t="s">
        <v>2552</v>
      </c>
      <c r="B2773" t="s">
        <v>65</v>
      </c>
      <c r="C2773" t="s">
        <v>2534</v>
      </c>
      <c r="D2773" t="s">
        <v>2535</v>
      </c>
      <c r="E2773" t="s">
        <v>2536</v>
      </c>
      <c r="F2773" t="s">
        <v>94</v>
      </c>
      <c r="G2773" t="s">
        <v>277</v>
      </c>
      <c r="H2773" s="12">
        <v>5.5468999999999999</v>
      </c>
      <c r="I2773" s="12">
        <v>-75.642499999999998</v>
      </c>
      <c r="J2773" t="s">
        <v>2537</v>
      </c>
      <c r="K2773" t="s">
        <v>97</v>
      </c>
      <c r="L2773" t="s">
        <v>1273</v>
      </c>
      <c r="M2773">
        <v>11</v>
      </c>
      <c r="P2773" s="13">
        <v>170</v>
      </c>
      <c r="Q2773" s="13">
        <v>46</v>
      </c>
      <c r="R2773">
        <v>18</v>
      </c>
      <c r="S2773">
        <v>40</v>
      </c>
      <c r="T2773" s="13">
        <v>29</v>
      </c>
      <c r="U2773" s="13">
        <v>40</v>
      </c>
      <c r="V2773" t="s">
        <v>99</v>
      </c>
      <c r="X2773" s="13">
        <v>170</v>
      </c>
    </row>
    <row r="2774" spans="1:24" x14ac:dyDescent="0.25">
      <c r="A2774" t="s">
        <v>2553</v>
      </c>
      <c r="B2774" t="s">
        <v>65</v>
      </c>
      <c r="C2774" t="s">
        <v>2534</v>
      </c>
      <c r="D2774" t="s">
        <v>2535</v>
      </c>
      <c r="E2774" t="s">
        <v>2536</v>
      </c>
      <c r="F2774" t="s">
        <v>94</v>
      </c>
      <c r="G2774" t="s">
        <v>277</v>
      </c>
      <c r="H2774" s="12">
        <v>5.5468999999999999</v>
      </c>
      <c r="I2774" s="12">
        <v>-75.642499999999998</v>
      </c>
      <c r="J2774" t="s">
        <v>2537</v>
      </c>
      <c r="K2774" t="s">
        <v>97</v>
      </c>
      <c r="L2774" t="s">
        <v>1273</v>
      </c>
      <c r="M2774">
        <v>11</v>
      </c>
      <c r="P2774" s="13">
        <v>162</v>
      </c>
      <c r="Q2774" s="13">
        <v>41</v>
      </c>
      <c r="R2774">
        <v>14</v>
      </c>
      <c r="S2774">
        <v>50</v>
      </c>
      <c r="T2774" s="13">
        <v>28</v>
      </c>
      <c r="U2774" s="13">
        <v>22</v>
      </c>
      <c r="V2774" t="s">
        <v>99</v>
      </c>
      <c r="X2774" s="13">
        <v>162</v>
      </c>
    </row>
    <row r="2775" spans="1:24" x14ac:dyDescent="0.25">
      <c r="A2775" t="s">
        <v>2554</v>
      </c>
      <c r="B2775" t="s">
        <v>65</v>
      </c>
      <c r="C2775" t="s">
        <v>2534</v>
      </c>
      <c r="D2775" t="s">
        <v>2535</v>
      </c>
      <c r="E2775" t="s">
        <v>2536</v>
      </c>
      <c r="F2775" t="s">
        <v>94</v>
      </c>
      <c r="G2775" t="s">
        <v>277</v>
      </c>
      <c r="H2775" s="12">
        <v>5.5468999999999999</v>
      </c>
      <c r="I2775" s="12">
        <v>-75.642499999999998</v>
      </c>
      <c r="J2775" t="s">
        <v>2537</v>
      </c>
      <c r="K2775" t="s">
        <v>97</v>
      </c>
      <c r="L2775" t="s">
        <v>1273</v>
      </c>
      <c r="M2775">
        <v>11</v>
      </c>
      <c r="P2775" s="13">
        <v>159</v>
      </c>
      <c r="Q2775" s="13">
        <v>41</v>
      </c>
      <c r="R2775">
        <v>16</v>
      </c>
      <c r="S2775">
        <v>46</v>
      </c>
      <c r="T2775" s="13">
        <v>22</v>
      </c>
      <c r="U2775" s="13">
        <v>36</v>
      </c>
      <c r="V2775" t="s">
        <v>99</v>
      </c>
      <c r="X2775" s="13">
        <v>159</v>
      </c>
    </row>
    <row r="2776" spans="1:24" x14ac:dyDescent="0.25">
      <c r="A2776" t="s">
        <v>2555</v>
      </c>
      <c r="B2776" t="s">
        <v>65</v>
      </c>
      <c r="C2776" t="s">
        <v>2534</v>
      </c>
      <c r="D2776" t="s">
        <v>2535</v>
      </c>
      <c r="E2776" t="s">
        <v>2536</v>
      </c>
      <c r="F2776" t="s">
        <v>94</v>
      </c>
      <c r="G2776" t="s">
        <v>277</v>
      </c>
      <c r="H2776" s="12">
        <v>5.5468999999999999</v>
      </c>
      <c r="I2776" s="12">
        <v>-75.642499999999998</v>
      </c>
      <c r="J2776" t="s">
        <v>2537</v>
      </c>
      <c r="K2776" t="s">
        <v>97</v>
      </c>
      <c r="L2776" t="s">
        <v>1273</v>
      </c>
      <c r="M2776">
        <v>11</v>
      </c>
      <c r="P2776" s="13">
        <v>153</v>
      </c>
      <c r="Q2776" s="13">
        <v>39</v>
      </c>
      <c r="R2776">
        <v>14</v>
      </c>
      <c r="S2776">
        <v>32</v>
      </c>
      <c r="T2776" s="13">
        <v>33</v>
      </c>
      <c r="U2776" s="13">
        <v>44</v>
      </c>
      <c r="V2776" t="s">
        <v>99</v>
      </c>
      <c r="X2776" s="13">
        <v>153</v>
      </c>
    </row>
    <row r="2777" spans="1:24" x14ac:dyDescent="0.25">
      <c r="A2777" t="s">
        <v>2556</v>
      </c>
      <c r="B2777" t="s">
        <v>65</v>
      </c>
      <c r="C2777" t="s">
        <v>2534</v>
      </c>
      <c r="D2777" t="s">
        <v>2535</v>
      </c>
      <c r="E2777" t="s">
        <v>2536</v>
      </c>
      <c r="F2777" t="s">
        <v>94</v>
      </c>
      <c r="G2777" t="s">
        <v>277</v>
      </c>
      <c r="H2777" s="12">
        <v>5.5468999999999999</v>
      </c>
      <c r="I2777" s="12">
        <v>-75.642499999999998</v>
      </c>
      <c r="J2777" t="s">
        <v>2537</v>
      </c>
      <c r="K2777" t="s">
        <v>97</v>
      </c>
      <c r="L2777" t="s">
        <v>1273</v>
      </c>
      <c r="M2777">
        <v>11</v>
      </c>
      <c r="P2777" s="13">
        <v>151</v>
      </c>
      <c r="Q2777" s="13">
        <v>37</v>
      </c>
      <c r="R2777">
        <v>32</v>
      </c>
      <c r="S2777">
        <v>24</v>
      </c>
      <c r="T2777" s="13">
        <v>28</v>
      </c>
      <c r="U2777" s="13">
        <v>33</v>
      </c>
      <c r="V2777" t="s">
        <v>99</v>
      </c>
      <c r="X2777" s="13">
        <v>151</v>
      </c>
    </row>
    <row r="2778" spans="1:24" x14ac:dyDescent="0.25">
      <c r="A2778" t="s">
        <v>2557</v>
      </c>
      <c r="B2778" t="s">
        <v>65</v>
      </c>
      <c r="C2778" t="s">
        <v>2534</v>
      </c>
      <c r="D2778" t="s">
        <v>2535</v>
      </c>
      <c r="E2778" t="s">
        <v>2536</v>
      </c>
      <c r="F2778" t="s">
        <v>94</v>
      </c>
      <c r="G2778" t="s">
        <v>277</v>
      </c>
      <c r="H2778" s="12">
        <v>5.5468999999999999</v>
      </c>
      <c r="I2778" s="12">
        <v>-75.642499999999998</v>
      </c>
      <c r="J2778" t="s">
        <v>2537</v>
      </c>
      <c r="K2778" t="s">
        <v>97</v>
      </c>
      <c r="L2778" t="s">
        <v>1273</v>
      </c>
      <c r="M2778">
        <v>11</v>
      </c>
      <c r="P2778" s="13">
        <v>144</v>
      </c>
      <c r="Q2778" s="13">
        <v>27</v>
      </c>
      <c r="R2778">
        <v>32</v>
      </c>
      <c r="S2778">
        <v>36</v>
      </c>
      <c r="T2778" s="13">
        <v>22</v>
      </c>
      <c r="U2778" s="13">
        <v>22</v>
      </c>
      <c r="V2778" t="s">
        <v>99</v>
      </c>
      <c r="X2778" s="13">
        <v>144</v>
      </c>
    </row>
    <row r="2779" spans="1:24" x14ac:dyDescent="0.25">
      <c r="A2779" t="s">
        <v>2558</v>
      </c>
      <c r="B2779" t="s">
        <v>65</v>
      </c>
      <c r="C2779" t="s">
        <v>2534</v>
      </c>
      <c r="D2779" t="s">
        <v>2535</v>
      </c>
      <c r="E2779" t="s">
        <v>2536</v>
      </c>
      <c r="F2779" t="s">
        <v>94</v>
      </c>
      <c r="G2779" t="s">
        <v>277</v>
      </c>
      <c r="H2779" s="12">
        <v>5.5468999999999999</v>
      </c>
      <c r="I2779" s="12">
        <v>-75.642499999999998</v>
      </c>
      <c r="J2779" t="s">
        <v>2537</v>
      </c>
      <c r="K2779" t="s">
        <v>97</v>
      </c>
      <c r="L2779" t="s">
        <v>1273</v>
      </c>
      <c r="M2779">
        <v>11</v>
      </c>
      <c r="P2779" s="13">
        <v>142</v>
      </c>
      <c r="Q2779" s="13">
        <v>29</v>
      </c>
      <c r="R2779">
        <v>24</v>
      </c>
      <c r="S2779">
        <v>34</v>
      </c>
      <c r="T2779" s="13">
        <v>22</v>
      </c>
      <c r="U2779" s="13">
        <v>40</v>
      </c>
      <c r="V2779" t="s">
        <v>99</v>
      </c>
      <c r="X2779" s="13">
        <v>142</v>
      </c>
    </row>
    <row r="2780" spans="1:24" x14ac:dyDescent="0.25">
      <c r="A2780" t="s">
        <v>2559</v>
      </c>
      <c r="B2780" t="s">
        <v>65</v>
      </c>
      <c r="C2780" t="s">
        <v>2534</v>
      </c>
      <c r="D2780" t="s">
        <v>2535</v>
      </c>
      <c r="E2780" t="s">
        <v>2536</v>
      </c>
      <c r="F2780" t="s">
        <v>94</v>
      </c>
      <c r="G2780" t="s">
        <v>277</v>
      </c>
      <c r="H2780" s="12">
        <v>5.5468999999999999</v>
      </c>
      <c r="I2780" s="12">
        <v>-75.642499999999998</v>
      </c>
      <c r="J2780" t="s">
        <v>2537</v>
      </c>
      <c r="K2780" t="s">
        <v>97</v>
      </c>
      <c r="L2780" t="s">
        <v>1273</v>
      </c>
      <c r="M2780">
        <v>11</v>
      </c>
      <c r="P2780" s="13">
        <v>139</v>
      </c>
      <c r="Q2780" s="13">
        <v>27</v>
      </c>
      <c r="R2780">
        <v>32</v>
      </c>
      <c r="S2780">
        <v>38</v>
      </c>
      <c r="T2780" s="13">
        <v>16</v>
      </c>
      <c r="U2780" s="13">
        <v>25</v>
      </c>
      <c r="V2780" t="s">
        <v>99</v>
      </c>
      <c r="X2780" s="13">
        <v>139</v>
      </c>
    </row>
    <row r="2781" spans="1:24" x14ac:dyDescent="0.25">
      <c r="A2781" t="s">
        <v>2560</v>
      </c>
      <c r="B2781" t="s">
        <v>65</v>
      </c>
      <c r="C2781" t="s">
        <v>2534</v>
      </c>
      <c r="D2781" t="s">
        <v>2535</v>
      </c>
      <c r="E2781" t="s">
        <v>2536</v>
      </c>
      <c r="F2781" t="s">
        <v>94</v>
      </c>
      <c r="G2781" t="s">
        <v>277</v>
      </c>
      <c r="H2781" s="12">
        <v>5.5468999999999999</v>
      </c>
      <c r="I2781" s="12">
        <v>-75.642499999999998</v>
      </c>
      <c r="J2781" t="s">
        <v>2537</v>
      </c>
      <c r="K2781" t="s">
        <v>97</v>
      </c>
      <c r="L2781" t="s">
        <v>1273</v>
      </c>
      <c r="M2781">
        <v>11</v>
      </c>
      <c r="P2781" s="13">
        <v>136</v>
      </c>
      <c r="Q2781" s="13">
        <v>29</v>
      </c>
      <c r="R2781">
        <v>22</v>
      </c>
      <c r="S2781">
        <v>32</v>
      </c>
      <c r="T2781" s="13">
        <v>22</v>
      </c>
      <c r="U2781" s="13">
        <v>36</v>
      </c>
      <c r="V2781" t="s">
        <v>99</v>
      </c>
      <c r="X2781" s="13">
        <v>136</v>
      </c>
    </row>
    <row r="2782" spans="1:24" x14ac:dyDescent="0.25">
      <c r="A2782" t="s">
        <v>2561</v>
      </c>
      <c r="B2782" t="s">
        <v>65</v>
      </c>
      <c r="C2782" t="s">
        <v>2534</v>
      </c>
      <c r="D2782" t="s">
        <v>2535</v>
      </c>
      <c r="E2782" t="s">
        <v>2536</v>
      </c>
      <c r="F2782" t="s">
        <v>94</v>
      </c>
      <c r="G2782" t="s">
        <v>277</v>
      </c>
      <c r="H2782" s="12">
        <v>5.5468999999999999</v>
      </c>
      <c r="I2782" s="12">
        <v>-75.642499999999998</v>
      </c>
      <c r="J2782" t="s">
        <v>2537</v>
      </c>
      <c r="K2782" t="s">
        <v>97</v>
      </c>
      <c r="L2782" t="s">
        <v>1273</v>
      </c>
      <c r="M2782">
        <v>11</v>
      </c>
      <c r="P2782" s="13">
        <v>136</v>
      </c>
      <c r="Q2782" s="13">
        <v>34</v>
      </c>
      <c r="R2782">
        <v>22</v>
      </c>
      <c r="S2782">
        <v>30</v>
      </c>
      <c r="T2782" s="13">
        <v>21</v>
      </c>
      <c r="U2782" s="13">
        <v>33</v>
      </c>
      <c r="V2782" t="s">
        <v>99</v>
      </c>
      <c r="X2782" s="13">
        <v>136</v>
      </c>
    </row>
    <row r="2783" spans="1:24" x14ac:dyDescent="0.25">
      <c r="A2783" t="s">
        <v>2562</v>
      </c>
      <c r="B2783" t="s">
        <v>65</v>
      </c>
      <c r="C2783" t="s">
        <v>2534</v>
      </c>
      <c r="D2783" t="s">
        <v>2535</v>
      </c>
      <c r="E2783" t="s">
        <v>2536</v>
      </c>
      <c r="F2783" t="s">
        <v>94</v>
      </c>
      <c r="G2783" t="s">
        <v>277</v>
      </c>
      <c r="H2783" s="12">
        <v>5.5468999999999999</v>
      </c>
      <c r="I2783" s="12">
        <v>-75.642499999999998</v>
      </c>
      <c r="J2783" t="s">
        <v>2537</v>
      </c>
      <c r="K2783" t="s">
        <v>97</v>
      </c>
      <c r="L2783" t="s">
        <v>1273</v>
      </c>
      <c r="M2783">
        <v>11</v>
      </c>
      <c r="P2783" s="13">
        <v>90</v>
      </c>
      <c r="Q2783" s="13">
        <v>12</v>
      </c>
      <c r="R2783">
        <v>26</v>
      </c>
      <c r="S2783">
        <v>10</v>
      </c>
      <c r="T2783" s="13">
        <v>21</v>
      </c>
      <c r="U2783" s="13">
        <v>27</v>
      </c>
      <c r="V2783" t="s">
        <v>99</v>
      </c>
      <c r="X2783" s="13">
        <v>90</v>
      </c>
    </row>
    <row r="2784" spans="1:24" x14ac:dyDescent="0.25">
      <c r="A2784" t="s">
        <v>2563</v>
      </c>
      <c r="B2784" t="s">
        <v>65</v>
      </c>
      <c r="C2784" t="s">
        <v>2564</v>
      </c>
      <c r="D2784" t="s">
        <v>2565</v>
      </c>
      <c r="E2784" t="s">
        <v>2566</v>
      </c>
      <c r="F2784" t="s">
        <v>94</v>
      </c>
      <c r="G2784" t="s">
        <v>277</v>
      </c>
      <c r="H2784" s="12">
        <v>5.6050000000000004</v>
      </c>
      <c r="I2784" s="12">
        <v>-75.941299999999998</v>
      </c>
      <c r="J2784" t="s">
        <v>157</v>
      </c>
      <c r="K2784" t="s">
        <v>97</v>
      </c>
      <c r="L2784" t="s">
        <v>1273</v>
      </c>
      <c r="M2784">
        <v>11</v>
      </c>
      <c r="P2784" s="13">
        <v>242</v>
      </c>
      <c r="Q2784" s="13">
        <v>41</v>
      </c>
      <c r="R2784">
        <v>48</v>
      </c>
      <c r="S2784">
        <v>58</v>
      </c>
      <c r="T2784" s="13">
        <v>40</v>
      </c>
      <c r="U2784" s="13">
        <v>67</v>
      </c>
      <c r="V2784" t="s">
        <v>99</v>
      </c>
      <c r="X2784" s="13">
        <v>242</v>
      </c>
    </row>
    <row r="2785" spans="1:24" x14ac:dyDescent="0.25">
      <c r="A2785" t="s">
        <v>2567</v>
      </c>
      <c r="B2785" t="s">
        <v>65</v>
      </c>
      <c r="C2785" t="s">
        <v>2564</v>
      </c>
      <c r="D2785" t="s">
        <v>2565</v>
      </c>
      <c r="E2785" t="s">
        <v>2566</v>
      </c>
      <c r="F2785" t="s">
        <v>94</v>
      </c>
      <c r="G2785" t="s">
        <v>277</v>
      </c>
      <c r="H2785" s="12">
        <v>5.6050000000000004</v>
      </c>
      <c r="I2785" s="12">
        <v>-75.941299999999998</v>
      </c>
      <c r="J2785" t="s">
        <v>157</v>
      </c>
      <c r="K2785" t="s">
        <v>97</v>
      </c>
      <c r="L2785" t="s">
        <v>1273</v>
      </c>
      <c r="M2785">
        <v>11</v>
      </c>
      <c r="P2785" s="13">
        <v>197</v>
      </c>
      <c r="Q2785" s="13">
        <v>41</v>
      </c>
      <c r="R2785">
        <v>36</v>
      </c>
      <c r="S2785">
        <v>44</v>
      </c>
      <c r="T2785" s="13">
        <v>36</v>
      </c>
      <c r="U2785" s="13">
        <v>38</v>
      </c>
      <c r="V2785" t="s">
        <v>99</v>
      </c>
      <c r="X2785" s="13">
        <v>197</v>
      </c>
    </row>
    <row r="2786" spans="1:24" x14ac:dyDescent="0.25">
      <c r="A2786" t="s">
        <v>2568</v>
      </c>
      <c r="B2786" t="s">
        <v>65</v>
      </c>
      <c r="C2786" t="s">
        <v>2564</v>
      </c>
      <c r="D2786" t="s">
        <v>2565</v>
      </c>
      <c r="E2786" t="s">
        <v>2566</v>
      </c>
      <c r="F2786" t="s">
        <v>94</v>
      </c>
      <c r="G2786" t="s">
        <v>277</v>
      </c>
      <c r="H2786" s="12">
        <v>5.6050000000000004</v>
      </c>
      <c r="I2786" s="12">
        <v>-75.941299999999998</v>
      </c>
      <c r="J2786" t="s">
        <v>157</v>
      </c>
      <c r="K2786" t="s">
        <v>97</v>
      </c>
      <c r="L2786" t="s">
        <v>1273</v>
      </c>
      <c r="M2786">
        <v>11</v>
      </c>
      <c r="P2786" s="13">
        <v>186</v>
      </c>
      <c r="Q2786" s="13">
        <v>46</v>
      </c>
      <c r="R2786">
        <v>32</v>
      </c>
      <c r="S2786">
        <v>40</v>
      </c>
      <c r="T2786" s="13">
        <v>34</v>
      </c>
      <c r="U2786" s="13">
        <v>25</v>
      </c>
      <c r="V2786" t="s">
        <v>99</v>
      </c>
      <c r="X2786" s="13">
        <v>186</v>
      </c>
    </row>
    <row r="2787" spans="1:24" x14ac:dyDescent="0.25">
      <c r="A2787" t="s">
        <v>2569</v>
      </c>
      <c r="B2787" t="s">
        <v>65</v>
      </c>
      <c r="C2787" t="s">
        <v>2564</v>
      </c>
      <c r="D2787" t="s">
        <v>2565</v>
      </c>
      <c r="E2787" t="s">
        <v>2566</v>
      </c>
      <c r="F2787" t="s">
        <v>94</v>
      </c>
      <c r="G2787" t="s">
        <v>277</v>
      </c>
      <c r="H2787" s="12">
        <v>5.6050000000000004</v>
      </c>
      <c r="I2787" s="12">
        <v>-75.941299999999998</v>
      </c>
      <c r="J2787" t="s">
        <v>157</v>
      </c>
      <c r="K2787" t="s">
        <v>97</v>
      </c>
      <c r="L2787" t="s">
        <v>1273</v>
      </c>
      <c r="M2787">
        <v>11</v>
      </c>
      <c r="P2787" s="13">
        <v>183</v>
      </c>
      <c r="Q2787" s="13">
        <v>41</v>
      </c>
      <c r="R2787">
        <v>26</v>
      </c>
      <c r="S2787">
        <v>42</v>
      </c>
      <c r="T2787" s="13">
        <v>38</v>
      </c>
      <c r="U2787" s="13">
        <v>35</v>
      </c>
      <c r="V2787" t="s">
        <v>99</v>
      </c>
      <c r="X2787" s="13">
        <v>183</v>
      </c>
    </row>
    <row r="2788" spans="1:24" x14ac:dyDescent="0.25">
      <c r="A2788" t="s">
        <v>2570</v>
      </c>
      <c r="B2788" t="s">
        <v>65</v>
      </c>
      <c r="C2788" t="s">
        <v>2564</v>
      </c>
      <c r="D2788" t="s">
        <v>2565</v>
      </c>
      <c r="E2788" t="s">
        <v>2566</v>
      </c>
      <c r="F2788" t="s">
        <v>94</v>
      </c>
      <c r="G2788" t="s">
        <v>277</v>
      </c>
      <c r="H2788" s="12">
        <v>5.6050000000000004</v>
      </c>
      <c r="I2788" s="12">
        <v>-75.941299999999998</v>
      </c>
      <c r="J2788" t="s">
        <v>157</v>
      </c>
      <c r="K2788" t="s">
        <v>97</v>
      </c>
      <c r="L2788" t="s">
        <v>1273</v>
      </c>
      <c r="M2788">
        <v>11</v>
      </c>
      <c r="P2788" s="13">
        <v>182</v>
      </c>
      <c r="Q2788" s="13">
        <v>46</v>
      </c>
      <c r="R2788">
        <v>22</v>
      </c>
      <c r="S2788">
        <v>54</v>
      </c>
      <c r="T2788" s="13">
        <v>22</v>
      </c>
      <c r="U2788" s="13">
        <v>40</v>
      </c>
      <c r="V2788" t="s">
        <v>99</v>
      </c>
      <c r="X2788" s="13">
        <v>182</v>
      </c>
    </row>
    <row r="2789" spans="1:24" x14ac:dyDescent="0.25">
      <c r="A2789" t="s">
        <v>2571</v>
      </c>
      <c r="B2789" t="s">
        <v>65</v>
      </c>
      <c r="C2789" t="s">
        <v>2564</v>
      </c>
      <c r="D2789" t="s">
        <v>2565</v>
      </c>
      <c r="E2789" t="s">
        <v>2566</v>
      </c>
      <c r="F2789" t="s">
        <v>94</v>
      </c>
      <c r="G2789" t="s">
        <v>277</v>
      </c>
      <c r="H2789" s="12">
        <v>5.6050000000000004</v>
      </c>
      <c r="I2789" s="12">
        <v>-75.941299999999998</v>
      </c>
      <c r="J2789" t="s">
        <v>157</v>
      </c>
      <c r="K2789" t="s">
        <v>97</v>
      </c>
      <c r="L2789" t="s">
        <v>1273</v>
      </c>
      <c r="M2789">
        <v>11</v>
      </c>
      <c r="P2789" s="13">
        <v>179</v>
      </c>
      <c r="Q2789" s="13">
        <v>41</v>
      </c>
      <c r="R2789">
        <v>26</v>
      </c>
      <c r="S2789">
        <v>42</v>
      </c>
      <c r="T2789" s="13">
        <v>36</v>
      </c>
      <c r="U2789" s="13">
        <v>29</v>
      </c>
      <c r="V2789" t="s">
        <v>99</v>
      </c>
      <c r="X2789" s="13">
        <v>179</v>
      </c>
    </row>
    <row r="2790" spans="1:24" x14ac:dyDescent="0.25">
      <c r="A2790" t="s">
        <v>2572</v>
      </c>
      <c r="B2790" t="s">
        <v>65</v>
      </c>
      <c r="C2790" t="s">
        <v>2564</v>
      </c>
      <c r="D2790" t="s">
        <v>2565</v>
      </c>
      <c r="E2790" t="s">
        <v>2566</v>
      </c>
      <c r="F2790" t="s">
        <v>94</v>
      </c>
      <c r="G2790" t="s">
        <v>277</v>
      </c>
      <c r="H2790" s="12">
        <v>5.6050000000000004</v>
      </c>
      <c r="I2790" s="12">
        <v>-75.941299999999998</v>
      </c>
      <c r="J2790" t="s">
        <v>157</v>
      </c>
      <c r="K2790" t="s">
        <v>97</v>
      </c>
      <c r="L2790" t="s">
        <v>1273</v>
      </c>
      <c r="M2790">
        <v>11</v>
      </c>
      <c r="P2790" s="13">
        <v>173</v>
      </c>
      <c r="Q2790" s="13">
        <v>37</v>
      </c>
      <c r="R2790">
        <v>22</v>
      </c>
      <c r="S2790">
        <v>40</v>
      </c>
      <c r="T2790" s="13">
        <v>41</v>
      </c>
      <c r="U2790" s="13">
        <v>31</v>
      </c>
      <c r="V2790" t="s">
        <v>99</v>
      </c>
      <c r="X2790" s="13">
        <v>173</v>
      </c>
    </row>
    <row r="2791" spans="1:24" x14ac:dyDescent="0.25">
      <c r="A2791" t="s">
        <v>2573</v>
      </c>
      <c r="B2791" t="s">
        <v>65</v>
      </c>
      <c r="C2791" t="s">
        <v>2564</v>
      </c>
      <c r="D2791" t="s">
        <v>2565</v>
      </c>
      <c r="E2791" t="s">
        <v>2566</v>
      </c>
      <c r="F2791" t="s">
        <v>94</v>
      </c>
      <c r="G2791" t="s">
        <v>277</v>
      </c>
      <c r="H2791" s="12">
        <v>5.6050000000000004</v>
      </c>
      <c r="I2791" s="12">
        <v>-75.941299999999998</v>
      </c>
      <c r="J2791" t="s">
        <v>157</v>
      </c>
      <c r="K2791" t="s">
        <v>97</v>
      </c>
      <c r="L2791" t="s">
        <v>1273</v>
      </c>
      <c r="M2791">
        <v>11</v>
      </c>
      <c r="P2791" s="13">
        <v>172</v>
      </c>
      <c r="Q2791" s="13">
        <v>46</v>
      </c>
      <c r="R2791">
        <v>24</v>
      </c>
      <c r="S2791">
        <v>36</v>
      </c>
      <c r="T2791" s="13">
        <v>34</v>
      </c>
      <c r="U2791" s="13">
        <v>25</v>
      </c>
      <c r="V2791" t="s">
        <v>99</v>
      </c>
      <c r="X2791" s="13">
        <v>172</v>
      </c>
    </row>
    <row r="2792" spans="1:24" x14ac:dyDescent="0.25">
      <c r="A2792" t="s">
        <v>2574</v>
      </c>
      <c r="B2792" t="s">
        <v>65</v>
      </c>
      <c r="C2792" t="s">
        <v>2564</v>
      </c>
      <c r="D2792" t="s">
        <v>2565</v>
      </c>
      <c r="E2792" t="s">
        <v>2566</v>
      </c>
      <c r="F2792" t="s">
        <v>94</v>
      </c>
      <c r="G2792" t="s">
        <v>277</v>
      </c>
      <c r="H2792" s="12">
        <v>5.6050000000000004</v>
      </c>
      <c r="I2792" s="12">
        <v>-75.941299999999998</v>
      </c>
      <c r="J2792" t="s">
        <v>157</v>
      </c>
      <c r="K2792" t="s">
        <v>97</v>
      </c>
      <c r="L2792" t="s">
        <v>1273</v>
      </c>
      <c r="M2792">
        <v>11</v>
      </c>
      <c r="P2792" s="13">
        <v>170</v>
      </c>
      <c r="Q2792" s="13">
        <v>22</v>
      </c>
      <c r="R2792">
        <v>22</v>
      </c>
      <c r="S2792">
        <v>52</v>
      </c>
      <c r="T2792" s="13">
        <v>38</v>
      </c>
      <c r="U2792" s="13">
        <v>40</v>
      </c>
      <c r="V2792" t="s">
        <v>99</v>
      </c>
      <c r="X2792" s="13">
        <v>170</v>
      </c>
    </row>
    <row r="2793" spans="1:24" x14ac:dyDescent="0.25">
      <c r="A2793" t="s">
        <v>2575</v>
      </c>
      <c r="B2793" t="s">
        <v>65</v>
      </c>
      <c r="C2793" t="s">
        <v>2564</v>
      </c>
      <c r="D2793" t="s">
        <v>2565</v>
      </c>
      <c r="E2793" t="s">
        <v>2566</v>
      </c>
      <c r="F2793" t="s">
        <v>94</v>
      </c>
      <c r="G2793" t="s">
        <v>277</v>
      </c>
      <c r="H2793" s="12">
        <v>5.6050000000000004</v>
      </c>
      <c r="I2793" s="12">
        <v>-75.941299999999998</v>
      </c>
      <c r="J2793" t="s">
        <v>157</v>
      </c>
      <c r="K2793" t="s">
        <v>97</v>
      </c>
      <c r="L2793" t="s">
        <v>1273</v>
      </c>
      <c r="M2793">
        <v>11</v>
      </c>
      <c r="P2793" s="13">
        <v>169</v>
      </c>
      <c r="Q2793" s="13">
        <v>32</v>
      </c>
      <c r="R2793">
        <v>32</v>
      </c>
      <c r="S2793">
        <v>44</v>
      </c>
      <c r="T2793" s="13">
        <v>28</v>
      </c>
      <c r="U2793" s="13">
        <v>35</v>
      </c>
      <c r="V2793" t="s">
        <v>99</v>
      </c>
      <c r="X2793" s="13">
        <v>169</v>
      </c>
    </row>
    <row r="2794" spans="1:24" x14ac:dyDescent="0.25">
      <c r="A2794" t="s">
        <v>2576</v>
      </c>
      <c r="B2794" t="s">
        <v>65</v>
      </c>
      <c r="C2794" t="s">
        <v>2564</v>
      </c>
      <c r="D2794" t="s">
        <v>2565</v>
      </c>
      <c r="E2794" t="s">
        <v>2566</v>
      </c>
      <c r="F2794" t="s">
        <v>94</v>
      </c>
      <c r="G2794" t="s">
        <v>277</v>
      </c>
      <c r="H2794" s="12">
        <v>5.6050000000000004</v>
      </c>
      <c r="I2794" s="12">
        <v>-75.941299999999998</v>
      </c>
      <c r="J2794" t="s">
        <v>157</v>
      </c>
      <c r="K2794" t="s">
        <v>97</v>
      </c>
      <c r="L2794" t="s">
        <v>1273</v>
      </c>
      <c r="M2794">
        <v>11</v>
      </c>
      <c r="P2794" s="13">
        <v>164</v>
      </c>
      <c r="Q2794" s="13">
        <v>39</v>
      </c>
      <c r="R2794">
        <v>22</v>
      </c>
      <c r="S2794">
        <v>46</v>
      </c>
      <c r="T2794" s="13">
        <v>24</v>
      </c>
      <c r="U2794" s="13">
        <v>33</v>
      </c>
      <c r="V2794" t="s">
        <v>99</v>
      </c>
      <c r="X2794" s="13">
        <v>164</v>
      </c>
    </row>
    <row r="2795" spans="1:24" x14ac:dyDescent="0.25">
      <c r="A2795" t="s">
        <v>2577</v>
      </c>
      <c r="B2795" t="s">
        <v>65</v>
      </c>
      <c r="C2795" t="s">
        <v>2564</v>
      </c>
      <c r="D2795" t="s">
        <v>2565</v>
      </c>
      <c r="E2795" t="s">
        <v>2566</v>
      </c>
      <c r="F2795" t="s">
        <v>94</v>
      </c>
      <c r="G2795" t="s">
        <v>277</v>
      </c>
      <c r="H2795" s="12">
        <v>5.6050000000000004</v>
      </c>
      <c r="I2795" s="12">
        <v>-75.941299999999998</v>
      </c>
      <c r="J2795" t="s">
        <v>157</v>
      </c>
      <c r="K2795" t="s">
        <v>97</v>
      </c>
      <c r="L2795" t="s">
        <v>1273</v>
      </c>
      <c r="M2795">
        <v>11</v>
      </c>
      <c r="P2795" s="13">
        <v>164</v>
      </c>
      <c r="Q2795" s="13">
        <v>41</v>
      </c>
      <c r="R2795">
        <v>12</v>
      </c>
      <c r="S2795">
        <v>50</v>
      </c>
      <c r="T2795" s="13">
        <v>29</v>
      </c>
      <c r="U2795" s="13">
        <v>27</v>
      </c>
      <c r="V2795" t="s">
        <v>99</v>
      </c>
      <c r="X2795" s="13">
        <v>164</v>
      </c>
    </row>
    <row r="2796" spans="1:24" x14ac:dyDescent="0.25">
      <c r="A2796" t="s">
        <v>2578</v>
      </c>
      <c r="B2796" t="s">
        <v>65</v>
      </c>
      <c r="C2796" t="s">
        <v>2564</v>
      </c>
      <c r="D2796" t="s">
        <v>2565</v>
      </c>
      <c r="E2796" t="s">
        <v>2566</v>
      </c>
      <c r="F2796" t="s">
        <v>94</v>
      </c>
      <c r="G2796" t="s">
        <v>277</v>
      </c>
      <c r="H2796" s="12">
        <v>5.6050000000000004</v>
      </c>
      <c r="I2796" s="12">
        <v>-75.941299999999998</v>
      </c>
      <c r="J2796" t="s">
        <v>157</v>
      </c>
      <c r="K2796" t="s">
        <v>97</v>
      </c>
      <c r="L2796" t="s">
        <v>1273</v>
      </c>
      <c r="M2796">
        <v>11</v>
      </c>
      <c r="P2796" s="13">
        <v>160</v>
      </c>
      <c r="Q2796" s="13">
        <v>37</v>
      </c>
      <c r="R2796">
        <v>22</v>
      </c>
      <c r="S2796">
        <v>32</v>
      </c>
      <c r="T2796" s="13">
        <v>36</v>
      </c>
      <c r="U2796" s="13">
        <v>36</v>
      </c>
      <c r="V2796" t="s">
        <v>99</v>
      </c>
      <c r="X2796" s="13">
        <v>160</v>
      </c>
    </row>
    <row r="2797" spans="1:24" x14ac:dyDescent="0.25">
      <c r="A2797" t="s">
        <v>2579</v>
      </c>
      <c r="B2797" t="s">
        <v>65</v>
      </c>
      <c r="C2797" t="s">
        <v>2564</v>
      </c>
      <c r="D2797" t="s">
        <v>2565</v>
      </c>
      <c r="E2797" t="s">
        <v>2566</v>
      </c>
      <c r="F2797" t="s">
        <v>94</v>
      </c>
      <c r="G2797" t="s">
        <v>277</v>
      </c>
      <c r="H2797" s="12">
        <v>5.6050000000000004</v>
      </c>
      <c r="I2797" s="12">
        <v>-75.941299999999998</v>
      </c>
      <c r="J2797" t="s">
        <v>157</v>
      </c>
      <c r="K2797" t="s">
        <v>97</v>
      </c>
      <c r="L2797" t="s">
        <v>1273</v>
      </c>
      <c r="M2797">
        <v>11</v>
      </c>
      <c r="P2797" s="13">
        <v>159</v>
      </c>
      <c r="Q2797" s="13">
        <v>41</v>
      </c>
      <c r="R2797">
        <v>14</v>
      </c>
      <c r="S2797">
        <v>48</v>
      </c>
      <c r="T2797" s="13">
        <v>17</v>
      </c>
      <c r="U2797" s="13">
        <v>51</v>
      </c>
      <c r="V2797" t="s">
        <v>99</v>
      </c>
      <c r="X2797" s="13">
        <v>159</v>
      </c>
    </row>
    <row r="2798" spans="1:24" x14ac:dyDescent="0.25">
      <c r="A2798" t="s">
        <v>2580</v>
      </c>
      <c r="B2798" t="s">
        <v>65</v>
      </c>
      <c r="C2798" t="s">
        <v>2564</v>
      </c>
      <c r="D2798" t="s">
        <v>2565</v>
      </c>
      <c r="E2798" t="s">
        <v>2566</v>
      </c>
      <c r="F2798" t="s">
        <v>94</v>
      </c>
      <c r="G2798" t="s">
        <v>277</v>
      </c>
      <c r="H2798" s="12">
        <v>5.6050000000000004</v>
      </c>
      <c r="I2798" s="12">
        <v>-75.941299999999998</v>
      </c>
      <c r="J2798" t="s">
        <v>157</v>
      </c>
      <c r="K2798" t="s">
        <v>97</v>
      </c>
      <c r="L2798" t="s">
        <v>1273</v>
      </c>
      <c r="M2798">
        <v>11</v>
      </c>
      <c r="P2798" s="13">
        <v>154</v>
      </c>
      <c r="Q2798" s="13">
        <v>34</v>
      </c>
      <c r="R2798">
        <v>18</v>
      </c>
      <c r="S2798">
        <v>42</v>
      </c>
      <c r="T2798" s="13">
        <v>26</v>
      </c>
      <c r="U2798" s="13">
        <v>40</v>
      </c>
      <c r="V2798" t="s">
        <v>99</v>
      </c>
      <c r="X2798" s="13">
        <v>154</v>
      </c>
    </row>
    <row r="2799" spans="1:24" x14ac:dyDescent="0.25">
      <c r="A2799" t="s">
        <v>2581</v>
      </c>
      <c r="B2799" t="s">
        <v>65</v>
      </c>
      <c r="C2799" t="s">
        <v>2564</v>
      </c>
      <c r="D2799" t="s">
        <v>2565</v>
      </c>
      <c r="E2799" t="s">
        <v>2566</v>
      </c>
      <c r="F2799" t="s">
        <v>94</v>
      </c>
      <c r="G2799" t="s">
        <v>277</v>
      </c>
      <c r="H2799" s="12">
        <v>5.6050000000000004</v>
      </c>
      <c r="I2799" s="12">
        <v>-75.941299999999998</v>
      </c>
      <c r="J2799" t="s">
        <v>157</v>
      </c>
      <c r="K2799" t="s">
        <v>97</v>
      </c>
      <c r="L2799" t="s">
        <v>1273</v>
      </c>
      <c r="M2799">
        <v>11</v>
      </c>
      <c r="P2799" s="13">
        <v>151</v>
      </c>
      <c r="Q2799" s="13">
        <v>32</v>
      </c>
      <c r="R2799">
        <v>16</v>
      </c>
      <c r="S2799">
        <v>54</v>
      </c>
      <c r="T2799" s="13">
        <v>17</v>
      </c>
      <c r="U2799" s="13">
        <v>35</v>
      </c>
      <c r="V2799" t="s">
        <v>99</v>
      </c>
      <c r="X2799" s="13">
        <v>151</v>
      </c>
    </row>
    <row r="2800" spans="1:24" x14ac:dyDescent="0.25">
      <c r="A2800" t="s">
        <v>2582</v>
      </c>
      <c r="B2800" t="s">
        <v>65</v>
      </c>
      <c r="C2800" t="s">
        <v>2564</v>
      </c>
      <c r="D2800" t="s">
        <v>2565</v>
      </c>
      <c r="E2800" t="s">
        <v>2566</v>
      </c>
      <c r="F2800" t="s">
        <v>94</v>
      </c>
      <c r="G2800" t="s">
        <v>277</v>
      </c>
      <c r="H2800" s="12">
        <v>5.6050000000000004</v>
      </c>
      <c r="I2800" s="12">
        <v>-75.941299999999998</v>
      </c>
      <c r="J2800" t="s">
        <v>157</v>
      </c>
      <c r="K2800" t="s">
        <v>97</v>
      </c>
      <c r="L2800" t="s">
        <v>1273</v>
      </c>
      <c r="M2800">
        <v>11</v>
      </c>
      <c r="P2800" s="13">
        <v>149</v>
      </c>
      <c r="Q2800" s="13">
        <v>32</v>
      </c>
      <c r="R2800">
        <v>18</v>
      </c>
      <c r="S2800">
        <v>38</v>
      </c>
      <c r="T2800" s="13">
        <v>33</v>
      </c>
      <c r="U2800" s="13">
        <v>25</v>
      </c>
      <c r="V2800" t="s">
        <v>99</v>
      </c>
      <c r="X2800" s="13">
        <v>149</v>
      </c>
    </row>
    <row r="2801" spans="1:24" x14ac:dyDescent="0.25">
      <c r="A2801" t="s">
        <v>2583</v>
      </c>
      <c r="B2801" t="s">
        <v>65</v>
      </c>
      <c r="C2801" t="s">
        <v>2564</v>
      </c>
      <c r="D2801" t="s">
        <v>2565</v>
      </c>
      <c r="E2801" t="s">
        <v>2566</v>
      </c>
      <c r="F2801" t="s">
        <v>94</v>
      </c>
      <c r="G2801" t="s">
        <v>277</v>
      </c>
      <c r="H2801" s="12">
        <v>5.6050000000000004</v>
      </c>
      <c r="I2801" s="12">
        <v>-75.941299999999998</v>
      </c>
      <c r="J2801" t="s">
        <v>157</v>
      </c>
      <c r="K2801" t="s">
        <v>97</v>
      </c>
      <c r="L2801" t="s">
        <v>1273</v>
      </c>
      <c r="M2801">
        <v>11</v>
      </c>
      <c r="P2801" s="13">
        <v>136</v>
      </c>
      <c r="Q2801" s="13">
        <v>24</v>
      </c>
      <c r="R2801">
        <v>16</v>
      </c>
      <c r="S2801">
        <v>30</v>
      </c>
      <c r="T2801" s="13">
        <v>38</v>
      </c>
      <c r="U2801" s="13">
        <v>29</v>
      </c>
      <c r="V2801" t="s">
        <v>99</v>
      </c>
      <c r="X2801" s="13">
        <v>136</v>
      </c>
    </row>
    <row r="2802" spans="1:24" x14ac:dyDescent="0.25">
      <c r="A2802" t="s">
        <v>2584</v>
      </c>
      <c r="B2802" t="s">
        <v>65</v>
      </c>
      <c r="C2802" t="s">
        <v>2564</v>
      </c>
      <c r="D2802" t="s">
        <v>2565</v>
      </c>
      <c r="E2802" t="s">
        <v>2566</v>
      </c>
      <c r="F2802" t="s">
        <v>94</v>
      </c>
      <c r="G2802" t="s">
        <v>277</v>
      </c>
      <c r="H2802" s="12">
        <v>5.6050000000000004</v>
      </c>
      <c r="I2802" s="12">
        <v>-75.941299999999998</v>
      </c>
      <c r="J2802" t="s">
        <v>157</v>
      </c>
      <c r="K2802" t="s">
        <v>97</v>
      </c>
      <c r="L2802" t="s">
        <v>1273</v>
      </c>
      <c r="M2802">
        <v>11</v>
      </c>
      <c r="P2802" s="13">
        <v>131</v>
      </c>
      <c r="Q2802" s="13">
        <v>29</v>
      </c>
      <c r="R2802">
        <v>22</v>
      </c>
      <c r="S2802">
        <v>38</v>
      </c>
      <c r="T2802" s="13">
        <v>16</v>
      </c>
      <c r="U2802" s="13">
        <v>27</v>
      </c>
      <c r="V2802" t="s">
        <v>99</v>
      </c>
      <c r="X2802" s="13">
        <v>131</v>
      </c>
    </row>
    <row r="2803" spans="1:24" x14ac:dyDescent="0.25">
      <c r="A2803" t="s">
        <v>2585</v>
      </c>
      <c r="B2803" t="s">
        <v>65</v>
      </c>
      <c r="C2803" t="s">
        <v>2564</v>
      </c>
      <c r="D2803" t="s">
        <v>2565</v>
      </c>
      <c r="E2803" t="s">
        <v>2566</v>
      </c>
      <c r="F2803" t="s">
        <v>94</v>
      </c>
      <c r="G2803" t="s">
        <v>277</v>
      </c>
      <c r="H2803" s="12">
        <v>5.6050000000000004</v>
      </c>
      <c r="I2803" s="12">
        <v>-75.941299999999998</v>
      </c>
      <c r="J2803" t="s">
        <v>157</v>
      </c>
      <c r="K2803" t="s">
        <v>97</v>
      </c>
      <c r="L2803" t="s">
        <v>1273</v>
      </c>
      <c r="M2803">
        <v>11</v>
      </c>
      <c r="P2803" s="13">
        <v>112</v>
      </c>
      <c r="Q2803" s="13">
        <v>24</v>
      </c>
      <c r="R2803">
        <v>14</v>
      </c>
      <c r="S2803">
        <v>18</v>
      </c>
      <c r="T2803" s="13">
        <v>31</v>
      </c>
      <c r="U2803" s="13">
        <v>29</v>
      </c>
      <c r="V2803" t="s">
        <v>99</v>
      </c>
      <c r="X2803" s="13">
        <v>112</v>
      </c>
    </row>
    <row r="2804" spans="1:24" x14ac:dyDescent="0.25">
      <c r="A2804" t="s">
        <v>2586</v>
      </c>
      <c r="B2804" t="s">
        <v>65</v>
      </c>
      <c r="C2804" t="s">
        <v>2564</v>
      </c>
      <c r="D2804" t="s">
        <v>2565</v>
      </c>
      <c r="E2804" t="s">
        <v>2566</v>
      </c>
      <c r="F2804" t="s">
        <v>94</v>
      </c>
      <c r="G2804" t="s">
        <v>277</v>
      </c>
      <c r="H2804" s="12">
        <v>5.6050000000000004</v>
      </c>
      <c r="I2804" s="12">
        <v>-75.941299999999998</v>
      </c>
      <c r="J2804" t="s">
        <v>157</v>
      </c>
      <c r="K2804" t="s">
        <v>97</v>
      </c>
      <c r="L2804" t="s">
        <v>1273</v>
      </c>
      <c r="M2804">
        <v>11</v>
      </c>
      <c r="P2804" s="13">
        <v>78</v>
      </c>
      <c r="Q2804" s="13">
        <v>0</v>
      </c>
      <c r="R2804">
        <v>16</v>
      </c>
      <c r="S2804">
        <v>22</v>
      </c>
      <c r="T2804" s="13">
        <v>17</v>
      </c>
      <c r="U2804" s="13">
        <v>38</v>
      </c>
      <c r="V2804" t="s">
        <v>99</v>
      </c>
      <c r="X2804" s="13">
        <v>78</v>
      </c>
    </row>
    <row r="2805" spans="1:24" x14ac:dyDescent="0.25">
      <c r="A2805" t="s">
        <v>2587</v>
      </c>
      <c r="B2805" t="s">
        <v>65</v>
      </c>
      <c r="C2805" t="s">
        <v>2588</v>
      </c>
      <c r="D2805" t="s">
        <v>2589</v>
      </c>
      <c r="E2805" t="s">
        <v>2590</v>
      </c>
      <c r="F2805" t="s">
        <v>94</v>
      </c>
      <c r="G2805" t="s">
        <v>277</v>
      </c>
      <c r="H2805" s="12">
        <v>6.2186000000000003</v>
      </c>
      <c r="I2805" s="12">
        <v>-75.241699999999994</v>
      </c>
      <c r="J2805" t="s">
        <v>2591</v>
      </c>
      <c r="K2805" t="s">
        <v>97</v>
      </c>
      <c r="L2805" t="s">
        <v>1273</v>
      </c>
      <c r="M2805">
        <v>11</v>
      </c>
      <c r="P2805" s="13">
        <v>232</v>
      </c>
      <c r="Q2805" s="13">
        <v>37</v>
      </c>
      <c r="R2805">
        <v>40</v>
      </c>
      <c r="S2805">
        <v>70</v>
      </c>
      <c r="T2805" s="13">
        <v>36</v>
      </c>
      <c r="U2805" s="13">
        <v>55</v>
      </c>
      <c r="V2805" t="s">
        <v>99</v>
      </c>
      <c r="X2805" s="13">
        <v>232</v>
      </c>
    </row>
    <row r="2806" spans="1:24" x14ac:dyDescent="0.25">
      <c r="A2806" t="s">
        <v>2592</v>
      </c>
      <c r="B2806" t="s">
        <v>65</v>
      </c>
      <c r="C2806" t="s">
        <v>2588</v>
      </c>
      <c r="D2806" t="s">
        <v>2589</v>
      </c>
      <c r="E2806" t="s">
        <v>2590</v>
      </c>
      <c r="F2806" t="s">
        <v>94</v>
      </c>
      <c r="G2806" t="s">
        <v>277</v>
      </c>
      <c r="H2806" s="12">
        <v>6.2186000000000003</v>
      </c>
      <c r="I2806" s="12">
        <v>-75.241699999999994</v>
      </c>
      <c r="J2806" t="s">
        <v>2591</v>
      </c>
      <c r="K2806" t="s">
        <v>97</v>
      </c>
      <c r="L2806" t="s">
        <v>1273</v>
      </c>
      <c r="M2806">
        <v>11</v>
      </c>
      <c r="P2806" s="13">
        <v>231</v>
      </c>
      <c r="Q2806" s="13">
        <v>34</v>
      </c>
      <c r="R2806">
        <v>42</v>
      </c>
      <c r="S2806">
        <v>56</v>
      </c>
      <c r="T2806" s="13">
        <v>53</v>
      </c>
      <c r="U2806" s="13">
        <v>44</v>
      </c>
      <c r="V2806" t="s">
        <v>99</v>
      </c>
      <c r="X2806" s="13">
        <v>231</v>
      </c>
    </row>
    <row r="2807" spans="1:24" x14ac:dyDescent="0.25">
      <c r="A2807" t="s">
        <v>2593</v>
      </c>
      <c r="B2807" t="s">
        <v>65</v>
      </c>
      <c r="C2807" t="s">
        <v>2588</v>
      </c>
      <c r="D2807" t="s">
        <v>2589</v>
      </c>
      <c r="E2807" t="s">
        <v>2590</v>
      </c>
      <c r="F2807" t="s">
        <v>94</v>
      </c>
      <c r="G2807" t="s">
        <v>277</v>
      </c>
      <c r="H2807" s="12">
        <v>6.2186000000000003</v>
      </c>
      <c r="I2807" s="12">
        <v>-75.241699999999994</v>
      </c>
      <c r="J2807" t="s">
        <v>2591</v>
      </c>
      <c r="K2807" t="s">
        <v>97</v>
      </c>
      <c r="L2807" t="s">
        <v>1273</v>
      </c>
      <c r="M2807">
        <v>11</v>
      </c>
      <c r="P2807" s="13">
        <v>231</v>
      </c>
      <c r="Q2807" s="13">
        <v>51</v>
      </c>
      <c r="R2807">
        <v>36</v>
      </c>
      <c r="S2807">
        <v>60</v>
      </c>
      <c r="T2807" s="13">
        <v>34</v>
      </c>
      <c r="U2807" s="13">
        <v>55</v>
      </c>
      <c r="V2807" t="s">
        <v>99</v>
      </c>
      <c r="X2807" s="13">
        <v>231</v>
      </c>
    </row>
    <row r="2808" spans="1:24" x14ac:dyDescent="0.25">
      <c r="A2808" t="s">
        <v>2594</v>
      </c>
      <c r="B2808" t="s">
        <v>65</v>
      </c>
      <c r="C2808" t="s">
        <v>2588</v>
      </c>
      <c r="D2808" t="s">
        <v>2589</v>
      </c>
      <c r="E2808" t="s">
        <v>2590</v>
      </c>
      <c r="F2808" t="s">
        <v>94</v>
      </c>
      <c r="G2808" t="s">
        <v>277</v>
      </c>
      <c r="H2808" s="12">
        <v>6.2186000000000003</v>
      </c>
      <c r="I2808" s="12">
        <v>-75.241699999999994</v>
      </c>
      <c r="J2808" t="s">
        <v>2591</v>
      </c>
      <c r="K2808" t="s">
        <v>97</v>
      </c>
      <c r="L2808" t="s">
        <v>1273</v>
      </c>
      <c r="M2808">
        <v>11</v>
      </c>
      <c r="P2808" s="13">
        <v>221</v>
      </c>
      <c r="Q2808" s="13">
        <v>59</v>
      </c>
      <c r="R2808">
        <v>30</v>
      </c>
      <c r="S2808">
        <v>48</v>
      </c>
      <c r="T2808" s="13">
        <v>40</v>
      </c>
      <c r="U2808" s="13">
        <v>45</v>
      </c>
      <c r="V2808" t="s">
        <v>99</v>
      </c>
      <c r="X2808" s="13">
        <v>221</v>
      </c>
    </row>
    <row r="2809" spans="1:24" x14ac:dyDescent="0.25">
      <c r="A2809" t="s">
        <v>2595</v>
      </c>
      <c r="B2809" t="s">
        <v>65</v>
      </c>
      <c r="C2809" t="s">
        <v>2588</v>
      </c>
      <c r="D2809" t="s">
        <v>2589</v>
      </c>
      <c r="E2809" t="s">
        <v>2590</v>
      </c>
      <c r="F2809" t="s">
        <v>94</v>
      </c>
      <c r="G2809" t="s">
        <v>277</v>
      </c>
      <c r="H2809" s="12">
        <v>6.2186000000000003</v>
      </c>
      <c r="I2809" s="12">
        <v>-75.241699999999994</v>
      </c>
      <c r="J2809" t="s">
        <v>2591</v>
      </c>
      <c r="K2809" t="s">
        <v>97</v>
      </c>
      <c r="L2809" t="s">
        <v>1273</v>
      </c>
      <c r="M2809">
        <v>11</v>
      </c>
      <c r="P2809" s="13">
        <v>214</v>
      </c>
      <c r="Q2809" s="13">
        <v>34</v>
      </c>
      <c r="R2809">
        <v>44</v>
      </c>
      <c r="S2809">
        <v>52</v>
      </c>
      <c r="T2809" s="13">
        <v>38</v>
      </c>
      <c r="U2809" s="13">
        <v>51</v>
      </c>
      <c r="V2809" t="s">
        <v>99</v>
      </c>
      <c r="X2809" s="13">
        <v>214</v>
      </c>
    </row>
    <row r="2810" spans="1:24" x14ac:dyDescent="0.25">
      <c r="A2810" t="s">
        <v>2596</v>
      </c>
      <c r="B2810" t="s">
        <v>65</v>
      </c>
      <c r="C2810" t="s">
        <v>2588</v>
      </c>
      <c r="D2810" t="s">
        <v>2589</v>
      </c>
      <c r="E2810" t="s">
        <v>2590</v>
      </c>
      <c r="F2810" t="s">
        <v>94</v>
      </c>
      <c r="G2810" t="s">
        <v>277</v>
      </c>
      <c r="H2810" s="12">
        <v>6.2186000000000003</v>
      </c>
      <c r="I2810" s="12">
        <v>-75.241699999999994</v>
      </c>
      <c r="J2810" t="s">
        <v>2591</v>
      </c>
      <c r="K2810" t="s">
        <v>97</v>
      </c>
      <c r="L2810" t="s">
        <v>1273</v>
      </c>
      <c r="M2810">
        <v>11</v>
      </c>
      <c r="P2810" s="13">
        <v>208</v>
      </c>
      <c r="Q2810" s="13">
        <v>37</v>
      </c>
      <c r="R2810">
        <v>46</v>
      </c>
      <c r="S2810">
        <v>58</v>
      </c>
      <c r="T2810" s="13">
        <v>24</v>
      </c>
      <c r="U2810" s="13">
        <v>47</v>
      </c>
      <c r="V2810" t="s">
        <v>99</v>
      </c>
      <c r="X2810" s="13">
        <v>208</v>
      </c>
    </row>
    <row r="2811" spans="1:24" x14ac:dyDescent="0.25">
      <c r="A2811" t="s">
        <v>2597</v>
      </c>
      <c r="B2811" t="s">
        <v>65</v>
      </c>
      <c r="C2811" t="s">
        <v>2588</v>
      </c>
      <c r="D2811" t="s">
        <v>2589</v>
      </c>
      <c r="E2811" t="s">
        <v>2590</v>
      </c>
      <c r="F2811" t="s">
        <v>94</v>
      </c>
      <c r="G2811" t="s">
        <v>277</v>
      </c>
      <c r="H2811" s="12">
        <v>6.2186000000000003</v>
      </c>
      <c r="I2811" s="12">
        <v>-75.241699999999994</v>
      </c>
      <c r="J2811" t="s">
        <v>2591</v>
      </c>
      <c r="K2811" t="s">
        <v>97</v>
      </c>
      <c r="L2811" t="s">
        <v>1273</v>
      </c>
      <c r="M2811">
        <v>11</v>
      </c>
      <c r="P2811" s="13">
        <v>202</v>
      </c>
      <c r="Q2811" s="13">
        <v>32</v>
      </c>
      <c r="R2811">
        <v>42</v>
      </c>
      <c r="S2811">
        <v>48</v>
      </c>
      <c r="T2811" s="13">
        <v>38</v>
      </c>
      <c r="U2811" s="13">
        <v>47</v>
      </c>
      <c r="V2811" t="s">
        <v>99</v>
      </c>
      <c r="X2811" s="13">
        <v>202</v>
      </c>
    </row>
    <row r="2812" spans="1:24" x14ac:dyDescent="0.25">
      <c r="A2812" t="s">
        <v>2598</v>
      </c>
      <c r="B2812" t="s">
        <v>65</v>
      </c>
      <c r="C2812" t="s">
        <v>2588</v>
      </c>
      <c r="D2812" t="s">
        <v>2589</v>
      </c>
      <c r="E2812" t="s">
        <v>2590</v>
      </c>
      <c r="F2812" t="s">
        <v>94</v>
      </c>
      <c r="G2812" t="s">
        <v>277</v>
      </c>
      <c r="H2812" s="12">
        <v>6.2186000000000003</v>
      </c>
      <c r="I2812" s="12">
        <v>-75.241699999999994</v>
      </c>
      <c r="J2812" t="s">
        <v>2591</v>
      </c>
      <c r="K2812" t="s">
        <v>97</v>
      </c>
      <c r="L2812" t="s">
        <v>1273</v>
      </c>
      <c r="M2812">
        <v>11</v>
      </c>
      <c r="P2812" s="13">
        <v>202</v>
      </c>
      <c r="Q2812" s="13">
        <v>46</v>
      </c>
      <c r="R2812">
        <v>42</v>
      </c>
      <c r="S2812">
        <v>32</v>
      </c>
      <c r="T2812" s="13">
        <v>40</v>
      </c>
      <c r="U2812" s="13">
        <v>45</v>
      </c>
      <c r="V2812" t="s">
        <v>99</v>
      </c>
      <c r="X2812" s="13">
        <v>202</v>
      </c>
    </row>
    <row r="2813" spans="1:24" x14ac:dyDescent="0.25">
      <c r="A2813" t="s">
        <v>2599</v>
      </c>
      <c r="B2813" t="s">
        <v>65</v>
      </c>
      <c r="C2813" t="s">
        <v>2588</v>
      </c>
      <c r="D2813" t="s">
        <v>2589</v>
      </c>
      <c r="E2813" t="s">
        <v>2590</v>
      </c>
      <c r="F2813" t="s">
        <v>94</v>
      </c>
      <c r="G2813" t="s">
        <v>277</v>
      </c>
      <c r="H2813" s="12">
        <v>6.2186000000000003</v>
      </c>
      <c r="I2813" s="12">
        <v>-75.241699999999994</v>
      </c>
      <c r="J2813" t="s">
        <v>2591</v>
      </c>
      <c r="K2813" t="s">
        <v>97</v>
      </c>
      <c r="L2813" t="s">
        <v>1273</v>
      </c>
      <c r="M2813">
        <v>11</v>
      </c>
      <c r="P2813" s="13">
        <v>199</v>
      </c>
      <c r="Q2813" s="13">
        <v>41</v>
      </c>
      <c r="R2813">
        <v>42</v>
      </c>
      <c r="S2813">
        <v>42</v>
      </c>
      <c r="T2813" s="13">
        <v>29</v>
      </c>
      <c r="U2813" s="13">
        <v>53</v>
      </c>
      <c r="V2813" t="s">
        <v>99</v>
      </c>
      <c r="X2813" s="13">
        <v>199</v>
      </c>
    </row>
    <row r="2814" spans="1:24" x14ac:dyDescent="0.25">
      <c r="A2814" t="s">
        <v>2600</v>
      </c>
      <c r="B2814" t="s">
        <v>65</v>
      </c>
      <c r="C2814" t="s">
        <v>2588</v>
      </c>
      <c r="D2814" t="s">
        <v>2589</v>
      </c>
      <c r="E2814" t="s">
        <v>2590</v>
      </c>
      <c r="F2814" t="s">
        <v>94</v>
      </c>
      <c r="G2814" t="s">
        <v>277</v>
      </c>
      <c r="H2814" s="12">
        <v>6.2186000000000003</v>
      </c>
      <c r="I2814" s="12">
        <v>-75.241699999999994</v>
      </c>
      <c r="J2814" t="s">
        <v>2591</v>
      </c>
      <c r="K2814" t="s">
        <v>97</v>
      </c>
      <c r="L2814" t="s">
        <v>1273</v>
      </c>
      <c r="M2814">
        <v>11</v>
      </c>
      <c r="P2814" s="13">
        <v>199</v>
      </c>
      <c r="Q2814" s="13">
        <v>44</v>
      </c>
      <c r="R2814">
        <v>30</v>
      </c>
      <c r="S2814">
        <v>40</v>
      </c>
      <c r="T2814" s="13">
        <v>41</v>
      </c>
      <c r="U2814" s="13">
        <v>51</v>
      </c>
      <c r="V2814" t="s">
        <v>99</v>
      </c>
      <c r="X2814" s="13">
        <v>199</v>
      </c>
    </row>
    <row r="2815" spans="1:24" x14ac:dyDescent="0.25">
      <c r="A2815" t="s">
        <v>2601</v>
      </c>
      <c r="B2815" t="s">
        <v>65</v>
      </c>
      <c r="C2815" t="s">
        <v>2588</v>
      </c>
      <c r="D2815" t="s">
        <v>2589</v>
      </c>
      <c r="E2815" t="s">
        <v>2590</v>
      </c>
      <c r="F2815" t="s">
        <v>94</v>
      </c>
      <c r="G2815" t="s">
        <v>277</v>
      </c>
      <c r="H2815" s="12">
        <v>6.2186000000000003</v>
      </c>
      <c r="I2815" s="12">
        <v>-75.241699999999994</v>
      </c>
      <c r="J2815" t="s">
        <v>2591</v>
      </c>
      <c r="K2815" t="s">
        <v>97</v>
      </c>
      <c r="L2815" t="s">
        <v>1273</v>
      </c>
      <c r="M2815">
        <v>11</v>
      </c>
      <c r="P2815" s="13">
        <v>195</v>
      </c>
      <c r="Q2815" s="13">
        <v>44</v>
      </c>
      <c r="R2815">
        <v>44</v>
      </c>
      <c r="S2815">
        <v>48</v>
      </c>
      <c r="T2815" s="13">
        <v>19</v>
      </c>
      <c r="U2815" s="13">
        <v>44</v>
      </c>
      <c r="V2815" t="s">
        <v>99</v>
      </c>
      <c r="X2815" s="13">
        <v>195</v>
      </c>
    </row>
    <row r="2816" spans="1:24" x14ac:dyDescent="0.25">
      <c r="A2816" t="s">
        <v>2602</v>
      </c>
      <c r="B2816" t="s">
        <v>65</v>
      </c>
      <c r="C2816" t="s">
        <v>2588</v>
      </c>
      <c r="D2816" t="s">
        <v>2589</v>
      </c>
      <c r="E2816" t="s">
        <v>2590</v>
      </c>
      <c r="F2816" t="s">
        <v>94</v>
      </c>
      <c r="G2816" t="s">
        <v>277</v>
      </c>
      <c r="H2816" s="12">
        <v>6.2186000000000003</v>
      </c>
      <c r="I2816" s="12">
        <v>-75.241699999999994</v>
      </c>
      <c r="J2816" t="s">
        <v>2591</v>
      </c>
      <c r="K2816" t="s">
        <v>97</v>
      </c>
      <c r="L2816" t="s">
        <v>1273</v>
      </c>
      <c r="M2816">
        <v>11</v>
      </c>
      <c r="P2816" s="13">
        <v>195</v>
      </c>
      <c r="Q2816" s="13">
        <v>51</v>
      </c>
      <c r="R2816">
        <v>28</v>
      </c>
      <c r="S2816">
        <v>46</v>
      </c>
      <c r="T2816" s="13">
        <v>24</v>
      </c>
      <c r="U2816" s="13">
        <v>60</v>
      </c>
      <c r="V2816" t="s">
        <v>99</v>
      </c>
      <c r="X2816" s="13">
        <v>195</v>
      </c>
    </row>
    <row r="2817" spans="1:24" x14ac:dyDescent="0.25">
      <c r="A2817" t="s">
        <v>2603</v>
      </c>
      <c r="B2817" t="s">
        <v>65</v>
      </c>
      <c r="C2817" t="s">
        <v>2588</v>
      </c>
      <c r="D2817" t="s">
        <v>2589</v>
      </c>
      <c r="E2817" t="s">
        <v>2590</v>
      </c>
      <c r="F2817" t="s">
        <v>94</v>
      </c>
      <c r="G2817" t="s">
        <v>277</v>
      </c>
      <c r="H2817" s="12">
        <v>6.2186000000000003</v>
      </c>
      <c r="I2817" s="12">
        <v>-75.241699999999994</v>
      </c>
      <c r="J2817" t="s">
        <v>2591</v>
      </c>
      <c r="K2817" t="s">
        <v>97</v>
      </c>
      <c r="L2817" t="s">
        <v>1273</v>
      </c>
      <c r="M2817">
        <v>11</v>
      </c>
      <c r="P2817" s="13">
        <v>195</v>
      </c>
      <c r="Q2817" s="13">
        <v>41</v>
      </c>
      <c r="R2817">
        <v>32</v>
      </c>
      <c r="S2817">
        <v>46</v>
      </c>
      <c r="T2817" s="13">
        <v>33</v>
      </c>
      <c r="U2817" s="13">
        <v>49</v>
      </c>
      <c r="V2817" t="s">
        <v>99</v>
      </c>
      <c r="X2817" s="13">
        <v>195</v>
      </c>
    </row>
    <row r="2818" spans="1:24" x14ac:dyDescent="0.25">
      <c r="A2818" t="s">
        <v>2604</v>
      </c>
      <c r="B2818" t="s">
        <v>65</v>
      </c>
      <c r="C2818" t="s">
        <v>2588</v>
      </c>
      <c r="D2818" t="s">
        <v>2589</v>
      </c>
      <c r="E2818" t="s">
        <v>2590</v>
      </c>
      <c r="F2818" t="s">
        <v>94</v>
      </c>
      <c r="G2818" t="s">
        <v>277</v>
      </c>
      <c r="H2818" s="12">
        <v>6.2186000000000003</v>
      </c>
      <c r="I2818" s="12">
        <v>-75.241699999999994</v>
      </c>
      <c r="J2818" t="s">
        <v>2591</v>
      </c>
      <c r="K2818" t="s">
        <v>97</v>
      </c>
      <c r="L2818" t="s">
        <v>1273</v>
      </c>
      <c r="M2818">
        <v>11</v>
      </c>
      <c r="P2818" s="13">
        <v>193</v>
      </c>
      <c r="Q2818" s="13">
        <v>44</v>
      </c>
      <c r="R2818">
        <v>26</v>
      </c>
      <c r="S2818">
        <v>50</v>
      </c>
      <c r="T2818" s="13">
        <v>31</v>
      </c>
      <c r="U2818" s="13">
        <v>49</v>
      </c>
      <c r="V2818" t="s">
        <v>99</v>
      </c>
      <c r="X2818" s="13">
        <v>193</v>
      </c>
    </row>
    <row r="2819" spans="1:24" x14ac:dyDescent="0.25">
      <c r="A2819" t="s">
        <v>2605</v>
      </c>
      <c r="B2819" t="s">
        <v>65</v>
      </c>
      <c r="C2819" t="s">
        <v>2588</v>
      </c>
      <c r="D2819" t="s">
        <v>2589</v>
      </c>
      <c r="E2819" t="s">
        <v>2590</v>
      </c>
      <c r="F2819" t="s">
        <v>94</v>
      </c>
      <c r="G2819" t="s">
        <v>277</v>
      </c>
      <c r="H2819" s="12">
        <v>6.2186000000000003</v>
      </c>
      <c r="I2819" s="12">
        <v>-75.241699999999994</v>
      </c>
      <c r="J2819" t="s">
        <v>2591</v>
      </c>
      <c r="K2819" t="s">
        <v>97</v>
      </c>
      <c r="L2819" t="s">
        <v>1273</v>
      </c>
      <c r="M2819">
        <v>11</v>
      </c>
      <c r="P2819" s="13">
        <v>190</v>
      </c>
      <c r="Q2819" s="13">
        <v>37</v>
      </c>
      <c r="R2819">
        <v>18</v>
      </c>
      <c r="S2819">
        <v>52</v>
      </c>
      <c r="T2819" s="13">
        <v>40</v>
      </c>
      <c r="U2819" s="13">
        <v>56</v>
      </c>
      <c r="V2819" t="s">
        <v>99</v>
      </c>
      <c r="X2819" s="13">
        <v>190</v>
      </c>
    </row>
    <row r="2820" spans="1:24" x14ac:dyDescent="0.25">
      <c r="A2820" t="s">
        <v>2606</v>
      </c>
      <c r="B2820" t="s">
        <v>65</v>
      </c>
      <c r="C2820" t="s">
        <v>2588</v>
      </c>
      <c r="D2820" t="s">
        <v>2589</v>
      </c>
      <c r="E2820" t="s">
        <v>2590</v>
      </c>
      <c r="F2820" t="s">
        <v>94</v>
      </c>
      <c r="G2820" t="s">
        <v>277</v>
      </c>
      <c r="H2820" s="12">
        <v>6.2186000000000003</v>
      </c>
      <c r="I2820" s="12">
        <v>-75.241699999999994</v>
      </c>
      <c r="J2820" t="s">
        <v>2591</v>
      </c>
      <c r="K2820" t="s">
        <v>97</v>
      </c>
      <c r="L2820" t="s">
        <v>1273</v>
      </c>
      <c r="M2820">
        <v>11</v>
      </c>
      <c r="P2820" s="13">
        <v>188</v>
      </c>
      <c r="Q2820" s="13">
        <v>44</v>
      </c>
      <c r="R2820">
        <v>28</v>
      </c>
      <c r="S2820">
        <v>48</v>
      </c>
      <c r="T2820" s="13">
        <v>28</v>
      </c>
      <c r="U2820" s="13">
        <v>45</v>
      </c>
      <c r="V2820" t="s">
        <v>99</v>
      </c>
      <c r="X2820" s="13">
        <v>188</v>
      </c>
    </row>
    <row r="2821" spans="1:24" x14ac:dyDescent="0.25">
      <c r="A2821" t="s">
        <v>2607</v>
      </c>
      <c r="B2821" t="s">
        <v>65</v>
      </c>
      <c r="C2821" t="s">
        <v>2588</v>
      </c>
      <c r="D2821" t="s">
        <v>2589</v>
      </c>
      <c r="E2821" t="s">
        <v>2590</v>
      </c>
      <c r="F2821" t="s">
        <v>94</v>
      </c>
      <c r="G2821" t="s">
        <v>277</v>
      </c>
      <c r="H2821" s="12">
        <v>6.2186000000000003</v>
      </c>
      <c r="I2821" s="12">
        <v>-75.241699999999994</v>
      </c>
      <c r="J2821" t="s">
        <v>2591</v>
      </c>
      <c r="K2821" t="s">
        <v>97</v>
      </c>
      <c r="L2821" t="s">
        <v>1273</v>
      </c>
      <c r="M2821">
        <v>11</v>
      </c>
      <c r="P2821" s="13">
        <v>187</v>
      </c>
      <c r="Q2821" s="13">
        <v>56</v>
      </c>
      <c r="R2821">
        <v>24</v>
      </c>
      <c r="S2821">
        <v>36</v>
      </c>
      <c r="T2821" s="13">
        <v>28</v>
      </c>
      <c r="U2821" s="13">
        <v>55</v>
      </c>
      <c r="V2821" t="s">
        <v>99</v>
      </c>
      <c r="X2821" s="13">
        <v>187</v>
      </c>
    </row>
    <row r="2822" spans="1:24" x14ac:dyDescent="0.25">
      <c r="A2822" t="s">
        <v>2608</v>
      </c>
      <c r="B2822" t="s">
        <v>65</v>
      </c>
      <c r="C2822" t="s">
        <v>2588</v>
      </c>
      <c r="D2822" t="s">
        <v>2589</v>
      </c>
      <c r="E2822" t="s">
        <v>2590</v>
      </c>
      <c r="F2822" t="s">
        <v>94</v>
      </c>
      <c r="G2822" t="s">
        <v>277</v>
      </c>
      <c r="H2822" s="12">
        <v>6.2186000000000003</v>
      </c>
      <c r="I2822" s="12">
        <v>-75.241699999999994</v>
      </c>
      <c r="J2822" t="s">
        <v>2591</v>
      </c>
      <c r="K2822" t="s">
        <v>97</v>
      </c>
      <c r="L2822" t="s">
        <v>1273</v>
      </c>
      <c r="M2822">
        <v>11</v>
      </c>
      <c r="P2822" s="13">
        <v>180</v>
      </c>
      <c r="Q2822" s="13">
        <v>41</v>
      </c>
      <c r="R2822">
        <v>32</v>
      </c>
      <c r="S2822">
        <v>36</v>
      </c>
      <c r="T2822" s="13">
        <v>31</v>
      </c>
      <c r="U2822" s="13">
        <v>47</v>
      </c>
      <c r="V2822" t="s">
        <v>99</v>
      </c>
      <c r="X2822" s="13">
        <v>180</v>
      </c>
    </row>
    <row r="2823" spans="1:24" x14ac:dyDescent="0.25">
      <c r="A2823" t="s">
        <v>2609</v>
      </c>
      <c r="B2823" t="s">
        <v>65</v>
      </c>
      <c r="C2823" t="s">
        <v>2588</v>
      </c>
      <c r="D2823" t="s">
        <v>2589</v>
      </c>
      <c r="E2823" t="s">
        <v>2590</v>
      </c>
      <c r="F2823" t="s">
        <v>94</v>
      </c>
      <c r="G2823" t="s">
        <v>277</v>
      </c>
      <c r="H2823" s="12">
        <v>6.2186000000000003</v>
      </c>
      <c r="I2823" s="12">
        <v>-75.241699999999994</v>
      </c>
      <c r="J2823" t="s">
        <v>2591</v>
      </c>
      <c r="K2823" t="s">
        <v>97</v>
      </c>
      <c r="L2823" t="s">
        <v>1273</v>
      </c>
      <c r="M2823">
        <v>11</v>
      </c>
      <c r="P2823" s="13">
        <v>180</v>
      </c>
      <c r="Q2823" s="13">
        <v>37</v>
      </c>
      <c r="R2823">
        <v>32</v>
      </c>
      <c r="S2823">
        <v>38</v>
      </c>
      <c r="T2823" s="13">
        <v>34</v>
      </c>
      <c r="U2823" s="13">
        <v>45</v>
      </c>
      <c r="V2823" t="s">
        <v>99</v>
      </c>
      <c r="X2823" s="13">
        <v>180</v>
      </c>
    </row>
    <row r="2824" spans="1:24" x14ac:dyDescent="0.25">
      <c r="A2824" t="s">
        <v>2610</v>
      </c>
      <c r="B2824" t="s">
        <v>65</v>
      </c>
      <c r="C2824" t="s">
        <v>2588</v>
      </c>
      <c r="D2824" t="s">
        <v>2589</v>
      </c>
      <c r="E2824" t="s">
        <v>2590</v>
      </c>
      <c r="F2824" t="s">
        <v>94</v>
      </c>
      <c r="G2824" t="s">
        <v>277</v>
      </c>
      <c r="H2824" s="12">
        <v>6.2186000000000003</v>
      </c>
      <c r="I2824" s="12">
        <v>-75.241699999999994</v>
      </c>
      <c r="J2824" t="s">
        <v>2591</v>
      </c>
      <c r="K2824" t="s">
        <v>97</v>
      </c>
      <c r="L2824" t="s">
        <v>1273</v>
      </c>
      <c r="M2824">
        <v>11</v>
      </c>
      <c r="P2824" s="13">
        <v>177</v>
      </c>
      <c r="Q2824" s="13">
        <v>41</v>
      </c>
      <c r="R2824">
        <v>26</v>
      </c>
      <c r="S2824">
        <v>42</v>
      </c>
      <c r="T2824" s="13">
        <v>31</v>
      </c>
      <c r="U2824" s="13">
        <v>38</v>
      </c>
      <c r="V2824" t="s">
        <v>99</v>
      </c>
      <c r="X2824" s="13">
        <v>177</v>
      </c>
    </row>
    <row r="2825" spans="1:24" x14ac:dyDescent="0.25">
      <c r="A2825" t="s">
        <v>2611</v>
      </c>
      <c r="B2825" t="s">
        <v>65</v>
      </c>
      <c r="C2825" t="s">
        <v>2588</v>
      </c>
      <c r="D2825" t="s">
        <v>2589</v>
      </c>
      <c r="E2825" t="s">
        <v>2590</v>
      </c>
      <c r="F2825" t="s">
        <v>94</v>
      </c>
      <c r="G2825" t="s">
        <v>277</v>
      </c>
      <c r="H2825" s="12">
        <v>6.2186000000000003</v>
      </c>
      <c r="I2825" s="12">
        <v>-75.241699999999994</v>
      </c>
      <c r="J2825" t="s">
        <v>2591</v>
      </c>
      <c r="K2825" t="s">
        <v>97</v>
      </c>
      <c r="L2825" t="s">
        <v>1273</v>
      </c>
      <c r="M2825">
        <v>11</v>
      </c>
      <c r="P2825" s="13">
        <v>174</v>
      </c>
      <c r="Q2825" s="13">
        <v>46</v>
      </c>
      <c r="R2825">
        <v>18</v>
      </c>
      <c r="S2825">
        <v>34</v>
      </c>
      <c r="T2825" s="13">
        <v>31</v>
      </c>
      <c r="U2825" s="13">
        <v>65</v>
      </c>
      <c r="V2825" t="s">
        <v>99</v>
      </c>
      <c r="X2825" s="13">
        <v>174</v>
      </c>
    </row>
    <row r="2826" spans="1:24" x14ac:dyDescent="0.25">
      <c r="A2826" t="s">
        <v>2612</v>
      </c>
      <c r="B2826" t="s">
        <v>65</v>
      </c>
      <c r="C2826" t="s">
        <v>2588</v>
      </c>
      <c r="D2826" t="s">
        <v>2589</v>
      </c>
      <c r="E2826" t="s">
        <v>2590</v>
      </c>
      <c r="F2826" t="s">
        <v>94</v>
      </c>
      <c r="G2826" t="s">
        <v>277</v>
      </c>
      <c r="H2826" s="12">
        <v>6.2186000000000003</v>
      </c>
      <c r="I2826" s="12">
        <v>-75.241699999999994</v>
      </c>
      <c r="J2826" t="s">
        <v>2591</v>
      </c>
      <c r="K2826" t="s">
        <v>97</v>
      </c>
      <c r="L2826" t="s">
        <v>1273</v>
      </c>
      <c r="M2826">
        <v>11</v>
      </c>
      <c r="P2826" s="13">
        <v>168</v>
      </c>
      <c r="Q2826" s="13">
        <v>49</v>
      </c>
      <c r="R2826">
        <v>18</v>
      </c>
      <c r="S2826">
        <v>32</v>
      </c>
      <c r="T2826" s="13">
        <v>26</v>
      </c>
      <c r="U2826" s="13">
        <v>62</v>
      </c>
      <c r="V2826" t="s">
        <v>99</v>
      </c>
      <c r="X2826" s="13">
        <v>168</v>
      </c>
    </row>
    <row r="2827" spans="1:24" x14ac:dyDescent="0.25">
      <c r="A2827" t="s">
        <v>2613</v>
      </c>
      <c r="B2827" t="s">
        <v>65</v>
      </c>
      <c r="C2827" t="s">
        <v>2588</v>
      </c>
      <c r="D2827" t="s">
        <v>2589</v>
      </c>
      <c r="E2827" t="s">
        <v>2590</v>
      </c>
      <c r="F2827" t="s">
        <v>94</v>
      </c>
      <c r="G2827" t="s">
        <v>277</v>
      </c>
      <c r="H2827" s="12">
        <v>6.2186000000000003</v>
      </c>
      <c r="I2827" s="12">
        <v>-75.241699999999994</v>
      </c>
      <c r="J2827" t="s">
        <v>2591</v>
      </c>
      <c r="K2827" t="s">
        <v>97</v>
      </c>
      <c r="L2827" t="s">
        <v>1273</v>
      </c>
      <c r="M2827">
        <v>11</v>
      </c>
      <c r="P2827" s="13">
        <v>167</v>
      </c>
      <c r="Q2827" s="13">
        <v>37</v>
      </c>
      <c r="R2827">
        <v>26</v>
      </c>
      <c r="S2827">
        <v>34</v>
      </c>
      <c r="T2827" s="13">
        <v>34</v>
      </c>
      <c r="U2827" s="13">
        <v>42</v>
      </c>
      <c r="V2827" t="s">
        <v>99</v>
      </c>
      <c r="X2827" s="13">
        <v>167</v>
      </c>
    </row>
    <row r="2828" spans="1:24" x14ac:dyDescent="0.25">
      <c r="A2828" t="s">
        <v>2614</v>
      </c>
      <c r="B2828" t="s">
        <v>65</v>
      </c>
      <c r="C2828" t="s">
        <v>2588</v>
      </c>
      <c r="D2828" t="s">
        <v>2589</v>
      </c>
      <c r="E2828" t="s">
        <v>2590</v>
      </c>
      <c r="F2828" t="s">
        <v>94</v>
      </c>
      <c r="G2828" t="s">
        <v>277</v>
      </c>
      <c r="H2828" s="12">
        <v>6.2186000000000003</v>
      </c>
      <c r="I2828" s="12">
        <v>-75.241699999999994</v>
      </c>
      <c r="J2828" t="s">
        <v>2591</v>
      </c>
      <c r="K2828" t="s">
        <v>97</v>
      </c>
      <c r="L2828" t="s">
        <v>1273</v>
      </c>
      <c r="M2828">
        <v>11</v>
      </c>
      <c r="P2828" s="13">
        <v>167</v>
      </c>
      <c r="Q2828" s="13">
        <v>41</v>
      </c>
      <c r="R2828">
        <v>32</v>
      </c>
      <c r="S2828">
        <v>32</v>
      </c>
      <c r="T2828" s="13">
        <v>31</v>
      </c>
      <c r="U2828" s="13">
        <v>25</v>
      </c>
      <c r="V2828" t="s">
        <v>99</v>
      </c>
      <c r="X2828" s="13">
        <v>167</v>
      </c>
    </row>
    <row r="2829" spans="1:24" x14ac:dyDescent="0.25">
      <c r="A2829" t="s">
        <v>2615</v>
      </c>
      <c r="B2829" t="s">
        <v>65</v>
      </c>
      <c r="C2829" t="s">
        <v>2588</v>
      </c>
      <c r="D2829" t="s">
        <v>2589</v>
      </c>
      <c r="E2829" t="s">
        <v>2590</v>
      </c>
      <c r="F2829" t="s">
        <v>94</v>
      </c>
      <c r="G2829" t="s">
        <v>277</v>
      </c>
      <c r="H2829" s="12">
        <v>6.2186000000000003</v>
      </c>
      <c r="I2829" s="12">
        <v>-75.241699999999994</v>
      </c>
      <c r="J2829" t="s">
        <v>2591</v>
      </c>
      <c r="K2829" t="s">
        <v>97</v>
      </c>
      <c r="L2829" t="s">
        <v>1273</v>
      </c>
      <c r="M2829">
        <v>11</v>
      </c>
      <c r="P2829" s="13">
        <v>167</v>
      </c>
      <c r="Q2829" s="13">
        <v>29</v>
      </c>
      <c r="R2829">
        <v>32</v>
      </c>
      <c r="S2829">
        <v>34</v>
      </c>
      <c r="T2829" s="13">
        <v>38</v>
      </c>
      <c r="U2829" s="13">
        <v>35</v>
      </c>
      <c r="V2829" t="s">
        <v>99</v>
      </c>
      <c r="X2829" s="13">
        <v>167</v>
      </c>
    </row>
    <row r="2830" spans="1:24" x14ac:dyDescent="0.25">
      <c r="A2830" t="s">
        <v>2616</v>
      </c>
      <c r="B2830" t="s">
        <v>65</v>
      </c>
      <c r="C2830" t="s">
        <v>2588</v>
      </c>
      <c r="D2830" t="s">
        <v>2589</v>
      </c>
      <c r="E2830" t="s">
        <v>2590</v>
      </c>
      <c r="F2830" t="s">
        <v>94</v>
      </c>
      <c r="G2830" t="s">
        <v>277</v>
      </c>
      <c r="H2830" s="12">
        <v>6.2186000000000003</v>
      </c>
      <c r="I2830" s="12">
        <v>-75.241699999999994</v>
      </c>
      <c r="J2830" t="s">
        <v>2591</v>
      </c>
      <c r="K2830" t="s">
        <v>97</v>
      </c>
      <c r="L2830" t="s">
        <v>1273</v>
      </c>
      <c r="M2830">
        <v>11</v>
      </c>
      <c r="P2830" s="13">
        <v>165</v>
      </c>
      <c r="Q2830" s="13">
        <v>24</v>
      </c>
      <c r="R2830">
        <v>34</v>
      </c>
      <c r="S2830">
        <v>42</v>
      </c>
      <c r="T2830" s="13">
        <v>29</v>
      </c>
      <c r="U2830" s="13">
        <v>40</v>
      </c>
      <c r="V2830" t="s">
        <v>99</v>
      </c>
      <c r="X2830" s="13">
        <v>165</v>
      </c>
    </row>
    <row r="2831" spans="1:24" x14ac:dyDescent="0.25">
      <c r="A2831" t="s">
        <v>2617</v>
      </c>
      <c r="B2831" t="s">
        <v>65</v>
      </c>
      <c r="C2831" t="s">
        <v>2588</v>
      </c>
      <c r="D2831" t="s">
        <v>2589</v>
      </c>
      <c r="E2831" t="s">
        <v>2590</v>
      </c>
      <c r="F2831" t="s">
        <v>94</v>
      </c>
      <c r="G2831" t="s">
        <v>277</v>
      </c>
      <c r="H2831" s="12">
        <v>6.2186000000000003</v>
      </c>
      <c r="I2831" s="12">
        <v>-75.241699999999994</v>
      </c>
      <c r="J2831" t="s">
        <v>2591</v>
      </c>
      <c r="K2831" t="s">
        <v>97</v>
      </c>
      <c r="L2831" t="s">
        <v>1273</v>
      </c>
      <c r="M2831">
        <v>11</v>
      </c>
      <c r="P2831" s="13">
        <v>151</v>
      </c>
      <c r="Q2831" s="13">
        <v>37</v>
      </c>
      <c r="R2831">
        <v>34</v>
      </c>
      <c r="S2831">
        <v>22</v>
      </c>
      <c r="T2831" s="13">
        <v>28</v>
      </c>
      <c r="U2831" s="13">
        <v>33</v>
      </c>
      <c r="V2831" t="s">
        <v>99</v>
      </c>
      <c r="X2831" s="13">
        <v>151</v>
      </c>
    </row>
    <row r="2832" spans="1:24" x14ac:dyDescent="0.25">
      <c r="A2832" t="s">
        <v>2618</v>
      </c>
      <c r="B2832" t="s">
        <v>65</v>
      </c>
      <c r="C2832" t="s">
        <v>2588</v>
      </c>
      <c r="D2832" t="s">
        <v>2589</v>
      </c>
      <c r="E2832" t="s">
        <v>2590</v>
      </c>
      <c r="F2832" t="s">
        <v>94</v>
      </c>
      <c r="G2832" t="s">
        <v>277</v>
      </c>
      <c r="H2832" s="12">
        <v>6.2186000000000003</v>
      </c>
      <c r="I2832" s="12">
        <v>-75.241699999999994</v>
      </c>
      <c r="J2832" t="s">
        <v>2591</v>
      </c>
      <c r="K2832" t="s">
        <v>97</v>
      </c>
      <c r="L2832" t="s">
        <v>1273</v>
      </c>
      <c r="M2832">
        <v>11</v>
      </c>
      <c r="P2832" s="13">
        <v>145</v>
      </c>
      <c r="Q2832" s="13">
        <v>41</v>
      </c>
      <c r="R2832">
        <v>24</v>
      </c>
      <c r="S2832">
        <v>36</v>
      </c>
      <c r="T2832" s="13">
        <v>24</v>
      </c>
      <c r="U2832" s="13">
        <v>0</v>
      </c>
      <c r="V2832" t="s">
        <v>99</v>
      </c>
      <c r="X2832" s="13">
        <v>145</v>
      </c>
    </row>
    <row r="2833" spans="1:24" x14ac:dyDescent="0.25">
      <c r="A2833" t="s">
        <v>2619</v>
      </c>
      <c r="B2833" t="s">
        <v>65</v>
      </c>
      <c r="C2833" t="s">
        <v>2588</v>
      </c>
      <c r="D2833" t="s">
        <v>2589</v>
      </c>
      <c r="E2833" t="s">
        <v>2590</v>
      </c>
      <c r="F2833" t="s">
        <v>94</v>
      </c>
      <c r="G2833" t="s">
        <v>277</v>
      </c>
      <c r="H2833" s="12">
        <v>6.2186000000000003</v>
      </c>
      <c r="I2833" s="12">
        <v>-75.241699999999994</v>
      </c>
      <c r="J2833" t="s">
        <v>2591</v>
      </c>
      <c r="K2833" t="s">
        <v>97</v>
      </c>
      <c r="L2833" t="s">
        <v>1273</v>
      </c>
      <c r="M2833">
        <v>11</v>
      </c>
      <c r="P2833" s="13">
        <v>140</v>
      </c>
      <c r="Q2833" s="13">
        <v>27</v>
      </c>
      <c r="R2833">
        <v>32</v>
      </c>
      <c r="S2833">
        <v>22</v>
      </c>
      <c r="T2833" s="13">
        <v>26</v>
      </c>
      <c r="U2833" s="13">
        <v>44</v>
      </c>
      <c r="V2833" t="s">
        <v>99</v>
      </c>
      <c r="X2833" s="13">
        <v>140</v>
      </c>
    </row>
    <row r="2834" spans="1:24" x14ac:dyDescent="0.25">
      <c r="A2834" t="s">
        <v>2620</v>
      </c>
      <c r="B2834" t="s">
        <v>65</v>
      </c>
      <c r="C2834" t="s">
        <v>2588</v>
      </c>
      <c r="D2834" t="s">
        <v>2589</v>
      </c>
      <c r="E2834" t="s">
        <v>2590</v>
      </c>
      <c r="F2834" t="s">
        <v>94</v>
      </c>
      <c r="G2834" t="s">
        <v>277</v>
      </c>
      <c r="H2834" s="12">
        <v>6.2186000000000003</v>
      </c>
      <c r="I2834" s="12">
        <v>-75.241699999999994</v>
      </c>
      <c r="J2834" t="s">
        <v>2591</v>
      </c>
      <c r="K2834" t="s">
        <v>97</v>
      </c>
      <c r="L2834" t="s">
        <v>1273</v>
      </c>
      <c r="M2834">
        <v>11</v>
      </c>
      <c r="P2834" s="13">
        <v>120</v>
      </c>
      <c r="Q2834" s="13">
        <v>27</v>
      </c>
      <c r="R2834">
        <v>28</v>
      </c>
      <c r="S2834">
        <v>18</v>
      </c>
      <c r="T2834" s="13">
        <v>19</v>
      </c>
      <c r="U2834" s="13">
        <v>36</v>
      </c>
      <c r="V2834" t="s">
        <v>99</v>
      </c>
      <c r="X2834" s="13">
        <v>120</v>
      </c>
    </row>
    <row r="2835" spans="1:24" x14ac:dyDescent="0.25">
      <c r="A2835" t="s">
        <v>2621</v>
      </c>
      <c r="B2835" t="s">
        <v>65</v>
      </c>
      <c r="C2835" t="s">
        <v>2588</v>
      </c>
      <c r="D2835" t="s">
        <v>2589</v>
      </c>
      <c r="E2835" t="s">
        <v>2590</v>
      </c>
      <c r="F2835" t="s">
        <v>94</v>
      </c>
      <c r="G2835" t="s">
        <v>277</v>
      </c>
      <c r="H2835" s="12">
        <v>6.2186000000000003</v>
      </c>
      <c r="I2835" s="12">
        <v>-75.241699999999994</v>
      </c>
      <c r="J2835" t="s">
        <v>2591</v>
      </c>
      <c r="K2835" t="s">
        <v>97</v>
      </c>
      <c r="L2835" t="s">
        <v>1273</v>
      </c>
      <c r="M2835">
        <v>11</v>
      </c>
      <c r="P2835" s="13">
        <v>115</v>
      </c>
      <c r="Q2835" s="13">
        <v>12</v>
      </c>
      <c r="R2835">
        <v>22</v>
      </c>
      <c r="S2835">
        <v>34</v>
      </c>
      <c r="T2835" s="13">
        <v>24</v>
      </c>
      <c r="U2835" s="13">
        <v>22</v>
      </c>
      <c r="V2835" t="s">
        <v>99</v>
      </c>
      <c r="X2835" s="13">
        <v>115</v>
      </c>
    </row>
    <row r="2836" spans="1:24" x14ac:dyDescent="0.25">
      <c r="A2836" t="s">
        <v>2622</v>
      </c>
      <c r="B2836" t="s">
        <v>65</v>
      </c>
      <c r="C2836" t="s">
        <v>2588</v>
      </c>
      <c r="D2836" t="s">
        <v>2589</v>
      </c>
      <c r="E2836" t="s">
        <v>2590</v>
      </c>
      <c r="F2836" t="s">
        <v>94</v>
      </c>
      <c r="G2836" t="s">
        <v>277</v>
      </c>
      <c r="H2836" s="12">
        <v>6.2186000000000003</v>
      </c>
      <c r="I2836" s="12">
        <v>-75.241699999999994</v>
      </c>
      <c r="J2836" t="s">
        <v>2591</v>
      </c>
      <c r="K2836" t="s">
        <v>97</v>
      </c>
      <c r="L2836" t="s">
        <v>1273</v>
      </c>
      <c r="M2836">
        <v>11</v>
      </c>
      <c r="P2836" s="13">
        <v>55</v>
      </c>
      <c r="Q2836" s="13">
        <v>0</v>
      </c>
      <c r="R2836">
        <v>8</v>
      </c>
      <c r="S2836">
        <v>14</v>
      </c>
      <c r="T2836" s="13">
        <v>12</v>
      </c>
      <c r="U2836" s="13">
        <v>42</v>
      </c>
      <c r="V2836" t="s">
        <v>99</v>
      </c>
      <c r="X2836" s="13">
        <v>55</v>
      </c>
    </row>
    <row r="2837" spans="1:24" x14ac:dyDescent="0.25">
      <c r="A2837" t="s">
        <v>2623</v>
      </c>
      <c r="B2837" t="s">
        <v>65</v>
      </c>
      <c r="C2837" t="s">
        <v>2624</v>
      </c>
      <c r="D2837" t="s">
        <v>2625</v>
      </c>
      <c r="E2837" t="s">
        <v>2626</v>
      </c>
      <c r="F2837" t="s">
        <v>94</v>
      </c>
      <c r="G2837" t="s">
        <v>277</v>
      </c>
      <c r="H2837" s="12">
        <v>7.0785999999999998</v>
      </c>
      <c r="I2837" s="12">
        <v>-74.698300000000003</v>
      </c>
      <c r="J2837" t="s">
        <v>2627</v>
      </c>
      <c r="K2837" t="s">
        <v>97</v>
      </c>
      <c r="L2837" t="s">
        <v>1273</v>
      </c>
      <c r="M2837">
        <v>11</v>
      </c>
      <c r="P2837" s="13">
        <v>223</v>
      </c>
      <c r="Q2837" s="13">
        <v>49</v>
      </c>
      <c r="R2837">
        <v>32</v>
      </c>
      <c r="S2837">
        <v>66</v>
      </c>
      <c r="T2837" s="13">
        <v>33</v>
      </c>
      <c r="U2837" s="13">
        <v>40</v>
      </c>
      <c r="V2837" t="s">
        <v>99</v>
      </c>
      <c r="X2837" s="13">
        <v>223</v>
      </c>
    </row>
    <row r="2838" spans="1:24" x14ac:dyDescent="0.25">
      <c r="A2838" t="s">
        <v>2628</v>
      </c>
      <c r="B2838" t="s">
        <v>65</v>
      </c>
      <c r="C2838" t="s">
        <v>2624</v>
      </c>
      <c r="D2838" t="s">
        <v>2625</v>
      </c>
      <c r="E2838" t="s">
        <v>2626</v>
      </c>
      <c r="F2838" t="s">
        <v>94</v>
      </c>
      <c r="G2838" t="s">
        <v>277</v>
      </c>
      <c r="H2838" s="12">
        <v>7.0785999999999998</v>
      </c>
      <c r="I2838" s="12">
        <v>-74.698300000000003</v>
      </c>
      <c r="J2838" t="s">
        <v>2627</v>
      </c>
      <c r="K2838" t="s">
        <v>97</v>
      </c>
      <c r="L2838" t="s">
        <v>1273</v>
      </c>
      <c r="M2838">
        <v>11</v>
      </c>
      <c r="P2838" s="13">
        <v>222</v>
      </c>
      <c r="Q2838" s="13">
        <v>59</v>
      </c>
      <c r="R2838">
        <v>36</v>
      </c>
      <c r="S2838">
        <v>46</v>
      </c>
      <c r="T2838" s="13">
        <v>34</v>
      </c>
      <c r="U2838" s="13">
        <v>53</v>
      </c>
      <c r="V2838" t="s">
        <v>99</v>
      </c>
      <c r="X2838" s="13">
        <v>222</v>
      </c>
    </row>
    <row r="2839" spans="1:24" x14ac:dyDescent="0.25">
      <c r="A2839" t="s">
        <v>2629</v>
      </c>
      <c r="B2839" t="s">
        <v>65</v>
      </c>
      <c r="C2839" t="s">
        <v>2624</v>
      </c>
      <c r="D2839" t="s">
        <v>2625</v>
      </c>
      <c r="E2839" t="s">
        <v>2626</v>
      </c>
      <c r="F2839" t="s">
        <v>94</v>
      </c>
      <c r="G2839" t="s">
        <v>277</v>
      </c>
      <c r="H2839" s="12">
        <v>7.0785999999999998</v>
      </c>
      <c r="I2839" s="12">
        <v>-74.698300000000003</v>
      </c>
      <c r="J2839" t="s">
        <v>2627</v>
      </c>
      <c r="K2839" t="s">
        <v>97</v>
      </c>
      <c r="L2839" t="s">
        <v>1273</v>
      </c>
      <c r="M2839">
        <v>11</v>
      </c>
      <c r="P2839" s="13">
        <v>209</v>
      </c>
      <c r="Q2839" s="13">
        <v>56</v>
      </c>
      <c r="R2839">
        <v>26</v>
      </c>
      <c r="S2839">
        <v>48</v>
      </c>
      <c r="T2839" s="13">
        <v>31</v>
      </c>
      <c r="U2839" s="13">
        <v>60</v>
      </c>
      <c r="V2839" t="s">
        <v>99</v>
      </c>
      <c r="X2839" s="13">
        <v>209</v>
      </c>
    </row>
    <row r="2840" spans="1:24" x14ac:dyDescent="0.25">
      <c r="A2840" t="s">
        <v>2630</v>
      </c>
      <c r="B2840" t="s">
        <v>65</v>
      </c>
      <c r="C2840" t="s">
        <v>2624</v>
      </c>
      <c r="D2840" t="s">
        <v>2625</v>
      </c>
      <c r="E2840" t="s">
        <v>2626</v>
      </c>
      <c r="F2840" t="s">
        <v>94</v>
      </c>
      <c r="G2840" t="s">
        <v>277</v>
      </c>
      <c r="H2840" s="12">
        <v>7.0785999999999998</v>
      </c>
      <c r="I2840" s="12">
        <v>-74.698300000000003</v>
      </c>
      <c r="J2840" t="s">
        <v>2627</v>
      </c>
      <c r="K2840" t="s">
        <v>97</v>
      </c>
      <c r="L2840" t="s">
        <v>1273</v>
      </c>
      <c r="M2840">
        <v>11</v>
      </c>
      <c r="P2840" s="13">
        <v>208</v>
      </c>
      <c r="Q2840" s="13">
        <v>51</v>
      </c>
      <c r="R2840">
        <v>24</v>
      </c>
      <c r="S2840">
        <v>48</v>
      </c>
      <c r="T2840" s="13">
        <v>38</v>
      </c>
      <c r="U2840" s="13">
        <v>58</v>
      </c>
      <c r="V2840" t="s">
        <v>99</v>
      </c>
      <c r="X2840" s="13">
        <v>208</v>
      </c>
    </row>
    <row r="2841" spans="1:24" x14ac:dyDescent="0.25">
      <c r="A2841" t="s">
        <v>2631</v>
      </c>
      <c r="B2841" t="s">
        <v>65</v>
      </c>
      <c r="C2841" t="s">
        <v>2624</v>
      </c>
      <c r="D2841" t="s">
        <v>2625</v>
      </c>
      <c r="E2841" t="s">
        <v>2626</v>
      </c>
      <c r="F2841" t="s">
        <v>94</v>
      </c>
      <c r="G2841" t="s">
        <v>277</v>
      </c>
      <c r="H2841" s="12">
        <v>7.0785999999999998</v>
      </c>
      <c r="I2841" s="12">
        <v>-74.698300000000003</v>
      </c>
      <c r="J2841" t="s">
        <v>2627</v>
      </c>
      <c r="K2841" t="s">
        <v>97</v>
      </c>
      <c r="L2841" t="s">
        <v>1273</v>
      </c>
      <c r="M2841">
        <v>11</v>
      </c>
      <c r="P2841" s="13">
        <v>196</v>
      </c>
      <c r="Q2841" s="13">
        <v>54</v>
      </c>
      <c r="R2841">
        <v>30</v>
      </c>
      <c r="S2841">
        <v>52</v>
      </c>
      <c r="T2841" s="13">
        <v>22</v>
      </c>
      <c r="U2841" s="13">
        <v>36</v>
      </c>
      <c r="V2841" t="s">
        <v>99</v>
      </c>
      <c r="X2841" s="13">
        <v>196</v>
      </c>
    </row>
    <row r="2842" spans="1:24" x14ac:dyDescent="0.25">
      <c r="A2842" t="s">
        <v>2632</v>
      </c>
      <c r="B2842" t="s">
        <v>65</v>
      </c>
      <c r="C2842" t="s">
        <v>2624</v>
      </c>
      <c r="D2842" t="s">
        <v>2625</v>
      </c>
      <c r="E2842" t="s">
        <v>2626</v>
      </c>
      <c r="F2842" t="s">
        <v>94</v>
      </c>
      <c r="G2842" t="s">
        <v>277</v>
      </c>
      <c r="H2842" s="12">
        <v>7.0785999999999998</v>
      </c>
      <c r="I2842" s="12">
        <v>-74.698300000000003</v>
      </c>
      <c r="J2842" t="s">
        <v>2627</v>
      </c>
      <c r="K2842" t="s">
        <v>97</v>
      </c>
      <c r="L2842" t="s">
        <v>1273</v>
      </c>
      <c r="M2842">
        <v>11</v>
      </c>
      <c r="P2842" s="13">
        <v>196</v>
      </c>
      <c r="Q2842" s="13">
        <v>51</v>
      </c>
      <c r="R2842">
        <v>26</v>
      </c>
      <c r="S2842">
        <v>50</v>
      </c>
      <c r="T2842" s="13">
        <v>26</v>
      </c>
      <c r="U2842" s="13">
        <v>49</v>
      </c>
      <c r="V2842" t="s">
        <v>99</v>
      </c>
      <c r="X2842" s="13">
        <v>196</v>
      </c>
    </row>
    <row r="2843" spans="1:24" x14ac:dyDescent="0.25">
      <c r="A2843" t="s">
        <v>2633</v>
      </c>
      <c r="B2843" t="s">
        <v>65</v>
      </c>
      <c r="C2843" t="s">
        <v>2624</v>
      </c>
      <c r="D2843" t="s">
        <v>2625</v>
      </c>
      <c r="E2843" t="s">
        <v>2626</v>
      </c>
      <c r="F2843" t="s">
        <v>94</v>
      </c>
      <c r="G2843" t="s">
        <v>277</v>
      </c>
      <c r="H2843" s="12">
        <v>7.0785999999999998</v>
      </c>
      <c r="I2843" s="12">
        <v>-74.698300000000003</v>
      </c>
      <c r="J2843" t="s">
        <v>2627</v>
      </c>
      <c r="K2843" t="s">
        <v>97</v>
      </c>
      <c r="L2843" t="s">
        <v>1273</v>
      </c>
      <c r="M2843">
        <v>11</v>
      </c>
      <c r="P2843" s="13">
        <v>194</v>
      </c>
      <c r="Q2843" s="13">
        <v>44</v>
      </c>
      <c r="R2843">
        <v>30</v>
      </c>
      <c r="S2843">
        <v>50</v>
      </c>
      <c r="T2843" s="13">
        <v>33</v>
      </c>
      <c r="U2843" s="13">
        <v>35</v>
      </c>
      <c r="V2843" t="s">
        <v>99</v>
      </c>
      <c r="X2843" s="13">
        <v>194</v>
      </c>
    </row>
    <row r="2844" spans="1:24" x14ac:dyDescent="0.25">
      <c r="A2844" t="s">
        <v>2634</v>
      </c>
      <c r="B2844" t="s">
        <v>65</v>
      </c>
      <c r="C2844" t="s">
        <v>2624</v>
      </c>
      <c r="D2844" t="s">
        <v>2625</v>
      </c>
      <c r="E2844" t="s">
        <v>2626</v>
      </c>
      <c r="F2844" t="s">
        <v>94</v>
      </c>
      <c r="G2844" t="s">
        <v>277</v>
      </c>
      <c r="H2844" s="12">
        <v>7.0785999999999998</v>
      </c>
      <c r="I2844" s="12">
        <v>-74.698300000000003</v>
      </c>
      <c r="J2844" t="s">
        <v>2627</v>
      </c>
      <c r="K2844" t="s">
        <v>97</v>
      </c>
      <c r="L2844" t="s">
        <v>1273</v>
      </c>
      <c r="M2844">
        <v>11</v>
      </c>
      <c r="P2844" s="13">
        <v>189</v>
      </c>
      <c r="Q2844" s="13">
        <v>22</v>
      </c>
      <c r="R2844">
        <v>34</v>
      </c>
      <c r="S2844">
        <v>68</v>
      </c>
      <c r="T2844" s="13">
        <v>29</v>
      </c>
      <c r="U2844" s="13">
        <v>31</v>
      </c>
      <c r="V2844" t="s">
        <v>99</v>
      </c>
      <c r="X2844" s="13">
        <v>189</v>
      </c>
    </row>
    <row r="2845" spans="1:24" x14ac:dyDescent="0.25">
      <c r="A2845" t="s">
        <v>2635</v>
      </c>
      <c r="B2845" t="s">
        <v>65</v>
      </c>
      <c r="C2845" t="s">
        <v>2624</v>
      </c>
      <c r="D2845" t="s">
        <v>2625</v>
      </c>
      <c r="E2845" t="s">
        <v>2626</v>
      </c>
      <c r="F2845" t="s">
        <v>94</v>
      </c>
      <c r="G2845" t="s">
        <v>277</v>
      </c>
      <c r="H2845" s="12">
        <v>7.0785999999999998</v>
      </c>
      <c r="I2845" s="12">
        <v>-74.698300000000003</v>
      </c>
      <c r="J2845" t="s">
        <v>2627</v>
      </c>
      <c r="K2845" t="s">
        <v>97</v>
      </c>
      <c r="L2845" t="s">
        <v>1273</v>
      </c>
      <c r="M2845">
        <v>11</v>
      </c>
      <c r="P2845" s="13">
        <v>186</v>
      </c>
      <c r="Q2845" s="13">
        <v>34</v>
      </c>
      <c r="R2845">
        <v>34</v>
      </c>
      <c r="S2845">
        <v>52</v>
      </c>
      <c r="T2845" s="13">
        <v>29</v>
      </c>
      <c r="U2845" s="13">
        <v>35</v>
      </c>
      <c r="V2845" t="s">
        <v>99</v>
      </c>
      <c r="X2845" s="13">
        <v>186</v>
      </c>
    </row>
    <row r="2846" spans="1:24" x14ac:dyDescent="0.25">
      <c r="A2846" t="s">
        <v>2636</v>
      </c>
      <c r="B2846" t="s">
        <v>65</v>
      </c>
      <c r="C2846" t="s">
        <v>2624</v>
      </c>
      <c r="D2846" t="s">
        <v>2625</v>
      </c>
      <c r="E2846" t="s">
        <v>2626</v>
      </c>
      <c r="F2846" t="s">
        <v>94</v>
      </c>
      <c r="G2846" t="s">
        <v>277</v>
      </c>
      <c r="H2846" s="12">
        <v>7.0785999999999998</v>
      </c>
      <c r="I2846" s="12">
        <v>-74.698300000000003</v>
      </c>
      <c r="J2846" t="s">
        <v>2627</v>
      </c>
      <c r="K2846" t="s">
        <v>97</v>
      </c>
      <c r="L2846" t="s">
        <v>1273</v>
      </c>
      <c r="M2846">
        <v>11</v>
      </c>
      <c r="P2846" s="13">
        <v>185</v>
      </c>
      <c r="Q2846" s="13">
        <v>39</v>
      </c>
      <c r="R2846">
        <v>20</v>
      </c>
      <c r="S2846">
        <v>58</v>
      </c>
      <c r="T2846" s="13">
        <v>29</v>
      </c>
      <c r="U2846" s="13">
        <v>42</v>
      </c>
      <c r="V2846" t="s">
        <v>99</v>
      </c>
      <c r="X2846" s="13">
        <v>185</v>
      </c>
    </row>
    <row r="2847" spans="1:24" x14ac:dyDescent="0.25">
      <c r="A2847" t="s">
        <v>2637</v>
      </c>
      <c r="B2847" t="s">
        <v>65</v>
      </c>
      <c r="C2847" t="s">
        <v>2624</v>
      </c>
      <c r="D2847" t="s">
        <v>2625</v>
      </c>
      <c r="E2847" t="s">
        <v>2626</v>
      </c>
      <c r="F2847" t="s">
        <v>94</v>
      </c>
      <c r="G2847" t="s">
        <v>277</v>
      </c>
      <c r="H2847" s="12">
        <v>7.0785999999999998</v>
      </c>
      <c r="I2847" s="12">
        <v>-74.698300000000003</v>
      </c>
      <c r="J2847" t="s">
        <v>2627</v>
      </c>
      <c r="K2847" t="s">
        <v>97</v>
      </c>
      <c r="L2847" t="s">
        <v>1273</v>
      </c>
      <c r="M2847">
        <v>11</v>
      </c>
      <c r="P2847" s="13">
        <v>180</v>
      </c>
      <c r="Q2847" s="13">
        <v>49</v>
      </c>
      <c r="R2847">
        <v>32</v>
      </c>
      <c r="S2847">
        <v>34</v>
      </c>
      <c r="T2847" s="13">
        <v>24</v>
      </c>
      <c r="U2847" s="13">
        <v>51</v>
      </c>
      <c r="V2847" t="s">
        <v>99</v>
      </c>
      <c r="X2847" s="13">
        <v>180</v>
      </c>
    </row>
    <row r="2848" spans="1:24" x14ac:dyDescent="0.25">
      <c r="A2848" t="s">
        <v>2638</v>
      </c>
      <c r="B2848" t="s">
        <v>65</v>
      </c>
      <c r="C2848" t="s">
        <v>2624</v>
      </c>
      <c r="D2848" t="s">
        <v>2625</v>
      </c>
      <c r="E2848" t="s">
        <v>2626</v>
      </c>
      <c r="F2848" t="s">
        <v>94</v>
      </c>
      <c r="G2848" t="s">
        <v>277</v>
      </c>
      <c r="H2848" s="12">
        <v>7.0785999999999998</v>
      </c>
      <c r="I2848" s="12">
        <v>-74.698300000000003</v>
      </c>
      <c r="J2848" t="s">
        <v>2627</v>
      </c>
      <c r="K2848" t="s">
        <v>97</v>
      </c>
      <c r="L2848" t="s">
        <v>1273</v>
      </c>
      <c r="M2848">
        <v>11</v>
      </c>
      <c r="P2848" s="13">
        <v>177</v>
      </c>
      <c r="Q2848" s="13">
        <v>29</v>
      </c>
      <c r="R2848">
        <v>34</v>
      </c>
      <c r="S2848">
        <v>40</v>
      </c>
      <c r="T2848" s="13">
        <v>40</v>
      </c>
      <c r="U2848" s="13">
        <v>33</v>
      </c>
      <c r="V2848" t="s">
        <v>99</v>
      </c>
      <c r="X2848" s="13">
        <v>177</v>
      </c>
    </row>
    <row r="2849" spans="1:24" x14ac:dyDescent="0.25">
      <c r="A2849" t="s">
        <v>2639</v>
      </c>
      <c r="B2849" t="s">
        <v>65</v>
      </c>
      <c r="C2849" t="s">
        <v>2624</v>
      </c>
      <c r="D2849" t="s">
        <v>2625</v>
      </c>
      <c r="E2849" t="s">
        <v>2626</v>
      </c>
      <c r="F2849" t="s">
        <v>94</v>
      </c>
      <c r="G2849" t="s">
        <v>277</v>
      </c>
      <c r="H2849" s="12">
        <v>7.0785999999999998</v>
      </c>
      <c r="I2849" s="12">
        <v>-74.698300000000003</v>
      </c>
      <c r="J2849" t="s">
        <v>2627</v>
      </c>
      <c r="K2849" t="s">
        <v>97</v>
      </c>
      <c r="L2849" t="s">
        <v>1273</v>
      </c>
      <c r="M2849">
        <v>11</v>
      </c>
      <c r="P2849" s="13">
        <v>177</v>
      </c>
      <c r="Q2849" s="13">
        <v>44</v>
      </c>
      <c r="R2849">
        <v>22</v>
      </c>
      <c r="S2849">
        <v>42</v>
      </c>
      <c r="T2849" s="13">
        <v>28</v>
      </c>
      <c r="U2849" s="13">
        <v>53</v>
      </c>
      <c r="V2849" t="s">
        <v>99</v>
      </c>
      <c r="X2849" s="13">
        <v>177</v>
      </c>
    </row>
    <row r="2850" spans="1:24" x14ac:dyDescent="0.25">
      <c r="A2850" t="s">
        <v>2640</v>
      </c>
      <c r="B2850" t="s">
        <v>65</v>
      </c>
      <c r="C2850" t="s">
        <v>2624</v>
      </c>
      <c r="D2850" t="s">
        <v>2625</v>
      </c>
      <c r="E2850" t="s">
        <v>2626</v>
      </c>
      <c r="F2850" t="s">
        <v>94</v>
      </c>
      <c r="G2850" t="s">
        <v>277</v>
      </c>
      <c r="H2850" s="12">
        <v>7.0785999999999998</v>
      </c>
      <c r="I2850" s="12">
        <v>-74.698300000000003</v>
      </c>
      <c r="J2850" t="s">
        <v>2627</v>
      </c>
      <c r="K2850" t="s">
        <v>97</v>
      </c>
      <c r="L2850" t="s">
        <v>1273</v>
      </c>
      <c r="M2850">
        <v>11</v>
      </c>
      <c r="P2850" s="13">
        <v>176</v>
      </c>
      <c r="Q2850" s="13">
        <v>54</v>
      </c>
      <c r="R2850">
        <v>18</v>
      </c>
      <c r="S2850">
        <v>38</v>
      </c>
      <c r="T2850" s="13">
        <v>29</v>
      </c>
      <c r="U2850" s="13">
        <v>40</v>
      </c>
      <c r="V2850" t="s">
        <v>99</v>
      </c>
      <c r="X2850" s="13">
        <v>176</v>
      </c>
    </row>
    <row r="2851" spans="1:24" x14ac:dyDescent="0.25">
      <c r="A2851" t="s">
        <v>2641</v>
      </c>
      <c r="B2851" t="s">
        <v>65</v>
      </c>
      <c r="C2851" t="s">
        <v>2624</v>
      </c>
      <c r="D2851" t="s">
        <v>2625</v>
      </c>
      <c r="E2851" t="s">
        <v>2626</v>
      </c>
      <c r="F2851" t="s">
        <v>94</v>
      </c>
      <c r="G2851" t="s">
        <v>277</v>
      </c>
      <c r="H2851" s="12">
        <v>7.0785999999999998</v>
      </c>
      <c r="I2851" s="12">
        <v>-74.698300000000003</v>
      </c>
      <c r="J2851" t="s">
        <v>2627</v>
      </c>
      <c r="K2851" t="s">
        <v>97</v>
      </c>
      <c r="L2851" t="s">
        <v>1273</v>
      </c>
      <c r="M2851">
        <v>11</v>
      </c>
      <c r="P2851" s="13">
        <v>175</v>
      </c>
      <c r="Q2851" s="13">
        <v>46</v>
      </c>
      <c r="R2851">
        <v>20</v>
      </c>
      <c r="S2851">
        <v>50</v>
      </c>
      <c r="T2851" s="13">
        <v>24</v>
      </c>
      <c r="U2851" s="13">
        <v>35</v>
      </c>
      <c r="V2851" t="s">
        <v>99</v>
      </c>
      <c r="X2851" s="13">
        <v>175</v>
      </c>
    </row>
    <row r="2852" spans="1:24" x14ac:dyDescent="0.25">
      <c r="A2852" t="s">
        <v>2642</v>
      </c>
      <c r="B2852" t="s">
        <v>65</v>
      </c>
      <c r="C2852" t="s">
        <v>2624</v>
      </c>
      <c r="D2852" t="s">
        <v>2625</v>
      </c>
      <c r="E2852" t="s">
        <v>2626</v>
      </c>
      <c r="F2852" t="s">
        <v>94</v>
      </c>
      <c r="G2852" t="s">
        <v>277</v>
      </c>
      <c r="H2852" s="12">
        <v>7.0785999999999998</v>
      </c>
      <c r="I2852" s="12">
        <v>-74.698300000000003</v>
      </c>
      <c r="J2852" t="s">
        <v>2627</v>
      </c>
      <c r="K2852" t="s">
        <v>97</v>
      </c>
      <c r="L2852" t="s">
        <v>1273</v>
      </c>
      <c r="M2852">
        <v>11</v>
      </c>
      <c r="P2852" s="13">
        <v>175</v>
      </c>
      <c r="Q2852" s="13">
        <v>20</v>
      </c>
      <c r="R2852">
        <v>38</v>
      </c>
      <c r="S2852">
        <v>50</v>
      </c>
      <c r="T2852" s="13">
        <v>33</v>
      </c>
      <c r="U2852" s="13">
        <v>35</v>
      </c>
      <c r="V2852" t="s">
        <v>99</v>
      </c>
      <c r="X2852" s="13">
        <v>175</v>
      </c>
    </row>
    <row r="2853" spans="1:24" x14ac:dyDescent="0.25">
      <c r="A2853" t="s">
        <v>2643</v>
      </c>
      <c r="B2853" t="s">
        <v>65</v>
      </c>
      <c r="C2853" t="s">
        <v>2624</v>
      </c>
      <c r="D2853" t="s">
        <v>2625</v>
      </c>
      <c r="E2853" t="s">
        <v>2626</v>
      </c>
      <c r="F2853" t="s">
        <v>94</v>
      </c>
      <c r="G2853" t="s">
        <v>277</v>
      </c>
      <c r="H2853" s="12">
        <v>7.0785999999999998</v>
      </c>
      <c r="I2853" s="12">
        <v>-74.698300000000003</v>
      </c>
      <c r="J2853" t="s">
        <v>2627</v>
      </c>
      <c r="K2853" t="s">
        <v>97</v>
      </c>
      <c r="L2853" t="s">
        <v>1273</v>
      </c>
      <c r="M2853">
        <v>11</v>
      </c>
      <c r="P2853" s="13">
        <v>173</v>
      </c>
      <c r="Q2853" s="13">
        <v>37</v>
      </c>
      <c r="R2853">
        <v>34</v>
      </c>
      <c r="S2853">
        <v>36</v>
      </c>
      <c r="T2853" s="13">
        <v>33</v>
      </c>
      <c r="U2853" s="13">
        <v>33</v>
      </c>
      <c r="V2853" t="s">
        <v>99</v>
      </c>
      <c r="X2853" s="13">
        <v>173</v>
      </c>
    </row>
    <row r="2854" spans="1:24" x14ac:dyDescent="0.25">
      <c r="A2854" t="s">
        <v>2644</v>
      </c>
      <c r="B2854" t="s">
        <v>65</v>
      </c>
      <c r="C2854" t="s">
        <v>2624</v>
      </c>
      <c r="D2854" t="s">
        <v>2625</v>
      </c>
      <c r="E2854" t="s">
        <v>2626</v>
      </c>
      <c r="F2854" t="s">
        <v>94</v>
      </c>
      <c r="G2854" t="s">
        <v>277</v>
      </c>
      <c r="H2854" s="12">
        <v>7.0785999999999998</v>
      </c>
      <c r="I2854" s="12">
        <v>-74.698300000000003</v>
      </c>
      <c r="J2854" t="s">
        <v>2627</v>
      </c>
      <c r="K2854" t="s">
        <v>97</v>
      </c>
      <c r="L2854" t="s">
        <v>1273</v>
      </c>
      <c r="M2854">
        <v>11</v>
      </c>
      <c r="P2854" s="13">
        <v>171</v>
      </c>
      <c r="Q2854" s="13">
        <v>39</v>
      </c>
      <c r="R2854">
        <v>38</v>
      </c>
      <c r="S2854">
        <v>40</v>
      </c>
      <c r="T2854" s="13">
        <v>21</v>
      </c>
      <c r="U2854" s="13">
        <v>33</v>
      </c>
      <c r="V2854" t="s">
        <v>99</v>
      </c>
      <c r="X2854" s="13">
        <v>171</v>
      </c>
    </row>
    <row r="2855" spans="1:24" x14ac:dyDescent="0.25">
      <c r="A2855" t="s">
        <v>2645</v>
      </c>
      <c r="B2855" t="s">
        <v>65</v>
      </c>
      <c r="C2855" t="s">
        <v>2624</v>
      </c>
      <c r="D2855" t="s">
        <v>2625</v>
      </c>
      <c r="E2855" t="s">
        <v>2626</v>
      </c>
      <c r="F2855" t="s">
        <v>94</v>
      </c>
      <c r="G2855" t="s">
        <v>277</v>
      </c>
      <c r="H2855" s="12">
        <v>7.0785999999999998</v>
      </c>
      <c r="I2855" s="12">
        <v>-74.698300000000003</v>
      </c>
      <c r="J2855" t="s">
        <v>2627</v>
      </c>
      <c r="K2855" t="s">
        <v>97</v>
      </c>
      <c r="L2855" t="s">
        <v>1273</v>
      </c>
      <c r="M2855">
        <v>11</v>
      </c>
      <c r="P2855" s="13">
        <v>171</v>
      </c>
      <c r="Q2855" s="13">
        <v>29</v>
      </c>
      <c r="R2855">
        <v>24</v>
      </c>
      <c r="S2855">
        <v>46</v>
      </c>
      <c r="T2855" s="13">
        <v>29</v>
      </c>
      <c r="U2855" s="13">
        <v>58</v>
      </c>
      <c r="V2855" t="s">
        <v>99</v>
      </c>
      <c r="X2855" s="13">
        <v>171</v>
      </c>
    </row>
    <row r="2856" spans="1:24" x14ac:dyDescent="0.25">
      <c r="A2856" t="s">
        <v>2646</v>
      </c>
      <c r="B2856" t="s">
        <v>65</v>
      </c>
      <c r="C2856" t="s">
        <v>2624</v>
      </c>
      <c r="D2856" t="s">
        <v>2625</v>
      </c>
      <c r="E2856" t="s">
        <v>2626</v>
      </c>
      <c r="F2856" t="s">
        <v>94</v>
      </c>
      <c r="G2856" t="s">
        <v>277</v>
      </c>
      <c r="H2856" s="12">
        <v>7.0785999999999998</v>
      </c>
      <c r="I2856" s="12">
        <v>-74.698300000000003</v>
      </c>
      <c r="J2856" t="s">
        <v>2627</v>
      </c>
      <c r="K2856" t="s">
        <v>97</v>
      </c>
      <c r="L2856" t="s">
        <v>1273</v>
      </c>
      <c r="M2856">
        <v>11</v>
      </c>
      <c r="P2856" s="13">
        <v>162</v>
      </c>
      <c r="Q2856" s="13">
        <v>59</v>
      </c>
      <c r="R2856">
        <v>18</v>
      </c>
      <c r="S2856">
        <v>34</v>
      </c>
      <c r="T2856" s="13">
        <v>17</v>
      </c>
      <c r="U2856" s="13">
        <v>38</v>
      </c>
      <c r="V2856" t="s">
        <v>99</v>
      </c>
      <c r="X2856" s="13">
        <v>162</v>
      </c>
    </row>
    <row r="2857" spans="1:24" x14ac:dyDescent="0.25">
      <c r="A2857" t="s">
        <v>2647</v>
      </c>
      <c r="B2857" t="s">
        <v>65</v>
      </c>
      <c r="C2857" t="s">
        <v>2624</v>
      </c>
      <c r="D2857" t="s">
        <v>2625</v>
      </c>
      <c r="E2857" t="s">
        <v>2626</v>
      </c>
      <c r="F2857" t="s">
        <v>94</v>
      </c>
      <c r="G2857" t="s">
        <v>277</v>
      </c>
      <c r="H2857" s="12">
        <v>7.0785999999999998</v>
      </c>
      <c r="I2857" s="12">
        <v>-74.698300000000003</v>
      </c>
      <c r="J2857" t="s">
        <v>2627</v>
      </c>
      <c r="K2857" t="s">
        <v>97</v>
      </c>
      <c r="L2857" t="s">
        <v>1273</v>
      </c>
      <c r="M2857">
        <v>11</v>
      </c>
      <c r="P2857" s="13">
        <v>149</v>
      </c>
      <c r="Q2857" s="13">
        <v>39</v>
      </c>
      <c r="R2857">
        <v>20</v>
      </c>
      <c r="S2857">
        <v>28</v>
      </c>
      <c r="T2857" s="13">
        <v>33</v>
      </c>
      <c r="U2857" s="13">
        <v>27</v>
      </c>
      <c r="V2857" t="s">
        <v>99</v>
      </c>
      <c r="X2857" s="13">
        <v>149</v>
      </c>
    </row>
    <row r="2858" spans="1:24" x14ac:dyDescent="0.25">
      <c r="A2858" t="s">
        <v>2648</v>
      </c>
      <c r="B2858" t="s">
        <v>65</v>
      </c>
      <c r="C2858" t="s">
        <v>2624</v>
      </c>
      <c r="D2858" t="s">
        <v>2625</v>
      </c>
      <c r="E2858" t="s">
        <v>2626</v>
      </c>
      <c r="F2858" t="s">
        <v>94</v>
      </c>
      <c r="G2858" t="s">
        <v>277</v>
      </c>
      <c r="H2858" s="12">
        <v>7.0785999999999998</v>
      </c>
      <c r="I2858" s="12">
        <v>-74.698300000000003</v>
      </c>
      <c r="J2858" t="s">
        <v>2627</v>
      </c>
      <c r="K2858" t="s">
        <v>97</v>
      </c>
      <c r="L2858" t="s">
        <v>1273</v>
      </c>
      <c r="M2858">
        <v>11</v>
      </c>
      <c r="P2858" s="13">
        <v>145</v>
      </c>
      <c r="Q2858" s="13">
        <v>32</v>
      </c>
      <c r="R2858">
        <v>30</v>
      </c>
      <c r="S2858">
        <v>32</v>
      </c>
      <c r="T2858" s="13">
        <v>24</v>
      </c>
      <c r="U2858" s="13">
        <v>24</v>
      </c>
      <c r="V2858" t="s">
        <v>99</v>
      </c>
      <c r="X2858" s="13">
        <v>145</v>
      </c>
    </row>
    <row r="2859" spans="1:24" x14ac:dyDescent="0.25">
      <c r="A2859" t="s">
        <v>2649</v>
      </c>
      <c r="B2859" t="s">
        <v>65</v>
      </c>
      <c r="C2859" t="s">
        <v>2624</v>
      </c>
      <c r="D2859" t="s">
        <v>2625</v>
      </c>
      <c r="E2859" t="s">
        <v>2626</v>
      </c>
      <c r="F2859" t="s">
        <v>94</v>
      </c>
      <c r="G2859" t="s">
        <v>277</v>
      </c>
      <c r="H2859" s="12">
        <v>7.0785999999999998</v>
      </c>
      <c r="I2859" s="12">
        <v>-74.698300000000003</v>
      </c>
      <c r="J2859" t="s">
        <v>2627</v>
      </c>
      <c r="K2859" t="s">
        <v>97</v>
      </c>
      <c r="L2859" t="s">
        <v>1273</v>
      </c>
      <c r="M2859">
        <v>11</v>
      </c>
      <c r="P2859" s="13">
        <v>137</v>
      </c>
      <c r="Q2859" s="13">
        <v>27</v>
      </c>
      <c r="R2859">
        <v>30</v>
      </c>
      <c r="S2859">
        <v>32</v>
      </c>
      <c r="T2859" s="13">
        <v>24</v>
      </c>
      <c r="U2859" s="13">
        <v>16</v>
      </c>
      <c r="V2859" t="s">
        <v>99</v>
      </c>
      <c r="X2859" s="13">
        <v>137</v>
      </c>
    </row>
    <row r="2860" spans="1:24" x14ac:dyDescent="0.25">
      <c r="A2860" t="s">
        <v>2650</v>
      </c>
      <c r="B2860" t="s">
        <v>65</v>
      </c>
      <c r="C2860" t="s">
        <v>2651</v>
      </c>
      <c r="D2860" t="s">
        <v>2652</v>
      </c>
      <c r="E2860" t="s">
        <v>2653</v>
      </c>
      <c r="F2860" t="s">
        <v>94</v>
      </c>
      <c r="G2860" t="s">
        <v>277</v>
      </c>
      <c r="H2860" s="12">
        <v>7.0269000000000004</v>
      </c>
      <c r="I2860" s="12">
        <v>-74.697500000000005</v>
      </c>
      <c r="J2860" t="s">
        <v>2654</v>
      </c>
      <c r="K2860" t="s">
        <v>97</v>
      </c>
      <c r="L2860" t="s">
        <v>1273</v>
      </c>
      <c r="M2860">
        <v>11</v>
      </c>
      <c r="P2860" s="13">
        <v>259</v>
      </c>
      <c r="Q2860" s="13">
        <v>68</v>
      </c>
      <c r="R2860">
        <v>50</v>
      </c>
      <c r="S2860">
        <v>62</v>
      </c>
      <c r="T2860" s="13">
        <v>31</v>
      </c>
      <c r="U2860" s="13">
        <v>40</v>
      </c>
      <c r="V2860" t="s">
        <v>99</v>
      </c>
      <c r="X2860" s="13">
        <v>259</v>
      </c>
    </row>
    <row r="2861" spans="1:24" x14ac:dyDescent="0.25">
      <c r="A2861" t="s">
        <v>2655</v>
      </c>
      <c r="B2861" t="s">
        <v>65</v>
      </c>
      <c r="C2861" t="s">
        <v>2651</v>
      </c>
      <c r="D2861" t="s">
        <v>2652</v>
      </c>
      <c r="E2861" t="s">
        <v>2653</v>
      </c>
      <c r="F2861" t="s">
        <v>94</v>
      </c>
      <c r="G2861" t="s">
        <v>277</v>
      </c>
      <c r="H2861" s="12">
        <v>7.0269000000000004</v>
      </c>
      <c r="I2861" s="12">
        <v>-74.697500000000005</v>
      </c>
      <c r="J2861" t="s">
        <v>2654</v>
      </c>
      <c r="K2861" t="s">
        <v>97</v>
      </c>
      <c r="L2861" t="s">
        <v>1273</v>
      </c>
      <c r="M2861">
        <v>11</v>
      </c>
      <c r="P2861" s="13">
        <v>251</v>
      </c>
      <c r="Q2861" s="13">
        <v>44</v>
      </c>
      <c r="R2861">
        <v>38</v>
      </c>
      <c r="S2861">
        <v>74</v>
      </c>
      <c r="T2861" s="13">
        <v>43</v>
      </c>
      <c r="U2861" s="13">
        <v>56</v>
      </c>
      <c r="V2861" t="s">
        <v>99</v>
      </c>
      <c r="X2861" s="13">
        <v>251</v>
      </c>
    </row>
    <row r="2862" spans="1:24" x14ac:dyDescent="0.25">
      <c r="A2862" t="s">
        <v>2656</v>
      </c>
      <c r="B2862" t="s">
        <v>65</v>
      </c>
      <c r="C2862" t="s">
        <v>2651</v>
      </c>
      <c r="D2862" t="s">
        <v>2652</v>
      </c>
      <c r="E2862" t="s">
        <v>2653</v>
      </c>
      <c r="F2862" t="s">
        <v>94</v>
      </c>
      <c r="G2862" t="s">
        <v>277</v>
      </c>
      <c r="H2862" s="12">
        <v>7.0269000000000004</v>
      </c>
      <c r="I2862" s="12">
        <v>-74.697500000000005</v>
      </c>
      <c r="J2862" t="s">
        <v>2654</v>
      </c>
      <c r="K2862" t="s">
        <v>97</v>
      </c>
      <c r="L2862" t="s">
        <v>1273</v>
      </c>
      <c r="M2862">
        <v>11</v>
      </c>
      <c r="P2862" s="13">
        <v>247</v>
      </c>
      <c r="Q2862" s="13">
        <v>44</v>
      </c>
      <c r="R2862">
        <v>40</v>
      </c>
      <c r="S2862">
        <v>78</v>
      </c>
      <c r="T2862" s="13">
        <v>33</v>
      </c>
      <c r="U2862" s="13">
        <v>58</v>
      </c>
      <c r="V2862" t="s">
        <v>99</v>
      </c>
      <c r="X2862" s="13">
        <v>247</v>
      </c>
    </row>
    <row r="2863" spans="1:24" x14ac:dyDescent="0.25">
      <c r="A2863" t="s">
        <v>2657</v>
      </c>
      <c r="B2863" t="s">
        <v>65</v>
      </c>
      <c r="C2863" t="s">
        <v>2651</v>
      </c>
      <c r="D2863" t="s">
        <v>2652</v>
      </c>
      <c r="E2863" t="s">
        <v>2653</v>
      </c>
      <c r="F2863" t="s">
        <v>94</v>
      </c>
      <c r="G2863" t="s">
        <v>277</v>
      </c>
      <c r="H2863" s="12">
        <v>7.0269000000000004</v>
      </c>
      <c r="I2863" s="12">
        <v>-74.697500000000005</v>
      </c>
      <c r="J2863" t="s">
        <v>2654</v>
      </c>
      <c r="K2863" t="s">
        <v>97</v>
      </c>
      <c r="L2863" t="s">
        <v>1273</v>
      </c>
      <c r="M2863">
        <v>11</v>
      </c>
      <c r="P2863" s="13">
        <v>244</v>
      </c>
      <c r="Q2863" s="13">
        <v>44</v>
      </c>
      <c r="R2863">
        <v>36</v>
      </c>
      <c r="S2863">
        <v>72</v>
      </c>
      <c r="T2863" s="13">
        <v>40</v>
      </c>
      <c r="U2863" s="13">
        <v>60</v>
      </c>
      <c r="V2863" t="s">
        <v>99</v>
      </c>
      <c r="X2863" s="13">
        <v>244</v>
      </c>
    </row>
    <row r="2864" spans="1:24" x14ac:dyDescent="0.25">
      <c r="A2864" t="s">
        <v>2658</v>
      </c>
      <c r="B2864" t="s">
        <v>65</v>
      </c>
      <c r="C2864" t="s">
        <v>2651</v>
      </c>
      <c r="D2864" t="s">
        <v>2652</v>
      </c>
      <c r="E2864" t="s">
        <v>2653</v>
      </c>
      <c r="F2864" t="s">
        <v>94</v>
      </c>
      <c r="G2864" t="s">
        <v>277</v>
      </c>
      <c r="H2864" s="12">
        <v>7.0269000000000004</v>
      </c>
      <c r="I2864" s="12">
        <v>-74.697500000000005</v>
      </c>
      <c r="J2864" t="s">
        <v>2654</v>
      </c>
      <c r="K2864" t="s">
        <v>97</v>
      </c>
      <c r="L2864" t="s">
        <v>1273</v>
      </c>
      <c r="M2864">
        <v>11</v>
      </c>
      <c r="P2864" s="13">
        <v>244</v>
      </c>
      <c r="Q2864" s="13">
        <v>44</v>
      </c>
      <c r="R2864">
        <v>36</v>
      </c>
      <c r="S2864">
        <v>76</v>
      </c>
      <c r="T2864" s="13">
        <v>36</v>
      </c>
      <c r="U2864" s="13">
        <v>58</v>
      </c>
      <c r="V2864" t="s">
        <v>99</v>
      </c>
      <c r="X2864" s="13">
        <v>244</v>
      </c>
    </row>
    <row r="2865" spans="1:24" x14ac:dyDescent="0.25">
      <c r="A2865" t="s">
        <v>2659</v>
      </c>
      <c r="B2865" t="s">
        <v>65</v>
      </c>
      <c r="C2865" t="s">
        <v>2651</v>
      </c>
      <c r="D2865" t="s">
        <v>2652</v>
      </c>
      <c r="E2865" t="s">
        <v>2653</v>
      </c>
      <c r="F2865" t="s">
        <v>94</v>
      </c>
      <c r="G2865" t="s">
        <v>277</v>
      </c>
      <c r="H2865" s="12">
        <v>7.0269000000000004</v>
      </c>
      <c r="I2865" s="12">
        <v>-74.697500000000005</v>
      </c>
      <c r="J2865" t="s">
        <v>2654</v>
      </c>
      <c r="K2865" t="s">
        <v>97</v>
      </c>
      <c r="L2865" t="s">
        <v>1273</v>
      </c>
      <c r="M2865">
        <v>11</v>
      </c>
      <c r="P2865" s="13">
        <v>238</v>
      </c>
      <c r="Q2865" s="13">
        <v>44</v>
      </c>
      <c r="R2865">
        <v>38</v>
      </c>
      <c r="S2865">
        <v>64</v>
      </c>
      <c r="T2865" s="13">
        <v>41</v>
      </c>
      <c r="U2865" s="13">
        <v>58</v>
      </c>
      <c r="V2865" t="s">
        <v>99</v>
      </c>
      <c r="X2865" s="13">
        <v>238</v>
      </c>
    </row>
    <row r="2866" spans="1:24" x14ac:dyDescent="0.25">
      <c r="A2866" t="s">
        <v>2660</v>
      </c>
      <c r="B2866" t="s">
        <v>65</v>
      </c>
      <c r="C2866" t="s">
        <v>2651</v>
      </c>
      <c r="D2866" t="s">
        <v>2652</v>
      </c>
      <c r="E2866" t="s">
        <v>2653</v>
      </c>
      <c r="F2866" t="s">
        <v>94</v>
      </c>
      <c r="G2866" t="s">
        <v>277</v>
      </c>
      <c r="H2866" s="12">
        <v>7.0269000000000004</v>
      </c>
      <c r="I2866" s="12">
        <v>-74.697500000000005</v>
      </c>
      <c r="J2866" t="s">
        <v>2654</v>
      </c>
      <c r="K2866" t="s">
        <v>97</v>
      </c>
      <c r="L2866" t="s">
        <v>1273</v>
      </c>
      <c r="M2866">
        <v>11</v>
      </c>
      <c r="P2866" s="13">
        <v>235</v>
      </c>
      <c r="Q2866" s="13">
        <v>63</v>
      </c>
      <c r="R2866">
        <v>38</v>
      </c>
      <c r="S2866">
        <v>52</v>
      </c>
      <c r="T2866" s="13">
        <v>28</v>
      </c>
      <c r="U2866" s="13">
        <v>69</v>
      </c>
      <c r="V2866" t="s">
        <v>99</v>
      </c>
      <c r="X2866" s="13">
        <v>235</v>
      </c>
    </row>
    <row r="2867" spans="1:24" x14ac:dyDescent="0.25">
      <c r="A2867" t="s">
        <v>2661</v>
      </c>
      <c r="B2867" t="s">
        <v>65</v>
      </c>
      <c r="C2867" t="s">
        <v>2651</v>
      </c>
      <c r="D2867" t="s">
        <v>2652</v>
      </c>
      <c r="E2867" t="s">
        <v>2653</v>
      </c>
      <c r="F2867" t="s">
        <v>94</v>
      </c>
      <c r="G2867" t="s">
        <v>277</v>
      </c>
      <c r="H2867" s="12">
        <v>7.0269000000000004</v>
      </c>
      <c r="I2867" s="12">
        <v>-74.697500000000005</v>
      </c>
      <c r="J2867" t="s">
        <v>2654</v>
      </c>
      <c r="K2867" t="s">
        <v>97</v>
      </c>
      <c r="L2867" t="s">
        <v>1273</v>
      </c>
      <c r="M2867">
        <v>11</v>
      </c>
      <c r="P2867" s="13">
        <v>208</v>
      </c>
      <c r="Q2867" s="13">
        <v>49</v>
      </c>
      <c r="R2867">
        <v>38</v>
      </c>
      <c r="S2867">
        <v>28</v>
      </c>
      <c r="T2867" s="13">
        <v>47</v>
      </c>
      <c r="U2867" s="13">
        <v>56</v>
      </c>
      <c r="V2867" t="s">
        <v>99</v>
      </c>
      <c r="X2867" s="13">
        <v>208</v>
      </c>
    </row>
    <row r="2868" spans="1:24" x14ac:dyDescent="0.25">
      <c r="A2868" t="s">
        <v>2662</v>
      </c>
      <c r="B2868" t="s">
        <v>65</v>
      </c>
      <c r="C2868" t="s">
        <v>2651</v>
      </c>
      <c r="D2868" t="s">
        <v>2652</v>
      </c>
      <c r="E2868" t="s">
        <v>2653</v>
      </c>
      <c r="F2868" t="s">
        <v>94</v>
      </c>
      <c r="G2868" t="s">
        <v>277</v>
      </c>
      <c r="H2868" s="12">
        <v>7.0269000000000004</v>
      </c>
      <c r="I2868" s="12">
        <v>-74.697500000000005</v>
      </c>
      <c r="J2868" t="s">
        <v>2654</v>
      </c>
      <c r="K2868" t="s">
        <v>97</v>
      </c>
      <c r="L2868" t="s">
        <v>1273</v>
      </c>
      <c r="M2868">
        <v>11</v>
      </c>
      <c r="P2868" s="13">
        <v>201</v>
      </c>
      <c r="Q2868" s="13">
        <v>51</v>
      </c>
      <c r="R2868">
        <v>28</v>
      </c>
      <c r="S2868">
        <v>48</v>
      </c>
      <c r="T2868" s="13">
        <v>34</v>
      </c>
      <c r="U2868" s="13">
        <v>38</v>
      </c>
      <c r="V2868" t="s">
        <v>99</v>
      </c>
      <c r="X2868" s="13">
        <v>201</v>
      </c>
    </row>
    <row r="2869" spans="1:24" x14ac:dyDescent="0.25">
      <c r="A2869" t="s">
        <v>2663</v>
      </c>
      <c r="B2869" t="s">
        <v>65</v>
      </c>
      <c r="C2869" t="s">
        <v>2651</v>
      </c>
      <c r="D2869" t="s">
        <v>2652</v>
      </c>
      <c r="E2869" t="s">
        <v>2653</v>
      </c>
      <c r="F2869" t="s">
        <v>94</v>
      </c>
      <c r="G2869" t="s">
        <v>277</v>
      </c>
      <c r="H2869" s="12">
        <v>7.0269000000000004</v>
      </c>
      <c r="I2869" s="12">
        <v>-74.697500000000005</v>
      </c>
      <c r="J2869" t="s">
        <v>2654</v>
      </c>
      <c r="K2869" t="s">
        <v>97</v>
      </c>
      <c r="L2869" t="s">
        <v>1273</v>
      </c>
      <c r="M2869">
        <v>11</v>
      </c>
      <c r="P2869" s="13">
        <v>199</v>
      </c>
      <c r="Q2869" s="13">
        <v>39</v>
      </c>
      <c r="R2869">
        <v>36</v>
      </c>
      <c r="S2869">
        <v>42</v>
      </c>
      <c r="T2869" s="13">
        <v>45</v>
      </c>
      <c r="U2869" s="13">
        <v>33</v>
      </c>
      <c r="V2869" t="s">
        <v>99</v>
      </c>
      <c r="X2869" s="13">
        <v>199</v>
      </c>
    </row>
    <row r="2870" spans="1:24" x14ac:dyDescent="0.25">
      <c r="A2870" t="s">
        <v>2664</v>
      </c>
      <c r="B2870" t="s">
        <v>65</v>
      </c>
      <c r="C2870" t="s">
        <v>2651</v>
      </c>
      <c r="D2870" t="s">
        <v>2652</v>
      </c>
      <c r="E2870" t="s">
        <v>2653</v>
      </c>
      <c r="F2870" t="s">
        <v>94</v>
      </c>
      <c r="G2870" t="s">
        <v>277</v>
      </c>
      <c r="H2870" s="12">
        <v>7.0269000000000004</v>
      </c>
      <c r="I2870" s="12">
        <v>-74.697500000000005</v>
      </c>
      <c r="J2870" t="s">
        <v>2654</v>
      </c>
      <c r="K2870" t="s">
        <v>97</v>
      </c>
      <c r="L2870" t="s">
        <v>1273</v>
      </c>
      <c r="M2870">
        <v>11</v>
      </c>
      <c r="P2870" s="13">
        <v>194</v>
      </c>
      <c r="Q2870" s="13">
        <v>44</v>
      </c>
      <c r="R2870">
        <v>36</v>
      </c>
      <c r="S2870">
        <v>40</v>
      </c>
      <c r="T2870" s="13">
        <v>33</v>
      </c>
      <c r="U2870" s="13">
        <v>45</v>
      </c>
      <c r="V2870" t="s">
        <v>99</v>
      </c>
      <c r="X2870" s="13">
        <v>194</v>
      </c>
    </row>
    <row r="2871" spans="1:24" x14ac:dyDescent="0.25">
      <c r="A2871" t="s">
        <v>2665</v>
      </c>
      <c r="B2871" t="s">
        <v>65</v>
      </c>
      <c r="C2871" t="s">
        <v>2651</v>
      </c>
      <c r="D2871" t="s">
        <v>2652</v>
      </c>
      <c r="E2871" t="s">
        <v>2653</v>
      </c>
      <c r="F2871" t="s">
        <v>94</v>
      </c>
      <c r="G2871" t="s">
        <v>277</v>
      </c>
      <c r="H2871" s="12">
        <v>7.0269000000000004</v>
      </c>
      <c r="I2871" s="12">
        <v>-74.697500000000005</v>
      </c>
      <c r="J2871" t="s">
        <v>2654</v>
      </c>
      <c r="K2871" t="s">
        <v>97</v>
      </c>
      <c r="L2871" t="s">
        <v>1273</v>
      </c>
      <c r="M2871">
        <v>11</v>
      </c>
      <c r="P2871" s="13">
        <v>189</v>
      </c>
      <c r="Q2871" s="13">
        <v>41</v>
      </c>
      <c r="R2871">
        <v>28</v>
      </c>
      <c r="S2871">
        <v>36</v>
      </c>
      <c r="T2871" s="13">
        <v>40</v>
      </c>
      <c r="U2871" s="13">
        <v>56</v>
      </c>
      <c r="V2871" t="s">
        <v>99</v>
      </c>
      <c r="X2871" s="13">
        <v>189</v>
      </c>
    </row>
    <row r="2872" spans="1:24" x14ac:dyDescent="0.25">
      <c r="A2872" t="s">
        <v>2666</v>
      </c>
      <c r="B2872" t="s">
        <v>65</v>
      </c>
      <c r="C2872" t="s">
        <v>2651</v>
      </c>
      <c r="D2872" t="s">
        <v>2652</v>
      </c>
      <c r="E2872" t="s">
        <v>2653</v>
      </c>
      <c r="F2872" t="s">
        <v>94</v>
      </c>
      <c r="G2872" t="s">
        <v>277</v>
      </c>
      <c r="H2872" s="12">
        <v>7.0269000000000004</v>
      </c>
      <c r="I2872" s="12">
        <v>-74.697500000000005</v>
      </c>
      <c r="J2872" t="s">
        <v>2654</v>
      </c>
      <c r="K2872" t="s">
        <v>97</v>
      </c>
      <c r="L2872" t="s">
        <v>1273</v>
      </c>
      <c r="M2872">
        <v>11</v>
      </c>
      <c r="P2872" s="13">
        <v>186</v>
      </c>
      <c r="Q2872" s="13">
        <v>49</v>
      </c>
      <c r="R2872">
        <v>30</v>
      </c>
      <c r="S2872">
        <v>28</v>
      </c>
      <c r="T2872" s="13">
        <v>31</v>
      </c>
      <c r="U2872" s="13">
        <v>71</v>
      </c>
      <c r="V2872" t="s">
        <v>99</v>
      </c>
      <c r="X2872" s="13">
        <v>186</v>
      </c>
    </row>
    <row r="2873" spans="1:24" x14ac:dyDescent="0.25">
      <c r="A2873" t="s">
        <v>2667</v>
      </c>
      <c r="B2873" t="s">
        <v>65</v>
      </c>
      <c r="C2873" t="s">
        <v>2651</v>
      </c>
      <c r="D2873" t="s">
        <v>2652</v>
      </c>
      <c r="E2873" t="s">
        <v>2653</v>
      </c>
      <c r="F2873" t="s">
        <v>94</v>
      </c>
      <c r="G2873" t="s">
        <v>277</v>
      </c>
      <c r="H2873" s="12">
        <v>7.0269000000000004</v>
      </c>
      <c r="I2873" s="12">
        <v>-74.697500000000005</v>
      </c>
      <c r="J2873" t="s">
        <v>2654</v>
      </c>
      <c r="K2873" t="s">
        <v>97</v>
      </c>
      <c r="L2873" t="s">
        <v>1273</v>
      </c>
      <c r="M2873">
        <v>11</v>
      </c>
      <c r="P2873" s="13">
        <v>185</v>
      </c>
      <c r="Q2873" s="13">
        <v>61</v>
      </c>
      <c r="R2873">
        <v>24</v>
      </c>
      <c r="S2873">
        <v>36</v>
      </c>
      <c r="T2873" s="13">
        <v>24</v>
      </c>
      <c r="U2873" s="13">
        <v>45</v>
      </c>
      <c r="V2873" t="s">
        <v>99</v>
      </c>
      <c r="X2873" s="13">
        <v>185</v>
      </c>
    </row>
    <row r="2874" spans="1:24" x14ac:dyDescent="0.25">
      <c r="A2874" t="s">
        <v>2668</v>
      </c>
      <c r="B2874" t="s">
        <v>65</v>
      </c>
      <c r="C2874" t="s">
        <v>2651</v>
      </c>
      <c r="D2874" t="s">
        <v>2652</v>
      </c>
      <c r="E2874" t="s">
        <v>2653</v>
      </c>
      <c r="F2874" t="s">
        <v>94</v>
      </c>
      <c r="G2874" t="s">
        <v>277</v>
      </c>
      <c r="H2874" s="12">
        <v>7.0269000000000004</v>
      </c>
      <c r="I2874" s="12">
        <v>-74.697500000000005</v>
      </c>
      <c r="J2874" t="s">
        <v>2654</v>
      </c>
      <c r="K2874" t="s">
        <v>97</v>
      </c>
      <c r="L2874" t="s">
        <v>1273</v>
      </c>
      <c r="M2874">
        <v>11</v>
      </c>
      <c r="P2874" s="13">
        <v>183</v>
      </c>
      <c r="Q2874" s="13">
        <v>46</v>
      </c>
      <c r="R2874">
        <v>36</v>
      </c>
      <c r="S2874">
        <v>26</v>
      </c>
      <c r="T2874" s="13">
        <v>29</v>
      </c>
      <c r="U2874" s="13">
        <v>62</v>
      </c>
      <c r="V2874" t="s">
        <v>99</v>
      </c>
      <c r="X2874" s="13">
        <v>183</v>
      </c>
    </row>
    <row r="2875" spans="1:24" x14ac:dyDescent="0.25">
      <c r="A2875" t="s">
        <v>2669</v>
      </c>
      <c r="B2875" t="s">
        <v>65</v>
      </c>
      <c r="C2875" t="s">
        <v>2651</v>
      </c>
      <c r="D2875" t="s">
        <v>2652</v>
      </c>
      <c r="E2875" t="s">
        <v>2653</v>
      </c>
      <c r="F2875" t="s">
        <v>94</v>
      </c>
      <c r="G2875" t="s">
        <v>277</v>
      </c>
      <c r="H2875" s="12">
        <v>7.0269000000000004</v>
      </c>
      <c r="I2875" s="12">
        <v>-74.697500000000005</v>
      </c>
      <c r="J2875" t="s">
        <v>2654</v>
      </c>
      <c r="K2875" t="s">
        <v>97</v>
      </c>
      <c r="L2875" t="s">
        <v>1273</v>
      </c>
      <c r="M2875">
        <v>11</v>
      </c>
      <c r="P2875" s="13">
        <v>180</v>
      </c>
      <c r="Q2875" s="13">
        <v>29</v>
      </c>
      <c r="R2875">
        <v>28</v>
      </c>
      <c r="S2875">
        <v>52</v>
      </c>
      <c r="T2875" s="13">
        <v>28</v>
      </c>
      <c r="U2875" s="13">
        <v>58</v>
      </c>
      <c r="V2875" t="s">
        <v>99</v>
      </c>
      <c r="X2875" s="13">
        <v>180</v>
      </c>
    </row>
    <row r="2876" spans="1:24" x14ac:dyDescent="0.25">
      <c r="A2876" t="s">
        <v>2670</v>
      </c>
      <c r="B2876" t="s">
        <v>65</v>
      </c>
      <c r="C2876" t="s">
        <v>2651</v>
      </c>
      <c r="D2876" t="s">
        <v>2652</v>
      </c>
      <c r="E2876" t="s">
        <v>2653</v>
      </c>
      <c r="F2876" t="s">
        <v>94</v>
      </c>
      <c r="G2876" t="s">
        <v>277</v>
      </c>
      <c r="H2876" s="12">
        <v>7.0269000000000004</v>
      </c>
      <c r="I2876" s="12">
        <v>-74.697500000000005</v>
      </c>
      <c r="J2876" t="s">
        <v>2654</v>
      </c>
      <c r="K2876" t="s">
        <v>97</v>
      </c>
      <c r="L2876" t="s">
        <v>1273</v>
      </c>
      <c r="M2876">
        <v>11</v>
      </c>
      <c r="P2876" s="13">
        <v>178</v>
      </c>
      <c r="Q2876" s="13">
        <v>37</v>
      </c>
      <c r="R2876">
        <v>28</v>
      </c>
      <c r="S2876">
        <v>34</v>
      </c>
      <c r="T2876" s="13">
        <v>40</v>
      </c>
      <c r="U2876" s="13">
        <v>49</v>
      </c>
      <c r="V2876" t="s">
        <v>99</v>
      </c>
      <c r="X2876" s="13">
        <v>178</v>
      </c>
    </row>
    <row r="2877" spans="1:24" x14ac:dyDescent="0.25">
      <c r="A2877" t="s">
        <v>2671</v>
      </c>
      <c r="B2877" t="s">
        <v>65</v>
      </c>
      <c r="C2877" t="s">
        <v>2651</v>
      </c>
      <c r="D2877" t="s">
        <v>2652</v>
      </c>
      <c r="E2877" t="s">
        <v>2653</v>
      </c>
      <c r="F2877" t="s">
        <v>94</v>
      </c>
      <c r="G2877" t="s">
        <v>277</v>
      </c>
      <c r="H2877" s="12">
        <v>7.0269000000000004</v>
      </c>
      <c r="I2877" s="12">
        <v>-74.697500000000005</v>
      </c>
      <c r="J2877" t="s">
        <v>2654</v>
      </c>
      <c r="K2877" t="s">
        <v>97</v>
      </c>
      <c r="L2877" t="s">
        <v>1273</v>
      </c>
      <c r="M2877">
        <v>11</v>
      </c>
      <c r="P2877" s="13">
        <v>178</v>
      </c>
      <c r="Q2877" s="13">
        <v>46</v>
      </c>
      <c r="R2877">
        <v>20</v>
      </c>
      <c r="S2877">
        <v>38</v>
      </c>
      <c r="T2877" s="13">
        <v>31</v>
      </c>
      <c r="U2877" s="13">
        <v>56</v>
      </c>
      <c r="V2877" t="s">
        <v>99</v>
      </c>
      <c r="X2877" s="13">
        <v>178</v>
      </c>
    </row>
    <row r="2878" spans="1:24" x14ac:dyDescent="0.25">
      <c r="A2878" t="s">
        <v>2672</v>
      </c>
      <c r="B2878" t="s">
        <v>65</v>
      </c>
      <c r="C2878" t="s">
        <v>2651</v>
      </c>
      <c r="D2878" t="s">
        <v>2652</v>
      </c>
      <c r="E2878" t="s">
        <v>2653</v>
      </c>
      <c r="F2878" t="s">
        <v>94</v>
      </c>
      <c r="G2878" t="s">
        <v>277</v>
      </c>
      <c r="H2878" s="12">
        <v>7.0269000000000004</v>
      </c>
      <c r="I2878" s="12">
        <v>-74.697500000000005</v>
      </c>
      <c r="J2878" t="s">
        <v>2654</v>
      </c>
      <c r="K2878" t="s">
        <v>97</v>
      </c>
      <c r="L2878" t="s">
        <v>1273</v>
      </c>
      <c r="M2878">
        <v>11</v>
      </c>
      <c r="P2878" s="13">
        <v>169</v>
      </c>
      <c r="Q2878" s="13">
        <v>49</v>
      </c>
      <c r="R2878">
        <v>22</v>
      </c>
      <c r="S2878">
        <v>48</v>
      </c>
      <c r="T2878" s="13">
        <v>19</v>
      </c>
      <c r="U2878" s="13">
        <v>27</v>
      </c>
      <c r="V2878" t="s">
        <v>99</v>
      </c>
      <c r="X2878" s="13">
        <v>169</v>
      </c>
    </row>
    <row r="2879" spans="1:24" x14ac:dyDescent="0.25">
      <c r="A2879" t="s">
        <v>2673</v>
      </c>
      <c r="B2879" t="s">
        <v>65</v>
      </c>
      <c r="C2879" t="s">
        <v>2651</v>
      </c>
      <c r="D2879" t="s">
        <v>2652</v>
      </c>
      <c r="E2879" t="s">
        <v>2653</v>
      </c>
      <c r="F2879" t="s">
        <v>94</v>
      </c>
      <c r="G2879" t="s">
        <v>277</v>
      </c>
      <c r="H2879" s="12">
        <v>7.0269000000000004</v>
      </c>
      <c r="I2879" s="12">
        <v>-74.697500000000005</v>
      </c>
      <c r="J2879" t="s">
        <v>2654</v>
      </c>
      <c r="K2879" t="s">
        <v>97</v>
      </c>
      <c r="L2879" t="s">
        <v>1273</v>
      </c>
      <c r="M2879">
        <v>11</v>
      </c>
      <c r="P2879" s="13">
        <v>167</v>
      </c>
      <c r="Q2879" s="13">
        <v>22</v>
      </c>
      <c r="R2879">
        <v>28</v>
      </c>
      <c r="S2879">
        <v>50</v>
      </c>
      <c r="T2879" s="13">
        <v>31</v>
      </c>
      <c r="U2879" s="13">
        <v>40</v>
      </c>
      <c r="V2879" t="s">
        <v>99</v>
      </c>
      <c r="X2879" s="13">
        <v>167</v>
      </c>
    </row>
    <row r="2880" spans="1:24" x14ac:dyDescent="0.25">
      <c r="A2880" t="s">
        <v>2674</v>
      </c>
      <c r="B2880" t="s">
        <v>65</v>
      </c>
      <c r="C2880" t="s">
        <v>2651</v>
      </c>
      <c r="D2880" t="s">
        <v>2652</v>
      </c>
      <c r="E2880" t="s">
        <v>2653</v>
      </c>
      <c r="F2880" t="s">
        <v>94</v>
      </c>
      <c r="G2880" t="s">
        <v>277</v>
      </c>
      <c r="H2880" s="12">
        <v>7.0269000000000004</v>
      </c>
      <c r="I2880" s="12">
        <v>-74.697500000000005</v>
      </c>
      <c r="J2880" t="s">
        <v>2654</v>
      </c>
      <c r="K2880" t="s">
        <v>97</v>
      </c>
      <c r="L2880" t="s">
        <v>1273</v>
      </c>
      <c r="M2880">
        <v>11</v>
      </c>
      <c r="P2880" s="13">
        <v>166</v>
      </c>
      <c r="Q2880" s="13">
        <v>51</v>
      </c>
      <c r="R2880">
        <v>30</v>
      </c>
      <c r="S2880">
        <v>26</v>
      </c>
      <c r="T2880" s="13">
        <v>22</v>
      </c>
      <c r="U2880" s="13">
        <v>44</v>
      </c>
      <c r="V2880" t="s">
        <v>99</v>
      </c>
      <c r="X2880" s="13">
        <v>166</v>
      </c>
    </row>
    <row r="2881" spans="1:24" x14ac:dyDescent="0.25">
      <c r="A2881" t="s">
        <v>2675</v>
      </c>
      <c r="B2881" t="s">
        <v>65</v>
      </c>
      <c r="C2881" t="s">
        <v>2651</v>
      </c>
      <c r="D2881" t="s">
        <v>2652</v>
      </c>
      <c r="E2881" t="s">
        <v>2653</v>
      </c>
      <c r="F2881" t="s">
        <v>94</v>
      </c>
      <c r="G2881" t="s">
        <v>277</v>
      </c>
      <c r="H2881" s="12">
        <v>7.0269000000000004</v>
      </c>
      <c r="I2881" s="12">
        <v>-74.697500000000005</v>
      </c>
      <c r="J2881" t="s">
        <v>2654</v>
      </c>
      <c r="K2881" t="s">
        <v>97</v>
      </c>
      <c r="L2881" t="s">
        <v>1273</v>
      </c>
      <c r="M2881">
        <v>11</v>
      </c>
      <c r="P2881" s="13">
        <v>164</v>
      </c>
      <c r="Q2881" s="13">
        <v>32</v>
      </c>
      <c r="R2881">
        <v>28</v>
      </c>
      <c r="S2881">
        <v>42</v>
      </c>
      <c r="T2881" s="13">
        <v>31</v>
      </c>
      <c r="U2881" s="13">
        <v>29</v>
      </c>
      <c r="V2881" t="s">
        <v>99</v>
      </c>
      <c r="X2881" s="13">
        <v>164</v>
      </c>
    </row>
    <row r="2882" spans="1:24" x14ac:dyDescent="0.25">
      <c r="A2882" t="s">
        <v>2676</v>
      </c>
      <c r="B2882" t="s">
        <v>65</v>
      </c>
      <c r="C2882" t="s">
        <v>2651</v>
      </c>
      <c r="D2882" t="s">
        <v>2652</v>
      </c>
      <c r="E2882" t="s">
        <v>2653</v>
      </c>
      <c r="F2882" t="s">
        <v>94</v>
      </c>
      <c r="G2882" t="s">
        <v>277</v>
      </c>
      <c r="H2882" s="12">
        <v>7.0269000000000004</v>
      </c>
      <c r="I2882" s="12">
        <v>-74.697500000000005</v>
      </c>
      <c r="J2882" t="s">
        <v>2654</v>
      </c>
      <c r="K2882" t="s">
        <v>97</v>
      </c>
      <c r="L2882" t="s">
        <v>1273</v>
      </c>
      <c r="M2882">
        <v>11</v>
      </c>
      <c r="P2882" s="13">
        <v>162</v>
      </c>
      <c r="Q2882" s="13">
        <v>51</v>
      </c>
      <c r="R2882">
        <v>18</v>
      </c>
      <c r="S2882">
        <v>34</v>
      </c>
      <c r="T2882" s="13">
        <v>26</v>
      </c>
      <c r="U2882" s="13">
        <v>33</v>
      </c>
      <c r="V2882" t="s">
        <v>99</v>
      </c>
      <c r="X2882" s="13">
        <v>162</v>
      </c>
    </row>
    <row r="2883" spans="1:24" x14ac:dyDescent="0.25">
      <c r="A2883" t="s">
        <v>2677</v>
      </c>
      <c r="B2883" t="s">
        <v>65</v>
      </c>
      <c r="C2883" t="s">
        <v>2651</v>
      </c>
      <c r="D2883" t="s">
        <v>2652</v>
      </c>
      <c r="E2883" t="s">
        <v>2653</v>
      </c>
      <c r="F2883" t="s">
        <v>94</v>
      </c>
      <c r="G2883" t="s">
        <v>277</v>
      </c>
      <c r="H2883" s="12">
        <v>7.0269000000000004</v>
      </c>
      <c r="I2883" s="12">
        <v>-74.697500000000005</v>
      </c>
      <c r="J2883" t="s">
        <v>2654</v>
      </c>
      <c r="K2883" t="s">
        <v>97</v>
      </c>
      <c r="L2883" t="s">
        <v>1273</v>
      </c>
      <c r="M2883">
        <v>11</v>
      </c>
      <c r="P2883" s="13">
        <v>148</v>
      </c>
      <c r="Q2883" s="13">
        <v>39</v>
      </c>
      <c r="R2883">
        <v>32</v>
      </c>
      <c r="S2883">
        <v>26</v>
      </c>
      <c r="T2883" s="13">
        <v>16</v>
      </c>
      <c r="U2883" s="13">
        <v>47</v>
      </c>
      <c r="V2883" t="s">
        <v>99</v>
      </c>
      <c r="X2883" s="13">
        <v>148</v>
      </c>
    </row>
    <row r="2884" spans="1:24" x14ac:dyDescent="0.25">
      <c r="A2884" t="s">
        <v>2678</v>
      </c>
      <c r="B2884" t="s">
        <v>65</v>
      </c>
      <c r="C2884" t="s">
        <v>2651</v>
      </c>
      <c r="D2884" t="s">
        <v>2652</v>
      </c>
      <c r="E2884" t="s">
        <v>2653</v>
      </c>
      <c r="F2884" t="s">
        <v>94</v>
      </c>
      <c r="G2884" t="s">
        <v>277</v>
      </c>
      <c r="H2884" s="12">
        <v>7.0269000000000004</v>
      </c>
      <c r="I2884" s="12">
        <v>-74.697500000000005</v>
      </c>
      <c r="J2884" t="s">
        <v>2654</v>
      </c>
      <c r="K2884" t="s">
        <v>97</v>
      </c>
      <c r="L2884" t="s">
        <v>1273</v>
      </c>
      <c r="M2884">
        <v>11</v>
      </c>
      <c r="P2884" s="13">
        <v>146</v>
      </c>
      <c r="Q2884" s="13">
        <v>27</v>
      </c>
      <c r="R2884">
        <v>30</v>
      </c>
      <c r="S2884">
        <v>22</v>
      </c>
      <c r="T2884" s="13">
        <v>31</v>
      </c>
      <c r="U2884" s="13">
        <v>49</v>
      </c>
      <c r="V2884" t="s">
        <v>99</v>
      </c>
      <c r="X2884" s="13">
        <v>146</v>
      </c>
    </row>
    <row r="2885" spans="1:24" x14ac:dyDescent="0.25">
      <c r="A2885" t="s">
        <v>2679</v>
      </c>
      <c r="B2885" t="s">
        <v>65</v>
      </c>
      <c r="C2885" t="s">
        <v>2651</v>
      </c>
      <c r="D2885" t="s">
        <v>2652</v>
      </c>
      <c r="E2885" t="s">
        <v>2653</v>
      </c>
      <c r="F2885" t="s">
        <v>94</v>
      </c>
      <c r="G2885" t="s">
        <v>277</v>
      </c>
      <c r="H2885" s="12">
        <v>7.0269000000000004</v>
      </c>
      <c r="I2885" s="12">
        <v>-74.697500000000005</v>
      </c>
      <c r="J2885" t="s">
        <v>2654</v>
      </c>
      <c r="K2885" t="s">
        <v>97</v>
      </c>
      <c r="L2885" t="s">
        <v>1273</v>
      </c>
      <c r="M2885">
        <v>11</v>
      </c>
      <c r="P2885" s="13">
        <v>144</v>
      </c>
      <c r="Q2885" s="13">
        <v>32</v>
      </c>
      <c r="R2885">
        <v>24</v>
      </c>
      <c r="S2885">
        <v>26</v>
      </c>
      <c r="T2885" s="13">
        <v>33</v>
      </c>
      <c r="U2885" s="13">
        <v>31</v>
      </c>
      <c r="V2885" t="s">
        <v>99</v>
      </c>
      <c r="X2885" s="13">
        <v>144</v>
      </c>
    </row>
    <row r="2886" spans="1:24" x14ac:dyDescent="0.25">
      <c r="A2886" t="s">
        <v>2680</v>
      </c>
      <c r="B2886" t="s">
        <v>65</v>
      </c>
      <c r="C2886" t="s">
        <v>2651</v>
      </c>
      <c r="D2886" t="s">
        <v>2652</v>
      </c>
      <c r="E2886" t="s">
        <v>2653</v>
      </c>
      <c r="F2886" t="s">
        <v>94</v>
      </c>
      <c r="G2886" t="s">
        <v>277</v>
      </c>
      <c r="H2886" s="12">
        <v>7.0269000000000004</v>
      </c>
      <c r="I2886" s="12">
        <v>-74.697500000000005</v>
      </c>
      <c r="J2886" t="s">
        <v>2654</v>
      </c>
      <c r="K2886" t="s">
        <v>97</v>
      </c>
      <c r="L2886" t="s">
        <v>1273</v>
      </c>
      <c r="M2886">
        <v>11</v>
      </c>
      <c r="P2886" s="13">
        <v>64</v>
      </c>
      <c r="Q2886" s="13">
        <v>0</v>
      </c>
      <c r="R2886">
        <v>12</v>
      </c>
      <c r="S2886">
        <v>22</v>
      </c>
      <c r="T2886" s="13">
        <v>12</v>
      </c>
      <c r="U2886" s="13">
        <v>29</v>
      </c>
      <c r="V2886" t="s">
        <v>99</v>
      </c>
      <c r="X2886" s="13">
        <v>64</v>
      </c>
    </row>
    <row r="2887" spans="1:24" x14ac:dyDescent="0.25">
      <c r="A2887" t="s">
        <v>2681</v>
      </c>
      <c r="B2887" t="s">
        <v>65</v>
      </c>
      <c r="C2887" t="s">
        <v>2682</v>
      </c>
      <c r="D2887" t="s">
        <v>2683</v>
      </c>
      <c r="E2887" t="s">
        <v>2684</v>
      </c>
      <c r="F2887" t="s">
        <v>94</v>
      </c>
      <c r="G2887" t="s">
        <v>277</v>
      </c>
      <c r="H2887" s="12">
        <v>6.9633000000000003</v>
      </c>
      <c r="I2887" s="12">
        <v>-75.416899999999998</v>
      </c>
      <c r="J2887" t="s">
        <v>2685</v>
      </c>
      <c r="K2887" t="s">
        <v>97</v>
      </c>
      <c r="L2887" t="s">
        <v>1273</v>
      </c>
      <c r="M2887">
        <v>11</v>
      </c>
      <c r="P2887" s="13">
        <v>235</v>
      </c>
      <c r="Q2887" s="13">
        <v>66</v>
      </c>
      <c r="R2887">
        <v>26</v>
      </c>
      <c r="S2887">
        <v>60</v>
      </c>
      <c r="T2887" s="13">
        <v>34</v>
      </c>
      <c r="U2887" s="13">
        <v>51</v>
      </c>
      <c r="V2887" t="s">
        <v>99</v>
      </c>
      <c r="X2887" s="13">
        <v>235</v>
      </c>
    </row>
    <row r="2888" spans="1:24" x14ac:dyDescent="0.25">
      <c r="A2888" t="s">
        <v>2686</v>
      </c>
      <c r="B2888" t="s">
        <v>65</v>
      </c>
      <c r="C2888" t="s">
        <v>2682</v>
      </c>
      <c r="D2888" t="s">
        <v>2683</v>
      </c>
      <c r="E2888" t="s">
        <v>2684</v>
      </c>
      <c r="F2888" t="s">
        <v>94</v>
      </c>
      <c r="G2888" t="s">
        <v>277</v>
      </c>
      <c r="H2888" s="12">
        <v>6.9633000000000003</v>
      </c>
      <c r="I2888" s="12">
        <v>-75.416899999999998</v>
      </c>
      <c r="J2888" t="s">
        <v>2685</v>
      </c>
      <c r="K2888" t="s">
        <v>97</v>
      </c>
      <c r="L2888" t="s">
        <v>1273</v>
      </c>
      <c r="M2888">
        <v>11</v>
      </c>
      <c r="P2888" s="13">
        <v>225</v>
      </c>
      <c r="Q2888" s="13">
        <v>66</v>
      </c>
      <c r="R2888">
        <v>16</v>
      </c>
      <c r="S2888">
        <v>62</v>
      </c>
      <c r="T2888" s="13">
        <v>33</v>
      </c>
      <c r="U2888" s="13">
        <v>55</v>
      </c>
      <c r="V2888" t="s">
        <v>99</v>
      </c>
      <c r="X2888" s="13">
        <v>225</v>
      </c>
    </row>
    <row r="2889" spans="1:24" x14ac:dyDescent="0.25">
      <c r="A2889" t="s">
        <v>2687</v>
      </c>
      <c r="B2889" t="s">
        <v>65</v>
      </c>
      <c r="C2889" t="s">
        <v>2682</v>
      </c>
      <c r="D2889" t="s">
        <v>2683</v>
      </c>
      <c r="E2889" t="s">
        <v>2684</v>
      </c>
      <c r="F2889" t="s">
        <v>94</v>
      </c>
      <c r="G2889" t="s">
        <v>277</v>
      </c>
      <c r="H2889" s="12">
        <v>6.9633000000000003</v>
      </c>
      <c r="I2889" s="12">
        <v>-75.416899999999998</v>
      </c>
      <c r="J2889" t="s">
        <v>2685</v>
      </c>
      <c r="K2889" t="s">
        <v>97</v>
      </c>
      <c r="L2889" t="s">
        <v>1273</v>
      </c>
      <c r="M2889">
        <v>11</v>
      </c>
      <c r="P2889" s="13">
        <v>223</v>
      </c>
      <c r="Q2889" s="13">
        <v>46</v>
      </c>
      <c r="R2889">
        <v>50</v>
      </c>
      <c r="S2889">
        <v>44</v>
      </c>
      <c r="T2889" s="13">
        <v>43</v>
      </c>
      <c r="U2889" s="13">
        <v>29</v>
      </c>
      <c r="V2889" t="s">
        <v>99</v>
      </c>
      <c r="X2889" s="13">
        <v>223</v>
      </c>
    </row>
    <row r="2890" spans="1:24" x14ac:dyDescent="0.25">
      <c r="A2890" t="s">
        <v>2688</v>
      </c>
      <c r="B2890" t="s">
        <v>65</v>
      </c>
      <c r="C2890" t="s">
        <v>2682</v>
      </c>
      <c r="D2890" t="s">
        <v>2683</v>
      </c>
      <c r="E2890" t="s">
        <v>2684</v>
      </c>
      <c r="F2890" t="s">
        <v>94</v>
      </c>
      <c r="G2890" t="s">
        <v>277</v>
      </c>
      <c r="H2890" s="12">
        <v>6.9633000000000003</v>
      </c>
      <c r="I2890" s="12">
        <v>-75.416899999999998</v>
      </c>
      <c r="J2890" t="s">
        <v>2685</v>
      </c>
      <c r="K2890" t="s">
        <v>97</v>
      </c>
      <c r="L2890" t="s">
        <v>1273</v>
      </c>
      <c r="M2890">
        <v>11</v>
      </c>
      <c r="P2890" s="13">
        <v>217</v>
      </c>
      <c r="Q2890" s="13">
        <v>46</v>
      </c>
      <c r="R2890">
        <v>22</v>
      </c>
      <c r="S2890">
        <v>66</v>
      </c>
      <c r="T2890" s="13">
        <v>36</v>
      </c>
      <c r="U2890" s="13">
        <v>53</v>
      </c>
      <c r="V2890" t="s">
        <v>99</v>
      </c>
      <c r="X2890" s="13">
        <v>217</v>
      </c>
    </row>
    <row r="2891" spans="1:24" x14ac:dyDescent="0.25">
      <c r="A2891" t="s">
        <v>2689</v>
      </c>
      <c r="B2891" t="s">
        <v>65</v>
      </c>
      <c r="C2891" t="s">
        <v>2682</v>
      </c>
      <c r="D2891" t="s">
        <v>2683</v>
      </c>
      <c r="E2891" t="s">
        <v>2684</v>
      </c>
      <c r="F2891" t="s">
        <v>94</v>
      </c>
      <c r="G2891" t="s">
        <v>277</v>
      </c>
      <c r="H2891" s="12">
        <v>6.9633000000000003</v>
      </c>
      <c r="I2891" s="12">
        <v>-75.416899999999998</v>
      </c>
      <c r="J2891" t="s">
        <v>2685</v>
      </c>
      <c r="K2891" t="s">
        <v>97</v>
      </c>
      <c r="L2891" t="s">
        <v>1273</v>
      </c>
      <c r="M2891">
        <v>11</v>
      </c>
      <c r="P2891" s="13">
        <v>212</v>
      </c>
      <c r="Q2891" s="13">
        <v>54</v>
      </c>
      <c r="R2891">
        <v>32</v>
      </c>
      <c r="S2891">
        <v>50</v>
      </c>
      <c r="T2891" s="13">
        <v>34</v>
      </c>
      <c r="U2891" s="13">
        <v>42</v>
      </c>
      <c r="V2891" t="s">
        <v>99</v>
      </c>
      <c r="X2891" s="13">
        <v>212</v>
      </c>
    </row>
    <row r="2892" spans="1:24" x14ac:dyDescent="0.25">
      <c r="A2892" t="s">
        <v>2690</v>
      </c>
      <c r="B2892" t="s">
        <v>65</v>
      </c>
      <c r="C2892" t="s">
        <v>2682</v>
      </c>
      <c r="D2892" t="s">
        <v>2683</v>
      </c>
      <c r="E2892" t="s">
        <v>2684</v>
      </c>
      <c r="F2892" t="s">
        <v>94</v>
      </c>
      <c r="G2892" t="s">
        <v>277</v>
      </c>
      <c r="H2892" s="12">
        <v>6.9633000000000003</v>
      </c>
      <c r="I2892" s="12">
        <v>-75.416899999999998</v>
      </c>
      <c r="J2892" t="s">
        <v>2685</v>
      </c>
      <c r="K2892" t="s">
        <v>97</v>
      </c>
      <c r="L2892" t="s">
        <v>1273</v>
      </c>
      <c r="M2892">
        <v>11</v>
      </c>
      <c r="P2892" s="13">
        <v>211</v>
      </c>
      <c r="Q2892" s="13">
        <v>37</v>
      </c>
      <c r="R2892">
        <v>32</v>
      </c>
      <c r="S2892">
        <v>66</v>
      </c>
      <c r="T2892" s="13">
        <v>31</v>
      </c>
      <c r="U2892" s="13">
        <v>53</v>
      </c>
      <c r="V2892" t="s">
        <v>99</v>
      </c>
      <c r="X2892" s="13">
        <v>211</v>
      </c>
    </row>
    <row r="2893" spans="1:24" x14ac:dyDescent="0.25">
      <c r="A2893" t="s">
        <v>2691</v>
      </c>
      <c r="B2893" t="s">
        <v>65</v>
      </c>
      <c r="C2893" t="s">
        <v>2682</v>
      </c>
      <c r="D2893" t="s">
        <v>2683</v>
      </c>
      <c r="E2893" t="s">
        <v>2684</v>
      </c>
      <c r="F2893" t="s">
        <v>94</v>
      </c>
      <c r="G2893" t="s">
        <v>277</v>
      </c>
      <c r="H2893" s="12">
        <v>6.9633000000000003</v>
      </c>
      <c r="I2893" s="12">
        <v>-75.416899999999998</v>
      </c>
      <c r="J2893" t="s">
        <v>2685</v>
      </c>
      <c r="K2893" t="s">
        <v>97</v>
      </c>
      <c r="L2893" t="s">
        <v>1273</v>
      </c>
      <c r="M2893">
        <v>11</v>
      </c>
      <c r="P2893" s="13">
        <v>211</v>
      </c>
      <c r="Q2893" s="13">
        <v>66</v>
      </c>
      <c r="R2893">
        <v>18</v>
      </c>
      <c r="S2893">
        <v>52</v>
      </c>
      <c r="T2893" s="13">
        <v>31</v>
      </c>
      <c r="U2893" s="13">
        <v>47</v>
      </c>
      <c r="V2893" t="s">
        <v>99</v>
      </c>
      <c r="X2893" s="13">
        <v>211</v>
      </c>
    </row>
    <row r="2894" spans="1:24" x14ac:dyDescent="0.25">
      <c r="A2894" t="s">
        <v>2692</v>
      </c>
      <c r="B2894" t="s">
        <v>65</v>
      </c>
      <c r="C2894" t="s">
        <v>2682</v>
      </c>
      <c r="D2894" t="s">
        <v>2683</v>
      </c>
      <c r="E2894" t="s">
        <v>2684</v>
      </c>
      <c r="F2894" t="s">
        <v>94</v>
      </c>
      <c r="G2894" t="s">
        <v>277</v>
      </c>
      <c r="H2894" s="12">
        <v>6.9633000000000003</v>
      </c>
      <c r="I2894" s="12">
        <v>-75.416899999999998</v>
      </c>
      <c r="J2894" t="s">
        <v>2685</v>
      </c>
      <c r="K2894" t="s">
        <v>97</v>
      </c>
      <c r="L2894" t="s">
        <v>1273</v>
      </c>
      <c r="M2894">
        <v>11</v>
      </c>
      <c r="P2894" s="13">
        <v>209</v>
      </c>
      <c r="Q2894" s="13">
        <v>39</v>
      </c>
      <c r="R2894">
        <v>32</v>
      </c>
      <c r="S2894">
        <v>54</v>
      </c>
      <c r="T2894" s="13">
        <v>38</v>
      </c>
      <c r="U2894" s="13">
        <v>55</v>
      </c>
      <c r="V2894" t="s">
        <v>99</v>
      </c>
      <c r="X2894" s="13">
        <v>209</v>
      </c>
    </row>
    <row r="2895" spans="1:24" x14ac:dyDescent="0.25">
      <c r="A2895" t="s">
        <v>2693</v>
      </c>
      <c r="B2895" t="s">
        <v>65</v>
      </c>
      <c r="C2895" t="s">
        <v>2682</v>
      </c>
      <c r="D2895" t="s">
        <v>2683</v>
      </c>
      <c r="E2895" t="s">
        <v>2684</v>
      </c>
      <c r="F2895" t="s">
        <v>94</v>
      </c>
      <c r="G2895" t="s">
        <v>277</v>
      </c>
      <c r="H2895" s="12">
        <v>6.9633000000000003</v>
      </c>
      <c r="I2895" s="12">
        <v>-75.416899999999998</v>
      </c>
      <c r="J2895" t="s">
        <v>2685</v>
      </c>
      <c r="K2895" t="s">
        <v>97</v>
      </c>
      <c r="L2895" t="s">
        <v>1273</v>
      </c>
      <c r="M2895">
        <v>11</v>
      </c>
      <c r="P2895" s="13">
        <v>208</v>
      </c>
      <c r="Q2895" s="13">
        <v>54</v>
      </c>
      <c r="R2895">
        <v>24</v>
      </c>
      <c r="S2895">
        <v>46</v>
      </c>
      <c r="T2895" s="13">
        <v>40</v>
      </c>
      <c r="U2895" s="13">
        <v>51</v>
      </c>
      <c r="V2895" t="s">
        <v>99</v>
      </c>
      <c r="X2895" s="13">
        <v>208</v>
      </c>
    </row>
    <row r="2896" spans="1:24" x14ac:dyDescent="0.25">
      <c r="A2896" t="s">
        <v>2694</v>
      </c>
      <c r="B2896" t="s">
        <v>65</v>
      </c>
      <c r="C2896" t="s">
        <v>2682</v>
      </c>
      <c r="D2896" t="s">
        <v>2683</v>
      </c>
      <c r="E2896" t="s">
        <v>2684</v>
      </c>
      <c r="F2896" t="s">
        <v>94</v>
      </c>
      <c r="G2896" t="s">
        <v>277</v>
      </c>
      <c r="H2896" s="12">
        <v>6.9633000000000003</v>
      </c>
      <c r="I2896" s="12">
        <v>-75.416899999999998</v>
      </c>
      <c r="J2896" t="s">
        <v>2685</v>
      </c>
      <c r="K2896" t="s">
        <v>97</v>
      </c>
      <c r="L2896" t="s">
        <v>1273</v>
      </c>
      <c r="M2896">
        <v>11</v>
      </c>
      <c r="P2896" s="13">
        <v>207</v>
      </c>
      <c r="Q2896" s="13">
        <v>44</v>
      </c>
      <c r="R2896">
        <v>34</v>
      </c>
      <c r="S2896">
        <v>54</v>
      </c>
      <c r="T2896" s="13">
        <v>33</v>
      </c>
      <c r="U2896" s="13">
        <v>45</v>
      </c>
      <c r="V2896" t="s">
        <v>99</v>
      </c>
      <c r="X2896" s="13">
        <v>207</v>
      </c>
    </row>
    <row r="2897" spans="1:24" x14ac:dyDescent="0.25">
      <c r="A2897" t="s">
        <v>2695</v>
      </c>
      <c r="B2897" t="s">
        <v>65</v>
      </c>
      <c r="C2897" t="s">
        <v>2682</v>
      </c>
      <c r="D2897" t="s">
        <v>2683</v>
      </c>
      <c r="E2897" t="s">
        <v>2684</v>
      </c>
      <c r="F2897" t="s">
        <v>94</v>
      </c>
      <c r="G2897" t="s">
        <v>277</v>
      </c>
      <c r="H2897" s="12">
        <v>6.9633000000000003</v>
      </c>
      <c r="I2897" s="12">
        <v>-75.416899999999998</v>
      </c>
      <c r="J2897" t="s">
        <v>2685</v>
      </c>
      <c r="K2897" t="s">
        <v>97</v>
      </c>
      <c r="L2897" t="s">
        <v>1273</v>
      </c>
      <c r="M2897">
        <v>11</v>
      </c>
      <c r="P2897" s="13">
        <v>205</v>
      </c>
      <c r="Q2897" s="13">
        <v>51</v>
      </c>
      <c r="R2897">
        <v>22</v>
      </c>
      <c r="S2897">
        <v>52</v>
      </c>
      <c r="T2897" s="13">
        <v>38</v>
      </c>
      <c r="U2897" s="13">
        <v>44</v>
      </c>
      <c r="V2897" t="s">
        <v>99</v>
      </c>
      <c r="X2897" s="13">
        <v>205</v>
      </c>
    </row>
    <row r="2898" spans="1:24" x14ac:dyDescent="0.25">
      <c r="A2898" t="s">
        <v>2696</v>
      </c>
      <c r="B2898" t="s">
        <v>65</v>
      </c>
      <c r="C2898" t="s">
        <v>2682</v>
      </c>
      <c r="D2898" t="s">
        <v>2683</v>
      </c>
      <c r="E2898" t="s">
        <v>2684</v>
      </c>
      <c r="F2898" t="s">
        <v>94</v>
      </c>
      <c r="G2898" t="s">
        <v>277</v>
      </c>
      <c r="H2898" s="12">
        <v>6.9633000000000003</v>
      </c>
      <c r="I2898" s="12">
        <v>-75.416899999999998</v>
      </c>
      <c r="J2898" t="s">
        <v>2685</v>
      </c>
      <c r="K2898" t="s">
        <v>97</v>
      </c>
      <c r="L2898" t="s">
        <v>1273</v>
      </c>
      <c r="M2898">
        <v>11</v>
      </c>
      <c r="P2898" s="13">
        <v>204</v>
      </c>
      <c r="Q2898" s="13">
        <v>39</v>
      </c>
      <c r="R2898">
        <v>34</v>
      </c>
      <c r="S2898">
        <v>46</v>
      </c>
      <c r="T2898" s="13">
        <v>34</v>
      </c>
      <c r="U2898" s="13">
        <v>71</v>
      </c>
      <c r="V2898" t="s">
        <v>99</v>
      </c>
      <c r="X2898" s="13">
        <v>204</v>
      </c>
    </row>
    <row r="2899" spans="1:24" x14ac:dyDescent="0.25">
      <c r="A2899" t="s">
        <v>2697</v>
      </c>
      <c r="B2899" t="s">
        <v>65</v>
      </c>
      <c r="C2899" t="s">
        <v>2682</v>
      </c>
      <c r="D2899" t="s">
        <v>2683</v>
      </c>
      <c r="E2899" t="s">
        <v>2684</v>
      </c>
      <c r="F2899" t="s">
        <v>94</v>
      </c>
      <c r="G2899" t="s">
        <v>277</v>
      </c>
      <c r="H2899" s="12">
        <v>6.9633000000000003</v>
      </c>
      <c r="I2899" s="12">
        <v>-75.416899999999998</v>
      </c>
      <c r="J2899" t="s">
        <v>2685</v>
      </c>
      <c r="K2899" t="s">
        <v>97</v>
      </c>
      <c r="L2899" t="s">
        <v>1273</v>
      </c>
      <c r="M2899">
        <v>11</v>
      </c>
      <c r="P2899" s="13">
        <v>202</v>
      </c>
      <c r="Q2899" s="13">
        <v>46</v>
      </c>
      <c r="R2899">
        <v>34</v>
      </c>
      <c r="S2899">
        <v>46</v>
      </c>
      <c r="T2899" s="13">
        <v>34</v>
      </c>
      <c r="U2899" s="13">
        <v>42</v>
      </c>
      <c r="V2899" t="s">
        <v>99</v>
      </c>
      <c r="X2899" s="13">
        <v>202</v>
      </c>
    </row>
    <row r="2900" spans="1:24" x14ac:dyDescent="0.25">
      <c r="A2900" t="s">
        <v>2698</v>
      </c>
      <c r="B2900" t="s">
        <v>65</v>
      </c>
      <c r="C2900" t="s">
        <v>2682</v>
      </c>
      <c r="D2900" t="s">
        <v>2683</v>
      </c>
      <c r="E2900" t="s">
        <v>2684</v>
      </c>
      <c r="F2900" t="s">
        <v>94</v>
      </c>
      <c r="G2900" t="s">
        <v>277</v>
      </c>
      <c r="H2900" s="12">
        <v>6.9633000000000003</v>
      </c>
      <c r="I2900" s="12">
        <v>-75.416899999999998</v>
      </c>
      <c r="J2900" t="s">
        <v>2685</v>
      </c>
      <c r="K2900" t="s">
        <v>97</v>
      </c>
      <c r="L2900" t="s">
        <v>1273</v>
      </c>
      <c r="M2900">
        <v>11</v>
      </c>
      <c r="P2900" s="13">
        <v>192</v>
      </c>
      <c r="Q2900" s="13">
        <v>51</v>
      </c>
      <c r="R2900">
        <v>20</v>
      </c>
      <c r="S2900">
        <v>52</v>
      </c>
      <c r="T2900" s="13">
        <v>28</v>
      </c>
      <c r="U2900" s="13">
        <v>47</v>
      </c>
      <c r="V2900" t="s">
        <v>99</v>
      </c>
      <c r="X2900" s="13">
        <v>192</v>
      </c>
    </row>
    <row r="2901" spans="1:24" x14ac:dyDescent="0.25">
      <c r="A2901" t="s">
        <v>2699</v>
      </c>
      <c r="B2901" t="s">
        <v>65</v>
      </c>
      <c r="C2901" t="s">
        <v>2682</v>
      </c>
      <c r="D2901" t="s">
        <v>2683</v>
      </c>
      <c r="E2901" t="s">
        <v>2684</v>
      </c>
      <c r="F2901" t="s">
        <v>94</v>
      </c>
      <c r="G2901" t="s">
        <v>277</v>
      </c>
      <c r="H2901" s="12">
        <v>6.9633000000000003</v>
      </c>
      <c r="I2901" s="12">
        <v>-75.416899999999998</v>
      </c>
      <c r="J2901" t="s">
        <v>2685</v>
      </c>
      <c r="K2901" t="s">
        <v>97</v>
      </c>
      <c r="L2901" t="s">
        <v>1273</v>
      </c>
      <c r="M2901">
        <v>11</v>
      </c>
      <c r="P2901" s="13">
        <v>191</v>
      </c>
      <c r="Q2901" s="13">
        <v>37</v>
      </c>
      <c r="R2901">
        <v>24</v>
      </c>
      <c r="S2901">
        <v>48</v>
      </c>
      <c r="T2901" s="13">
        <v>41</v>
      </c>
      <c r="U2901" s="13">
        <v>47</v>
      </c>
      <c r="V2901" t="s">
        <v>99</v>
      </c>
      <c r="X2901" s="13">
        <v>191</v>
      </c>
    </row>
    <row r="2902" spans="1:24" x14ac:dyDescent="0.25">
      <c r="A2902" t="s">
        <v>2700</v>
      </c>
      <c r="B2902" t="s">
        <v>65</v>
      </c>
      <c r="C2902" t="s">
        <v>2682</v>
      </c>
      <c r="D2902" t="s">
        <v>2683</v>
      </c>
      <c r="E2902" t="s">
        <v>2684</v>
      </c>
      <c r="F2902" t="s">
        <v>94</v>
      </c>
      <c r="G2902" t="s">
        <v>277</v>
      </c>
      <c r="H2902" s="12">
        <v>6.9633000000000003</v>
      </c>
      <c r="I2902" s="12">
        <v>-75.416899999999998</v>
      </c>
      <c r="J2902" t="s">
        <v>2685</v>
      </c>
      <c r="K2902" t="s">
        <v>97</v>
      </c>
      <c r="L2902" t="s">
        <v>1273</v>
      </c>
      <c r="M2902">
        <v>11</v>
      </c>
      <c r="P2902" s="13">
        <v>190</v>
      </c>
      <c r="Q2902" s="13">
        <v>49</v>
      </c>
      <c r="R2902">
        <v>24</v>
      </c>
      <c r="S2902">
        <v>46</v>
      </c>
      <c r="T2902" s="13">
        <v>34</v>
      </c>
      <c r="U2902" s="13">
        <v>35</v>
      </c>
      <c r="V2902" t="s">
        <v>99</v>
      </c>
      <c r="X2902" s="13">
        <v>190</v>
      </c>
    </row>
    <row r="2903" spans="1:24" x14ac:dyDescent="0.25">
      <c r="A2903" t="s">
        <v>2701</v>
      </c>
      <c r="B2903" t="s">
        <v>65</v>
      </c>
      <c r="C2903" t="s">
        <v>2682</v>
      </c>
      <c r="D2903" t="s">
        <v>2683</v>
      </c>
      <c r="E2903" t="s">
        <v>2684</v>
      </c>
      <c r="F2903" t="s">
        <v>94</v>
      </c>
      <c r="G2903" t="s">
        <v>277</v>
      </c>
      <c r="H2903" s="12">
        <v>6.9633000000000003</v>
      </c>
      <c r="I2903" s="12">
        <v>-75.416899999999998</v>
      </c>
      <c r="J2903" t="s">
        <v>2685</v>
      </c>
      <c r="K2903" t="s">
        <v>97</v>
      </c>
      <c r="L2903" t="s">
        <v>1273</v>
      </c>
      <c r="M2903">
        <v>11</v>
      </c>
      <c r="P2903" s="13">
        <v>181</v>
      </c>
      <c r="Q2903" s="13">
        <v>41</v>
      </c>
      <c r="R2903">
        <v>16</v>
      </c>
      <c r="S2903">
        <v>58</v>
      </c>
      <c r="T2903" s="13">
        <v>26</v>
      </c>
      <c r="U2903" s="13">
        <v>47</v>
      </c>
      <c r="V2903" t="s">
        <v>99</v>
      </c>
      <c r="X2903" s="13">
        <v>181</v>
      </c>
    </row>
    <row r="2904" spans="1:24" x14ac:dyDescent="0.25">
      <c r="A2904" t="s">
        <v>2702</v>
      </c>
      <c r="B2904" t="s">
        <v>65</v>
      </c>
      <c r="C2904" t="s">
        <v>2682</v>
      </c>
      <c r="D2904" t="s">
        <v>2683</v>
      </c>
      <c r="E2904" t="s">
        <v>2684</v>
      </c>
      <c r="F2904" t="s">
        <v>94</v>
      </c>
      <c r="G2904" t="s">
        <v>277</v>
      </c>
      <c r="H2904" s="12">
        <v>6.9633000000000003</v>
      </c>
      <c r="I2904" s="12">
        <v>-75.416899999999998</v>
      </c>
      <c r="J2904" t="s">
        <v>2685</v>
      </c>
      <c r="K2904" t="s">
        <v>97</v>
      </c>
      <c r="L2904" t="s">
        <v>1273</v>
      </c>
      <c r="M2904">
        <v>11</v>
      </c>
      <c r="P2904" s="13">
        <v>179</v>
      </c>
      <c r="Q2904" s="13">
        <v>46</v>
      </c>
      <c r="R2904">
        <v>34</v>
      </c>
      <c r="S2904">
        <v>38</v>
      </c>
      <c r="T2904" s="13">
        <v>24</v>
      </c>
      <c r="U2904" s="13">
        <v>38</v>
      </c>
      <c r="V2904" t="s">
        <v>99</v>
      </c>
      <c r="X2904" s="13">
        <v>179</v>
      </c>
    </row>
    <row r="2905" spans="1:24" x14ac:dyDescent="0.25">
      <c r="A2905" t="s">
        <v>2703</v>
      </c>
      <c r="B2905" t="s">
        <v>65</v>
      </c>
      <c r="C2905" t="s">
        <v>2682</v>
      </c>
      <c r="D2905" t="s">
        <v>2683</v>
      </c>
      <c r="E2905" t="s">
        <v>2684</v>
      </c>
      <c r="F2905" t="s">
        <v>94</v>
      </c>
      <c r="G2905" t="s">
        <v>277</v>
      </c>
      <c r="H2905" s="12">
        <v>6.9633000000000003</v>
      </c>
      <c r="I2905" s="12">
        <v>-75.416899999999998</v>
      </c>
      <c r="J2905" t="s">
        <v>2685</v>
      </c>
      <c r="K2905" t="s">
        <v>97</v>
      </c>
      <c r="L2905" t="s">
        <v>1273</v>
      </c>
      <c r="M2905">
        <v>11</v>
      </c>
      <c r="P2905" s="13">
        <v>177</v>
      </c>
      <c r="Q2905" s="13">
        <v>29</v>
      </c>
      <c r="R2905">
        <v>32</v>
      </c>
      <c r="S2905">
        <v>40</v>
      </c>
      <c r="T2905" s="13">
        <v>33</v>
      </c>
      <c r="U2905" s="13">
        <v>58</v>
      </c>
      <c r="V2905" t="s">
        <v>99</v>
      </c>
      <c r="X2905" s="13">
        <v>177</v>
      </c>
    </row>
    <row r="2906" spans="1:24" x14ac:dyDescent="0.25">
      <c r="A2906" t="s">
        <v>2704</v>
      </c>
      <c r="B2906" t="s">
        <v>65</v>
      </c>
      <c r="C2906" t="s">
        <v>2682</v>
      </c>
      <c r="D2906" t="s">
        <v>2683</v>
      </c>
      <c r="E2906" t="s">
        <v>2684</v>
      </c>
      <c r="F2906" t="s">
        <v>94</v>
      </c>
      <c r="G2906" t="s">
        <v>277</v>
      </c>
      <c r="H2906" s="12">
        <v>6.9633000000000003</v>
      </c>
      <c r="I2906" s="12">
        <v>-75.416899999999998</v>
      </c>
      <c r="J2906" t="s">
        <v>2685</v>
      </c>
      <c r="K2906" t="s">
        <v>97</v>
      </c>
      <c r="L2906" t="s">
        <v>1273</v>
      </c>
      <c r="M2906">
        <v>11</v>
      </c>
      <c r="P2906" s="13">
        <v>175</v>
      </c>
      <c r="Q2906" s="13">
        <v>54</v>
      </c>
      <c r="R2906">
        <v>18</v>
      </c>
      <c r="S2906">
        <v>38</v>
      </c>
      <c r="T2906" s="13">
        <v>31</v>
      </c>
      <c r="U2906" s="13">
        <v>33</v>
      </c>
      <c r="V2906" t="s">
        <v>99</v>
      </c>
      <c r="X2906" s="13">
        <v>175</v>
      </c>
    </row>
    <row r="2907" spans="1:24" x14ac:dyDescent="0.25">
      <c r="A2907" t="s">
        <v>2705</v>
      </c>
      <c r="B2907" t="s">
        <v>65</v>
      </c>
      <c r="C2907" t="s">
        <v>2682</v>
      </c>
      <c r="D2907" t="s">
        <v>2683</v>
      </c>
      <c r="E2907" t="s">
        <v>2684</v>
      </c>
      <c r="F2907" t="s">
        <v>94</v>
      </c>
      <c r="G2907" t="s">
        <v>277</v>
      </c>
      <c r="H2907" s="12">
        <v>6.9633000000000003</v>
      </c>
      <c r="I2907" s="12">
        <v>-75.416899999999998</v>
      </c>
      <c r="J2907" t="s">
        <v>2685</v>
      </c>
      <c r="K2907" t="s">
        <v>97</v>
      </c>
      <c r="L2907" t="s">
        <v>1273</v>
      </c>
      <c r="M2907">
        <v>11</v>
      </c>
      <c r="P2907" s="13">
        <v>174</v>
      </c>
      <c r="Q2907" s="13">
        <v>51</v>
      </c>
      <c r="R2907">
        <v>22</v>
      </c>
      <c r="S2907">
        <v>42</v>
      </c>
      <c r="T2907" s="13">
        <v>21</v>
      </c>
      <c r="U2907" s="13">
        <v>44</v>
      </c>
      <c r="V2907" t="s">
        <v>99</v>
      </c>
      <c r="X2907" s="13">
        <v>174</v>
      </c>
    </row>
    <row r="2908" spans="1:24" x14ac:dyDescent="0.25">
      <c r="A2908" t="s">
        <v>2706</v>
      </c>
      <c r="B2908" t="s">
        <v>65</v>
      </c>
      <c r="C2908" t="s">
        <v>2682</v>
      </c>
      <c r="D2908" t="s">
        <v>2683</v>
      </c>
      <c r="E2908" t="s">
        <v>2684</v>
      </c>
      <c r="F2908" t="s">
        <v>94</v>
      </c>
      <c r="G2908" t="s">
        <v>277</v>
      </c>
      <c r="H2908" s="12">
        <v>6.9633000000000003</v>
      </c>
      <c r="I2908" s="12">
        <v>-75.416899999999998</v>
      </c>
      <c r="J2908" t="s">
        <v>2685</v>
      </c>
      <c r="K2908" t="s">
        <v>97</v>
      </c>
      <c r="L2908" t="s">
        <v>1273</v>
      </c>
      <c r="M2908">
        <v>11</v>
      </c>
      <c r="P2908" s="13">
        <v>166</v>
      </c>
      <c r="Q2908" s="13">
        <v>37</v>
      </c>
      <c r="R2908">
        <v>28</v>
      </c>
      <c r="S2908">
        <v>40</v>
      </c>
      <c r="T2908" s="13">
        <v>28</v>
      </c>
      <c r="U2908" s="13">
        <v>36</v>
      </c>
      <c r="V2908" t="s">
        <v>99</v>
      </c>
      <c r="X2908" s="13">
        <v>166</v>
      </c>
    </row>
    <row r="2909" spans="1:24" x14ac:dyDescent="0.25">
      <c r="A2909" t="s">
        <v>2707</v>
      </c>
      <c r="B2909" t="s">
        <v>65</v>
      </c>
      <c r="C2909" t="s">
        <v>2682</v>
      </c>
      <c r="D2909" t="s">
        <v>2683</v>
      </c>
      <c r="E2909" t="s">
        <v>2684</v>
      </c>
      <c r="F2909" t="s">
        <v>94</v>
      </c>
      <c r="G2909" t="s">
        <v>277</v>
      </c>
      <c r="H2909" s="12">
        <v>6.9633000000000003</v>
      </c>
      <c r="I2909" s="12">
        <v>-75.416899999999998</v>
      </c>
      <c r="J2909" t="s">
        <v>2685</v>
      </c>
      <c r="K2909" t="s">
        <v>97</v>
      </c>
      <c r="L2909" t="s">
        <v>1273</v>
      </c>
      <c r="M2909">
        <v>11</v>
      </c>
      <c r="P2909" s="13">
        <v>164</v>
      </c>
      <c r="Q2909" s="13">
        <v>32</v>
      </c>
      <c r="R2909">
        <v>34</v>
      </c>
      <c r="S2909">
        <v>40</v>
      </c>
      <c r="T2909" s="13">
        <v>29</v>
      </c>
      <c r="U2909" s="13">
        <v>22</v>
      </c>
      <c r="V2909" t="s">
        <v>99</v>
      </c>
      <c r="X2909" s="13">
        <v>164</v>
      </c>
    </row>
    <row r="2910" spans="1:24" x14ac:dyDescent="0.25">
      <c r="A2910" t="s">
        <v>2708</v>
      </c>
      <c r="B2910" t="s">
        <v>65</v>
      </c>
      <c r="C2910" t="s">
        <v>2682</v>
      </c>
      <c r="D2910" t="s">
        <v>2683</v>
      </c>
      <c r="E2910" t="s">
        <v>2684</v>
      </c>
      <c r="F2910" t="s">
        <v>94</v>
      </c>
      <c r="G2910" t="s">
        <v>277</v>
      </c>
      <c r="H2910" s="12">
        <v>6.9633000000000003</v>
      </c>
      <c r="I2910" s="12">
        <v>-75.416899999999998</v>
      </c>
      <c r="J2910" t="s">
        <v>2685</v>
      </c>
      <c r="K2910" t="s">
        <v>97</v>
      </c>
      <c r="L2910" t="s">
        <v>1273</v>
      </c>
      <c r="M2910">
        <v>11</v>
      </c>
      <c r="P2910" s="13">
        <v>162</v>
      </c>
      <c r="Q2910" s="13">
        <v>46</v>
      </c>
      <c r="R2910">
        <v>22</v>
      </c>
      <c r="S2910">
        <v>26</v>
      </c>
      <c r="T2910" s="13">
        <v>29</v>
      </c>
      <c r="U2910" s="13">
        <v>51</v>
      </c>
      <c r="V2910" t="s">
        <v>99</v>
      </c>
      <c r="X2910" s="13">
        <v>162</v>
      </c>
    </row>
    <row r="2911" spans="1:24" x14ac:dyDescent="0.25">
      <c r="A2911" t="s">
        <v>2709</v>
      </c>
      <c r="B2911" t="s">
        <v>65</v>
      </c>
      <c r="C2911" t="s">
        <v>2682</v>
      </c>
      <c r="D2911" t="s">
        <v>2683</v>
      </c>
      <c r="E2911" t="s">
        <v>2684</v>
      </c>
      <c r="F2911" t="s">
        <v>94</v>
      </c>
      <c r="G2911" t="s">
        <v>277</v>
      </c>
      <c r="H2911" s="12">
        <v>6.9633000000000003</v>
      </c>
      <c r="I2911" s="12">
        <v>-75.416899999999998</v>
      </c>
      <c r="J2911" t="s">
        <v>2685</v>
      </c>
      <c r="K2911" t="s">
        <v>97</v>
      </c>
      <c r="L2911" t="s">
        <v>1273</v>
      </c>
      <c r="M2911">
        <v>11</v>
      </c>
      <c r="P2911" s="13">
        <v>160</v>
      </c>
      <c r="Q2911" s="13">
        <v>41</v>
      </c>
      <c r="R2911">
        <v>22</v>
      </c>
      <c r="S2911">
        <v>38</v>
      </c>
      <c r="T2911" s="13">
        <v>24</v>
      </c>
      <c r="U2911" s="13">
        <v>40</v>
      </c>
      <c r="V2911" t="s">
        <v>99</v>
      </c>
      <c r="X2911" s="13">
        <v>160</v>
      </c>
    </row>
    <row r="2912" spans="1:24" x14ac:dyDescent="0.25">
      <c r="A2912" t="s">
        <v>2710</v>
      </c>
      <c r="B2912" t="s">
        <v>65</v>
      </c>
      <c r="C2912" t="s">
        <v>2682</v>
      </c>
      <c r="D2912" t="s">
        <v>2683</v>
      </c>
      <c r="E2912" t="s">
        <v>2684</v>
      </c>
      <c r="F2912" t="s">
        <v>94</v>
      </c>
      <c r="G2912" t="s">
        <v>277</v>
      </c>
      <c r="H2912" s="12">
        <v>6.9633000000000003</v>
      </c>
      <c r="I2912" s="12">
        <v>-75.416899999999998</v>
      </c>
      <c r="J2912" t="s">
        <v>2685</v>
      </c>
      <c r="K2912" t="s">
        <v>97</v>
      </c>
      <c r="L2912" t="s">
        <v>1273</v>
      </c>
      <c r="M2912">
        <v>11</v>
      </c>
      <c r="P2912" s="13">
        <v>160</v>
      </c>
      <c r="Q2912" s="13">
        <v>41</v>
      </c>
      <c r="R2912">
        <v>26</v>
      </c>
      <c r="S2912">
        <v>30</v>
      </c>
      <c r="T2912" s="13">
        <v>29</v>
      </c>
      <c r="U2912" s="13">
        <v>36</v>
      </c>
      <c r="V2912" t="s">
        <v>99</v>
      </c>
      <c r="X2912" s="13">
        <v>160</v>
      </c>
    </row>
    <row r="2913" spans="1:24" x14ac:dyDescent="0.25">
      <c r="A2913" t="s">
        <v>2711</v>
      </c>
      <c r="B2913" t="s">
        <v>65</v>
      </c>
      <c r="C2913" t="s">
        <v>2682</v>
      </c>
      <c r="D2913" t="s">
        <v>2683</v>
      </c>
      <c r="E2913" t="s">
        <v>2684</v>
      </c>
      <c r="F2913" t="s">
        <v>94</v>
      </c>
      <c r="G2913" t="s">
        <v>277</v>
      </c>
      <c r="H2913" s="12">
        <v>6.9633000000000003</v>
      </c>
      <c r="I2913" s="12">
        <v>-75.416899999999998</v>
      </c>
      <c r="J2913" t="s">
        <v>2685</v>
      </c>
      <c r="K2913" t="s">
        <v>97</v>
      </c>
      <c r="L2913" t="s">
        <v>1273</v>
      </c>
      <c r="M2913">
        <v>11</v>
      </c>
      <c r="P2913" s="13">
        <v>157</v>
      </c>
      <c r="Q2913" s="13">
        <v>39</v>
      </c>
      <c r="R2913">
        <v>22</v>
      </c>
      <c r="S2913">
        <v>32</v>
      </c>
      <c r="T2913" s="13">
        <v>33</v>
      </c>
      <c r="U2913" s="13">
        <v>31</v>
      </c>
      <c r="V2913" t="s">
        <v>99</v>
      </c>
      <c r="X2913" s="13">
        <v>157</v>
      </c>
    </row>
    <row r="2914" spans="1:24" x14ac:dyDescent="0.25">
      <c r="A2914" t="s">
        <v>2712</v>
      </c>
      <c r="B2914" t="s">
        <v>65</v>
      </c>
      <c r="C2914" t="s">
        <v>2682</v>
      </c>
      <c r="D2914" t="s">
        <v>2683</v>
      </c>
      <c r="E2914" t="s">
        <v>2684</v>
      </c>
      <c r="F2914" t="s">
        <v>94</v>
      </c>
      <c r="G2914" t="s">
        <v>277</v>
      </c>
      <c r="H2914" s="12">
        <v>6.9633000000000003</v>
      </c>
      <c r="I2914" s="12">
        <v>-75.416899999999998</v>
      </c>
      <c r="J2914" t="s">
        <v>2685</v>
      </c>
      <c r="K2914" t="s">
        <v>97</v>
      </c>
      <c r="L2914" t="s">
        <v>1273</v>
      </c>
      <c r="M2914">
        <v>11</v>
      </c>
      <c r="P2914" s="13">
        <v>156</v>
      </c>
      <c r="Q2914" s="13">
        <v>29</v>
      </c>
      <c r="R2914">
        <v>24</v>
      </c>
      <c r="S2914">
        <v>38</v>
      </c>
      <c r="T2914" s="13">
        <v>34</v>
      </c>
      <c r="U2914" s="13">
        <v>29</v>
      </c>
      <c r="V2914" t="s">
        <v>99</v>
      </c>
      <c r="X2914" s="13">
        <v>156</v>
      </c>
    </row>
    <row r="2915" spans="1:24" x14ac:dyDescent="0.25">
      <c r="A2915" t="s">
        <v>2713</v>
      </c>
      <c r="B2915" t="s">
        <v>65</v>
      </c>
      <c r="C2915" t="s">
        <v>2682</v>
      </c>
      <c r="D2915" t="s">
        <v>2683</v>
      </c>
      <c r="E2915" t="s">
        <v>2684</v>
      </c>
      <c r="F2915" t="s">
        <v>94</v>
      </c>
      <c r="G2915" t="s">
        <v>277</v>
      </c>
      <c r="H2915" s="12">
        <v>6.9633000000000003</v>
      </c>
      <c r="I2915" s="12">
        <v>-75.416899999999998</v>
      </c>
      <c r="J2915" t="s">
        <v>2685</v>
      </c>
      <c r="K2915" t="s">
        <v>97</v>
      </c>
      <c r="L2915" t="s">
        <v>1273</v>
      </c>
      <c r="M2915">
        <v>11</v>
      </c>
      <c r="P2915" s="13">
        <v>138</v>
      </c>
      <c r="Q2915" s="13">
        <v>46</v>
      </c>
      <c r="R2915">
        <v>12</v>
      </c>
      <c r="S2915">
        <v>30</v>
      </c>
      <c r="T2915" s="13">
        <v>22</v>
      </c>
      <c r="U2915" s="13">
        <v>25</v>
      </c>
      <c r="V2915" t="s">
        <v>99</v>
      </c>
      <c r="X2915" s="13">
        <v>138</v>
      </c>
    </row>
    <row r="2916" spans="1:24" x14ac:dyDescent="0.25">
      <c r="A2916" t="s">
        <v>2714</v>
      </c>
      <c r="B2916" t="s">
        <v>65</v>
      </c>
      <c r="C2916" t="s">
        <v>2682</v>
      </c>
      <c r="D2916" t="s">
        <v>2683</v>
      </c>
      <c r="E2916" t="s">
        <v>2684</v>
      </c>
      <c r="F2916" t="s">
        <v>94</v>
      </c>
      <c r="G2916" t="s">
        <v>277</v>
      </c>
      <c r="H2916" s="12">
        <v>6.9633000000000003</v>
      </c>
      <c r="I2916" s="12">
        <v>-75.416899999999998</v>
      </c>
      <c r="J2916" t="s">
        <v>2685</v>
      </c>
      <c r="K2916" t="s">
        <v>97</v>
      </c>
      <c r="L2916" t="s">
        <v>1273</v>
      </c>
      <c r="M2916">
        <v>11</v>
      </c>
      <c r="P2916" s="13">
        <v>107</v>
      </c>
      <c r="Q2916" s="13">
        <v>0</v>
      </c>
      <c r="R2916">
        <v>20</v>
      </c>
      <c r="S2916">
        <v>28</v>
      </c>
      <c r="T2916" s="13">
        <v>28</v>
      </c>
      <c r="U2916" s="13">
        <v>53</v>
      </c>
      <c r="V2916" t="s">
        <v>99</v>
      </c>
      <c r="X2916" s="13">
        <v>107</v>
      </c>
    </row>
    <row r="2917" spans="1:24" x14ac:dyDescent="0.25">
      <c r="A2917" t="s">
        <v>2715</v>
      </c>
      <c r="B2917" t="s">
        <v>65</v>
      </c>
      <c r="C2917" t="s">
        <v>2716</v>
      </c>
      <c r="D2917" t="s">
        <v>2717</v>
      </c>
      <c r="E2917" t="s">
        <v>2718</v>
      </c>
      <c r="F2917" t="s">
        <v>94</v>
      </c>
      <c r="G2917" t="s">
        <v>277</v>
      </c>
      <c r="H2917" s="12">
        <v>6.6768999999999998</v>
      </c>
      <c r="I2917" s="12">
        <v>-74.843599999999995</v>
      </c>
      <c r="J2917" t="s">
        <v>2719</v>
      </c>
      <c r="K2917" t="s">
        <v>97</v>
      </c>
      <c r="L2917" t="s">
        <v>1273</v>
      </c>
      <c r="M2917">
        <v>11</v>
      </c>
      <c r="P2917" s="13">
        <v>262</v>
      </c>
      <c r="Q2917" s="13">
        <v>54</v>
      </c>
      <c r="R2917">
        <v>32</v>
      </c>
      <c r="S2917">
        <v>70</v>
      </c>
      <c r="T2917" s="13">
        <v>41</v>
      </c>
      <c r="U2917" s="13">
        <v>91</v>
      </c>
      <c r="V2917" t="s">
        <v>99</v>
      </c>
      <c r="X2917" s="13">
        <v>262</v>
      </c>
    </row>
    <row r="2918" spans="1:24" x14ac:dyDescent="0.25">
      <c r="A2918" t="s">
        <v>2720</v>
      </c>
      <c r="B2918" t="s">
        <v>65</v>
      </c>
      <c r="C2918" t="s">
        <v>2716</v>
      </c>
      <c r="D2918" t="s">
        <v>2717</v>
      </c>
      <c r="E2918" t="s">
        <v>2718</v>
      </c>
      <c r="F2918" t="s">
        <v>94</v>
      </c>
      <c r="G2918" t="s">
        <v>277</v>
      </c>
      <c r="H2918" s="12">
        <v>6.6768999999999998</v>
      </c>
      <c r="I2918" s="12">
        <v>-74.843599999999995</v>
      </c>
      <c r="J2918" t="s">
        <v>2719</v>
      </c>
      <c r="K2918" t="s">
        <v>97</v>
      </c>
      <c r="L2918" t="s">
        <v>1273</v>
      </c>
      <c r="M2918">
        <v>11</v>
      </c>
      <c r="P2918" s="13">
        <v>254</v>
      </c>
      <c r="Q2918" s="13">
        <v>63</v>
      </c>
      <c r="R2918">
        <v>42</v>
      </c>
      <c r="S2918">
        <v>60</v>
      </c>
      <c r="T2918" s="13">
        <v>34</v>
      </c>
      <c r="U2918" s="13">
        <v>62</v>
      </c>
      <c r="V2918" t="s">
        <v>99</v>
      </c>
      <c r="X2918" s="13">
        <v>254</v>
      </c>
    </row>
    <row r="2919" spans="1:24" x14ac:dyDescent="0.25">
      <c r="A2919" t="s">
        <v>2721</v>
      </c>
      <c r="B2919" t="s">
        <v>65</v>
      </c>
      <c r="C2919" t="s">
        <v>2716</v>
      </c>
      <c r="D2919" t="s">
        <v>2717</v>
      </c>
      <c r="E2919" t="s">
        <v>2718</v>
      </c>
      <c r="F2919" t="s">
        <v>94</v>
      </c>
      <c r="G2919" t="s">
        <v>277</v>
      </c>
      <c r="H2919" s="12">
        <v>6.6768999999999998</v>
      </c>
      <c r="I2919" s="12">
        <v>-74.843599999999995</v>
      </c>
      <c r="J2919" t="s">
        <v>2719</v>
      </c>
      <c r="K2919" t="s">
        <v>97</v>
      </c>
      <c r="L2919" t="s">
        <v>1273</v>
      </c>
      <c r="M2919">
        <v>11</v>
      </c>
      <c r="P2919" s="13">
        <v>249</v>
      </c>
      <c r="Q2919" s="13">
        <v>61</v>
      </c>
      <c r="R2919">
        <v>30</v>
      </c>
      <c r="S2919">
        <v>62</v>
      </c>
      <c r="T2919" s="13">
        <v>45</v>
      </c>
      <c r="U2919" s="13">
        <v>55</v>
      </c>
      <c r="V2919" t="s">
        <v>99</v>
      </c>
      <c r="X2919" s="13">
        <v>249</v>
      </c>
    </row>
    <row r="2920" spans="1:24" x14ac:dyDescent="0.25">
      <c r="A2920" t="s">
        <v>2722</v>
      </c>
      <c r="B2920" t="s">
        <v>65</v>
      </c>
      <c r="C2920" t="s">
        <v>2716</v>
      </c>
      <c r="D2920" t="s">
        <v>2717</v>
      </c>
      <c r="E2920" t="s">
        <v>2718</v>
      </c>
      <c r="F2920" t="s">
        <v>94</v>
      </c>
      <c r="G2920" t="s">
        <v>277</v>
      </c>
      <c r="H2920" s="12">
        <v>6.6768999999999998</v>
      </c>
      <c r="I2920" s="12">
        <v>-74.843599999999995</v>
      </c>
      <c r="J2920" t="s">
        <v>2719</v>
      </c>
      <c r="K2920" t="s">
        <v>97</v>
      </c>
      <c r="L2920" t="s">
        <v>1273</v>
      </c>
      <c r="M2920">
        <v>11</v>
      </c>
      <c r="P2920" s="13">
        <v>245</v>
      </c>
      <c r="Q2920" s="13">
        <v>56</v>
      </c>
      <c r="R2920">
        <v>58</v>
      </c>
      <c r="S2920">
        <v>36</v>
      </c>
      <c r="T2920" s="13">
        <v>43</v>
      </c>
      <c r="U2920" s="13">
        <v>58</v>
      </c>
      <c r="V2920" t="s">
        <v>99</v>
      </c>
      <c r="X2920" s="13">
        <v>245</v>
      </c>
    </row>
    <row r="2921" spans="1:24" x14ac:dyDescent="0.25">
      <c r="A2921" t="s">
        <v>2723</v>
      </c>
      <c r="B2921" t="s">
        <v>65</v>
      </c>
      <c r="C2921" t="s">
        <v>2716</v>
      </c>
      <c r="D2921" t="s">
        <v>2717</v>
      </c>
      <c r="E2921" t="s">
        <v>2718</v>
      </c>
      <c r="F2921" t="s">
        <v>94</v>
      </c>
      <c r="G2921" t="s">
        <v>277</v>
      </c>
      <c r="H2921" s="12">
        <v>6.6768999999999998</v>
      </c>
      <c r="I2921" s="12">
        <v>-74.843599999999995</v>
      </c>
      <c r="J2921" t="s">
        <v>2719</v>
      </c>
      <c r="K2921" t="s">
        <v>97</v>
      </c>
      <c r="L2921" t="s">
        <v>1273</v>
      </c>
      <c r="M2921">
        <v>11</v>
      </c>
      <c r="P2921" s="13">
        <v>236</v>
      </c>
      <c r="Q2921" s="13">
        <v>49</v>
      </c>
      <c r="R2921">
        <v>36</v>
      </c>
      <c r="S2921">
        <v>56</v>
      </c>
      <c r="T2921" s="13">
        <v>36</v>
      </c>
      <c r="U2921" s="13">
        <v>82</v>
      </c>
      <c r="V2921" t="s">
        <v>99</v>
      </c>
      <c r="X2921" s="13">
        <v>236</v>
      </c>
    </row>
    <row r="2922" spans="1:24" x14ac:dyDescent="0.25">
      <c r="A2922" t="s">
        <v>2724</v>
      </c>
      <c r="B2922" t="s">
        <v>65</v>
      </c>
      <c r="C2922" t="s">
        <v>2716</v>
      </c>
      <c r="D2922" t="s">
        <v>2717</v>
      </c>
      <c r="E2922" t="s">
        <v>2718</v>
      </c>
      <c r="F2922" t="s">
        <v>94</v>
      </c>
      <c r="G2922" t="s">
        <v>277</v>
      </c>
      <c r="H2922" s="12">
        <v>6.6768999999999998</v>
      </c>
      <c r="I2922" s="12">
        <v>-74.843599999999995</v>
      </c>
      <c r="J2922" t="s">
        <v>2719</v>
      </c>
      <c r="K2922" t="s">
        <v>97</v>
      </c>
      <c r="L2922" t="s">
        <v>1273</v>
      </c>
      <c r="M2922">
        <v>11</v>
      </c>
      <c r="P2922" s="13">
        <v>229</v>
      </c>
      <c r="Q2922" s="13">
        <v>49</v>
      </c>
      <c r="R2922">
        <v>44</v>
      </c>
      <c r="S2922">
        <v>60</v>
      </c>
      <c r="T2922" s="13">
        <v>29</v>
      </c>
      <c r="U2922" s="13">
        <v>49</v>
      </c>
      <c r="V2922" t="s">
        <v>99</v>
      </c>
      <c r="X2922" s="13">
        <v>229</v>
      </c>
    </row>
    <row r="2923" spans="1:24" x14ac:dyDescent="0.25">
      <c r="A2923" t="s">
        <v>2725</v>
      </c>
      <c r="B2923" t="s">
        <v>65</v>
      </c>
      <c r="C2923" t="s">
        <v>2716</v>
      </c>
      <c r="D2923" t="s">
        <v>2717</v>
      </c>
      <c r="E2923" t="s">
        <v>2718</v>
      </c>
      <c r="F2923" t="s">
        <v>94</v>
      </c>
      <c r="G2923" t="s">
        <v>277</v>
      </c>
      <c r="H2923" s="12">
        <v>6.6768999999999998</v>
      </c>
      <c r="I2923" s="12">
        <v>-74.843599999999995</v>
      </c>
      <c r="J2923" t="s">
        <v>2719</v>
      </c>
      <c r="K2923" t="s">
        <v>97</v>
      </c>
      <c r="L2923" t="s">
        <v>1273</v>
      </c>
      <c r="M2923">
        <v>11</v>
      </c>
      <c r="P2923" s="13">
        <v>229</v>
      </c>
      <c r="Q2923" s="13">
        <v>46</v>
      </c>
      <c r="R2923">
        <v>40</v>
      </c>
      <c r="S2923">
        <v>62</v>
      </c>
      <c r="T2923" s="13">
        <v>33</v>
      </c>
      <c r="U2923" s="13">
        <v>51</v>
      </c>
      <c r="V2923" t="s">
        <v>99</v>
      </c>
      <c r="X2923" s="13">
        <v>229</v>
      </c>
    </row>
    <row r="2924" spans="1:24" x14ac:dyDescent="0.25">
      <c r="A2924" t="s">
        <v>2726</v>
      </c>
      <c r="B2924" t="s">
        <v>65</v>
      </c>
      <c r="C2924" t="s">
        <v>2716</v>
      </c>
      <c r="D2924" t="s">
        <v>2717</v>
      </c>
      <c r="E2924" t="s">
        <v>2718</v>
      </c>
      <c r="F2924" t="s">
        <v>94</v>
      </c>
      <c r="G2924" t="s">
        <v>277</v>
      </c>
      <c r="H2924" s="12">
        <v>6.6768999999999998</v>
      </c>
      <c r="I2924" s="12">
        <v>-74.843599999999995</v>
      </c>
      <c r="J2924" t="s">
        <v>2719</v>
      </c>
      <c r="K2924" t="s">
        <v>97</v>
      </c>
      <c r="L2924" t="s">
        <v>1273</v>
      </c>
      <c r="M2924">
        <v>11</v>
      </c>
      <c r="P2924" s="13">
        <v>217</v>
      </c>
      <c r="Q2924" s="13">
        <v>56</v>
      </c>
      <c r="R2924">
        <v>24</v>
      </c>
      <c r="S2924">
        <v>50</v>
      </c>
      <c r="T2924" s="13">
        <v>38</v>
      </c>
      <c r="U2924" s="13">
        <v>60</v>
      </c>
      <c r="V2924" t="s">
        <v>99</v>
      </c>
      <c r="X2924" s="13">
        <v>217</v>
      </c>
    </row>
    <row r="2925" spans="1:24" x14ac:dyDescent="0.25">
      <c r="A2925" t="s">
        <v>2727</v>
      </c>
      <c r="B2925" t="s">
        <v>65</v>
      </c>
      <c r="C2925" t="s">
        <v>2716</v>
      </c>
      <c r="D2925" t="s">
        <v>2717</v>
      </c>
      <c r="E2925" t="s">
        <v>2718</v>
      </c>
      <c r="F2925" t="s">
        <v>94</v>
      </c>
      <c r="G2925" t="s">
        <v>277</v>
      </c>
      <c r="H2925" s="12">
        <v>6.6768999999999998</v>
      </c>
      <c r="I2925" s="12">
        <v>-74.843599999999995</v>
      </c>
      <c r="J2925" t="s">
        <v>2719</v>
      </c>
      <c r="K2925" t="s">
        <v>97</v>
      </c>
      <c r="L2925" t="s">
        <v>1273</v>
      </c>
      <c r="M2925">
        <v>11</v>
      </c>
      <c r="P2925" s="13">
        <v>211</v>
      </c>
      <c r="Q2925" s="13">
        <v>59</v>
      </c>
      <c r="R2925">
        <v>20</v>
      </c>
      <c r="S2925">
        <v>52</v>
      </c>
      <c r="T2925" s="13">
        <v>38</v>
      </c>
      <c r="U2925" s="13">
        <v>44</v>
      </c>
      <c r="V2925" t="s">
        <v>99</v>
      </c>
      <c r="X2925" s="13">
        <v>211</v>
      </c>
    </row>
    <row r="2926" spans="1:24" x14ac:dyDescent="0.25">
      <c r="A2926" t="s">
        <v>2728</v>
      </c>
      <c r="B2926" t="s">
        <v>65</v>
      </c>
      <c r="C2926" t="s">
        <v>2716</v>
      </c>
      <c r="D2926" t="s">
        <v>2717</v>
      </c>
      <c r="E2926" t="s">
        <v>2718</v>
      </c>
      <c r="F2926" t="s">
        <v>94</v>
      </c>
      <c r="G2926" t="s">
        <v>277</v>
      </c>
      <c r="H2926" s="12">
        <v>6.6768999999999998</v>
      </c>
      <c r="I2926" s="12">
        <v>-74.843599999999995</v>
      </c>
      <c r="J2926" t="s">
        <v>2719</v>
      </c>
      <c r="K2926" t="s">
        <v>97</v>
      </c>
      <c r="L2926" t="s">
        <v>1273</v>
      </c>
      <c r="M2926">
        <v>11</v>
      </c>
      <c r="P2926" s="13">
        <v>198</v>
      </c>
      <c r="Q2926" s="13">
        <v>49</v>
      </c>
      <c r="R2926">
        <v>24</v>
      </c>
      <c r="S2926">
        <v>42</v>
      </c>
      <c r="T2926" s="13">
        <v>38</v>
      </c>
      <c r="U2926" s="13">
        <v>56</v>
      </c>
      <c r="V2926" t="s">
        <v>99</v>
      </c>
      <c r="X2926" s="13">
        <v>198</v>
      </c>
    </row>
    <row r="2927" spans="1:24" x14ac:dyDescent="0.25">
      <c r="A2927" t="s">
        <v>2729</v>
      </c>
      <c r="B2927" t="s">
        <v>65</v>
      </c>
      <c r="C2927" t="s">
        <v>2716</v>
      </c>
      <c r="D2927" t="s">
        <v>2717</v>
      </c>
      <c r="E2927" t="s">
        <v>2718</v>
      </c>
      <c r="F2927" t="s">
        <v>94</v>
      </c>
      <c r="G2927" t="s">
        <v>277</v>
      </c>
      <c r="H2927" s="12">
        <v>6.6768999999999998</v>
      </c>
      <c r="I2927" s="12">
        <v>-74.843599999999995</v>
      </c>
      <c r="J2927" t="s">
        <v>2719</v>
      </c>
      <c r="K2927" t="s">
        <v>97</v>
      </c>
      <c r="L2927" t="s">
        <v>1273</v>
      </c>
      <c r="M2927">
        <v>11</v>
      </c>
      <c r="P2927" s="13">
        <v>197</v>
      </c>
      <c r="Q2927" s="13">
        <v>29</v>
      </c>
      <c r="R2927">
        <v>26</v>
      </c>
      <c r="S2927">
        <v>70</v>
      </c>
      <c r="T2927" s="13">
        <v>29</v>
      </c>
      <c r="U2927" s="13">
        <v>49</v>
      </c>
      <c r="V2927" t="s">
        <v>99</v>
      </c>
      <c r="X2927" s="13">
        <v>197</v>
      </c>
    </row>
    <row r="2928" spans="1:24" x14ac:dyDescent="0.25">
      <c r="A2928" t="s">
        <v>2730</v>
      </c>
      <c r="B2928" t="s">
        <v>65</v>
      </c>
      <c r="C2928" t="s">
        <v>2716</v>
      </c>
      <c r="D2928" t="s">
        <v>2717</v>
      </c>
      <c r="E2928" t="s">
        <v>2718</v>
      </c>
      <c r="F2928" t="s">
        <v>94</v>
      </c>
      <c r="G2928" t="s">
        <v>277</v>
      </c>
      <c r="H2928" s="12">
        <v>6.6768999999999998</v>
      </c>
      <c r="I2928" s="12">
        <v>-74.843599999999995</v>
      </c>
      <c r="J2928" t="s">
        <v>2719</v>
      </c>
      <c r="K2928" t="s">
        <v>97</v>
      </c>
      <c r="L2928" t="s">
        <v>1273</v>
      </c>
      <c r="M2928">
        <v>11</v>
      </c>
      <c r="P2928" s="13">
        <v>193</v>
      </c>
      <c r="Q2928" s="13">
        <v>56</v>
      </c>
      <c r="R2928">
        <v>26</v>
      </c>
      <c r="S2928">
        <v>42</v>
      </c>
      <c r="T2928" s="13">
        <v>28</v>
      </c>
      <c r="U2928" s="13">
        <v>45</v>
      </c>
      <c r="V2928" t="s">
        <v>99</v>
      </c>
      <c r="X2928" s="13">
        <v>193</v>
      </c>
    </row>
    <row r="2929" spans="1:24" x14ac:dyDescent="0.25">
      <c r="A2929" t="s">
        <v>2731</v>
      </c>
      <c r="B2929" t="s">
        <v>65</v>
      </c>
      <c r="C2929" t="s">
        <v>2716</v>
      </c>
      <c r="D2929" t="s">
        <v>2717</v>
      </c>
      <c r="E2929" t="s">
        <v>2718</v>
      </c>
      <c r="F2929" t="s">
        <v>94</v>
      </c>
      <c r="G2929" t="s">
        <v>277</v>
      </c>
      <c r="H2929" s="12">
        <v>6.6768999999999998</v>
      </c>
      <c r="I2929" s="12">
        <v>-74.843599999999995</v>
      </c>
      <c r="J2929" t="s">
        <v>2719</v>
      </c>
      <c r="K2929" t="s">
        <v>97</v>
      </c>
      <c r="L2929" t="s">
        <v>1273</v>
      </c>
      <c r="M2929">
        <v>11</v>
      </c>
      <c r="P2929" s="13">
        <v>187</v>
      </c>
      <c r="Q2929" s="13">
        <v>41</v>
      </c>
      <c r="R2929">
        <v>32</v>
      </c>
      <c r="S2929">
        <v>38</v>
      </c>
      <c r="T2929" s="13">
        <v>33</v>
      </c>
      <c r="U2929" s="13">
        <v>53</v>
      </c>
      <c r="V2929" t="s">
        <v>99</v>
      </c>
      <c r="X2929" s="13">
        <v>187</v>
      </c>
    </row>
    <row r="2930" spans="1:24" x14ac:dyDescent="0.25">
      <c r="A2930" t="s">
        <v>2732</v>
      </c>
      <c r="B2930" t="s">
        <v>65</v>
      </c>
      <c r="C2930" t="s">
        <v>2716</v>
      </c>
      <c r="D2930" t="s">
        <v>2717</v>
      </c>
      <c r="E2930" t="s">
        <v>2718</v>
      </c>
      <c r="F2930" t="s">
        <v>94</v>
      </c>
      <c r="G2930" t="s">
        <v>277</v>
      </c>
      <c r="H2930" s="12">
        <v>6.6768999999999998</v>
      </c>
      <c r="I2930" s="12">
        <v>-74.843599999999995</v>
      </c>
      <c r="J2930" t="s">
        <v>2719</v>
      </c>
      <c r="K2930" t="s">
        <v>97</v>
      </c>
      <c r="L2930" t="s">
        <v>1273</v>
      </c>
      <c r="M2930">
        <v>11</v>
      </c>
      <c r="P2930" s="13">
        <v>185</v>
      </c>
      <c r="Q2930" s="13">
        <v>41</v>
      </c>
      <c r="R2930">
        <v>24</v>
      </c>
      <c r="S2930">
        <v>46</v>
      </c>
      <c r="T2930" s="13">
        <v>36</v>
      </c>
      <c r="U2930" s="13">
        <v>38</v>
      </c>
      <c r="V2930" t="s">
        <v>99</v>
      </c>
      <c r="X2930" s="13">
        <v>185</v>
      </c>
    </row>
    <row r="2931" spans="1:24" x14ac:dyDescent="0.25">
      <c r="A2931" t="s">
        <v>2733</v>
      </c>
      <c r="B2931" t="s">
        <v>65</v>
      </c>
      <c r="C2931" t="s">
        <v>2716</v>
      </c>
      <c r="D2931" t="s">
        <v>2717</v>
      </c>
      <c r="E2931" t="s">
        <v>2718</v>
      </c>
      <c r="F2931" t="s">
        <v>94</v>
      </c>
      <c r="G2931" t="s">
        <v>277</v>
      </c>
      <c r="H2931" s="12">
        <v>6.6768999999999998</v>
      </c>
      <c r="I2931" s="12">
        <v>-74.843599999999995</v>
      </c>
      <c r="J2931" t="s">
        <v>2719</v>
      </c>
      <c r="K2931" t="s">
        <v>97</v>
      </c>
      <c r="L2931" t="s">
        <v>1273</v>
      </c>
      <c r="M2931">
        <v>11</v>
      </c>
      <c r="P2931" s="13">
        <v>184</v>
      </c>
      <c r="Q2931" s="13">
        <v>41</v>
      </c>
      <c r="R2931">
        <v>18</v>
      </c>
      <c r="S2931">
        <v>54</v>
      </c>
      <c r="T2931" s="13">
        <v>31</v>
      </c>
      <c r="U2931" s="13">
        <v>44</v>
      </c>
      <c r="V2931" t="s">
        <v>99</v>
      </c>
      <c r="X2931" s="13">
        <v>184</v>
      </c>
    </row>
    <row r="2932" spans="1:24" x14ac:dyDescent="0.25">
      <c r="A2932" t="s">
        <v>2734</v>
      </c>
      <c r="B2932" t="s">
        <v>65</v>
      </c>
      <c r="C2932" t="s">
        <v>2716</v>
      </c>
      <c r="D2932" t="s">
        <v>2717</v>
      </c>
      <c r="E2932" t="s">
        <v>2718</v>
      </c>
      <c r="F2932" t="s">
        <v>94</v>
      </c>
      <c r="G2932" t="s">
        <v>277</v>
      </c>
      <c r="H2932" s="12">
        <v>6.6768999999999998</v>
      </c>
      <c r="I2932" s="12">
        <v>-74.843599999999995</v>
      </c>
      <c r="J2932" t="s">
        <v>2719</v>
      </c>
      <c r="K2932" t="s">
        <v>97</v>
      </c>
      <c r="L2932" t="s">
        <v>1273</v>
      </c>
      <c r="M2932">
        <v>11</v>
      </c>
      <c r="P2932" s="13">
        <v>178</v>
      </c>
      <c r="Q2932" s="13">
        <v>41</v>
      </c>
      <c r="R2932">
        <v>22</v>
      </c>
      <c r="S2932">
        <v>44</v>
      </c>
      <c r="T2932" s="13">
        <v>24</v>
      </c>
      <c r="U2932" s="13">
        <v>69</v>
      </c>
      <c r="V2932" t="s">
        <v>99</v>
      </c>
      <c r="X2932" s="13">
        <v>178</v>
      </c>
    </row>
    <row r="2933" spans="1:24" x14ac:dyDescent="0.25">
      <c r="A2933" t="s">
        <v>2735</v>
      </c>
      <c r="B2933" t="s">
        <v>65</v>
      </c>
      <c r="C2933" t="s">
        <v>2716</v>
      </c>
      <c r="D2933" t="s">
        <v>2717</v>
      </c>
      <c r="E2933" t="s">
        <v>2718</v>
      </c>
      <c r="F2933" t="s">
        <v>94</v>
      </c>
      <c r="G2933" t="s">
        <v>277</v>
      </c>
      <c r="H2933" s="12">
        <v>6.6768999999999998</v>
      </c>
      <c r="I2933" s="12">
        <v>-74.843599999999995</v>
      </c>
      <c r="J2933" t="s">
        <v>2719</v>
      </c>
      <c r="K2933" t="s">
        <v>97</v>
      </c>
      <c r="L2933" t="s">
        <v>1273</v>
      </c>
      <c r="M2933">
        <v>11</v>
      </c>
      <c r="P2933" s="13">
        <v>162</v>
      </c>
      <c r="Q2933" s="13">
        <v>29</v>
      </c>
      <c r="R2933">
        <v>22</v>
      </c>
      <c r="S2933">
        <v>48</v>
      </c>
      <c r="T2933" s="13">
        <v>29</v>
      </c>
      <c r="U2933" s="13">
        <v>36</v>
      </c>
      <c r="V2933" t="s">
        <v>99</v>
      </c>
      <c r="X2933" s="13">
        <v>162</v>
      </c>
    </row>
    <row r="2934" spans="1:24" x14ac:dyDescent="0.25">
      <c r="A2934" t="s">
        <v>2736</v>
      </c>
      <c r="B2934" t="s">
        <v>65</v>
      </c>
      <c r="C2934" t="s">
        <v>2716</v>
      </c>
      <c r="D2934" t="s">
        <v>2717</v>
      </c>
      <c r="E2934" t="s">
        <v>2718</v>
      </c>
      <c r="F2934" t="s">
        <v>94</v>
      </c>
      <c r="G2934" t="s">
        <v>277</v>
      </c>
      <c r="H2934" s="12">
        <v>6.6768999999999998</v>
      </c>
      <c r="I2934" s="12">
        <v>-74.843599999999995</v>
      </c>
      <c r="J2934" t="s">
        <v>2719</v>
      </c>
      <c r="K2934" t="s">
        <v>97</v>
      </c>
      <c r="L2934" t="s">
        <v>1273</v>
      </c>
      <c r="M2934">
        <v>11</v>
      </c>
      <c r="P2934" s="13">
        <v>156</v>
      </c>
      <c r="Q2934" s="13">
        <v>24</v>
      </c>
      <c r="R2934">
        <v>26</v>
      </c>
      <c r="S2934">
        <v>38</v>
      </c>
      <c r="T2934" s="13">
        <v>31</v>
      </c>
      <c r="U2934" s="13">
        <v>47</v>
      </c>
      <c r="V2934" t="s">
        <v>99</v>
      </c>
      <c r="X2934" s="13">
        <v>156</v>
      </c>
    </row>
    <row r="2935" spans="1:24" x14ac:dyDescent="0.25">
      <c r="A2935" t="s">
        <v>2737</v>
      </c>
      <c r="B2935" t="s">
        <v>65</v>
      </c>
      <c r="C2935" t="s">
        <v>2716</v>
      </c>
      <c r="D2935" t="s">
        <v>2717</v>
      </c>
      <c r="E2935" t="s">
        <v>2718</v>
      </c>
      <c r="F2935" t="s">
        <v>94</v>
      </c>
      <c r="G2935" t="s">
        <v>277</v>
      </c>
      <c r="H2935" s="12">
        <v>6.6768999999999998</v>
      </c>
      <c r="I2935" s="12">
        <v>-74.843599999999995</v>
      </c>
      <c r="J2935" t="s">
        <v>2719</v>
      </c>
      <c r="K2935" t="s">
        <v>97</v>
      </c>
      <c r="L2935" t="s">
        <v>1273</v>
      </c>
      <c r="M2935">
        <v>11</v>
      </c>
      <c r="P2935" s="13">
        <v>152</v>
      </c>
      <c r="Q2935" s="13">
        <v>37</v>
      </c>
      <c r="R2935">
        <v>28</v>
      </c>
      <c r="S2935">
        <v>34</v>
      </c>
      <c r="T2935" s="13">
        <v>22</v>
      </c>
      <c r="U2935" s="13">
        <v>31</v>
      </c>
      <c r="V2935" t="s">
        <v>99</v>
      </c>
      <c r="X2935" s="13">
        <v>152</v>
      </c>
    </row>
    <row r="2936" spans="1:24" x14ac:dyDescent="0.25">
      <c r="A2936" t="s">
        <v>2738</v>
      </c>
      <c r="B2936" t="s">
        <v>65</v>
      </c>
      <c r="C2936" t="s">
        <v>2716</v>
      </c>
      <c r="D2936" t="s">
        <v>2717</v>
      </c>
      <c r="E2936" t="s">
        <v>2718</v>
      </c>
      <c r="F2936" t="s">
        <v>94</v>
      </c>
      <c r="G2936" t="s">
        <v>277</v>
      </c>
      <c r="H2936" s="12">
        <v>6.6768999999999998</v>
      </c>
      <c r="I2936" s="12">
        <v>-74.843599999999995</v>
      </c>
      <c r="J2936" t="s">
        <v>2719</v>
      </c>
      <c r="K2936" t="s">
        <v>97</v>
      </c>
      <c r="L2936" t="s">
        <v>1273</v>
      </c>
      <c r="M2936">
        <v>11</v>
      </c>
      <c r="P2936" s="13">
        <v>53</v>
      </c>
      <c r="Q2936" s="13">
        <v>0</v>
      </c>
      <c r="R2936">
        <v>14</v>
      </c>
      <c r="S2936">
        <v>10</v>
      </c>
      <c r="T2936" s="13">
        <v>12</v>
      </c>
      <c r="U2936" s="13">
        <v>29</v>
      </c>
      <c r="V2936" t="s">
        <v>99</v>
      </c>
      <c r="X2936" s="13">
        <v>53</v>
      </c>
    </row>
    <row r="2937" spans="1:24" x14ac:dyDescent="0.25">
      <c r="A2937" t="s">
        <v>2739</v>
      </c>
      <c r="B2937" t="s">
        <v>65</v>
      </c>
      <c r="C2937" t="s">
        <v>2740</v>
      </c>
      <c r="D2937" t="s">
        <v>2741</v>
      </c>
      <c r="E2937" t="s">
        <v>2742</v>
      </c>
      <c r="F2937" t="s">
        <v>94</v>
      </c>
      <c r="G2937" t="s">
        <v>277</v>
      </c>
      <c r="H2937" s="12">
        <v>7.0049999999999999</v>
      </c>
      <c r="I2937" s="12">
        <v>-74.008300000000006</v>
      </c>
      <c r="J2937" t="s">
        <v>2743</v>
      </c>
      <c r="K2937" t="s">
        <v>97</v>
      </c>
      <c r="L2937" t="s">
        <v>1273</v>
      </c>
      <c r="M2937">
        <v>11</v>
      </c>
      <c r="P2937" s="13">
        <v>271</v>
      </c>
      <c r="Q2937" s="13">
        <v>44</v>
      </c>
      <c r="R2937">
        <v>48</v>
      </c>
      <c r="S2937">
        <v>60</v>
      </c>
      <c r="T2937" s="13">
        <v>62</v>
      </c>
      <c r="U2937" s="13">
        <v>64</v>
      </c>
      <c r="V2937" t="s">
        <v>99</v>
      </c>
      <c r="X2937" s="13">
        <v>271</v>
      </c>
    </row>
    <row r="2938" spans="1:24" x14ac:dyDescent="0.25">
      <c r="A2938" t="s">
        <v>2744</v>
      </c>
      <c r="B2938" t="s">
        <v>65</v>
      </c>
      <c r="C2938" t="s">
        <v>2740</v>
      </c>
      <c r="D2938" t="s">
        <v>2741</v>
      </c>
      <c r="E2938" t="s">
        <v>2742</v>
      </c>
      <c r="F2938" t="s">
        <v>94</v>
      </c>
      <c r="G2938" t="s">
        <v>277</v>
      </c>
      <c r="H2938" s="12">
        <v>7.0049999999999999</v>
      </c>
      <c r="I2938" s="12">
        <v>-74.008300000000006</v>
      </c>
      <c r="J2938" t="s">
        <v>2743</v>
      </c>
      <c r="K2938" t="s">
        <v>97</v>
      </c>
      <c r="L2938" t="s">
        <v>1273</v>
      </c>
      <c r="M2938">
        <v>11</v>
      </c>
      <c r="P2938" s="13">
        <v>270</v>
      </c>
      <c r="Q2938" s="13">
        <v>44</v>
      </c>
      <c r="R2938">
        <v>50</v>
      </c>
      <c r="S2938">
        <v>58</v>
      </c>
      <c r="T2938" s="13">
        <v>57</v>
      </c>
      <c r="U2938" s="13">
        <v>76</v>
      </c>
      <c r="V2938" t="s">
        <v>99</v>
      </c>
      <c r="X2938" s="13">
        <v>270</v>
      </c>
    </row>
    <row r="2939" spans="1:24" x14ac:dyDescent="0.25">
      <c r="A2939" t="s">
        <v>2745</v>
      </c>
      <c r="B2939" t="s">
        <v>65</v>
      </c>
      <c r="C2939" t="s">
        <v>2740</v>
      </c>
      <c r="D2939" t="s">
        <v>2741</v>
      </c>
      <c r="E2939" t="s">
        <v>2742</v>
      </c>
      <c r="F2939" t="s">
        <v>94</v>
      </c>
      <c r="G2939" t="s">
        <v>277</v>
      </c>
      <c r="H2939" s="12">
        <v>7.0049999999999999</v>
      </c>
      <c r="I2939" s="12">
        <v>-74.008300000000006</v>
      </c>
      <c r="J2939" t="s">
        <v>2743</v>
      </c>
      <c r="K2939" t="s">
        <v>97</v>
      </c>
      <c r="L2939" t="s">
        <v>1273</v>
      </c>
      <c r="M2939">
        <v>11</v>
      </c>
      <c r="P2939" s="13">
        <v>262</v>
      </c>
      <c r="Q2939" s="13">
        <v>39</v>
      </c>
      <c r="R2939">
        <v>44</v>
      </c>
      <c r="S2939">
        <v>70</v>
      </c>
      <c r="T2939" s="13">
        <v>48</v>
      </c>
      <c r="U2939" s="13">
        <v>76</v>
      </c>
      <c r="V2939" t="s">
        <v>99</v>
      </c>
      <c r="X2939" s="13">
        <v>262</v>
      </c>
    </row>
    <row r="2940" spans="1:24" x14ac:dyDescent="0.25">
      <c r="A2940" t="s">
        <v>2746</v>
      </c>
      <c r="B2940" t="s">
        <v>65</v>
      </c>
      <c r="C2940" t="s">
        <v>2740</v>
      </c>
      <c r="D2940" t="s">
        <v>2741</v>
      </c>
      <c r="E2940" t="s">
        <v>2742</v>
      </c>
      <c r="F2940" t="s">
        <v>94</v>
      </c>
      <c r="G2940" t="s">
        <v>277</v>
      </c>
      <c r="H2940" s="12">
        <v>7.0049999999999999</v>
      </c>
      <c r="I2940" s="12">
        <v>-74.008300000000006</v>
      </c>
      <c r="J2940" t="s">
        <v>2743</v>
      </c>
      <c r="K2940" t="s">
        <v>97</v>
      </c>
      <c r="L2940" t="s">
        <v>1273</v>
      </c>
      <c r="M2940">
        <v>11</v>
      </c>
      <c r="P2940" s="13">
        <v>260</v>
      </c>
      <c r="Q2940" s="13">
        <v>66</v>
      </c>
      <c r="R2940">
        <v>36</v>
      </c>
      <c r="S2940">
        <v>60</v>
      </c>
      <c r="T2940" s="13">
        <v>45</v>
      </c>
      <c r="U2940" s="13">
        <v>56</v>
      </c>
      <c r="V2940" t="s">
        <v>99</v>
      </c>
      <c r="X2940" s="13">
        <v>260</v>
      </c>
    </row>
    <row r="2941" spans="1:24" x14ac:dyDescent="0.25">
      <c r="A2941" t="s">
        <v>2747</v>
      </c>
      <c r="B2941" t="s">
        <v>65</v>
      </c>
      <c r="C2941" t="s">
        <v>2740</v>
      </c>
      <c r="D2941" t="s">
        <v>2741</v>
      </c>
      <c r="E2941" t="s">
        <v>2742</v>
      </c>
      <c r="F2941" t="s">
        <v>94</v>
      </c>
      <c r="G2941" t="s">
        <v>277</v>
      </c>
      <c r="H2941" s="12">
        <v>7.0049999999999999</v>
      </c>
      <c r="I2941" s="12">
        <v>-74.008300000000006</v>
      </c>
      <c r="J2941" t="s">
        <v>2743</v>
      </c>
      <c r="K2941" t="s">
        <v>97</v>
      </c>
      <c r="L2941" t="s">
        <v>1273</v>
      </c>
      <c r="M2941">
        <v>11</v>
      </c>
      <c r="P2941" s="13">
        <v>260</v>
      </c>
      <c r="Q2941" s="13">
        <v>63</v>
      </c>
      <c r="R2941">
        <v>42</v>
      </c>
      <c r="S2941">
        <v>62</v>
      </c>
      <c r="T2941" s="13">
        <v>41</v>
      </c>
      <c r="U2941" s="13">
        <v>49</v>
      </c>
      <c r="V2941" t="s">
        <v>99</v>
      </c>
      <c r="X2941" s="13">
        <v>260</v>
      </c>
    </row>
    <row r="2942" spans="1:24" x14ac:dyDescent="0.25">
      <c r="A2942" t="s">
        <v>2748</v>
      </c>
      <c r="B2942" t="s">
        <v>65</v>
      </c>
      <c r="C2942" t="s">
        <v>2740</v>
      </c>
      <c r="D2942" t="s">
        <v>2741</v>
      </c>
      <c r="E2942" t="s">
        <v>2742</v>
      </c>
      <c r="F2942" t="s">
        <v>94</v>
      </c>
      <c r="G2942" t="s">
        <v>277</v>
      </c>
      <c r="H2942" s="12">
        <v>7.0049999999999999</v>
      </c>
      <c r="I2942" s="12">
        <v>-74.008300000000006</v>
      </c>
      <c r="J2942" t="s">
        <v>2743</v>
      </c>
      <c r="K2942" t="s">
        <v>97</v>
      </c>
      <c r="L2942" t="s">
        <v>1273</v>
      </c>
      <c r="M2942">
        <v>11</v>
      </c>
      <c r="P2942" s="13">
        <v>257</v>
      </c>
      <c r="Q2942" s="13">
        <v>37</v>
      </c>
      <c r="R2942">
        <v>46</v>
      </c>
      <c r="S2942">
        <v>64</v>
      </c>
      <c r="T2942" s="13">
        <v>50</v>
      </c>
      <c r="U2942" s="13">
        <v>78</v>
      </c>
      <c r="V2942" t="s">
        <v>99</v>
      </c>
      <c r="X2942" s="13">
        <v>257</v>
      </c>
    </row>
    <row r="2943" spans="1:24" x14ac:dyDescent="0.25">
      <c r="A2943" t="s">
        <v>2749</v>
      </c>
      <c r="B2943" t="s">
        <v>65</v>
      </c>
      <c r="C2943" t="s">
        <v>2740</v>
      </c>
      <c r="D2943" t="s">
        <v>2741</v>
      </c>
      <c r="E2943" t="s">
        <v>2742</v>
      </c>
      <c r="F2943" t="s">
        <v>94</v>
      </c>
      <c r="G2943" t="s">
        <v>277</v>
      </c>
      <c r="H2943" s="12">
        <v>7.0049999999999999</v>
      </c>
      <c r="I2943" s="12">
        <v>-74.008300000000006</v>
      </c>
      <c r="J2943" t="s">
        <v>2743</v>
      </c>
      <c r="K2943" t="s">
        <v>97</v>
      </c>
      <c r="L2943" t="s">
        <v>1273</v>
      </c>
      <c r="M2943">
        <v>11</v>
      </c>
      <c r="P2943" s="13">
        <v>256</v>
      </c>
      <c r="Q2943" s="13">
        <v>44</v>
      </c>
      <c r="R2943">
        <v>58</v>
      </c>
      <c r="S2943">
        <v>58</v>
      </c>
      <c r="T2943" s="13">
        <v>38</v>
      </c>
      <c r="U2943" s="13">
        <v>73</v>
      </c>
      <c r="V2943" t="s">
        <v>99</v>
      </c>
      <c r="X2943" s="13">
        <v>256</v>
      </c>
    </row>
    <row r="2944" spans="1:24" x14ac:dyDescent="0.25">
      <c r="A2944" t="s">
        <v>2750</v>
      </c>
      <c r="B2944" t="s">
        <v>65</v>
      </c>
      <c r="C2944" t="s">
        <v>2740</v>
      </c>
      <c r="D2944" t="s">
        <v>2741</v>
      </c>
      <c r="E2944" t="s">
        <v>2742</v>
      </c>
      <c r="F2944" t="s">
        <v>94</v>
      </c>
      <c r="G2944" t="s">
        <v>277</v>
      </c>
      <c r="H2944" s="12">
        <v>7.0049999999999999</v>
      </c>
      <c r="I2944" s="12">
        <v>-74.008300000000006</v>
      </c>
      <c r="J2944" t="s">
        <v>2743</v>
      </c>
      <c r="K2944" t="s">
        <v>97</v>
      </c>
      <c r="L2944" t="s">
        <v>1273</v>
      </c>
      <c r="M2944">
        <v>11</v>
      </c>
      <c r="P2944" s="13">
        <v>255</v>
      </c>
      <c r="Q2944" s="13">
        <v>46</v>
      </c>
      <c r="R2944">
        <v>40</v>
      </c>
      <c r="S2944">
        <v>62</v>
      </c>
      <c r="T2944" s="13">
        <v>47</v>
      </c>
      <c r="U2944" s="13">
        <v>78</v>
      </c>
      <c r="V2944" t="s">
        <v>99</v>
      </c>
      <c r="X2944" s="13">
        <v>255</v>
      </c>
    </row>
    <row r="2945" spans="1:24" x14ac:dyDescent="0.25">
      <c r="A2945" t="s">
        <v>2751</v>
      </c>
      <c r="B2945" t="s">
        <v>65</v>
      </c>
      <c r="C2945" t="s">
        <v>2740</v>
      </c>
      <c r="D2945" t="s">
        <v>2741</v>
      </c>
      <c r="E2945" t="s">
        <v>2742</v>
      </c>
      <c r="F2945" t="s">
        <v>94</v>
      </c>
      <c r="G2945" t="s">
        <v>277</v>
      </c>
      <c r="H2945" s="12">
        <v>7.0049999999999999</v>
      </c>
      <c r="I2945" s="12">
        <v>-74.008300000000006</v>
      </c>
      <c r="J2945" t="s">
        <v>2743</v>
      </c>
      <c r="K2945" t="s">
        <v>97</v>
      </c>
      <c r="L2945" t="s">
        <v>1273</v>
      </c>
      <c r="M2945">
        <v>11</v>
      </c>
      <c r="P2945" s="13">
        <v>245</v>
      </c>
      <c r="Q2945" s="13">
        <v>46</v>
      </c>
      <c r="R2945">
        <v>40</v>
      </c>
      <c r="S2945">
        <v>60</v>
      </c>
      <c r="T2945" s="13">
        <v>50</v>
      </c>
      <c r="U2945" s="13">
        <v>49</v>
      </c>
      <c r="V2945" t="s">
        <v>99</v>
      </c>
      <c r="X2945" s="13">
        <v>245</v>
      </c>
    </row>
    <row r="2946" spans="1:24" x14ac:dyDescent="0.25">
      <c r="A2946" t="s">
        <v>2752</v>
      </c>
      <c r="B2946" t="s">
        <v>65</v>
      </c>
      <c r="C2946" t="s">
        <v>2740</v>
      </c>
      <c r="D2946" t="s">
        <v>2741</v>
      </c>
      <c r="E2946" t="s">
        <v>2742</v>
      </c>
      <c r="F2946" t="s">
        <v>94</v>
      </c>
      <c r="G2946" t="s">
        <v>277</v>
      </c>
      <c r="H2946" s="12">
        <v>7.0049999999999999</v>
      </c>
      <c r="I2946" s="12">
        <v>-74.008300000000006</v>
      </c>
      <c r="J2946" t="s">
        <v>2743</v>
      </c>
      <c r="K2946" t="s">
        <v>97</v>
      </c>
      <c r="L2946" t="s">
        <v>1273</v>
      </c>
      <c r="M2946">
        <v>11</v>
      </c>
      <c r="P2946" s="13">
        <v>238</v>
      </c>
      <c r="Q2946" s="13">
        <v>39</v>
      </c>
      <c r="R2946">
        <v>46</v>
      </c>
      <c r="S2946">
        <v>46</v>
      </c>
      <c r="T2946" s="13">
        <v>50</v>
      </c>
      <c r="U2946" s="13">
        <v>76</v>
      </c>
      <c r="V2946" t="s">
        <v>99</v>
      </c>
      <c r="X2946" s="13">
        <v>238</v>
      </c>
    </row>
    <row r="2947" spans="1:24" x14ac:dyDescent="0.25">
      <c r="A2947" t="s">
        <v>2753</v>
      </c>
      <c r="B2947" t="s">
        <v>65</v>
      </c>
      <c r="C2947" t="s">
        <v>2740</v>
      </c>
      <c r="D2947" t="s">
        <v>2741</v>
      </c>
      <c r="E2947" t="s">
        <v>2742</v>
      </c>
      <c r="F2947" t="s">
        <v>94</v>
      </c>
      <c r="G2947" t="s">
        <v>277</v>
      </c>
      <c r="H2947" s="12">
        <v>7.0049999999999999</v>
      </c>
      <c r="I2947" s="12">
        <v>-74.008300000000006</v>
      </c>
      <c r="J2947" t="s">
        <v>2743</v>
      </c>
      <c r="K2947" t="s">
        <v>97</v>
      </c>
      <c r="L2947" t="s">
        <v>1273</v>
      </c>
      <c r="M2947">
        <v>11</v>
      </c>
      <c r="P2947" s="13">
        <v>234</v>
      </c>
      <c r="Q2947" s="13">
        <v>54</v>
      </c>
      <c r="R2947">
        <v>46</v>
      </c>
      <c r="S2947">
        <v>36</v>
      </c>
      <c r="T2947" s="13">
        <v>40</v>
      </c>
      <c r="U2947" s="13">
        <v>84</v>
      </c>
      <c r="V2947" t="s">
        <v>99</v>
      </c>
      <c r="X2947" s="13">
        <v>234</v>
      </c>
    </row>
    <row r="2948" spans="1:24" x14ac:dyDescent="0.25">
      <c r="A2948" t="s">
        <v>2754</v>
      </c>
      <c r="B2948" t="s">
        <v>65</v>
      </c>
      <c r="C2948" t="s">
        <v>2740</v>
      </c>
      <c r="D2948" t="s">
        <v>2741</v>
      </c>
      <c r="E2948" t="s">
        <v>2742</v>
      </c>
      <c r="F2948" t="s">
        <v>94</v>
      </c>
      <c r="G2948" t="s">
        <v>277</v>
      </c>
      <c r="H2948" s="12">
        <v>7.0049999999999999</v>
      </c>
      <c r="I2948" s="12">
        <v>-74.008300000000006</v>
      </c>
      <c r="J2948" t="s">
        <v>2743</v>
      </c>
      <c r="K2948" t="s">
        <v>97</v>
      </c>
      <c r="L2948" t="s">
        <v>1273</v>
      </c>
      <c r="M2948">
        <v>11</v>
      </c>
      <c r="P2948" s="13">
        <v>229</v>
      </c>
      <c r="Q2948" s="13">
        <v>39</v>
      </c>
      <c r="R2948">
        <v>42</v>
      </c>
      <c r="S2948">
        <v>52</v>
      </c>
      <c r="T2948" s="13">
        <v>40</v>
      </c>
      <c r="U2948" s="13">
        <v>76</v>
      </c>
      <c r="V2948" t="s">
        <v>99</v>
      </c>
      <c r="X2948" s="13">
        <v>229</v>
      </c>
    </row>
    <row r="2949" spans="1:24" x14ac:dyDescent="0.25">
      <c r="A2949" t="s">
        <v>2755</v>
      </c>
      <c r="B2949" t="s">
        <v>65</v>
      </c>
      <c r="C2949" t="s">
        <v>2740</v>
      </c>
      <c r="D2949" t="s">
        <v>2741</v>
      </c>
      <c r="E2949" t="s">
        <v>2742</v>
      </c>
      <c r="F2949" t="s">
        <v>94</v>
      </c>
      <c r="G2949" t="s">
        <v>277</v>
      </c>
      <c r="H2949" s="12">
        <v>7.0049999999999999</v>
      </c>
      <c r="I2949" s="12">
        <v>-74.008300000000006</v>
      </c>
      <c r="J2949" t="s">
        <v>2743</v>
      </c>
      <c r="K2949" t="s">
        <v>97</v>
      </c>
      <c r="L2949" t="s">
        <v>1273</v>
      </c>
      <c r="M2949">
        <v>11</v>
      </c>
      <c r="P2949" s="13">
        <v>228</v>
      </c>
      <c r="Q2949" s="13">
        <v>51</v>
      </c>
      <c r="R2949">
        <v>36</v>
      </c>
      <c r="S2949">
        <v>54</v>
      </c>
      <c r="T2949" s="13">
        <v>40</v>
      </c>
      <c r="U2949" s="13">
        <v>51</v>
      </c>
      <c r="V2949" t="s">
        <v>99</v>
      </c>
      <c r="X2949" s="13">
        <v>228</v>
      </c>
    </row>
    <row r="2950" spans="1:24" x14ac:dyDescent="0.25">
      <c r="A2950" t="s">
        <v>2756</v>
      </c>
      <c r="B2950" t="s">
        <v>65</v>
      </c>
      <c r="C2950" t="s">
        <v>2740</v>
      </c>
      <c r="D2950" t="s">
        <v>2741</v>
      </c>
      <c r="E2950" t="s">
        <v>2742</v>
      </c>
      <c r="F2950" t="s">
        <v>94</v>
      </c>
      <c r="G2950" t="s">
        <v>277</v>
      </c>
      <c r="H2950" s="12">
        <v>7.0049999999999999</v>
      </c>
      <c r="I2950" s="12">
        <v>-74.008300000000006</v>
      </c>
      <c r="J2950" t="s">
        <v>2743</v>
      </c>
      <c r="K2950" t="s">
        <v>97</v>
      </c>
      <c r="L2950" t="s">
        <v>1273</v>
      </c>
      <c r="M2950">
        <v>11</v>
      </c>
      <c r="P2950" s="13">
        <v>224</v>
      </c>
      <c r="Q2950" s="13">
        <v>63</v>
      </c>
      <c r="R2950">
        <v>30</v>
      </c>
      <c r="S2950">
        <v>52</v>
      </c>
      <c r="T2950" s="13">
        <v>33</v>
      </c>
      <c r="U2950" s="13">
        <v>49</v>
      </c>
      <c r="V2950" t="s">
        <v>99</v>
      </c>
      <c r="X2950" s="13">
        <v>224</v>
      </c>
    </row>
    <row r="2951" spans="1:24" x14ac:dyDescent="0.25">
      <c r="A2951" t="s">
        <v>2757</v>
      </c>
      <c r="B2951" t="s">
        <v>65</v>
      </c>
      <c r="C2951" t="s">
        <v>2740</v>
      </c>
      <c r="D2951" t="s">
        <v>2741</v>
      </c>
      <c r="E2951" t="s">
        <v>2742</v>
      </c>
      <c r="F2951" t="s">
        <v>94</v>
      </c>
      <c r="G2951" t="s">
        <v>277</v>
      </c>
      <c r="H2951" s="12">
        <v>7.0049999999999999</v>
      </c>
      <c r="I2951" s="12">
        <v>-74.008300000000006</v>
      </c>
      <c r="J2951" t="s">
        <v>2743</v>
      </c>
      <c r="K2951" t="s">
        <v>97</v>
      </c>
      <c r="L2951" t="s">
        <v>1273</v>
      </c>
      <c r="M2951">
        <v>11</v>
      </c>
      <c r="P2951" s="13">
        <v>218</v>
      </c>
      <c r="Q2951" s="13">
        <v>59</v>
      </c>
      <c r="R2951">
        <v>26</v>
      </c>
      <c r="S2951">
        <v>62</v>
      </c>
      <c r="T2951" s="13">
        <v>29</v>
      </c>
      <c r="U2951" s="13">
        <v>38</v>
      </c>
      <c r="V2951" t="s">
        <v>99</v>
      </c>
      <c r="X2951" s="13">
        <v>218</v>
      </c>
    </row>
    <row r="2952" spans="1:24" x14ac:dyDescent="0.25">
      <c r="A2952" t="s">
        <v>2758</v>
      </c>
      <c r="B2952" t="s">
        <v>65</v>
      </c>
      <c r="C2952" t="s">
        <v>2740</v>
      </c>
      <c r="D2952" t="s">
        <v>2741</v>
      </c>
      <c r="E2952" t="s">
        <v>2742</v>
      </c>
      <c r="F2952" t="s">
        <v>94</v>
      </c>
      <c r="G2952" t="s">
        <v>277</v>
      </c>
      <c r="H2952" s="12">
        <v>7.0049999999999999</v>
      </c>
      <c r="I2952" s="12">
        <v>-74.008300000000006</v>
      </c>
      <c r="J2952" t="s">
        <v>2743</v>
      </c>
      <c r="K2952" t="s">
        <v>97</v>
      </c>
      <c r="L2952" t="s">
        <v>1273</v>
      </c>
      <c r="M2952">
        <v>11</v>
      </c>
      <c r="P2952" s="13">
        <v>213</v>
      </c>
      <c r="Q2952" s="13">
        <v>61</v>
      </c>
      <c r="R2952">
        <v>24</v>
      </c>
      <c r="S2952">
        <v>48</v>
      </c>
      <c r="T2952" s="13">
        <v>34</v>
      </c>
      <c r="U2952" s="13">
        <v>51</v>
      </c>
      <c r="V2952" t="s">
        <v>99</v>
      </c>
      <c r="X2952" s="13">
        <v>213</v>
      </c>
    </row>
    <row r="2953" spans="1:24" x14ac:dyDescent="0.25">
      <c r="A2953" t="s">
        <v>2759</v>
      </c>
      <c r="B2953" t="s">
        <v>65</v>
      </c>
      <c r="C2953" t="s">
        <v>2740</v>
      </c>
      <c r="D2953" t="s">
        <v>2741</v>
      </c>
      <c r="E2953" t="s">
        <v>2742</v>
      </c>
      <c r="F2953" t="s">
        <v>94</v>
      </c>
      <c r="G2953" t="s">
        <v>277</v>
      </c>
      <c r="H2953" s="12">
        <v>7.0049999999999999</v>
      </c>
      <c r="I2953" s="12">
        <v>-74.008300000000006</v>
      </c>
      <c r="J2953" t="s">
        <v>2743</v>
      </c>
      <c r="K2953" t="s">
        <v>97</v>
      </c>
      <c r="L2953" t="s">
        <v>1273</v>
      </c>
      <c r="M2953">
        <v>11</v>
      </c>
      <c r="P2953" s="13">
        <v>213</v>
      </c>
      <c r="Q2953" s="13">
        <v>51</v>
      </c>
      <c r="R2953">
        <v>20</v>
      </c>
      <c r="S2953">
        <v>56</v>
      </c>
      <c r="T2953" s="13">
        <v>33</v>
      </c>
      <c r="U2953" s="13">
        <v>73</v>
      </c>
      <c r="V2953" t="s">
        <v>99</v>
      </c>
      <c r="X2953" s="13">
        <v>213</v>
      </c>
    </row>
    <row r="2954" spans="1:24" x14ac:dyDescent="0.25">
      <c r="A2954" t="s">
        <v>2760</v>
      </c>
      <c r="B2954" t="s">
        <v>65</v>
      </c>
      <c r="C2954" t="s">
        <v>2740</v>
      </c>
      <c r="D2954" t="s">
        <v>2741</v>
      </c>
      <c r="E2954" t="s">
        <v>2742</v>
      </c>
      <c r="F2954" t="s">
        <v>94</v>
      </c>
      <c r="G2954" t="s">
        <v>277</v>
      </c>
      <c r="H2954" s="12">
        <v>7.0049999999999999</v>
      </c>
      <c r="I2954" s="12">
        <v>-74.008300000000006</v>
      </c>
      <c r="J2954" t="s">
        <v>2743</v>
      </c>
      <c r="K2954" t="s">
        <v>97</v>
      </c>
      <c r="L2954" t="s">
        <v>1273</v>
      </c>
      <c r="M2954">
        <v>11</v>
      </c>
      <c r="P2954" s="13">
        <v>212</v>
      </c>
      <c r="Q2954" s="13">
        <v>59</v>
      </c>
      <c r="R2954">
        <v>26</v>
      </c>
      <c r="S2954">
        <v>52</v>
      </c>
      <c r="T2954" s="13">
        <v>28</v>
      </c>
      <c r="U2954" s="13">
        <v>60</v>
      </c>
      <c r="V2954" t="s">
        <v>99</v>
      </c>
      <c r="X2954" s="13">
        <v>212</v>
      </c>
    </row>
    <row r="2955" spans="1:24" x14ac:dyDescent="0.25">
      <c r="A2955" t="s">
        <v>2761</v>
      </c>
      <c r="B2955" t="s">
        <v>65</v>
      </c>
      <c r="C2955" t="s">
        <v>2740</v>
      </c>
      <c r="D2955" t="s">
        <v>2741</v>
      </c>
      <c r="E2955" t="s">
        <v>2742</v>
      </c>
      <c r="F2955" t="s">
        <v>94</v>
      </c>
      <c r="G2955" t="s">
        <v>277</v>
      </c>
      <c r="H2955" s="12">
        <v>7.0049999999999999</v>
      </c>
      <c r="I2955" s="12">
        <v>-74.008300000000006</v>
      </c>
      <c r="J2955" t="s">
        <v>2743</v>
      </c>
      <c r="K2955" t="s">
        <v>97</v>
      </c>
      <c r="L2955" t="s">
        <v>1273</v>
      </c>
      <c r="M2955">
        <v>11</v>
      </c>
      <c r="P2955" s="13">
        <v>211</v>
      </c>
      <c r="Q2955" s="13">
        <v>54</v>
      </c>
      <c r="R2955">
        <v>32</v>
      </c>
      <c r="S2955">
        <v>52</v>
      </c>
      <c r="T2955" s="13">
        <v>31</v>
      </c>
      <c r="U2955" s="13">
        <v>44</v>
      </c>
      <c r="V2955" t="s">
        <v>99</v>
      </c>
      <c r="X2955" s="13">
        <v>211</v>
      </c>
    </row>
    <row r="2956" spans="1:24" x14ac:dyDescent="0.25">
      <c r="A2956" t="s">
        <v>2762</v>
      </c>
      <c r="B2956" t="s">
        <v>65</v>
      </c>
      <c r="C2956" t="s">
        <v>2740</v>
      </c>
      <c r="D2956" t="s">
        <v>2741</v>
      </c>
      <c r="E2956" t="s">
        <v>2742</v>
      </c>
      <c r="F2956" t="s">
        <v>94</v>
      </c>
      <c r="G2956" t="s">
        <v>277</v>
      </c>
      <c r="H2956" s="12">
        <v>7.0049999999999999</v>
      </c>
      <c r="I2956" s="12">
        <v>-74.008300000000006</v>
      </c>
      <c r="J2956" t="s">
        <v>2743</v>
      </c>
      <c r="K2956" t="s">
        <v>97</v>
      </c>
      <c r="L2956" t="s">
        <v>1273</v>
      </c>
      <c r="M2956">
        <v>11</v>
      </c>
      <c r="P2956" s="13">
        <v>210</v>
      </c>
      <c r="Q2956" s="13">
        <v>49</v>
      </c>
      <c r="R2956">
        <v>18</v>
      </c>
      <c r="S2956">
        <v>62</v>
      </c>
      <c r="T2956" s="13">
        <v>38</v>
      </c>
      <c r="U2956" s="13">
        <v>45</v>
      </c>
      <c r="V2956" t="s">
        <v>99</v>
      </c>
      <c r="X2956" s="13">
        <v>210</v>
      </c>
    </row>
    <row r="2957" spans="1:24" x14ac:dyDescent="0.25">
      <c r="A2957" t="s">
        <v>2763</v>
      </c>
      <c r="B2957" t="s">
        <v>65</v>
      </c>
      <c r="C2957" t="s">
        <v>2740</v>
      </c>
      <c r="D2957" t="s">
        <v>2741</v>
      </c>
      <c r="E2957" t="s">
        <v>2742</v>
      </c>
      <c r="F2957" t="s">
        <v>94</v>
      </c>
      <c r="G2957" t="s">
        <v>277</v>
      </c>
      <c r="H2957" s="12">
        <v>7.0049999999999999</v>
      </c>
      <c r="I2957" s="12">
        <v>-74.008300000000006</v>
      </c>
      <c r="J2957" t="s">
        <v>2743</v>
      </c>
      <c r="K2957" t="s">
        <v>97</v>
      </c>
      <c r="L2957" t="s">
        <v>1273</v>
      </c>
      <c r="M2957">
        <v>11</v>
      </c>
      <c r="P2957" s="13">
        <v>208</v>
      </c>
      <c r="Q2957" s="13">
        <v>46</v>
      </c>
      <c r="R2957">
        <v>36</v>
      </c>
      <c r="S2957">
        <v>50</v>
      </c>
      <c r="T2957" s="13">
        <v>29</v>
      </c>
      <c r="U2957" s="13">
        <v>56</v>
      </c>
      <c r="V2957" t="s">
        <v>99</v>
      </c>
      <c r="X2957" s="13">
        <v>208</v>
      </c>
    </row>
    <row r="2958" spans="1:24" x14ac:dyDescent="0.25">
      <c r="A2958" t="s">
        <v>2764</v>
      </c>
      <c r="B2958" t="s">
        <v>65</v>
      </c>
      <c r="C2958" t="s">
        <v>2740</v>
      </c>
      <c r="D2958" t="s">
        <v>2741</v>
      </c>
      <c r="E2958" t="s">
        <v>2742</v>
      </c>
      <c r="F2958" t="s">
        <v>94</v>
      </c>
      <c r="G2958" t="s">
        <v>277</v>
      </c>
      <c r="H2958" s="12">
        <v>7.0049999999999999</v>
      </c>
      <c r="I2958" s="12">
        <v>-74.008300000000006</v>
      </c>
      <c r="J2958" t="s">
        <v>2743</v>
      </c>
      <c r="K2958" t="s">
        <v>97</v>
      </c>
      <c r="L2958" t="s">
        <v>1273</v>
      </c>
      <c r="M2958">
        <v>11</v>
      </c>
      <c r="P2958" s="13">
        <v>202</v>
      </c>
      <c r="Q2958" s="13">
        <v>54</v>
      </c>
      <c r="R2958">
        <v>30</v>
      </c>
      <c r="S2958">
        <v>42</v>
      </c>
      <c r="T2958" s="13">
        <v>33</v>
      </c>
      <c r="U2958" s="13">
        <v>49</v>
      </c>
      <c r="V2958" t="s">
        <v>99</v>
      </c>
      <c r="X2958" s="13">
        <v>202</v>
      </c>
    </row>
    <row r="2959" spans="1:24" x14ac:dyDescent="0.25">
      <c r="A2959" t="s">
        <v>2765</v>
      </c>
      <c r="B2959" t="s">
        <v>65</v>
      </c>
      <c r="C2959" t="s">
        <v>2740</v>
      </c>
      <c r="D2959" t="s">
        <v>2741</v>
      </c>
      <c r="E2959" t="s">
        <v>2742</v>
      </c>
      <c r="F2959" t="s">
        <v>94</v>
      </c>
      <c r="G2959" t="s">
        <v>277</v>
      </c>
      <c r="H2959" s="12">
        <v>7.0049999999999999</v>
      </c>
      <c r="I2959" s="12">
        <v>-74.008300000000006</v>
      </c>
      <c r="J2959" t="s">
        <v>2743</v>
      </c>
      <c r="K2959" t="s">
        <v>97</v>
      </c>
      <c r="L2959" t="s">
        <v>1273</v>
      </c>
      <c r="M2959">
        <v>11</v>
      </c>
      <c r="P2959" s="13">
        <v>201</v>
      </c>
      <c r="Q2959" s="13">
        <v>49</v>
      </c>
      <c r="R2959">
        <v>22</v>
      </c>
      <c r="S2959">
        <v>60</v>
      </c>
      <c r="T2959" s="13">
        <v>31</v>
      </c>
      <c r="U2959" s="13">
        <v>36</v>
      </c>
      <c r="V2959" t="s">
        <v>99</v>
      </c>
      <c r="X2959" s="13">
        <v>201</v>
      </c>
    </row>
    <row r="2960" spans="1:24" x14ac:dyDescent="0.25">
      <c r="A2960" t="s">
        <v>2766</v>
      </c>
      <c r="B2960" t="s">
        <v>65</v>
      </c>
      <c r="C2960" t="s">
        <v>2740</v>
      </c>
      <c r="D2960" t="s">
        <v>2741</v>
      </c>
      <c r="E2960" t="s">
        <v>2742</v>
      </c>
      <c r="F2960" t="s">
        <v>94</v>
      </c>
      <c r="G2960" t="s">
        <v>277</v>
      </c>
      <c r="H2960" s="12">
        <v>7.0049999999999999</v>
      </c>
      <c r="I2960" s="12">
        <v>-74.008300000000006</v>
      </c>
      <c r="J2960" t="s">
        <v>2743</v>
      </c>
      <c r="K2960" t="s">
        <v>97</v>
      </c>
      <c r="L2960" t="s">
        <v>1273</v>
      </c>
      <c r="M2960">
        <v>11</v>
      </c>
      <c r="P2960" s="13">
        <v>195</v>
      </c>
      <c r="Q2960" s="13">
        <v>32</v>
      </c>
      <c r="R2960">
        <v>28</v>
      </c>
      <c r="S2960">
        <v>50</v>
      </c>
      <c r="T2960" s="13">
        <v>43</v>
      </c>
      <c r="U2960" s="13">
        <v>49</v>
      </c>
      <c r="V2960" t="s">
        <v>99</v>
      </c>
      <c r="X2960" s="13">
        <v>195</v>
      </c>
    </row>
    <row r="2961" spans="1:24" x14ac:dyDescent="0.25">
      <c r="A2961" t="s">
        <v>2767</v>
      </c>
      <c r="B2961" t="s">
        <v>65</v>
      </c>
      <c r="C2961" t="s">
        <v>2740</v>
      </c>
      <c r="D2961" t="s">
        <v>2741</v>
      </c>
      <c r="E2961" t="s">
        <v>2742</v>
      </c>
      <c r="F2961" t="s">
        <v>94</v>
      </c>
      <c r="G2961" t="s">
        <v>277</v>
      </c>
      <c r="H2961" s="12">
        <v>7.0049999999999999</v>
      </c>
      <c r="I2961" s="12">
        <v>-74.008300000000006</v>
      </c>
      <c r="J2961" t="s">
        <v>2743</v>
      </c>
      <c r="K2961" t="s">
        <v>97</v>
      </c>
      <c r="L2961" t="s">
        <v>1273</v>
      </c>
      <c r="M2961">
        <v>11</v>
      </c>
      <c r="P2961" s="13">
        <v>191</v>
      </c>
      <c r="Q2961" s="13">
        <v>44</v>
      </c>
      <c r="R2961">
        <v>30</v>
      </c>
      <c r="S2961">
        <v>50</v>
      </c>
      <c r="T2961" s="13">
        <v>31</v>
      </c>
      <c r="U2961" s="13">
        <v>33</v>
      </c>
      <c r="V2961" t="s">
        <v>99</v>
      </c>
      <c r="X2961" s="13">
        <v>191</v>
      </c>
    </row>
    <row r="2962" spans="1:24" x14ac:dyDescent="0.25">
      <c r="A2962" t="s">
        <v>2768</v>
      </c>
      <c r="B2962" t="s">
        <v>65</v>
      </c>
      <c r="C2962" t="s">
        <v>2740</v>
      </c>
      <c r="D2962" t="s">
        <v>2741</v>
      </c>
      <c r="E2962" t="s">
        <v>2742</v>
      </c>
      <c r="F2962" t="s">
        <v>94</v>
      </c>
      <c r="G2962" t="s">
        <v>277</v>
      </c>
      <c r="H2962" s="12">
        <v>7.0049999999999999</v>
      </c>
      <c r="I2962" s="12">
        <v>-74.008300000000006</v>
      </c>
      <c r="J2962" t="s">
        <v>2743</v>
      </c>
      <c r="K2962" t="s">
        <v>97</v>
      </c>
      <c r="L2962" t="s">
        <v>1273</v>
      </c>
      <c r="M2962">
        <v>11</v>
      </c>
      <c r="P2962" s="13">
        <v>191</v>
      </c>
      <c r="Q2962" s="13">
        <v>49</v>
      </c>
      <c r="R2962">
        <v>28</v>
      </c>
      <c r="S2962">
        <v>46</v>
      </c>
      <c r="T2962" s="13">
        <v>26</v>
      </c>
      <c r="U2962" s="13">
        <v>51</v>
      </c>
      <c r="V2962" t="s">
        <v>99</v>
      </c>
      <c r="X2962" s="13">
        <v>191</v>
      </c>
    </row>
    <row r="2963" spans="1:24" x14ac:dyDescent="0.25">
      <c r="A2963" t="s">
        <v>2769</v>
      </c>
      <c r="B2963" t="s">
        <v>65</v>
      </c>
      <c r="C2963" t="s">
        <v>2740</v>
      </c>
      <c r="D2963" t="s">
        <v>2741</v>
      </c>
      <c r="E2963" t="s">
        <v>2742</v>
      </c>
      <c r="F2963" t="s">
        <v>94</v>
      </c>
      <c r="G2963" t="s">
        <v>277</v>
      </c>
      <c r="H2963" s="12">
        <v>7.0049999999999999</v>
      </c>
      <c r="I2963" s="12">
        <v>-74.008300000000006</v>
      </c>
      <c r="J2963" t="s">
        <v>2743</v>
      </c>
      <c r="K2963" t="s">
        <v>97</v>
      </c>
      <c r="L2963" t="s">
        <v>1273</v>
      </c>
      <c r="M2963">
        <v>11</v>
      </c>
      <c r="P2963" s="13">
        <v>190</v>
      </c>
      <c r="Q2963" s="13">
        <v>24</v>
      </c>
      <c r="R2963">
        <v>40</v>
      </c>
      <c r="S2963">
        <v>36</v>
      </c>
      <c r="T2963" s="13">
        <v>36</v>
      </c>
      <c r="U2963" s="13">
        <v>84</v>
      </c>
      <c r="V2963" t="s">
        <v>99</v>
      </c>
      <c r="X2963" s="13">
        <v>190</v>
      </c>
    </row>
    <row r="2964" spans="1:24" x14ac:dyDescent="0.25">
      <c r="A2964" t="s">
        <v>2770</v>
      </c>
      <c r="B2964" t="s">
        <v>65</v>
      </c>
      <c r="C2964" t="s">
        <v>2740</v>
      </c>
      <c r="D2964" t="s">
        <v>2741</v>
      </c>
      <c r="E2964" t="s">
        <v>2742</v>
      </c>
      <c r="F2964" t="s">
        <v>94</v>
      </c>
      <c r="G2964" t="s">
        <v>277</v>
      </c>
      <c r="H2964" s="12">
        <v>7.0049999999999999</v>
      </c>
      <c r="I2964" s="12">
        <v>-74.008300000000006</v>
      </c>
      <c r="J2964" t="s">
        <v>2743</v>
      </c>
      <c r="K2964" t="s">
        <v>97</v>
      </c>
      <c r="L2964" t="s">
        <v>1273</v>
      </c>
      <c r="M2964">
        <v>11</v>
      </c>
      <c r="P2964" s="13">
        <v>188</v>
      </c>
      <c r="Q2964" s="13">
        <v>37</v>
      </c>
      <c r="R2964">
        <v>30</v>
      </c>
      <c r="S2964">
        <v>54</v>
      </c>
      <c r="T2964" s="13">
        <v>29</v>
      </c>
      <c r="U2964" s="13">
        <v>38</v>
      </c>
      <c r="V2964" t="s">
        <v>99</v>
      </c>
      <c r="X2964" s="13">
        <v>188</v>
      </c>
    </row>
    <row r="2965" spans="1:24" x14ac:dyDescent="0.25">
      <c r="A2965" t="s">
        <v>2771</v>
      </c>
      <c r="B2965" t="s">
        <v>65</v>
      </c>
      <c r="C2965" t="s">
        <v>2740</v>
      </c>
      <c r="D2965" t="s">
        <v>2741</v>
      </c>
      <c r="E2965" t="s">
        <v>2742</v>
      </c>
      <c r="F2965" t="s">
        <v>94</v>
      </c>
      <c r="G2965" t="s">
        <v>277</v>
      </c>
      <c r="H2965" s="12">
        <v>7.0049999999999999</v>
      </c>
      <c r="I2965" s="12">
        <v>-74.008300000000006</v>
      </c>
      <c r="J2965" t="s">
        <v>2743</v>
      </c>
      <c r="K2965" t="s">
        <v>97</v>
      </c>
      <c r="L2965" t="s">
        <v>1273</v>
      </c>
      <c r="M2965">
        <v>11</v>
      </c>
      <c r="P2965" s="13">
        <v>188</v>
      </c>
      <c r="Q2965" s="13">
        <v>39</v>
      </c>
      <c r="R2965">
        <v>38</v>
      </c>
      <c r="S2965">
        <v>40</v>
      </c>
      <c r="T2965" s="13">
        <v>31</v>
      </c>
      <c r="U2965" s="13">
        <v>44</v>
      </c>
      <c r="V2965" t="s">
        <v>99</v>
      </c>
      <c r="X2965" s="13">
        <v>188</v>
      </c>
    </row>
    <row r="2966" spans="1:24" x14ac:dyDescent="0.25">
      <c r="A2966" t="s">
        <v>2772</v>
      </c>
      <c r="B2966" t="s">
        <v>65</v>
      </c>
      <c r="C2966" t="s">
        <v>2740</v>
      </c>
      <c r="D2966" t="s">
        <v>2741</v>
      </c>
      <c r="E2966" t="s">
        <v>2742</v>
      </c>
      <c r="F2966" t="s">
        <v>94</v>
      </c>
      <c r="G2966" t="s">
        <v>277</v>
      </c>
      <c r="H2966" s="12">
        <v>7.0049999999999999</v>
      </c>
      <c r="I2966" s="12">
        <v>-74.008300000000006</v>
      </c>
      <c r="J2966" t="s">
        <v>2743</v>
      </c>
      <c r="K2966" t="s">
        <v>97</v>
      </c>
      <c r="L2966" t="s">
        <v>1273</v>
      </c>
      <c r="M2966">
        <v>11</v>
      </c>
      <c r="P2966" s="13">
        <v>186</v>
      </c>
      <c r="Q2966" s="13">
        <v>32</v>
      </c>
      <c r="R2966">
        <v>18</v>
      </c>
      <c r="S2966">
        <v>60</v>
      </c>
      <c r="T2966" s="13">
        <v>34</v>
      </c>
      <c r="U2966" s="13">
        <v>51</v>
      </c>
      <c r="V2966" t="s">
        <v>99</v>
      </c>
      <c r="X2966" s="13">
        <v>186</v>
      </c>
    </row>
    <row r="2967" spans="1:24" x14ac:dyDescent="0.25">
      <c r="A2967" t="s">
        <v>2773</v>
      </c>
      <c r="B2967" t="s">
        <v>65</v>
      </c>
      <c r="C2967" t="s">
        <v>2740</v>
      </c>
      <c r="D2967" t="s">
        <v>2741</v>
      </c>
      <c r="E2967" t="s">
        <v>2742</v>
      </c>
      <c r="F2967" t="s">
        <v>94</v>
      </c>
      <c r="G2967" t="s">
        <v>277</v>
      </c>
      <c r="H2967" s="12">
        <v>7.0049999999999999</v>
      </c>
      <c r="I2967" s="12">
        <v>-74.008300000000006</v>
      </c>
      <c r="J2967" t="s">
        <v>2743</v>
      </c>
      <c r="K2967" t="s">
        <v>97</v>
      </c>
      <c r="L2967" t="s">
        <v>1273</v>
      </c>
      <c r="M2967">
        <v>11</v>
      </c>
      <c r="P2967" s="13">
        <v>186</v>
      </c>
      <c r="Q2967" s="13">
        <v>51</v>
      </c>
      <c r="R2967">
        <v>28</v>
      </c>
      <c r="S2967">
        <v>34</v>
      </c>
      <c r="T2967" s="13">
        <v>36</v>
      </c>
      <c r="U2967" s="13">
        <v>35</v>
      </c>
      <c r="V2967" t="s">
        <v>99</v>
      </c>
      <c r="X2967" s="13">
        <v>186</v>
      </c>
    </row>
    <row r="2968" spans="1:24" x14ac:dyDescent="0.25">
      <c r="A2968" t="s">
        <v>2774</v>
      </c>
      <c r="B2968" t="s">
        <v>65</v>
      </c>
      <c r="C2968" t="s">
        <v>2740</v>
      </c>
      <c r="D2968" t="s">
        <v>2741</v>
      </c>
      <c r="E2968" t="s">
        <v>2742</v>
      </c>
      <c r="F2968" t="s">
        <v>94</v>
      </c>
      <c r="G2968" t="s">
        <v>277</v>
      </c>
      <c r="H2968" s="12">
        <v>7.0049999999999999</v>
      </c>
      <c r="I2968" s="12">
        <v>-74.008300000000006</v>
      </c>
      <c r="J2968" t="s">
        <v>2743</v>
      </c>
      <c r="K2968" t="s">
        <v>97</v>
      </c>
      <c r="L2968" t="s">
        <v>1273</v>
      </c>
      <c r="M2968">
        <v>11</v>
      </c>
      <c r="P2968" s="13">
        <v>186</v>
      </c>
      <c r="Q2968" s="13">
        <v>44</v>
      </c>
      <c r="R2968">
        <v>34</v>
      </c>
      <c r="S2968">
        <v>46</v>
      </c>
      <c r="T2968" s="13">
        <v>24</v>
      </c>
      <c r="U2968" s="13">
        <v>38</v>
      </c>
      <c r="V2968" t="s">
        <v>99</v>
      </c>
      <c r="X2968" s="13">
        <v>186</v>
      </c>
    </row>
    <row r="2969" spans="1:24" x14ac:dyDescent="0.25">
      <c r="A2969" t="s">
        <v>2775</v>
      </c>
      <c r="B2969" t="s">
        <v>65</v>
      </c>
      <c r="C2969" t="s">
        <v>2740</v>
      </c>
      <c r="D2969" t="s">
        <v>2741</v>
      </c>
      <c r="E2969" t="s">
        <v>2742</v>
      </c>
      <c r="F2969" t="s">
        <v>94</v>
      </c>
      <c r="G2969" t="s">
        <v>277</v>
      </c>
      <c r="H2969" s="12">
        <v>7.0049999999999999</v>
      </c>
      <c r="I2969" s="12">
        <v>-74.008300000000006</v>
      </c>
      <c r="J2969" t="s">
        <v>2743</v>
      </c>
      <c r="K2969" t="s">
        <v>97</v>
      </c>
      <c r="L2969" t="s">
        <v>1273</v>
      </c>
      <c r="M2969">
        <v>11</v>
      </c>
      <c r="P2969" s="13">
        <v>182</v>
      </c>
      <c r="Q2969" s="13">
        <v>39</v>
      </c>
      <c r="R2969">
        <v>32</v>
      </c>
      <c r="S2969">
        <v>44</v>
      </c>
      <c r="T2969" s="13">
        <v>33</v>
      </c>
      <c r="U2969" s="13">
        <v>31</v>
      </c>
      <c r="V2969" t="s">
        <v>99</v>
      </c>
      <c r="X2969" s="13">
        <v>182</v>
      </c>
    </row>
    <row r="2970" spans="1:24" x14ac:dyDescent="0.25">
      <c r="A2970" t="s">
        <v>2776</v>
      </c>
      <c r="B2970" t="s">
        <v>65</v>
      </c>
      <c r="C2970" t="s">
        <v>2740</v>
      </c>
      <c r="D2970" t="s">
        <v>2741</v>
      </c>
      <c r="E2970" t="s">
        <v>2742</v>
      </c>
      <c r="F2970" t="s">
        <v>94</v>
      </c>
      <c r="G2970" t="s">
        <v>277</v>
      </c>
      <c r="H2970" s="12">
        <v>7.0049999999999999</v>
      </c>
      <c r="I2970" s="12">
        <v>-74.008300000000006</v>
      </c>
      <c r="J2970" t="s">
        <v>2743</v>
      </c>
      <c r="K2970" t="s">
        <v>97</v>
      </c>
      <c r="L2970" t="s">
        <v>1273</v>
      </c>
      <c r="M2970">
        <v>11</v>
      </c>
      <c r="P2970" s="13">
        <v>181</v>
      </c>
      <c r="Q2970" s="13">
        <v>37</v>
      </c>
      <c r="R2970">
        <v>34</v>
      </c>
      <c r="S2970">
        <v>32</v>
      </c>
      <c r="T2970" s="13">
        <v>36</v>
      </c>
      <c r="U2970" s="13">
        <v>55</v>
      </c>
      <c r="V2970" t="s">
        <v>99</v>
      </c>
      <c r="X2970" s="13">
        <v>181</v>
      </c>
    </row>
    <row r="2971" spans="1:24" x14ac:dyDescent="0.25">
      <c r="A2971" t="s">
        <v>2777</v>
      </c>
      <c r="B2971" t="s">
        <v>65</v>
      </c>
      <c r="C2971" t="s">
        <v>2740</v>
      </c>
      <c r="D2971" t="s">
        <v>2741</v>
      </c>
      <c r="E2971" t="s">
        <v>2742</v>
      </c>
      <c r="F2971" t="s">
        <v>94</v>
      </c>
      <c r="G2971" t="s">
        <v>277</v>
      </c>
      <c r="H2971" s="12">
        <v>7.0049999999999999</v>
      </c>
      <c r="I2971" s="12">
        <v>-74.008300000000006</v>
      </c>
      <c r="J2971" t="s">
        <v>2743</v>
      </c>
      <c r="K2971" t="s">
        <v>97</v>
      </c>
      <c r="L2971" t="s">
        <v>1273</v>
      </c>
      <c r="M2971">
        <v>11</v>
      </c>
      <c r="P2971" s="13">
        <v>178</v>
      </c>
      <c r="Q2971" s="13">
        <v>37</v>
      </c>
      <c r="R2971">
        <v>26</v>
      </c>
      <c r="S2971">
        <v>48</v>
      </c>
      <c r="T2971" s="13">
        <v>24</v>
      </c>
      <c r="U2971" s="13">
        <v>58</v>
      </c>
      <c r="V2971" t="s">
        <v>99</v>
      </c>
      <c r="X2971" s="13">
        <v>178</v>
      </c>
    </row>
    <row r="2972" spans="1:24" x14ac:dyDescent="0.25">
      <c r="A2972" t="s">
        <v>2778</v>
      </c>
      <c r="B2972" t="s">
        <v>65</v>
      </c>
      <c r="C2972" t="s">
        <v>2740</v>
      </c>
      <c r="D2972" t="s">
        <v>2741</v>
      </c>
      <c r="E2972" t="s">
        <v>2742</v>
      </c>
      <c r="F2972" t="s">
        <v>94</v>
      </c>
      <c r="G2972" t="s">
        <v>277</v>
      </c>
      <c r="H2972" s="12">
        <v>7.0049999999999999</v>
      </c>
      <c r="I2972" s="12">
        <v>-74.008300000000006</v>
      </c>
      <c r="J2972" t="s">
        <v>2743</v>
      </c>
      <c r="K2972" t="s">
        <v>97</v>
      </c>
      <c r="L2972" t="s">
        <v>1273</v>
      </c>
      <c r="M2972">
        <v>11</v>
      </c>
      <c r="P2972" s="13">
        <v>177</v>
      </c>
      <c r="Q2972" s="13">
        <v>37</v>
      </c>
      <c r="R2972">
        <v>28</v>
      </c>
      <c r="S2972">
        <v>46</v>
      </c>
      <c r="T2972" s="13">
        <v>28</v>
      </c>
      <c r="U2972" s="13">
        <v>45</v>
      </c>
      <c r="V2972" t="s">
        <v>99</v>
      </c>
      <c r="X2972" s="13">
        <v>177</v>
      </c>
    </row>
    <row r="2973" spans="1:24" x14ac:dyDescent="0.25">
      <c r="A2973" t="s">
        <v>2779</v>
      </c>
      <c r="B2973" t="s">
        <v>65</v>
      </c>
      <c r="C2973" t="s">
        <v>2740</v>
      </c>
      <c r="D2973" t="s">
        <v>2741</v>
      </c>
      <c r="E2973" t="s">
        <v>2742</v>
      </c>
      <c r="F2973" t="s">
        <v>94</v>
      </c>
      <c r="G2973" t="s">
        <v>277</v>
      </c>
      <c r="H2973" s="12">
        <v>7.0049999999999999</v>
      </c>
      <c r="I2973" s="12">
        <v>-74.008300000000006</v>
      </c>
      <c r="J2973" t="s">
        <v>2743</v>
      </c>
      <c r="K2973" t="s">
        <v>97</v>
      </c>
      <c r="L2973" t="s">
        <v>1273</v>
      </c>
      <c r="M2973">
        <v>11</v>
      </c>
      <c r="P2973" s="13">
        <v>175</v>
      </c>
      <c r="Q2973" s="13">
        <v>49</v>
      </c>
      <c r="R2973">
        <v>30</v>
      </c>
      <c r="S2973">
        <v>40</v>
      </c>
      <c r="T2973" s="13">
        <v>26</v>
      </c>
      <c r="U2973" s="13">
        <v>20</v>
      </c>
      <c r="V2973" t="s">
        <v>99</v>
      </c>
      <c r="X2973" s="13">
        <v>175</v>
      </c>
    </row>
    <row r="2974" spans="1:24" x14ac:dyDescent="0.25">
      <c r="A2974" t="s">
        <v>2780</v>
      </c>
      <c r="B2974" t="s">
        <v>65</v>
      </c>
      <c r="C2974" t="s">
        <v>2740</v>
      </c>
      <c r="D2974" t="s">
        <v>2741</v>
      </c>
      <c r="E2974" t="s">
        <v>2742</v>
      </c>
      <c r="F2974" t="s">
        <v>94</v>
      </c>
      <c r="G2974" t="s">
        <v>277</v>
      </c>
      <c r="H2974" s="12">
        <v>7.0049999999999999</v>
      </c>
      <c r="I2974" s="12">
        <v>-74.008300000000006</v>
      </c>
      <c r="J2974" t="s">
        <v>2743</v>
      </c>
      <c r="K2974" t="s">
        <v>97</v>
      </c>
      <c r="L2974" t="s">
        <v>1273</v>
      </c>
      <c r="M2974">
        <v>11</v>
      </c>
      <c r="P2974" s="13">
        <v>173</v>
      </c>
      <c r="Q2974" s="13">
        <v>37</v>
      </c>
      <c r="R2974">
        <v>30</v>
      </c>
      <c r="S2974">
        <v>48</v>
      </c>
      <c r="T2974" s="13">
        <v>26</v>
      </c>
      <c r="U2974" s="13">
        <v>29</v>
      </c>
      <c r="V2974" t="s">
        <v>99</v>
      </c>
      <c r="X2974" s="13">
        <v>173</v>
      </c>
    </row>
    <row r="2975" spans="1:24" x14ac:dyDescent="0.25">
      <c r="A2975" t="s">
        <v>2781</v>
      </c>
      <c r="B2975" t="s">
        <v>65</v>
      </c>
      <c r="C2975" t="s">
        <v>2740</v>
      </c>
      <c r="D2975" t="s">
        <v>2741</v>
      </c>
      <c r="E2975" t="s">
        <v>2742</v>
      </c>
      <c r="F2975" t="s">
        <v>94</v>
      </c>
      <c r="G2975" t="s">
        <v>277</v>
      </c>
      <c r="H2975" s="12">
        <v>7.0049999999999999</v>
      </c>
      <c r="I2975" s="12">
        <v>-74.008300000000006</v>
      </c>
      <c r="J2975" t="s">
        <v>2743</v>
      </c>
      <c r="K2975" t="s">
        <v>97</v>
      </c>
      <c r="L2975" t="s">
        <v>1273</v>
      </c>
      <c r="M2975">
        <v>11</v>
      </c>
      <c r="P2975" s="13">
        <v>173</v>
      </c>
      <c r="Q2975" s="13">
        <v>44</v>
      </c>
      <c r="R2975">
        <v>34</v>
      </c>
      <c r="S2975">
        <v>36</v>
      </c>
      <c r="T2975" s="13">
        <v>26</v>
      </c>
      <c r="U2975" s="13">
        <v>31</v>
      </c>
      <c r="V2975" t="s">
        <v>99</v>
      </c>
      <c r="X2975" s="13">
        <v>173</v>
      </c>
    </row>
    <row r="2976" spans="1:24" x14ac:dyDescent="0.25">
      <c r="A2976" t="s">
        <v>2782</v>
      </c>
      <c r="B2976" t="s">
        <v>65</v>
      </c>
      <c r="C2976" t="s">
        <v>2740</v>
      </c>
      <c r="D2976" t="s">
        <v>2741</v>
      </c>
      <c r="E2976" t="s">
        <v>2742</v>
      </c>
      <c r="F2976" t="s">
        <v>94</v>
      </c>
      <c r="G2976" t="s">
        <v>277</v>
      </c>
      <c r="H2976" s="12">
        <v>7.0049999999999999</v>
      </c>
      <c r="I2976" s="12">
        <v>-74.008300000000006</v>
      </c>
      <c r="J2976" t="s">
        <v>2743</v>
      </c>
      <c r="K2976" t="s">
        <v>97</v>
      </c>
      <c r="L2976" t="s">
        <v>1273</v>
      </c>
      <c r="M2976">
        <v>11</v>
      </c>
      <c r="P2976" s="13">
        <v>173</v>
      </c>
      <c r="Q2976" s="13">
        <v>46</v>
      </c>
      <c r="R2976">
        <v>26</v>
      </c>
      <c r="S2976">
        <v>42</v>
      </c>
      <c r="T2976" s="13">
        <v>24</v>
      </c>
      <c r="U2976" s="13">
        <v>35</v>
      </c>
      <c r="V2976" t="s">
        <v>99</v>
      </c>
      <c r="X2976" s="13">
        <v>173</v>
      </c>
    </row>
    <row r="2977" spans="1:24" x14ac:dyDescent="0.25">
      <c r="A2977" t="s">
        <v>2783</v>
      </c>
      <c r="B2977" t="s">
        <v>65</v>
      </c>
      <c r="C2977" t="s">
        <v>2740</v>
      </c>
      <c r="D2977" t="s">
        <v>2741</v>
      </c>
      <c r="E2977" t="s">
        <v>2742</v>
      </c>
      <c r="F2977" t="s">
        <v>94</v>
      </c>
      <c r="G2977" t="s">
        <v>277</v>
      </c>
      <c r="H2977" s="12">
        <v>7.0049999999999999</v>
      </c>
      <c r="I2977" s="12">
        <v>-74.008300000000006</v>
      </c>
      <c r="J2977" t="s">
        <v>2743</v>
      </c>
      <c r="K2977" t="s">
        <v>97</v>
      </c>
      <c r="L2977" t="s">
        <v>1273</v>
      </c>
      <c r="M2977">
        <v>11</v>
      </c>
      <c r="P2977" s="13">
        <v>173</v>
      </c>
      <c r="Q2977" s="13">
        <v>39</v>
      </c>
      <c r="R2977">
        <v>32</v>
      </c>
      <c r="S2977">
        <v>42</v>
      </c>
      <c r="T2977" s="13">
        <v>26</v>
      </c>
      <c r="U2977" s="13">
        <v>33</v>
      </c>
      <c r="V2977" t="s">
        <v>99</v>
      </c>
      <c r="X2977" s="13">
        <v>173</v>
      </c>
    </row>
    <row r="2978" spans="1:24" x14ac:dyDescent="0.25">
      <c r="A2978" t="s">
        <v>2784</v>
      </c>
      <c r="B2978" t="s">
        <v>65</v>
      </c>
      <c r="C2978" t="s">
        <v>2740</v>
      </c>
      <c r="D2978" t="s">
        <v>2741</v>
      </c>
      <c r="E2978" t="s">
        <v>2742</v>
      </c>
      <c r="F2978" t="s">
        <v>94</v>
      </c>
      <c r="G2978" t="s">
        <v>277</v>
      </c>
      <c r="H2978" s="12">
        <v>7.0049999999999999</v>
      </c>
      <c r="I2978" s="12">
        <v>-74.008300000000006</v>
      </c>
      <c r="J2978" t="s">
        <v>2743</v>
      </c>
      <c r="K2978" t="s">
        <v>97</v>
      </c>
      <c r="L2978" t="s">
        <v>1273</v>
      </c>
      <c r="M2978">
        <v>11</v>
      </c>
      <c r="P2978" s="13">
        <v>172</v>
      </c>
      <c r="Q2978" s="13">
        <v>39</v>
      </c>
      <c r="R2978">
        <v>30</v>
      </c>
      <c r="S2978">
        <v>38</v>
      </c>
      <c r="T2978" s="13">
        <v>29</v>
      </c>
      <c r="U2978" s="13">
        <v>38</v>
      </c>
      <c r="V2978" t="s">
        <v>99</v>
      </c>
      <c r="X2978" s="13">
        <v>172</v>
      </c>
    </row>
    <row r="2979" spans="1:24" x14ac:dyDescent="0.25">
      <c r="A2979" t="s">
        <v>2785</v>
      </c>
      <c r="B2979" t="s">
        <v>65</v>
      </c>
      <c r="C2979" t="s">
        <v>2740</v>
      </c>
      <c r="D2979" t="s">
        <v>2741</v>
      </c>
      <c r="E2979" t="s">
        <v>2742</v>
      </c>
      <c r="F2979" t="s">
        <v>94</v>
      </c>
      <c r="G2979" t="s">
        <v>277</v>
      </c>
      <c r="H2979" s="12">
        <v>7.0049999999999999</v>
      </c>
      <c r="I2979" s="12">
        <v>-74.008300000000006</v>
      </c>
      <c r="J2979" t="s">
        <v>2743</v>
      </c>
      <c r="K2979" t="s">
        <v>97</v>
      </c>
      <c r="L2979" t="s">
        <v>1273</v>
      </c>
      <c r="M2979">
        <v>11</v>
      </c>
      <c r="P2979" s="13">
        <v>169</v>
      </c>
      <c r="Q2979" s="13">
        <v>32</v>
      </c>
      <c r="R2979">
        <v>34</v>
      </c>
      <c r="S2979">
        <v>44</v>
      </c>
      <c r="T2979" s="13">
        <v>28</v>
      </c>
      <c r="U2979" s="13">
        <v>27</v>
      </c>
      <c r="V2979" t="s">
        <v>99</v>
      </c>
      <c r="X2979" s="13">
        <v>169</v>
      </c>
    </row>
    <row r="2980" spans="1:24" x14ac:dyDescent="0.25">
      <c r="A2980" t="s">
        <v>2786</v>
      </c>
      <c r="B2980" t="s">
        <v>65</v>
      </c>
      <c r="C2980" t="s">
        <v>2740</v>
      </c>
      <c r="D2980" t="s">
        <v>2741</v>
      </c>
      <c r="E2980" t="s">
        <v>2742</v>
      </c>
      <c r="F2980" t="s">
        <v>94</v>
      </c>
      <c r="G2980" t="s">
        <v>277</v>
      </c>
      <c r="H2980" s="12">
        <v>7.0049999999999999</v>
      </c>
      <c r="I2980" s="12">
        <v>-74.008300000000006</v>
      </c>
      <c r="J2980" t="s">
        <v>2743</v>
      </c>
      <c r="K2980" t="s">
        <v>97</v>
      </c>
      <c r="L2980" t="s">
        <v>1273</v>
      </c>
      <c r="M2980">
        <v>11</v>
      </c>
      <c r="P2980" s="13">
        <v>165</v>
      </c>
      <c r="Q2980" s="13">
        <v>44</v>
      </c>
      <c r="R2980">
        <v>22</v>
      </c>
      <c r="S2980">
        <v>44</v>
      </c>
      <c r="T2980" s="13">
        <v>26</v>
      </c>
      <c r="U2980" s="13">
        <v>22</v>
      </c>
      <c r="V2980" t="s">
        <v>99</v>
      </c>
      <c r="X2980" s="13">
        <v>165</v>
      </c>
    </row>
    <row r="2981" spans="1:24" x14ac:dyDescent="0.25">
      <c r="A2981" t="s">
        <v>2787</v>
      </c>
      <c r="B2981" t="s">
        <v>65</v>
      </c>
      <c r="C2981" t="s">
        <v>2740</v>
      </c>
      <c r="D2981" t="s">
        <v>2741</v>
      </c>
      <c r="E2981" t="s">
        <v>2742</v>
      </c>
      <c r="F2981" t="s">
        <v>94</v>
      </c>
      <c r="G2981" t="s">
        <v>277</v>
      </c>
      <c r="H2981" s="12">
        <v>7.0049999999999999</v>
      </c>
      <c r="I2981" s="12">
        <v>-74.008300000000006</v>
      </c>
      <c r="J2981" t="s">
        <v>2743</v>
      </c>
      <c r="K2981" t="s">
        <v>97</v>
      </c>
      <c r="L2981" t="s">
        <v>1273</v>
      </c>
      <c r="M2981">
        <v>11</v>
      </c>
      <c r="P2981" s="13">
        <v>165</v>
      </c>
      <c r="Q2981" s="13">
        <v>46</v>
      </c>
      <c r="R2981">
        <v>30</v>
      </c>
      <c r="S2981">
        <v>24</v>
      </c>
      <c r="T2981" s="13">
        <v>33</v>
      </c>
      <c r="U2981" s="13">
        <v>29</v>
      </c>
      <c r="V2981" t="s">
        <v>99</v>
      </c>
      <c r="X2981" s="13">
        <v>165</v>
      </c>
    </row>
    <row r="2982" spans="1:24" x14ac:dyDescent="0.25">
      <c r="A2982" t="s">
        <v>2788</v>
      </c>
      <c r="B2982" t="s">
        <v>65</v>
      </c>
      <c r="C2982" t="s">
        <v>2740</v>
      </c>
      <c r="D2982" t="s">
        <v>2741</v>
      </c>
      <c r="E2982" t="s">
        <v>2742</v>
      </c>
      <c r="F2982" t="s">
        <v>94</v>
      </c>
      <c r="G2982" t="s">
        <v>277</v>
      </c>
      <c r="H2982" s="12">
        <v>7.0049999999999999</v>
      </c>
      <c r="I2982" s="12">
        <v>-74.008300000000006</v>
      </c>
      <c r="J2982" t="s">
        <v>2743</v>
      </c>
      <c r="K2982" t="s">
        <v>97</v>
      </c>
      <c r="L2982" t="s">
        <v>1273</v>
      </c>
      <c r="M2982">
        <v>11</v>
      </c>
      <c r="P2982" s="13">
        <v>164</v>
      </c>
      <c r="Q2982" s="13">
        <v>37</v>
      </c>
      <c r="R2982">
        <v>32</v>
      </c>
      <c r="S2982">
        <v>38</v>
      </c>
      <c r="T2982" s="13">
        <v>24</v>
      </c>
      <c r="U2982" s="13">
        <v>35</v>
      </c>
      <c r="V2982" t="s">
        <v>99</v>
      </c>
      <c r="X2982" s="13">
        <v>164</v>
      </c>
    </row>
    <row r="2983" spans="1:24" x14ac:dyDescent="0.25">
      <c r="A2983" t="s">
        <v>2789</v>
      </c>
      <c r="B2983" t="s">
        <v>65</v>
      </c>
      <c r="C2983" t="s">
        <v>2740</v>
      </c>
      <c r="D2983" t="s">
        <v>2741</v>
      </c>
      <c r="E2983" t="s">
        <v>2742</v>
      </c>
      <c r="F2983" t="s">
        <v>94</v>
      </c>
      <c r="G2983" t="s">
        <v>277</v>
      </c>
      <c r="H2983" s="12">
        <v>7.0049999999999999</v>
      </c>
      <c r="I2983" s="12">
        <v>-74.008300000000006</v>
      </c>
      <c r="J2983" t="s">
        <v>2743</v>
      </c>
      <c r="K2983" t="s">
        <v>97</v>
      </c>
      <c r="L2983" t="s">
        <v>1273</v>
      </c>
      <c r="M2983">
        <v>11</v>
      </c>
      <c r="P2983" s="13">
        <v>164</v>
      </c>
      <c r="Q2983" s="13">
        <v>41</v>
      </c>
      <c r="R2983">
        <v>24</v>
      </c>
      <c r="S2983">
        <v>38</v>
      </c>
      <c r="T2983" s="13">
        <v>26</v>
      </c>
      <c r="U2983" s="13">
        <v>38</v>
      </c>
      <c r="V2983" t="s">
        <v>99</v>
      </c>
      <c r="X2983" s="13">
        <v>164</v>
      </c>
    </row>
    <row r="2984" spans="1:24" x14ac:dyDescent="0.25">
      <c r="A2984" t="s">
        <v>2790</v>
      </c>
      <c r="B2984" t="s">
        <v>65</v>
      </c>
      <c r="C2984" t="s">
        <v>2740</v>
      </c>
      <c r="D2984" t="s">
        <v>2741</v>
      </c>
      <c r="E2984" t="s">
        <v>2742</v>
      </c>
      <c r="F2984" t="s">
        <v>94</v>
      </c>
      <c r="G2984" t="s">
        <v>277</v>
      </c>
      <c r="H2984" s="12">
        <v>7.0049999999999999</v>
      </c>
      <c r="I2984" s="12">
        <v>-74.008300000000006</v>
      </c>
      <c r="J2984" t="s">
        <v>2743</v>
      </c>
      <c r="K2984" t="s">
        <v>97</v>
      </c>
      <c r="L2984" t="s">
        <v>1273</v>
      </c>
      <c r="M2984">
        <v>11</v>
      </c>
      <c r="P2984" s="13">
        <v>161</v>
      </c>
      <c r="Q2984" s="13">
        <v>37</v>
      </c>
      <c r="R2984">
        <v>18</v>
      </c>
      <c r="S2984">
        <v>50</v>
      </c>
      <c r="T2984" s="13">
        <v>24</v>
      </c>
      <c r="U2984" s="13">
        <v>33</v>
      </c>
      <c r="V2984" t="s">
        <v>99</v>
      </c>
      <c r="X2984" s="13">
        <v>161</v>
      </c>
    </row>
    <row r="2985" spans="1:24" x14ac:dyDescent="0.25">
      <c r="A2985" t="s">
        <v>2791</v>
      </c>
      <c r="B2985" t="s">
        <v>65</v>
      </c>
      <c r="C2985" t="s">
        <v>2740</v>
      </c>
      <c r="D2985" t="s">
        <v>2741</v>
      </c>
      <c r="E2985" t="s">
        <v>2742</v>
      </c>
      <c r="F2985" t="s">
        <v>94</v>
      </c>
      <c r="G2985" t="s">
        <v>277</v>
      </c>
      <c r="H2985" s="12">
        <v>7.0049999999999999</v>
      </c>
      <c r="I2985" s="12">
        <v>-74.008300000000006</v>
      </c>
      <c r="J2985" t="s">
        <v>2743</v>
      </c>
      <c r="K2985" t="s">
        <v>97</v>
      </c>
      <c r="L2985" t="s">
        <v>1273</v>
      </c>
      <c r="M2985">
        <v>11</v>
      </c>
      <c r="P2985" s="13">
        <v>160</v>
      </c>
      <c r="Q2985" s="13">
        <v>39</v>
      </c>
      <c r="R2985">
        <v>22</v>
      </c>
      <c r="S2985">
        <v>36</v>
      </c>
      <c r="T2985" s="13">
        <v>21</v>
      </c>
      <c r="U2985" s="13">
        <v>64</v>
      </c>
      <c r="V2985" t="s">
        <v>99</v>
      </c>
      <c r="X2985" s="13">
        <v>160</v>
      </c>
    </row>
    <row r="2986" spans="1:24" x14ac:dyDescent="0.25">
      <c r="A2986" t="s">
        <v>2792</v>
      </c>
      <c r="B2986" t="s">
        <v>65</v>
      </c>
      <c r="C2986" t="s">
        <v>2740</v>
      </c>
      <c r="D2986" t="s">
        <v>2741</v>
      </c>
      <c r="E2986" t="s">
        <v>2742</v>
      </c>
      <c r="F2986" t="s">
        <v>94</v>
      </c>
      <c r="G2986" t="s">
        <v>277</v>
      </c>
      <c r="H2986" s="12">
        <v>7.0049999999999999</v>
      </c>
      <c r="I2986" s="12">
        <v>-74.008300000000006</v>
      </c>
      <c r="J2986" t="s">
        <v>2743</v>
      </c>
      <c r="K2986" t="s">
        <v>97</v>
      </c>
      <c r="L2986" t="s">
        <v>1273</v>
      </c>
      <c r="M2986">
        <v>11</v>
      </c>
      <c r="P2986" s="13">
        <v>158</v>
      </c>
      <c r="Q2986" s="13">
        <v>44</v>
      </c>
      <c r="R2986">
        <v>26</v>
      </c>
      <c r="S2986">
        <v>42</v>
      </c>
      <c r="T2986" s="13">
        <v>17</v>
      </c>
      <c r="U2986" s="13">
        <v>24</v>
      </c>
      <c r="V2986" t="s">
        <v>99</v>
      </c>
      <c r="X2986" s="13">
        <v>158</v>
      </c>
    </row>
    <row r="2987" spans="1:24" x14ac:dyDescent="0.25">
      <c r="A2987" t="s">
        <v>2793</v>
      </c>
      <c r="B2987" t="s">
        <v>65</v>
      </c>
      <c r="C2987" t="s">
        <v>2740</v>
      </c>
      <c r="D2987" t="s">
        <v>2741</v>
      </c>
      <c r="E2987" t="s">
        <v>2742</v>
      </c>
      <c r="F2987" t="s">
        <v>94</v>
      </c>
      <c r="G2987" t="s">
        <v>277</v>
      </c>
      <c r="H2987" s="12">
        <v>7.0049999999999999</v>
      </c>
      <c r="I2987" s="12">
        <v>-74.008300000000006</v>
      </c>
      <c r="J2987" t="s">
        <v>2743</v>
      </c>
      <c r="K2987" t="s">
        <v>97</v>
      </c>
      <c r="L2987" t="s">
        <v>1273</v>
      </c>
      <c r="M2987">
        <v>11</v>
      </c>
      <c r="P2987" s="13">
        <v>158</v>
      </c>
      <c r="Q2987" s="13">
        <v>37</v>
      </c>
      <c r="R2987">
        <v>26</v>
      </c>
      <c r="S2987">
        <v>34</v>
      </c>
      <c r="T2987" s="13">
        <v>29</v>
      </c>
      <c r="U2987" s="13">
        <v>33</v>
      </c>
      <c r="V2987" t="s">
        <v>99</v>
      </c>
      <c r="X2987" s="13">
        <v>158</v>
      </c>
    </row>
    <row r="2988" spans="1:24" x14ac:dyDescent="0.25">
      <c r="A2988" t="s">
        <v>2794</v>
      </c>
      <c r="B2988" t="s">
        <v>65</v>
      </c>
      <c r="C2988" t="s">
        <v>2740</v>
      </c>
      <c r="D2988" t="s">
        <v>2741</v>
      </c>
      <c r="E2988" t="s">
        <v>2742</v>
      </c>
      <c r="F2988" t="s">
        <v>94</v>
      </c>
      <c r="G2988" t="s">
        <v>277</v>
      </c>
      <c r="H2988" s="12">
        <v>7.0049999999999999</v>
      </c>
      <c r="I2988" s="12">
        <v>-74.008300000000006</v>
      </c>
      <c r="J2988" t="s">
        <v>2743</v>
      </c>
      <c r="K2988" t="s">
        <v>97</v>
      </c>
      <c r="L2988" t="s">
        <v>1273</v>
      </c>
      <c r="M2988">
        <v>11</v>
      </c>
      <c r="P2988" s="13">
        <v>152</v>
      </c>
      <c r="Q2988" s="13">
        <v>34</v>
      </c>
      <c r="R2988">
        <v>30</v>
      </c>
      <c r="S2988">
        <v>30</v>
      </c>
      <c r="T2988" s="13">
        <v>28</v>
      </c>
      <c r="U2988" s="13">
        <v>31</v>
      </c>
      <c r="V2988" t="s">
        <v>99</v>
      </c>
      <c r="X2988" s="13">
        <v>152</v>
      </c>
    </row>
    <row r="2989" spans="1:24" x14ac:dyDescent="0.25">
      <c r="A2989" t="s">
        <v>2795</v>
      </c>
      <c r="B2989" t="s">
        <v>65</v>
      </c>
      <c r="C2989" t="s">
        <v>2740</v>
      </c>
      <c r="D2989" t="s">
        <v>2741</v>
      </c>
      <c r="E2989" t="s">
        <v>2742</v>
      </c>
      <c r="F2989" t="s">
        <v>94</v>
      </c>
      <c r="G2989" t="s">
        <v>277</v>
      </c>
      <c r="H2989" s="12">
        <v>7.0049999999999999</v>
      </c>
      <c r="I2989" s="12">
        <v>-74.008300000000006</v>
      </c>
      <c r="J2989" t="s">
        <v>2743</v>
      </c>
      <c r="K2989" t="s">
        <v>97</v>
      </c>
      <c r="L2989" t="s">
        <v>1273</v>
      </c>
      <c r="M2989">
        <v>11</v>
      </c>
      <c r="P2989" s="13">
        <v>152</v>
      </c>
      <c r="Q2989" s="13">
        <v>32</v>
      </c>
      <c r="R2989">
        <v>20</v>
      </c>
      <c r="S2989">
        <v>44</v>
      </c>
      <c r="T2989" s="13">
        <v>24</v>
      </c>
      <c r="U2989" s="13">
        <v>36</v>
      </c>
      <c r="V2989" t="s">
        <v>99</v>
      </c>
      <c r="X2989" s="13">
        <v>152</v>
      </c>
    </row>
    <row r="2990" spans="1:24" x14ac:dyDescent="0.25">
      <c r="A2990" t="s">
        <v>2796</v>
      </c>
      <c r="B2990" t="s">
        <v>65</v>
      </c>
      <c r="C2990" t="s">
        <v>2740</v>
      </c>
      <c r="D2990" t="s">
        <v>2741</v>
      </c>
      <c r="E2990" t="s">
        <v>2742</v>
      </c>
      <c r="F2990" t="s">
        <v>94</v>
      </c>
      <c r="G2990" t="s">
        <v>277</v>
      </c>
      <c r="H2990" s="12">
        <v>7.0049999999999999</v>
      </c>
      <c r="I2990" s="12">
        <v>-74.008300000000006</v>
      </c>
      <c r="J2990" t="s">
        <v>2743</v>
      </c>
      <c r="K2990" t="s">
        <v>97</v>
      </c>
      <c r="L2990" t="s">
        <v>1273</v>
      </c>
      <c r="M2990">
        <v>11</v>
      </c>
      <c r="P2990" s="13">
        <v>148</v>
      </c>
      <c r="Q2990" s="13">
        <v>34</v>
      </c>
      <c r="R2990">
        <v>38</v>
      </c>
      <c r="S2990">
        <v>12</v>
      </c>
      <c r="T2990" s="13">
        <v>28</v>
      </c>
      <c r="U2990" s="13">
        <v>49</v>
      </c>
      <c r="V2990" t="s">
        <v>99</v>
      </c>
      <c r="X2990" s="13">
        <v>148</v>
      </c>
    </row>
    <row r="2991" spans="1:24" x14ac:dyDescent="0.25">
      <c r="A2991" t="s">
        <v>2797</v>
      </c>
      <c r="B2991" t="s">
        <v>65</v>
      </c>
      <c r="C2991" t="s">
        <v>2740</v>
      </c>
      <c r="D2991" t="s">
        <v>2741</v>
      </c>
      <c r="E2991" t="s">
        <v>2742</v>
      </c>
      <c r="F2991" t="s">
        <v>94</v>
      </c>
      <c r="G2991" t="s">
        <v>277</v>
      </c>
      <c r="H2991" s="12">
        <v>7.0049999999999999</v>
      </c>
      <c r="I2991" s="12">
        <v>-74.008300000000006</v>
      </c>
      <c r="J2991" t="s">
        <v>2743</v>
      </c>
      <c r="K2991" t="s">
        <v>97</v>
      </c>
      <c r="L2991" t="s">
        <v>1273</v>
      </c>
      <c r="M2991">
        <v>11</v>
      </c>
      <c r="P2991" s="13">
        <v>148</v>
      </c>
      <c r="Q2991" s="13">
        <v>32</v>
      </c>
      <c r="R2991">
        <v>20</v>
      </c>
      <c r="S2991">
        <v>28</v>
      </c>
      <c r="T2991" s="13">
        <v>38</v>
      </c>
      <c r="U2991" s="13">
        <v>31</v>
      </c>
      <c r="V2991" t="s">
        <v>99</v>
      </c>
      <c r="X2991" s="13">
        <v>148</v>
      </c>
    </row>
    <row r="2992" spans="1:24" x14ac:dyDescent="0.25">
      <c r="A2992" t="s">
        <v>2798</v>
      </c>
      <c r="B2992" t="s">
        <v>65</v>
      </c>
      <c r="C2992" t="s">
        <v>2740</v>
      </c>
      <c r="D2992" t="s">
        <v>2741</v>
      </c>
      <c r="E2992" t="s">
        <v>2742</v>
      </c>
      <c r="F2992" t="s">
        <v>94</v>
      </c>
      <c r="G2992" t="s">
        <v>277</v>
      </c>
      <c r="H2992" s="12">
        <v>7.0049999999999999</v>
      </c>
      <c r="I2992" s="12">
        <v>-74.008300000000006</v>
      </c>
      <c r="J2992" t="s">
        <v>2743</v>
      </c>
      <c r="K2992" t="s">
        <v>97</v>
      </c>
      <c r="L2992" t="s">
        <v>1273</v>
      </c>
      <c r="M2992">
        <v>11</v>
      </c>
      <c r="P2992" s="13">
        <v>145</v>
      </c>
      <c r="Q2992" s="13">
        <v>41</v>
      </c>
      <c r="R2992">
        <v>20</v>
      </c>
      <c r="S2992">
        <v>40</v>
      </c>
      <c r="T2992" s="13">
        <v>14</v>
      </c>
      <c r="U2992" s="13">
        <v>31</v>
      </c>
      <c r="V2992" t="s">
        <v>99</v>
      </c>
      <c r="X2992" s="13">
        <v>145</v>
      </c>
    </row>
    <row r="2993" spans="1:24" x14ac:dyDescent="0.25">
      <c r="A2993" t="s">
        <v>2799</v>
      </c>
      <c r="B2993" t="s">
        <v>65</v>
      </c>
      <c r="C2993" t="s">
        <v>2740</v>
      </c>
      <c r="D2993" t="s">
        <v>2741</v>
      </c>
      <c r="E2993" t="s">
        <v>2742</v>
      </c>
      <c r="F2993" t="s">
        <v>94</v>
      </c>
      <c r="G2993" t="s">
        <v>277</v>
      </c>
      <c r="H2993" s="12">
        <v>7.0049999999999999</v>
      </c>
      <c r="I2993" s="12">
        <v>-74.008300000000006</v>
      </c>
      <c r="J2993" t="s">
        <v>2743</v>
      </c>
      <c r="K2993" t="s">
        <v>97</v>
      </c>
      <c r="L2993" t="s">
        <v>1273</v>
      </c>
      <c r="M2993">
        <v>11</v>
      </c>
      <c r="P2993" s="13">
        <v>145</v>
      </c>
      <c r="Q2993" s="13">
        <v>34</v>
      </c>
      <c r="R2993">
        <v>24</v>
      </c>
      <c r="S2993">
        <v>28</v>
      </c>
      <c r="T2993" s="13">
        <v>28</v>
      </c>
      <c r="U2993" s="13">
        <v>35</v>
      </c>
      <c r="V2993" t="s">
        <v>99</v>
      </c>
      <c r="X2993" s="13">
        <v>145</v>
      </c>
    </row>
    <row r="2994" spans="1:24" x14ac:dyDescent="0.25">
      <c r="A2994" t="s">
        <v>2800</v>
      </c>
      <c r="B2994" t="s">
        <v>65</v>
      </c>
      <c r="C2994" t="s">
        <v>2740</v>
      </c>
      <c r="D2994" t="s">
        <v>2741</v>
      </c>
      <c r="E2994" t="s">
        <v>2742</v>
      </c>
      <c r="F2994" t="s">
        <v>94</v>
      </c>
      <c r="G2994" t="s">
        <v>277</v>
      </c>
      <c r="H2994" s="12">
        <v>7.0049999999999999</v>
      </c>
      <c r="I2994" s="12">
        <v>-74.008300000000006</v>
      </c>
      <c r="J2994" t="s">
        <v>2743</v>
      </c>
      <c r="K2994" t="s">
        <v>97</v>
      </c>
      <c r="L2994" t="s">
        <v>1273</v>
      </c>
      <c r="M2994">
        <v>11</v>
      </c>
      <c r="P2994" s="13">
        <v>143</v>
      </c>
      <c r="Q2994" s="13">
        <v>32</v>
      </c>
      <c r="R2994">
        <v>16</v>
      </c>
      <c r="S2994">
        <v>28</v>
      </c>
      <c r="T2994" s="13">
        <v>34</v>
      </c>
      <c r="U2994" s="13">
        <v>42</v>
      </c>
      <c r="V2994" t="s">
        <v>99</v>
      </c>
      <c r="X2994" s="13">
        <v>143</v>
      </c>
    </row>
    <row r="2995" spans="1:24" x14ac:dyDescent="0.25">
      <c r="A2995" t="s">
        <v>2801</v>
      </c>
      <c r="B2995" t="s">
        <v>65</v>
      </c>
      <c r="C2995" t="s">
        <v>2740</v>
      </c>
      <c r="D2995" t="s">
        <v>2741</v>
      </c>
      <c r="E2995" t="s">
        <v>2742</v>
      </c>
      <c r="F2995" t="s">
        <v>94</v>
      </c>
      <c r="G2995" t="s">
        <v>277</v>
      </c>
      <c r="H2995" s="12">
        <v>7.0049999999999999</v>
      </c>
      <c r="I2995" s="12">
        <v>-74.008300000000006</v>
      </c>
      <c r="J2995" t="s">
        <v>2743</v>
      </c>
      <c r="K2995" t="s">
        <v>97</v>
      </c>
      <c r="L2995" t="s">
        <v>1273</v>
      </c>
      <c r="M2995">
        <v>11</v>
      </c>
      <c r="P2995" s="13">
        <v>140</v>
      </c>
      <c r="Q2995" s="13">
        <v>27</v>
      </c>
      <c r="R2995">
        <v>28</v>
      </c>
      <c r="S2995">
        <v>40</v>
      </c>
      <c r="T2995" s="13">
        <v>19</v>
      </c>
      <c r="U2995" s="13">
        <v>24</v>
      </c>
      <c r="V2995" t="s">
        <v>99</v>
      </c>
      <c r="X2995" s="13">
        <v>140</v>
      </c>
    </row>
    <row r="2996" spans="1:24" x14ac:dyDescent="0.25">
      <c r="A2996" t="s">
        <v>2802</v>
      </c>
      <c r="B2996" t="s">
        <v>65</v>
      </c>
      <c r="C2996" t="s">
        <v>2740</v>
      </c>
      <c r="D2996" t="s">
        <v>2741</v>
      </c>
      <c r="E2996" t="s">
        <v>2742</v>
      </c>
      <c r="F2996" t="s">
        <v>94</v>
      </c>
      <c r="G2996" t="s">
        <v>277</v>
      </c>
      <c r="H2996" s="12">
        <v>7.0049999999999999</v>
      </c>
      <c r="I2996" s="12">
        <v>-74.008300000000006</v>
      </c>
      <c r="J2996" t="s">
        <v>2743</v>
      </c>
      <c r="K2996" t="s">
        <v>97</v>
      </c>
      <c r="L2996" t="s">
        <v>1273</v>
      </c>
      <c r="M2996">
        <v>11</v>
      </c>
      <c r="P2996" s="13">
        <v>138</v>
      </c>
      <c r="Q2996" s="13">
        <v>22</v>
      </c>
      <c r="R2996">
        <v>20</v>
      </c>
      <c r="S2996">
        <v>40</v>
      </c>
      <c r="T2996" s="13">
        <v>28</v>
      </c>
      <c r="U2996" s="13">
        <v>29</v>
      </c>
      <c r="V2996" t="s">
        <v>99</v>
      </c>
      <c r="X2996" s="13">
        <v>138</v>
      </c>
    </row>
    <row r="2997" spans="1:24" x14ac:dyDescent="0.25">
      <c r="A2997" t="s">
        <v>2803</v>
      </c>
      <c r="B2997" t="s">
        <v>65</v>
      </c>
      <c r="C2997" t="s">
        <v>2740</v>
      </c>
      <c r="D2997" t="s">
        <v>2741</v>
      </c>
      <c r="E2997" t="s">
        <v>2742</v>
      </c>
      <c r="F2997" t="s">
        <v>94</v>
      </c>
      <c r="G2997" t="s">
        <v>277</v>
      </c>
      <c r="H2997" s="12">
        <v>7.0049999999999999</v>
      </c>
      <c r="I2997" s="12">
        <v>-74.008300000000006</v>
      </c>
      <c r="J2997" t="s">
        <v>2743</v>
      </c>
      <c r="K2997" t="s">
        <v>97</v>
      </c>
      <c r="L2997" t="s">
        <v>1273</v>
      </c>
      <c r="M2997">
        <v>11</v>
      </c>
      <c r="P2997" s="13">
        <v>135</v>
      </c>
      <c r="Q2997" s="13">
        <v>24</v>
      </c>
      <c r="R2997">
        <v>16</v>
      </c>
      <c r="S2997">
        <v>44</v>
      </c>
      <c r="T2997" s="13">
        <v>21</v>
      </c>
      <c r="U2997" s="13">
        <v>35</v>
      </c>
      <c r="V2997" t="s">
        <v>99</v>
      </c>
      <c r="X2997" s="13">
        <v>135</v>
      </c>
    </row>
    <row r="2998" spans="1:24" x14ac:dyDescent="0.25">
      <c r="A2998" t="s">
        <v>2804</v>
      </c>
      <c r="B2998" t="s">
        <v>65</v>
      </c>
      <c r="C2998" t="s">
        <v>2740</v>
      </c>
      <c r="D2998" t="s">
        <v>2741</v>
      </c>
      <c r="E2998" t="s">
        <v>2742</v>
      </c>
      <c r="F2998" t="s">
        <v>94</v>
      </c>
      <c r="G2998" t="s">
        <v>277</v>
      </c>
      <c r="H2998" s="12">
        <v>7.0049999999999999</v>
      </c>
      <c r="I2998" s="12">
        <v>-74.008300000000006</v>
      </c>
      <c r="J2998" t="s">
        <v>2743</v>
      </c>
      <c r="K2998" t="s">
        <v>97</v>
      </c>
      <c r="L2998" t="s">
        <v>1273</v>
      </c>
      <c r="M2998">
        <v>11</v>
      </c>
      <c r="P2998" s="13">
        <v>132</v>
      </c>
      <c r="Q2998" s="13">
        <v>24</v>
      </c>
      <c r="R2998">
        <v>26</v>
      </c>
      <c r="S2998">
        <v>20</v>
      </c>
      <c r="T2998" s="13">
        <v>31</v>
      </c>
      <c r="U2998" s="13">
        <v>40</v>
      </c>
      <c r="V2998" t="s">
        <v>99</v>
      </c>
      <c r="X2998" s="13">
        <v>132</v>
      </c>
    </row>
    <row r="2999" spans="1:24" x14ac:dyDescent="0.25">
      <c r="A2999" t="s">
        <v>2805</v>
      </c>
      <c r="B2999" t="s">
        <v>65</v>
      </c>
      <c r="C2999" t="s">
        <v>2740</v>
      </c>
      <c r="D2999" t="s">
        <v>2741</v>
      </c>
      <c r="E2999" t="s">
        <v>2742</v>
      </c>
      <c r="F2999" t="s">
        <v>94</v>
      </c>
      <c r="G2999" t="s">
        <v>277</v>
      </c>
      <c r="H2999" s="12">
        <v>7.0049999999999999</v>
      </c>
      <c r="I2999" s="12">
        <v>-74.008300000000006</v>
      </c>
      <c r="J2999" t="s">
        <v>2743</v>
      </c>
      <c r="K2999" t="s">
        <v>97</v>
      </c>
      <c r="L2999" t="s">
        <v>1273</v>
      </c>
      <c r="M2999">
        <v>11</v>
      </c>
      <c r="P2999" s="13">
        <v>128</v>
      </c>
      <c r="Q2999" s="13">
        <v>32</v>
      </c>
      <c r="R2999">
        <v>22</v>
      </c>
      <c r="S2999">
        <v>26</v>
      </c>
      <c r="T2999" s="13">
        <v>24</v>
      </c>
      <c r="U2999" s="13">
        <v>20</v>
      </c>
      <c r="V2999" t="s">
        <v>99</v>
      </c>
      <c r="X2999" s="13">
        <v>128</v>
      </c>
    </row>
    <row r="3000" spans="1:24" x14ac:dyDescent="0.25">
      <c r="A3000" t="s">
        <v>2806</v>
      </c>
      <c r="B3000" t="s">
        <v>65</v>
      </c>
      <c r="C3000" t="s">
        <v>2740</v>
      </c>
      <c r="D3000" t="s">
        <v>2741</v>
      </c>
      <c r="E3000" t="s">
        <v>2742</v>
      </c>
      <c r="F3000" t="s">
        <v>94</v>
      </c>
      <c r="G3000" t="s">
        <v>277</v>
      </c>
      <c r="H3000" s="12">
        <v>7.0049999999999999</v>
      </c>
      <c r="I3000" s="12">
        <v>-74.008300000000006</v>
      </c>
      <c r="J3000" t="s">
        <v>2743</v>
      </c>
      <c r="K3000" t="s">
        <v>97</v>
      </c>
      <c r="L3000" t="s">
        <v>1273</v>
      </c>
      <c r="M3000">
        <v>11</v>
      </c>
      <c r="P3000" s="13">
        <v>124</v>
      </c>
      <c r="Q3000" s="13">
        <v>34</v>
      </c>
      <c r="R3000">
        <v>22</v>
      </c>
      <c r="S3000">
        <v>24</v>
      </c>
      <c r="T3000" s="13">
        <v>19</v>
      </c>
      <c r="U3000" s="13">
        <v>25</v>
      </c>
      <c r="V3000" t="s">
        <v>99</v>
      </c>
      <c r="X3000" s="13">
        <v>124</v>
      </c>
    </row>
    <row r="3001" spans="1:24" x14ac:dyDescent="0.25">
      <c r="A3001" t="s">
        <v>2807</v>
      </c>
      <c r="B3001" t="s">
        <v>65</v>
      </c>
      <c r="C3001" t="s">
        <v>2740</v>
      </c>
      <c r="D3001" t="s">
        <v>2741</v>
      </c>
      <c r="E3001" t="s">
        <v>2742</v>
      </c>
      <c r="F3001" t="s">
        <v>94</v>
      </c>
      <c r="G3001" t="s">
        <v>277</v>
      </c>
      <c r="H3001" s="12">
        <v>7.0049999999999999</v>
      </c>
      <c r="I3001" s="12">
        <v>-74.008300000000006</v>
      </c>
      <c r="J3001" t="s">
        <v>2743</v>
      </c>
      <c r="K3001" t="s">
        <v>97</v>
      </c>
      <c r="L3001" t="s">
        <v>1273</v>
      </c>
      <c r="M3001">
        <v>11</v>
      </c>
      <c r="P3001" s="13">
        <v>123</v>
      </c>
      <c r="Q3001" s="13">
        <v>46</v>
      </c>
      <c r="R3001">
        <v>14</v>
      </c>
      <c r="S3001">
        <v>26</v>
      </c>
      <c r="T3001" s="13">
        <v>21</v>
      </c>
      <c r="U3001" s="13">
        <v>0</v>
      </c>
      <c r="V3001" t="s">
        <v>99</v>
      </c>
      <c r="X3001" s="13">
        <v>123</v>
      </c>
    </row>
    <row r="3002" spans="1:24" x14ac:dyDescent="0.25">
      <c r="A3002" t="s">
        <v>2808</v>
      </c>
      <c r="B3002" t="s">
        <v>65</v>
      </c>
      <c r="C3002" t="s">
        <v>2740</v>
      </c>
      <c r="D3002" t="s">
        <v>2741</v>
      </c>
      <c r="E3002" t="s">
        <v>2742</v>
      </c>
      <c r="F3002" t="s">
        <v>94</v>
      </c>
      <c r="G3002" t="s">
        <v>277</v>
      </c>
      <c r="H3002" s="12">
        <v>7.0049999999999999</v>
      </c>
      <c r="I3002" s="12">
        <v>-74.008300000000006</v>
      </c>
      <c r="J3002" t="s">
        <v>2743</v>
      </c>
      <c r="K3002" t="s">
        <v>97</v>
      </c>
      <c r="L3002" t="s">
        <v>1273</v>
      </c>
      <c r="M3002">
        <v>11</v>
      </c>
      <c r="P3002" s="13">
        <v>89</v>
      </c>
      <c r="Q3002" s="13">
        <v>37</v>
      </c>
      <c r="R3002">
        <v>16</v>
      </c>
      <c r="S3002">
        <v>16</v>
      </c>
      <c r="T3002" s="13">
        <v>9</v>
      </c>
      <c r="U3002" s="13">
        <v>0</v>
      </c>
      <c r="V3002" t="s">
        <v>99</v>
      </c>
      <c r="X3002" s="13">
        <v>89</v>
      </c>
    </row>
    <row r="3003" spans="1:24" x14ac:dyDescent="0.25">
      <c r="A3003" t="s">
        <v>2809</v>
      </c>
      <c r="B3003" t="s">
        <v>65</v>
      </c>
      <c r="C3003" t="s">
        <v>2740</v>
      </c>
      <c r="D3003" t="s">
        <v>2741</v>
      </c>
      <c r="E3003" t="s">
        <v>2742</v>
      </c>
      <c r="F3003" t="s">
        <v>94</v>
      </c>
      <c r="G3003" t="s">
        <v>277</v>
      </c>
      <c r="H3003" s="12">
        <v>7.0049999999999999</v>
      </c>
      <c r="I3003" s="12">
        <v>-74.008300000000006</v>
      </c>
      <c r="J3003" t="s">
        <v>2743</v>
      </c>
      <c r="K3003" t="s">
        <v>97</v>
      </c>
      <c r="L3003" t="s">
        <v>1273</v>
      </c>
      <c r="M3003">
        <v>11</v>
      </c>
      <c r="P3003" s="13">
        <v>83</v>
      </c>
      <c r="Q3003" s="13">
        <v>0</v>
      </c>
      <c r="R3003">
        <v>16</v>
      </c>
      <c r="S3003">
        <v>26</v>
      </c>
      <c r="T3003" s="13">
        <v>17</v>
      </c>
      <c r="U3003" s="13">
        <v>38</v>
      </c>
      <c r="V3003" t="s">
        <v>99</v>
      </c>
      <c r="X3003" s="13">
        <v>83</v>
      </c>
    </row>
    <row r="3004" spans="1:24" x14ac:dyDescent="0.25">
      <c r="A3004" t="s">
        <v>2810</v>
      </c>
      <c r="B3004" t="s">
        <v>65</v>
      </c>
      <c r="C3004" t="s">
        <v>2740</v>
      </c>
      <c r="D3004" t="s">
        <v>2741</v>
      </c>
      <c r="E3004" t="s">
        <v>2742</v>
      </c>
      <c r="F3004" t="s">
        <v>94</v>
      </c>
      <c r="G3004" t="s">
        <v>277</v>
      </c>
      <c r="H3004" s="12">
        <v>7.0049999999999999</v>
      </c>
      <c r="I3004" s="12">
        <v>-74.008300000000006</v>
      </c>
      <c r="J3004" t="s">
        <v>2743</v>
      </c>
      <c r="K3004" t="s">
        <v>97</v>
      </c>
      <c r="L3004" t="s">
        <v>1273</v>
      </c>
      <c r="M3004">
        <v>11</v>
      </c>
      <c r="P3004" s="13">
        <v>56</v>
      </c>
      <c r="Q3004" s="13">
        <v>0</v>
      </c>
      <c r="R3004">
        <v>4</v>
      </c>
      <c r="S3004">
        <v>14</v>
      </c>
      <c r="T3004" s="13">
        <v>19</v>
      </c>
      <c r="U3004" s="13">
        <v>35</v>
      </c>
      <c r="V3004" t="s">
        <v>99</v>
      </c>
      <c r="X3004" s="13">
        <v>56</v>
      </c>
    </row>
    <row r="3005" spans="1:24" x14ac:dyDescent="0.25">
      <c r="A3005" t="s">
        <v>2811</v>
      </c>
      <c r="B3005" t="s">
        <v>65</v>
      </c>
      <c r="C3005" t="s">
        <v>2740</v>
      </c>
      <c r="D3005" t="s">
        <v>2741</v>
      </c>
      <c r="E3005" t="s">
        <v>2742</v>
      </c>
      <c r="F3005" t="s">
        <v>94</v>
      </c>
      <c r="G3005" t="s">
        <v>277</v>
      </c>
      <c r="H3005" s="12">
        <v>7.0049999999999999</v>
      </c>
      <c r="I3005" s="12">
        <v>-74.008300000000006</v>
      </c>
      <c r="J3005" t="s">
        <v>2743</v>
      </c>
      <c r="K3005" t="s">
        <v>97</v>
      </c>
      <c r="L3005" t="s">
        <v>1273</v>
      </c>
      <c r="M3005">
        <v>11</v>
      </c>
      <c r="P3005" s="13">
        <v>46</v>
      </c>
      <c r="Q3005" s="13">
        <v>0</v>
      </c>
      <c r="R3005">
        <v>6</v>
      </c>
      <c r="S3005">
        <v>10</v>
      </c>
      <c r="T3005" s="13">
        <v>12</v>
      </c>
      <c r="U3005" s="13">
        <v>36</v>
      </c>
      <c r="V3005" t="s">
        <v>99</v>
      </c>
      <c r="X3005" s="13">
        <v>46</v>
      </c>
    </row>
    <row r="3006" spans="1:24" x14ac:dyDescent="0.25">
      <c r="A3006" t="s">
        <v>2812</v>
      </c>
      <c r="B3006" t="s">
        <v>65</v>
      </c>
      <c r="C3006" t="s">
        <v>2740</v>
      </c>
      <c r="D3006" t="s">
        <v>2741</v>
      </c>
      <c r="E3006" t="s">
        <v>2742</v>
      </c>
      <c r="F3006" t="s">
        <v>94</v>
      </c>
      <c r="G3006" t="s">
        <v>277</v>
      </c>
      <c r="H3006" s="12">
        <v>7.0049999999999999</v>
      </c>
      <c r="I3006" s="12">
        <v>-74.008300000000006</v>
      </c>
      <c r="J3006" t="s">
        <v>2743</v>
      </c>
      <c r="K3006" t="s">
        <v>97</v>
      </c>
      <c r="L3006" t="s">
        <v>1273</v>
      </c>
      <c r="M3006">
        <v>11</v>
      </c>
      <c r="P3006" s="13">
        <v>40</v>
      </c>
      <c r="Q3006" s="13">
        <v>0</v>
      </c>
      <c r="R3006">
        <v>4</v>
      </c>
      <c r="S3006">
        <v>14</v>
      </c>
      <c r="T3006" s="13">
        <v>9</v>
      </c>
      <c r="U3006" s="13">
        <v>24</v>
      </c>
      <c r="V3006" t="s">
        <v>99</v>
      </c>
      <c r="X3006" s="13">
        <v>40</v>
      </c>
    </row>
    <row r="3007" spans="1:24" x14ac:dyDescent="0.25">
      <c r="A3007" t="s">
        <v>2813</v>
      </c>
      <c r="B3007" t="s">
        <v>65</v>
      </c>
      <c r="C3007" t="s">
        <v>2814</v>
      </c>
      <c r="D3007" t="s">
        <v>2815</v>
      </c>
      <c r="E3007" t="s">
        <v>2816</v>
      </c>
      <c r="F3007" t="s">
        <v>94</v>
      </c>
      <c r="G3007" t="s">
        <v>277</v>
      </c>
      <c r="H3007" s="12">
        <v>7.4913999999999996</v>
      </c>
      <c r="I3007" s="12">
        <v>-74.869200000000006</v>
      </c>
      <c r="J3007" t="s">
        <v>2817</v>
      </c>
      <c r="K3007" t="s">
        <v>97</v>
      </c>
      <c r="L3007" t="s">
        <v>1273</v>
      </c>
      <c r="M3007">
        <v>11</v>
      </c>
      <c r="P3007" s="13">
        <v>267</v>
      </c>
      <c r="Q3007" s="13">
        <v>66</v>
      </c>
      <c r="R3007">
        <v>42</v>
      </c>
      <c r="S3007">
        <v>68</v>
      </c>
      <c r="T3007" s="13">
        <v>38</v>
      </c>
      <c r="U3007" s="13">
        <v>53</v>
      </c>
      <c r="V3007" t="s">
        <v>99</v>
      </c>
      <c r="X3007" s="13">
        <v>267</v>
      </c>
    </row>
    <row r="3008" spans="1:24" x14ac:dyDescent="0.25">
      <c r="A3008" t="s">
        <v>2818</v>
      </c>
      <c r="B3008" t="s">
        <v>65</v>
      </c>
      <c r="C3008" t="s">
        <v>2814</v>
      </c>
      <c r="D3008" t="s">
        <v>2815</v>
      </c>
      <c r="E3008" t="s">
        <v>2816</v>
      </c>
      <c r="F3008" t="s">
        <v>94</v>
      </c>
      <c r="G3008" t="s">
        <v>277</v>
      </c>
      <c r="H3008" s="12">
        <v>7.4913999999999996</v>
      </c>
      <c r="I3008" s="12">
        <v>-74.869200000000006</v>
      </c>
      <c r="J3008" t="s">
        <v>2817</v>
      </c>
      <c r="K3008" t="s">
        <v>97</v>
      </c>
      <c r="L3008" t="s">
        <v>1273</v>
      </c>
      <c r="M3008">
        <v>11</v>
      </c>
      <c r="P3008" s="13">
        <v>231</v>
      </c>
      <c r="Q3008" s="13">
        <v>37</v>
      </c>
      <c r="R3008">
        <v>44</v>
      </c>
      <c r="S3008">
        <v>64</v>
      </c>
      <c r="T3008" s="13">
        <v>38</v>
      </c>
      <c r="U3008" s="13">
        <v>53</v>
      </c>
      <c r="V3008" t="s">
        <v>99</v>
      </c>
      <c r="X3008" s="13">
        <v>231</v>
      </c>
    </row>
    <row r="3009" spans="1:24" x14ac:dyDescent="0.25">
      <c r="A3009" t="s">
        <v>2819</v>
      </c>
      <c r="B3009" t="s">
        <v>65</v>
      </c>
      <c r="C3009" t="s">
        <v>2814</v>
      </c>
      <c r="D3009" t="s">
        <v>2815</v>
      </c>
      <c r="E3009" t="s">
        <v>2816</v>
      </c>
      <c r="F3009" t="s">
        <v>94</v>
      </c>
      <c r="G3009" t="s">
        <v>277</v>
      </c>
      <c r="H3009" s="12">
        <v>7.4913999999999996</v>
      </c>
      <c r="I3009" s="12">
        <v>-74.869200000000006</v>
      </c>
      <c r="J3009" t="s">
        <v>2817</v>
      </c>
      <c r="K3009" t="s">
        <v>97</v>
      </c>
      <c r="L3009" t="s">
        <v>1273</v>
      </c>
      <c r="M3009">
        <v>11</v>
      </c>
      <c r="P3009" s="13">
        <v>230</v>
      </c>
      <c r="Q3009" s="13">
        <v>54</v>
      </c>
      <c r="R3009">
        <v>36</v>
      </c>
      <c r="S3009">
        <v>56</v>
      </c>
      <c r="T3009" s="13">
        <v>40</v>
      </c>
      <c r="U3009" s="13">
        <v>42</v>
      </c>
      <c r="V3009" t="s">
        <v>99</v>
      </c>
      <c r="X3009" s="13">
        <v>230</v>
      </c>
    </row>
    <row r="3010" spans="1:24" x14ac:dyDescent="0.25">
      <c r="A3010" t="s">
        <v>2820</v>
      </c>
      <c r="B3010" t="s">
        <v>65</v>
      </c>
      <c r="C3010" t="s">
        <v>2814</v>
      </c>
      <c r="D3010" t="s">
        <v>2815</v>
      </c>
      <c r="E3010" t="s">
        <v>2816</v>
      </c>
      <c r="F3010" t="s">
        <v>94</v>
      </c>
      <c r="G3010" t="s">
        <v>277</v>
      </c>
      <c r="H3010" s="12">
        <v>7.4913999999999996</v>
      </c>
      <c r="I3010" s="12">
        <v>-74.869200000000006</v>
      </c>
      <c r="J3010" t="s">
        <v>2817</v>
      </c>
      <c r="K3010" t="s">
        <v>97</v>
      </c>
      <c r="L3010" t="s">
        <v>1273</v>
      </c>
      <c r="M3010">
        <v>11</v>
      </c>
      <c r="P3010" s="13">
        <v>226</v>
      </c>
      <c r="Q3010" s="13">
        <v>61</v>
      </c>
      <c r="R3010">
        <v>34</v>
      </c>
      <c r="S3010">
        <v>54</v>
      </c>
      <c r="T3010" s="13">
        <v>36</v>
      </c>
      <c r="U3010" s="13">
        <v>31</v>
      </c>
      <c r="V3010" t="s">
        <v>99</v>
      </c>
      <c r="X3010" s="13">
        <v>226</v>
      </c>
    </row>
    <row r="3011" spans="1:24" x14ac:dyDescent="0.25">
      <c r="A3011" t="s">
        <v>2821</v>
      </c>
      <c r="B3011" t="s">
        <v>65</v>
      </c>
      <c r="C3011" t="s">
        <v>2814</v>
      </c>
      <c r="D3011" t="s">
        <v>2815</v>
      </c>
      <c r="E3011" t="s">
        <v>2816</v>
      </c>
      <c r="F3011" t="s">
        <v>94</v>
      </c>
      <c r="G3011" t="s">
        <v>277</v>
      </c>
      <c r="H3011" s="12">
        <v>7.4913999999999996</v>
      </c>
      <c r="I3011" s="12">
        <v>-74.869200000000006</v>
      </c>
      <c r="J3011" t="s">
        <v>2817</v>
      </c>
      <c r="K3011" t="s">
        <v>97</v>
      </c>
      <c r="L3011" t="s">
        <v>1273</v>
      </c>
      <c r="M3011">
        <v>11</v>
      </c>
      <c r="P3011" s="13">
        <v>202</v>
      </c>
      <c r="Q3011" s="13">
        <v>51</v>
      </c>
      <c r="R3011">
        <v>24</v>
      </c>
      <c r="S3011">
        <v>54</v>
      </c>
      <c r="T3011" s="13">
        <v>36</v>
      </c>
      <c r="U3011" s="13">
        <v>29</v>
      </c>
      <c r="V3011" t="s">
        <v>99</v>
      </c>
      <c r="X3011" s="13">
        <v>202</v>
      </c>
    </row>
    <row r="3012" spans="1:24" x14ac:dyDescent="0.25">
      <c r="A3012" t="s">
        <v>2822</v>
      </c>
      <c r="B3012" t="s">
        <v>65</v>
      </c>
      <c r="C3012" t="s">
        <v>2814</v>
      </c>
      <c r="D3012" t="s">
        <v>2815</v>
      </c>
      <c r="E3012" t="s">
        <v>2816</v>
      </c>
      <c r="F3012" t="s">
        <v>94</v>
      </c>
      <c r="G3012" t="s">
        <v>277</v>
      </c>
      <c r="H3012" s="12">
        <v>7.4913999999999996</v>
      </c>
      <c r="I3012" s="12">
        <v>-74.869200000000006</v>
      </c>
      <c r="J3012" t="s">
        <v>2817</v>
      </c>
      <c r="K3012" t="s">
        <v>97</v>
      </c>
      <c r="L3012" t="s">
        <v>1273</v>
      </c>
      <c r="M3012">
        <v>11</v>
      </c>
      <c r="P3012" s="13">
        <v>197</v>
      </c>
      <c r="Q3012" s="13">
        <v>51</v>
      </c>
      <c r="R3012">
        <v>30</v>
      </c>
      <c r="S3012">
        <v>44</v>
      </c>
      <c r="T3012" s="13">
        <v>31</v>
      </c>
      <c r="U3012" s="13">
        <v>44</v>
      </c>
      <c r="V3012" t="s">
        <v>99</v>
      </c>
      <c r="X3012" s="13">
        <v>197</v>
      </c>
    </row>
    <row r="3013" spans="1:24" x14ac:dyDescent="0.25">
      <c r="A3013" t="s">
        <v>2823</v>
      </c>
      <c r="B3013" t="s">
        <v>65</v>
      </c>
      <c r="C3013" t="s">
        <v>2814</v>
      </c>
      <c r="D3013" t="s">
        <v>2815</v>
      </c>
      <c r="E3013" t="s">
        <v>2816</v>
      </c>
      <c r="F3013" t="s">
        <v>94</v>
      </c>
      <c r="G3013" t="s">
        <v>277</v>
      </c>
      <c r="H3013" s="12">
        <v>7.4913999999999996</v>
      </c>
      <c r="I3013" s="12">
        <v>-74.869200000000006</v>
      </c>
      <c r="J3013" t="s">
        <v>2817</v>
      </c>
      <c r="K3013" t="s">
        <v>97</v>
      </c>
      <c r="L3013" t="s">
        <v>1273</v>
      </c>
      <c r="M3013">
        <v>11</v>
      </c>
      <c r="P3013" s="13">
        <v>195</v>
      </c>
      <c r="Q3013" s="13">
        <v>54</v>
      </c>
      <c r="R3013">
        <v>22</v>
      </c>
      <c r="S3013">
        <v>50</v>
      </c>
      <c r="T3013" s="13">
        <v>33</v>
      </c>
      <c r="U3013" s="13">
        <v>33</v>
      </c>
      <c r="V3013" t="s">
        <v>99</v>
      </c>
      <c r="X3013" s="13">
        <v>195</v>
      </c>
    </row>
    <row r="3014" spans="1:24" x14ac:dyDescent="0.25">
      <c r="A3014" t="s">
        <v>2824</v>
      </c>
      <c r="B3014" t="s">
        <v>65</v>
      </c>
      <c r="C3014" t="s">
        <v>2814</v>
      </c>
      <c r="D3014" t="s">
        <v>2815</v>
      </c>
      <c r="E3014" t="s">
        <v>2816</v>
      </c>
      <c r="F3014" t="s">
        <v>94</v>
      </c>
      <c r="G3014" t="s">
        <v>277</v>
      </c>
      <c r="H3014" s="12">
        <v>7.4913999999999996</v>
      </c>
      <c r="I3014" s="12">
        <v>-74.869200000000006</v>
      </c>
      <c r="J3014" t="s">
        <v>2817</v>
      </c>
      <c r="K3014" t="s">
        <v>97</v>
      </c>
      <c r="L3014" t="s">
        <v>1273</v>
      </c>
      <c r="M3014">
        <v>11</v>
      </c>
      <c r="P3014" s="13">
        <v>195</v>
      </c>
      <c r="Q3014" s="13">
        <v>56</v>
      </c>
      <c r="R3014">
        <v>34</v>
      </c>
      <c r="S3014">
        <v>36</v>
      </c>
      <c r="T3014" s="13">
        <v>21</v>
      </c>
      <c r="U3014" s="13">
        <v>67</v>
      </c>
      <c r="V3014" t="s">
        <v>99</v>
      </c>
      <c r="X3014" s="13">
        <v>195</v>
      </c>
    </row>
    <row r="3015" spans="1:24" x14ac:dyDescent="0.25">
      <c r="A3015" t="s">
        <v>2825</v>
      </c>
      <c r="B3015" t="s">
        <v>65</v>
      </c>
      <c r="C3015" t="s">
        <v>2814</v>
      </c>
      <c r="D3015" t="s">
        <v>2815</v>
      </c>
      <c r="E3015" t="s">
        <v>2816</v>
      </c>
      <c r="F3015" t="s">
        <v>94</v>
      </c>
      <c r="G3015" t="s">
        <v>277</v>
      </c>
      <c r="H3015" s="12">
        <v>7.4913999999999996</v>
      </c>
      <c r="I3015" s="12">
        <v>-74.869200000000006</v>
      </c>
      <c r="J3015" t="s">
        <v>2817</v>
      </c>
      <c r="K3015" t="s">
        <v>97</v>
      </c>
      <c r="L3015" t="s">
        <v>1273</v>
      </c>
      <c r="M3015">
        <v>11</v>
      </c>
      <c r="P3015" s="13">
        <v>192</v>
      </c>
      <c r="Q3015" s="13">
        <v>46</v>
      </c>
      <c r="R3015">
        <v>24</v>
      </c>
      <c r="S3015">
        <v>56</v>
      </c>
      <c r="T3015" s="13">
        <v>28</v>
      </c>
      <c r="U3015" s="13">
        <v>36</v>
      </c>
      <c r="V3015" t="s">
        <v>99</v>
      </c>
      <c r="X3015" s="13">
        <v>192</v>
      </c>
    </row>
    <row r="3016" spans="1:24" x14ac:dyDescent="0.25">
      <c r="A3016" t="s">
        <v>2826</v>
      </c>
      <c r="B3016" t="s">
        <v>65</v>
      </c>
      <c r="C3016" t="s">
        <v>2814</v>
      </c>
      <c r="D3016" t="s">
        <v>2815</v>
      </c>
      <c r="E3016" t="s">
        <v>2816</v>
      </c>
      <c r="F3016" t="s">
        <v>94</v>
      </c>
      <c r="G3016" t="s">
        <v>277</v>
      </c>
      <c r="H3016" s="12">
        <v>7.4913999999999996</v>
      </c>
      <c r="I3016" s="12">
        <v>-74.869200000000006</v>
      </c>
      <c r="J3016" t="s">
        <v>2817</v>
      </c>
      <c r="K3016" t="s">
        <v>97</v>
      </c>
      <c r="L3016" t="s">
        <v>1273</v>
      </c>
      <c r="M3016">
        <v>11</v>
      </c>
      <c r="P3016" s="13">
        <v>184</v>
      </c>
      <c r="Q3016" s="13">
        <v>44</v>
      </c>
      <c r="R3016">
        <v>30</v>
      </c>
      <c r="S3016">
        <v>28</v>
      </c>
      <c r="T3016" s="13">
        <v>38</v>
      </c>
      <c r="U3016" s="13">
        <v>58</v>
      </c>
      <c r="V3016" t="s">
        <v>99</v>
      </c>
      <c r="X3016" s="13">
        <v>184</v>
      </c>
    </row>
    <row r="3017" spans="1:24" x14ac:dyDescent="0.25">
      <c r="A3017" t="s">
        <v>2827</v>
      </c>
      <c r="B3017" t="s">
        <v>65</v>
      </c>
      <c r="C3017" t="s">
        <v>2814</v>
      </c>
      <c r="D3017" t="s">
        <v>2815</v>
      </c>
      <c r="E3017" t="s">
        <v>2816</v>
      </c>
      <c r="F3017" t="s">
        <v>94</v>
      </c>
      <c r="G3017" t="s">
        <v>277</v>
      </c>
      <c r="H3017" s="12">
        <v>7.4913999999999996</v>
      </c>
      <c r="I3017" s="12">
        <v>-74.869200000000006</v>
      </c>
      <c r="J3017" t="s">
        <v>2817</v>
      </c>
      <c r="K3017" t="s">
        <v>97</v>
      </c>
      <c r="L3017" t="s">
        <v>1273</v>
      </c>
      <c r="M3017">
        <v>11</v>
      </c>
      <c r="P3017" s="13">
        <v>180</v>
      </c>
      <c r="Q3017" s="13">
        <v>46</v>
      </c>
      <c r="R3017">
        <v>18</v>
      </c>
      <c r="S3017">
        <v>48</v>
      </c>
      <c r="T3017" s="13">
        <v>31</v>
      </c>
      <c r="U3017" s="13">
        <v>38</v>
      </c>
      <c r="V3017" t="s">
        <v>99</v>
      </c>
      <c r="X3017" s="13">
        <v>180</v>
      </c>
    </row>
    <row r="3018" spans="1:24" x14ac:dyDescent="0.25">
      <c r="A3018" t="s">
        <v>2828</v>
      </c>
      <c r="B3018" t="s">
        <v>65</v>
      </c>
      <c r="C3018" t="s">
        <v>2814</v>
      </c>
      <c r="D3018" t="s">
        <v>2815</v>
      </c>
      <c r="E3018" t="s">
        <v>2816</v>
      </c>
      <c r="F3018" t="s">
        <v>94</v>
      </c>
      <c r="G3018" t="s">
        <v>277</v>
      </c>
      <c r="H3018" s="12">
        <v>7.4913999999999996</v>
      </c>
      <c r="I3018" s="12">
        <v>-74.869200000000006</v>
      </c>
      <c r="J3018" t="s">
        <v>2817</v>
      </c>
      <c r="K3018" t="s">
        <v>97</v>
      </c>
      <c r="L3018" t="s">
        <v>1273</v>
      </c>
      <c r="M3018">
        <v>11</v>
      </c>
      <c r="P3018" s="13">
        <v>179</v>
      </c>
      <c r="Q3018" s="13">
        <v>41</v>
      </c>
      <c r="R3018">
        <v>28</v>
      </c>
      <c r="S3018">
        <v>40</v>
      </c>
      <c r="T3018" s="13">
        <v>33</v>
      </c>
      <c r="U3018" s="13">
        <v>38</v>
      </c>
      <c r="V3018" t="s">
        <v>99</v>
      </c>
      <c r="X3018" s="13">
        <v>179</v>
      </c>
    </row>
    <row r="3019" spans="1:24" x14ac:dyDescent="0.25">
      <c r="A3019" t="s">
        <v>2829</v>
      </c>
      <c r="B3019" t="s">
        <v>65</v>
      </c>
      <c r="C3019" t="s">
        <v>2814</v>
      </c>
      <c r="D3019" t="s">
        <v>2815</v>
      </c>
      <c r="E3019" t="s">
        <v>2816</v>
      </c>
      <c r="F3019" t="s">
        <v>94</v>
      </c>
      <c r="G3019" t="s">
        <v>277</v>
      </c>
      <c r="H3019" s="12">
        <v>7.4913999999999996</v>
      </c>
      <c r="I3019" s="12">
        <v>-74.869200000000006</v>
      </c>
      <c r="J3019" t="s">
        <v>2817</v>
      </c>
      <c r="K3019" t="s">
        <v>97</v>
      </c>
      <c r="L3019" t="s">
        <v>1273</v>
      </c>
      <c r="M3019">
        <v>11</v>
      </c>
      <c r="P3019" s="13">
        <v>178</v>
      </c>
      <c r="Q3019" s="13">
        <v>32</v>
      </c>
      <c r="R3019">
        <v>32</v>
      </c>
      <c r="S3019">
        <v>40</v>
      </c>
      <c r="T3019" s="13">
        <v>36</v>
      </c>
      <c r="U3019" s="13">
        <v>44</v>
      </c>
      <c r="V3019" t="s">
        <v>99</v>
      </c>
      <c r="X3019" s="13">
        <v>178</v>
      </c>
    </row>
    <row r="3020" spans="1:24" x14ac:dyDescent="0.25">
      <c r="A3020" t="s">
        <v>2830</v>
      </c>
      <c r="B3020" t="s">
        <v>65</v>
      </c>
      <c r="C3020" t="s">
        <v>2814</v>
      </c>
      <c r="D3020" t="s">
        <v>2815</v>
      </c>
      <c r="E3020" t="s">
        <v>2816</v>
      </c>
      <c r="F3020" t="s">
        <v>94</v>
      </c>
      <c r="G3020" t="s">
        <v>277</v>
      </c>
      <c r="H3020" s="12">
        <v>7.4913999999999996</v>
      </c>
      <c r="I3020" s="12">
        <v>-74.869200000000006</v>
      </c>
      <c r="J3020" t="s">
        <v>2817</v>
      </c>
      <c r="K3020" t="s">
        <v>97</v>
      </c>
      <c r="L3020" t="s">
        <v>1273</v>
      </c>
      <c r="M3020">
        <v>11</v>
      </c>
      <c r="P3020" s="13">
        <v>175</v>
      </c>
      <c r="Q3020" s="13">
        <v>39</v>
      </c>
      <c r="R3020">
        <v>26</v>
      </c>
      <c r="S3020">
        <v>42</v>
      </c>
      <c r="T3020" s="13">
        <v>29</v>
      </c>
      <c r="U3020" s="13">
        <v>45</v>
      </c>
      <c r="V3020" t="s">
        <v>99</v>
      </c>
      <c r="X3020" s="13">
        <v>175</v>
      </c>
    </row>
    <row r="3021" spans="1:24" x14ac:dyDescent="0.25">
      <c r="A3021" t="s">
        <v>2831</v>
      </c>
      <c r="B3021" t="s">
        <v>65</v>
      </c>
      <c r="C3021" t="s">
        <v>2814</v>
      </c>
      <c r="D3021" t="s">
        <v>2815</v>
      </c>
      <c r="E3021" t="s">
        <v>2816</v>
      </c>
      <c r="F3021" t="s">
        <v>94</v>
      </c>
      <c r="G3021" t="s">
        <v>277</v>
      </c>
      <c r="H3021" s="12">
        <v>7.4913999999999996</v>
      </c>
      <c r="I3021" s="12">
        <v>-74.869200000000006</v>
      </c>
      <c r="J3021" t="s">
        <v>2817</v>
      </c>
      <c r="K3021" t="s">
        <v>97</v>
      </c>
      <c r="L3021" t="s">
        <v>1273</v>
      </c>
      <c r="M3021">
        <v>11</v>
      </c>
      <c r="P3021" s="13">
        <v>167</v>
      </c>
      <c r="Q3021" s="13">
        <v>37</v>
      </c>
      <c r="R3021">
        <v>28</v>
      </c>
      <c r="S3021">
        <v>36</v>
      </c>
      <c r="T3021" s="13">
        <v>31</v>
      </c>
      <c r="U3021" s="13">
        <v>38</v>
      </c>
      <c r="V3021" t="s">
        <v>99</v>
      </c>
      <c r="X3021" s="13">
        <v>167</v>
      </c>
    </row>
    <row r="3022" spans="1:24" x14ac:dyDescent="0.25">
      <c r="A3022" t="s">
        <v>2832</v>
      </c>
      <c r="B3022" t="s">
        <v>65</v>
      </c>
      <c r="C3022" t="s">
        <v>2814</v>
      </c>
      <c r="D3022" t="s">
        <v>2815</v>
      </c>
      <c r="E3022" t="s">
        <v>2816</v>
      </c>
      <c r="F3022" t="s">
        <v>94</v>
      </c>
      <c r="G3022" t="s">
        <v>277</v>
      </c>
      <c r="H3022" s="12">
        <v>7.4913999999999996</v>
      </c>
      <c r="I3022" s="12">
        <v>-74.869200000000006</v>
      </c>
      <c r="J3022" t="s">
        <v>2817</v>
      </c>
      <c r="K3022" t="s">
        <v>97</v>
      </c>
      <c r="L3022" t="s">
        <v>1273</v>
      </c>
      <c r="M3022">
        <v>11</v>
      </c>
      <c r="P3022" s="13">
        <v>160</v>
      </c>
      <c r="Q3022" s="13">
        <v>37</v>
      </c>
      <c r="R3022">
        <v>34</v>
      </c>
      <c r="S3022">
        <v>34</v>
      </c>
      <c r="T3022" s="13">
        <v>22</v>
      </c>
      <c r="U3022" s="13">
        <v>35</v>
      </c>
      <c r="V3022" t="s">
        <v>99</v>
      </c>
      <c r="X3022" s="13">
        <v>160</v>
      </c>
    </row>
    <row r="3023" spans="1:24" x14ac:dyDescent="0.25">
      <c r="A3023" t="s">
        <v>2833</v>
      </c>
      <c r="B3023" t="s">
        <v>65</v>
      </c>
      <c r="C3023" t="s">
        <v>2814</v>
      </c>
      <c r="D3023" t="s">
        <v>2815</v>
      </c>
      <c r="E3023" t="s">
        <v>2816</v>
      </c>
      <c r="F3023" t="s">
        <v>94</v>
      </c>
      <c r="G3023" t="s">
        <v>277</v>
      </c>
      <c r="H3023" s="12">
        <v>7.4913999999999996</v>
      </c>
      <c r="I3023" s="12">
        <v>-74.869200000000006</v>
      </c>
      <c r="J3023" t="s">
        <v>2817</v>
      </c>
      <c r="K3023" t="s">
        <v>97</v>
      </c>
      <c r="L3023" t="s">
        <v>1273</v>
      </c>
      <c r="M3023">
        <v>11</v>
      </c>
      <c r="P3023" s="13">
        <v>155</v>
      </c>
      <c r="Q3023" s="13">
        <v>22</v>
      </c>
      <c r="R3023">
        <v>28</v>
      </c>
      <c r="S3023">
        <v>40</v>
      </c>
      <c r="T3023" s="13">
        <v>28</v>
      </c>
      <c r="U3023" s="13">
        <v>49</v>
      </c>
      <c r="V3023" t="s">
        <v>99</v>
      </c>
      <c r="X3023" s="13">
        <v>155</v>
      </c>
    </row>
    <row r="3024" spans="1:24" x14ac:dyDescent="0.25">
      <c r="A3024" t="s">
        <v>2834</v>
      </c>
      <c r="B3024" t="s">
        <v>65</v>
      </c>
      <c r="C3024" t="s">
        <v>2814</v>
      </c>
      <c r="D3024" t="s">
        <v>2815</v>
      </c>
      <c r="E3024" t="s">
        <v>2816</v>
      </c>
      <c r="F3024" t="s">
        <v>94</v>
      </c>
      <c r="G3024" t="s">
        <v>277</v>
      </c>
      <c r="H3024" s="12">
        <v>7.4913999999999996</v>
      </c>
      <c r="I3024" s="12">
        <v>-74.869200000000006</v>
      </c>
      <c r="J3024" t="s">
        <v>2817</v>
      </c>
      <c r="K3024" t="s">
        <v>97</v>
      </c>
      <c r="L3024" t="s">
        <v>1273</v>
      </c>
      <c r="M3024">
        <v>11</v>
      </c>
      <c r="P3024" s="13">
        <v>153</v>
      </c>
      <c r="Q3024" s="13">
        <v>32</v>
      </c>
      <c r="R3024">
        <v>16</v>
      </c>
      <c r="S3024">
        <v>36</v>
      </c>
      <c r="T3024" s="13">
        <v>34</v>
      </c>
      <c r="U3024" s="13">
        <v>44</v>
      </c>
      <c r="V3024" t="s">
        <v>99</v>
      </c>
      <c r="X3024" s="13">
        <v>153</v>
      </c>
    </row>
    <row r="3025" spans="1:24" x14ac:dyDescent="0.25">
      <c r="A3025" t="s">
        <v>2835</v>
      </c>
      <c r="B3025" t="s">
        <v>65</v>
      </c>
      <c r="C3025" t="s">
        <v>2814</v>
      </c>
      <c r="D3025" t="s">
        <v>2815</v>
      </c>
      <c r="E3025" t="s">
        <v>2816</v>
      </c>
      <c r="F3025" t="s">
        <v>94</v>
      </c>
      <c r="G3025" t="s">
        <v>277</v>
      </c>
      <c r="H3025" s="12">
        <v>7.4913999999999996</v>
      </c>
      <c r="I3025" s="12">
        <v>-74.869200000000006</v>
      </c>
      <c r="J3025" t="s">
        <v>2817</v>
      </c>
      <c r="K3025" t="s">
        <v>97</v>
      </c>
      <c r="L3025" t="s">
        <v>1273</v>
      </c>
      <c r="M3025">
        <v>11</v>
      </c>
      <c r="P3025" s="13">
        <v>153</v>
      </c>
      <c r="Q3025" s="13">
        <v>22</v>
      </c>
      <c r="R3025">
        <v>28</v>
      </c>
      <c r="S3025">
        <v>42</v>
      </c>
      <c r="T3025" s="13">
        <v>29</v>
      </c>
      <c r="U3025" s="13">
        <v>33</v>
      </c>
      <c r="V3025" t="s">
        <v>99</v>
      </c>
      <c r="X3025" s="13">
        <v>153</v>
      </c>
    </row>
    <row r="3026" spans="1:24" x14ac:dyDescent="0.25">
      <c r="A3026" t="s">
        <v>2836</v>
      </c>
      <c r="B3026" t="s">
        <v>65</v>
      </c>
      <c r="C3026" t="s">
        <v>2814</v>
      </c>
      <c r="D3026" t="s">
        <v>2815</v>
      </c>
      <c r="E3026" t="s">
        <v>2816</v>
      </c>
      <c r="F3026" t="s">
        <v>94</v>
      </c>
      <c r="G3026" t="s">
        <v>277</v>
      </c>
      <c r="H3026" s="12">
        <v>7.4913999999999996</v>
      </c>
      <c r="I3026" s="12">
        <v>-74.869200000000006</v>
      </c>
      <c r="J3026" t="s">
        <v>2817</v>
      </c>
      <c r="K3026" t="s">
        <v>97</v>
      </c>
      <c r="L3026" t="s">
        <v>1273</v>
      </c>
      <c r="M3026">
        <v>11</v>
      </c>
      <c r="P3026" s="13">
        <v>148</v>
      </c>
      <c r="Q3026" s="13">
        <v>20</v>
      </c>
      <c r="R3026">
        <v>34</v>
      </c>
      <c r="S3026">
        <v>36</v>
      </c>
      <c r="T3026" s="13">
        <v>28</v>
      </c>
      <c r="U3026" s="13">
        <v>33</v>
      </c>
      <c r="V3026" t="s">
        <v>99</v>
      </c>
      <c r="X3026" s="13">
        <v>148</v>
      </c>
    </row>
    <row r="3027" spans="1:24" x14ac:dyDescent="0.25">
      <c r="A3027" t="s">
        <v>2837</v>
      </c>
      <c r="B3027" t="s">
        <v>65</v>
      </c>
      <c r="C3027" t="s">
        <v>2814</v>
      </c>
      <c r="D3027" t="s">
        <v>2815</v>
      </c>
      <c r="E3027" t="s">
        <v>2816</v>
      </c>
      <c r="F3027" t="s">
        <v>94</v>
      </c>
      <c r="G3027" t="s">
        <v>277</v>
      </c>
      <c r="H3027" s="12">
        <v>7.4913999999999996</v>
      </c>
      <c r="I3027" s="12">
        <v>-74.869200000000006</v>
      </c>
      <c r="J3027" t="s">
        <v>2817</v>
      </c>
      <c r="K3027" t="s">
        <v>97</v>
      </c>
      <c r="L3027" t="s">
        <v>1273</v>
      </c>
      <c r="M3027">
        <v>11</v>
      </c>
      <c r="P3027" s="13">
        <v>148</v>
      </c>
      <c r="Q3027" s="13">
        <v>49</v>
      </c>
      <c r="R3027">
        <v>16</v>
      </c>
      <c r="S3027">
        <v>32</v>
      </c>
      <c r="T3027" s="13">
        <v>19</v>
      </c>
      <c r="U3027" s="13">
        <v>36</v>
      </c>
      <c r="V3027" t="s">
        <v>99</v>
      </c>
      <c r="X3027" s="13">
        <v>148</v>
      </c>
    </row>
    <row r="3028" spans="1:24" x14ac:dyDescent="0.25">
      <c r="A3028" t="s">
        <v>2838</v>
      </c>
      <c r="B3028" t="s">
        <v>65</v>
      </c>
      <c r="C3028" t="s">
        <v>2814</v>
      </c>
      <c r="D3028" t="s">
        <v>2815</v>
      </c>
      <c r="E3028" t="s">
        <v>2816</v>
      </c>
      <c r="F3028" t="s">
        <v>94</v>
      </c>
      <c r="G3028" t="s">
        <v>277</v>
      </c>
      <c r="H3028" s="12">
        <v>7.4913999999999996</v>
      </c>
      <c r="I3028" s="12">
        <v>-74.869200000000006</v>
      </c>
      <c r="J3028" t="s">
        <v>2817</v>
      </c>
      <c r="K3028" t="s">
        <v>97</v>
      </c>
      <c r="L3028" t="s">
        <v>1273</v>
      </c>
      <c r="M3028">
        <v>11</v>
      </c>
      <c r="P3028" s="13">
        <v>147</v>
      </c>
      <c r="Q3028" s="13">
        <v>24</v>
      </c>
      <c r="R3028">
        <v>32</v>
      </c>
      <c r="S3028">
        <v>38</v>
      </c>
      <c r="T3028" s="13">
        <v>24</v>
      </c>
      <c r="U3028" s="13">
        <v>27</v>
      </c>
      <c r="V3028" t="s">
        <v>99</v>
      </c>
      <c r="X3028" s="13">
        <v>147</v>
      </c>
    </row>
    <row r="3029" spans="1:24" x14ac:dyDescent="0.25">
      <c r="A3029" t="s">
        <v>2839</v>
      </c>
      <c r="B3029" t="s">
        <v>65</v>
      </c>
      <c r="C3029" t="s">
        <v>2814</v>
      </c>
      <c r="D3029" t="s">
        <v>2815</v>
      </c>
      <c r="E3029" t="s">
        <v>2816</v>
      </c>
      <c r="F3029" t="s">
        <v>94</v>
      </c>
      <c r="G3029" t="s">
        <v>277</v>
      </c>
      <c r="H3029" s="12">
        <v>7.4913999999999996</v>
      </c>
      <c r="I3029" s="12">
        <v>-74.869200000000006</v>
      </c>
      <c r="J3029" t="s">
        <v>2817</v>
      </c>
      <c r="K3029" t="s">
        <v>97</v>
      </c>
      <c r="L3029" t="s">
        <v>1273</v>
      </c>
      <c r="M3029">
        <v>11</v>
      </c>
      <c r="P3029" s="13">
        <v>147</v>
      </c>
      <c r="Q3029" s="13">
        <v>39</v>
      </c>
      <c r="R3029">
        <v>20</v>
      </c>
      <c r="S3029">
        <v>28</v>
      </c>
      <c r="T3029" s="13">
        <v>24</v>
      </c>
      <c r="U3029" s="13">
        <v>49</v>
      </c>
      <c r="V3029" t="s">
        <v>99</v>
      </c>
      <c r="X3029" s="13">
        <v>147</v>
      </c>
    </row>
    <row r="3030" spans="1:24" x14ac:dyDescent="0.25">
      <c r="A3030" t="s">
        <v>2840</v>
      </c>
      <c r="B3030" t="s">
        <v>65</v>
      </c>
      <c r="C3030" t="s">
        <v>2814</v>
      </c>
      <c r="D3030" t="s">
        <v>2815</v>
      </c>
      <c r="E3030" t="s">
        <v>2816</v>
      </c>
      <c r="F3030" t="s">
        <v>94</v>
      </c>
      <c r="G3030" t="s">
        <v>277</v>
      </c>
      <c r="H3030" s="12">
        <v>7.4913999999999996</v>
      </c>
      <c r="I3030" s="12">
        <v>-74.869200000000006</v>
      </c>
      <c r="J3030" t="s">
        <v>2817</v>
      </c>
      <c r="K3030" t="s">
        <v>97</v>
      </c>
      <c r="L3030" t="s">
        <v>1273</v>
      </c>
      <c r="M3030">
        <v>11</v>
      </c>
      <c r="P3030" s="13">
        <v>146</v>
      </c>
      <c r="Q3030" s="13">
        <v>27</v>
      </c>
      <c r="R3030">
        <v>28</v>
      </c>
      <c r="S3030">
        <v>30</v>
      </c>
      <c r="T3030" s="13">
        <v>33</v>
      </c>
      <c r="U3030" s="13">
        <v>27</v>
      </c>
      <c r="V3030" t="s">
        <v>99</v>
      </c>
      <c r="X3030" s="13">
        <v>146</v>
      </c>
    </row>
    <row r="3031" spans="1:24" x14ac:dyDescent="0.25">
      <c r="A3031" t="s">
        <v>2841</v>
      </c>
      <c r="B3031" t="s">
        <v>65</v>
      </c>
      <c r="C3031" t="s">
        <v>2814</v>
      </c>
      <c r="D3031" t="s">
        <v>2815</v>
      </c>
      <c r="E3031" t="s">
        <v>2816</v>
      </c>
      <c r="F3031" t="s">
        <v>94</v>
      </c>
      <c r="G3031" t="s">
        <v>277</v>
      </c>
      <c r="H3031" s="12">
        <v>7.4913999999999996</v>
      </c>
      <c r="I3031" s="12">
        <v>-74.869200000000006</v>
      </c>
      <c r="J3031" t="s">
        <v>2817</v>
      </c>
      <c r="K3031" t="s">
        <v>97</v>
      </c>
      <c r="L3031" t="s">
        <v>1273</v>
      </c>
      <c r="M3031">
        <v>11</v>
      </c>
      <c r="P3031" s="13">
        <v>145</v>
      </c>
      <c r="Q3031" s="13">
        <v>27</v>
      </c>
      <c r="R3031">
        <v>24</v>
      </c>
      <c r="S3031">
        <v>34</v>
      </c>
      <c r="T3031" s="13">
        <v>29</v>
      </c>
      <c r="U3031" s="13">
        <v>35</v>
      </c>
      <c r="V3031" t="s">
        <v>99</v>
      </c>
      <c r="X3031" s="13">
        <v>145</v>
      </c>
    </row>
    <row r="3032" spans="1:24" x14ac:dyDescent="0.25">
      <c r="A3032" t="s">
        <v>2842</v>
      </c>
      <c r="B3032" t="s">
        <v>65</v>
      </c>
      <c r="C3032" t="s">
        <v>2814</v>
      </c>
      <c r="D3032" t="s">
        <v>2815</v>
      </c>
      <c r="E3032" t="s">
        <v>2816</v>
      </c>
      <c r="F3032" t="s">
        <v>94</v>
      </c>
      <c r="G3032" t="s">
        <v>277</v>
      </c>
      <c r="H3032" s="12">
        <v>7.4913999999999996</v>
      </c>
      <c r="I3032" s="12">
        <v>-74.869200000000006</v>
      </c>
      <c r="J3032" t="s">
        <v>2817</v>
      </c>
      <c r="K3032" t="s">
        <v>97</v>
      </c>
      <c r="L3032" t="s">
        <v>1273</v>
      </c>
      <c r="M3032">
        <v>11</v>
      </c>
      <c r="P3032" s="13">
        <v>141</v>
      </c>
      <c r="Q3032" s="13">
        <v>29</v>
      </c>
      <c r="R3032">
        <v>20</v>
      </c>
      <c r="S3032">
        <v>40</v>
      </c>
      <c r="T3032" s="13">
        <v>22</v>
      </c>
      <c r="U3032" s="13">
        <v>31</v>
      </c>
      <c r="V3032" t="s">
        <v>99</v>
      </c>
      <c r="X3032" s="13">
        <v>141</v>
      </c>
    </row>
    <row r="3033" spans="1:24" x14ac:dyDescent="0.25">
      <c r="A3033" t="s">
        <v>2843</v>
      </c>
      <c r="B3033" t="s">
        <v>65</v>
      </c>
      <c r="C3033" t="s">
        <v>2814</v>
      </c>
      <c r="D3033" t="s">
        <v>2815</v>
      </c>
      <c r="E3033" t="s">
        <v>2816</v>
      </c>
      <c r="F3033" t="s">
        <v>94</v>
      </c>
      <c r="G3033" t="s">
        <v>277</v>
      </c>
      <c r="H3033" s="12">
        <v>7.4913999999999996</v>
      </c>
      <c r="I3033" s="12">
        <v>-74.869200000000006</v>
      </c>
      <c r="J3033" t="s">
        <v>2817</v>
      </c>
      <c r="K3033" t="s">
        <v>97</v>
      </c>
      <c r="L3033" t="s">
        <v>1273</v>
      </c>
      <c r="M3033">
        <v>11</v>
      </c>
      <c r="P3033" s="13">
        <v>133</v>
      </c>
      <c r="Q3033" s="13">
        <v>39</v>
      </c>
      <c r="R3033">
        <v>24</v>
      </c>
      <c r="S3033">
        <v>24</v>
      </c>
      <c r="T3033" s="13">
        <v>19</v>
      </c>
      <c r="U3033" s="13">
        <v>29</v>
      </c>
      <c r="V3033" t="s">
        <v>99</v>
      </c>
      <c r="X3033" s="13">
        <v>133</v>
      </c>
    </row>
    <row r="3034" spans="1:24" x14ac:dyDescent="0.25">
      <c r="A3034" t="s">
        <v>2844</v>
      </c>
      <c r="B3034" t="s">
        <v>65</v>
      </c>
      <c r="C3034" t="s">
        <v>2814</v>
      </c>
      <c r="D3034" t="s">
        <v>2815</v>
      </c>
      <c r="E3034" t="s">
        <v>2816</v>
      </c>
      <c r="F3034" t="s">
        <v>94</v>
      </c>
      <c r="G3034" t="s">
        <v>277</v>
      </c>
      <c r="H3034" s="12">
        <v>7.4913999999999996</v>
      </c>
      <c r="I3034" s="12">
        <v>-74.869200000000006</v>
      </c>
      <c r="J3034" t="s">
        <v>2817</v>
      </c>
      <c r="K3034" t="s">
        <v>97</v>
      </c>
      <c r="L3034" t="s">
        <v>1273</v>
      </c>
      <c r="M3034">
        <v>11</v>
      </c>
      <c r="P3034" s="13">
        <v>130</v>
      </c>
      <c r="Q3034" s="13">
        <v>29</v>
      </c>
      <c r="R3034">
        <v>24</v>
      </c>
      <c r="S3034">
        <v>28</v>
      </c>
      <c r="T3034" s="13">
        <v>21</v>
      </c>
      <c r="U3034" s="13">
        <v>31</v>
      </c>
      <c r="V3034" t="s">
        <v>99</v>
      </c>
      <c r="X3034" s="13">
        <v>130</v>
      </c>
    </row>
    <row r="3035" spans="1:24" x14ac:dyDescent="0.25">
      <c r="A3035" t="s">
        <v>2845</v>
      </c>
      <c r="B3035" t="s">
        <v>65</v>
      </c>
      <c r="C3035" t="s">
        <v>2814</v>
      </c>
      <c r="D3035" t="s">
        <v>2815</v>
      </c>
      <c r="E3035" t="s">
        <v>2816</v>
      </c>
      <c r="F3035" t="s">
        <v>94</v>
      </c>
      <c r="G3035" t="s">
        <v>277</v>
      </c>
      <c r="H3035" s="12">
        <v>7.4913999999999996</v>
      </c>
      <c r="I3035" s="12">
        <v>-74.869200000000006</v>
      </c>
      <c r="J3035" t="s">
        <v>2817</v>
      </c>
      <c r="K3035" t="s">
        <v>97</v>
      </c>
      <c r="L3035" t="s">
        <v>1273</v>
      </c>
      <c r="M3035">
        <v>11</v>
      </c>
      <c r="P3035" s="13">
        <v>115</v>
      </c>
      <c r="Q3035" s="13">
        <v>22</v>
      </c>
      <c r="R3035">
        <v>20</v>
      </c>
      <c r="S3035">
        <v>24</v>
      </c>
      <c r="T3035" s="13">
        <v>22</v>
      </c>
      <c r="U3035" s="13">
        <v>35</v>
      </c>
      <c r="V3035" t="s">
        <v>99</v>
      </c>
      <c r="X3035" s="13">
        <v>115</v>
      </c>
    </row>
    <row r="3036" spans="1:24" x14ac:dyDescent="0.25">
      <c r="A3036" t="s">
        <v>2846</v>
      </c>
      <c r="B3036" t="s">
        <v>65</v>
      </c>
      <c r="C3036" t="s">
        <v>2814</v>
      </c>
      <c r="D3036" t="s">
        <v>2815</v>
      </c>
      <c r="E3036" t="s">
        <v>2816</v>
      </c>
      <c r="F3036" t="s">
        <v>94</v>
      </c>
      <c r="G3036" t="s">
        <v>277</v>
      </c>
      <c r="H3036" s="12">
        <v>7.4913999999999996</v>
      </c>
      <c r="I3036" s="12">
        <v>-74.869200000000006</v>
      </c>
      <c r="J3036" t="s">
        <v>2817</v>
      </c>
      <c r="K3036" t="s">
        <v>97</v>
      </c>
      <c r="L3036" t="s">
        <v>1273</v>
      </c>
      <c r="M3036">
        <v>11</v>
      </c>
      <c r="P3036" s="13">
        <v>111</v>
      </c>
      <c r="Q3036" s="13">
        <v>22</v>
      </c>
      <c r="R3036">
        <v>14</v>
      </c>
      <c r="S3036">
        <v>22</v>
      </c>
      <c r="T3036" s="13">
        <v>26</v>
      </c>
      <c r="U3036" s="13">
        <v>38</v>
      </c>
      <c r="V3036" t="s">
        <v>99</v>
      </c>
      <c r="X3036" s="13">
        <v>111</v>
      </c>
    </row>
    <row r="3037" spans="1:24" x14ac:dyDescent="0.25">
      <c r="A3037" t="s">
        <v>2847</v>
      </c>
      <c r="B3037" t="s">
        <v>65</v>
      </c>
      <c r="C3037" t="s">
        <v>2848</v>
      </c>
      <c r="D3037" t="s">
        <v>2849</v>
      </c>
      <c r="E3037" t="s">
        <v>2502</v>
      </c>
      <c r="F3037" t="s">
        <v>94</v>
      </c>
      <c r="G3037" t="s">
        <v>277</v>
      </c>
      <c r="H3037" s="12">
        <v>7.6672000000000002</v>
      </c>
      <c r="I3037" s="12">
        <v>-76.681100000000001</v>
      </c>
      <c r="J3037" t="s">
        <v>2850</v>
      </c>
      <c r="K3037" t="s">
        <v>97</v>
      </c>
      <c r="L3037" t="s">
        <v>1273</v>
      </c>
      <c r="M3037">
        <v>11</v>
      </c>
      <c r="P3037" s="13">
        <v>216</v>
      </c>
      <c r="Q3037" s="13">
        <v>54</v>
      </c>
      <c r="R3037">
        <v>34</v>
      </c>
      <c r="S3037">
        <v>58</v>
      </c>
      <c r="T3037" s="13">
        <v>28</v>
      </c>
      <c r="U3037" s="13">
        <v>42</v>
      </c>
      <c r="V3037" t="s">
        <v>99</v>
      </c>
      <c r="X3037" s="13">
        <v>216</v>
      </c>
    </row>
    <row r="3038" spans="1:24" x14ac:dyDescent="0.25">
      <c r="A3038" t="s">
        <v>2851</v>
      </c>
      <c r="B3038" t="s">
        <v>65</v>
      </c>
      <c r="C3038" t="s">
        <v>2848</v>
      </c>
      <c r="D3038" t="s">
        <v>2849</v>
      </c>
      <c r="E3038" t="s">
        <v>2502</v>
      </c>
      <c r="F3038" t="s">
        <v>94</v>
      </c>
      <c r="G3038" t="s">
        <v>277</v>
      </c>
      <c r="H3038" s="12">
        <v>7.6672000000000002</v>
      </c>
      <c r="I3038" s="12">
        <v>-76.681100000000001</v>
      </c>
      <c r="J3038" t="s">
        <v>2850</v>
      </c>
      <c r="K3038" t="s">
        <v>97</v>
      </c>
      <c r="L3038" t="s">
        <v>1273</v>
      </c>
      <c r="M3038">
        <v>11</v>
      </c>
      <c r="P3038" s="13">
        <v>211</v>
      </c>
      <c r="Q3038" s="13">
        <v>51</v>
      </c>
      <c r="R3038">
        <v>26</v>
      </c>
      <c r="S3038">
        <v>58</v>
      </c>
      <c r="T3038" s="13">
        <v>33</v>
      </c>
      <c r="U3038" s="13">
        <v>45</v>
      </c>
      <c r="V3038" t="s">
        <v>99</v>
      </c>
      <c r="X3038" s="13">
        <v>211</v>
      </c>
    </row>
    <row r="3039" spans="1:24" x14ac:dyDescent="0.25">
      <c r="A3039" t="s">
        <v>2852</v>
      </c>
      <c r="B3039" t="s">
        <v>65</v>
      </c>
      <c r="C3039" t="s">
        <v>2848</v>
      </c>
      <c r="D3039" t="s">
        <v>2849</v>
      </c>
      <c r="E3039" t="s">
        <v>2502</v>
      </c>
      <c r="F3039" t="s">
        <v>94</v>
      </c>
      <c r="G3039" t="s">
        <v>277</v>
      </c>
      <c r="H3039" s="12">
        <v>7.6672000000000002</v>
      </c>
      <c r="I3039" s="12">
        <v>-76.681100000000001</v>
      </c>
      <c r="J3039" t="s">
        <v>2850</v>
      </c>
      <c r="K3039" t="s">
        <v>97</v>
      </c>
      <c r="L3039" t="s">
        <v>1273</v>
      </c>
      <c r="M3039">
        <v>11</v>
      </c>
      <c r="P3039" s="13">
        <v>195</v>
      </c>
      <c r="Q3039" s="13">
        <v>41</v>
      </c>
      <c r="R3039">
        <v>22</v>
      </c>
      <c r="S3039">
        <v>54</v>
      </c>
      <c r="T3039" s="13">
        <v>28</v>
      </c>
      <c r="U3039" s="13">
        <v>71</v>
      </c>
      <c r="V3039" t="s">
        <v>99</v>
      </c>
      <c r="X3039" s="13">
        <v>195</v>
      </c>
    </row>
    <row r="3040" spans="1:24" x14ac:dyDescent="0.25">
      <c r="A3040" t="s">
        <v>2853</v>
      </c>
      <c r="B3040" t="s">
        <v>65</v>
      </c>
      <c r="C3040" t="s">
        <v>2848</v>
      </c>
      <c r="D3040" t="s">
        <v>2849</v>
      </c>
      <c r="E3040" t="s">
        <v>2502</v>
      </c>
      <c r="F3040" t="s">
        <v>94</v>
      </c>
      <c r="G3040" t="s">
        <v>277</v>
      </c>
      <c r="H3040" s="12">
        <v>7.6672000000000002</v>
      </c>
      <c r="I3040" s="12">
        <v>-76.681100000000001</v>
      </c>
      <c r="J3040" t="s">
        <v>2850</v>
      </c>
      <c r="K3040" t="s">
        <v>97</v>
      </c>
      <c r="L3040" t="s">
        <v>1273</v>
      </c>
      <c r="M3040">
        <v>11</v>
      </c>
      <c r="P3040" s="13">
        <v>191</v>
      </c>
      <c r="Q3040" s="13">
        <v>49</v>
      </c>
      <c r="R3040">
        <v>30</v>
      </c>
      <c r="S3040">
        <v>46</v>
      </c>
      <c r="T3040" s="13">
        <v>28</v>
      </c>
      <c r="U3040" s="13">
        <v>40</v>
      </c>
      <c r="V3040" t="s">
        <v>99</v>
      </c>
      <c r="X3040" s="13">
        <v>191</v>
      </c>
    </row>
    <row r="3041" spans="1:24" x14ac:dyDescent="0.25">
      <c r="A3041" t="s">
        <v>2854</v>
      </c>
      <c r="B3041" t="s">
        <v>65</v>
      </c>
      <c r="C3041" t="s">
        <v>2848</v>
      </c>
      <c r="D3041" t="s">
        <v>2849</v>
      </c>
      <c r="E3041" t="s">
        <v>2502</v>
      </c>
      <c r="F3041" t="s">
        <v>94</v>
      </c>
      <c r="G3041" t="s">
        <v>277</v>
      </c>
      <c r="H3041" s="12">
        <v>7.6672000000000002</v>
      </c>
      <c r="I3041" s="12">
        <v>-76.681100000000001</v>
      </c>
      <c r="J3041" t="s">
        <v>2850</v>
      </c>
      <c r="K3041" t="s">
        <v>97</v>
      </c>
      <c r="L3041" t="s">
        <v>1273</v>
      </c>
      <c r="M3041">
        <v>11</v>
      </c>
      <c r="P3041" s="13">
        <v>185</v>
      </c>
      <c r="Q3041" s="13">
        <v>49</v>
      </c>
      <c r="R3041">
        <v>24</v>
      </c>
      <c r="S3041">
        <v>50</v>
      </c>
      <c r="T3041" s="13">
        <v>22</v>
      </c>
      <c r="U3041" s="13">
        <v>45</v>
      </c>
      <c r="V3041" t="s">
        <v>99</v>
      </c>
      <c r="X3041" s="13">
        <v>185</v>
      </c>
    </row>
    <row r="3042" spans="1:24" x14ac:dyDescent="0.25">
      <c r="A3042" t="s">
        <v>2855</v>
      </c>
      <c r="B3042" t="s">
        <v>65</v>
      </c>
      <c r="C3042" t="s">
        <v>2848</v>
      </c>
      <c r="D3042" t="s">
        <v>2849</v>
      </c>
      <c r="E3042" t="s">
        <v>2502</v>
      </c>
      <c r="F3042" t="s">
        <v>94</v>
      </c>
      <c r="G3042" t="s">
        <v>277</v>
      </c>
      <c r="H3042" s="12">
        <v>7.6672000000000002</v>
      </c>
      <c r="I3042" s="12">
        <v>-76.681100000000001</v>
      </c>
      <c r="J3042" t="s">
        <v>2850</v>
      </c>
      <c r="K3042" t="s">
        <v>97</v>
      </c>
      <c r="L3042" t="s">
        <v>1273</v>
      </c>
      <c r="M3042">
        <v>11</v>
      </c>
      <c r="P3042" s="13">
        <v>182</v>
      </c>
      <c r="Q3042" s="13">
        <v>46</v>
      </c>
      <c r="R3042">
        <v>28</v>
      </c>
      <c r="S3042">
        <v>38</v>
      </c>
      <c r="T3042" s="13">
        <v>33</v>
      </c>
      <c r="U3042" s="13">
        <v>38</v>
      </c>
      <c r="V3042" t="s">
        <v>99</v>
      </c>
      <c r="X3042" s="13">
        <v>182</v>
      </c>
    </row>
    <row r="3043" spans="1:24" x14ac:dyDescent="0.25">
      <c r="A3043" t="s">
        <v>2856</v>
      </c>
      <c r="B3043" t="s">
        <v>65</v>
      </c>
      <c r="C3043" t="s">
        <v>2848</v>
      </c>
      <c r="D3043" t="s">
        <v>2849</v>
      </c>
      <c r="E3043" t="s">
        <v>2502</v>
      </c>
      <c r="F3043" t="s">
        <v>94</v>
      </c>
      <c r="G3043" t="s">
        <v>277</v>
      </c>
      <c r="H3043" s="12">
        <v>7.6672000000000002</v>
      </c>
      <c r="I3043" s="12">
        <v>-76.681100000000001</v>
      </c>
      <c r="J3043" t="s">
        <v>2850</v>
      </c>
      <c r="K3043" t="s">
        <v>97</v>
      </c>
      <c r="L3043" t="s">
        <v>1273</v>
      </c>
      <c r="M3043">
        <v>11</v>
      </c>
      <c r="P3043" s="13">
        <v>179</v>
      </c>
      <c r="Q3043" s="13">
        <v>56</v>
      </c>
      <c r="R3043">
        <v>26</v>
      </c>
      <c r="S3043">
        <v>38</v>
      </c>
      <c r="T3043" s="13">
        <v>16</v>
      </c>
      <c r="U3043" s="13">
        <v>58</v>
      </c>
      <c r="V3043" t="s">
        <v>99</v>
      </c>
      <c r="X3043" s="13">
        <v>179</v>
      </c>
    </row>
    <row r="3044" spans="1:24" x14ac:dyDescent="0.25">
      <c r="A3044" t="s">
        <v>2857</v>
      </c>
      <c r="B3044" t="s">
        <v>65</v>
      </c>
      <c r="C3044" t="s">
        <v>2848</v>
      </c>
      <c r="D3044" t="s">
        <v>2849</v>
      </c>
      <c r="E3044" t="s">
        <v>2502</v>
      </c>
      <c r="F3044" t="s">
        <v>94</v>
      </c>
      <c r="G3044" t="s">
        <v>277</v>
      </c>
      <c r="H3044" s="12">
        <v>7.6672000000000002</v>
      </c>
      <c r="I3044" s="12">
        <v>-76.681100000000001</v>
      </c>
      <c r="J3044" t="s">
        <v>2850</v>
      </c>
      <c r="K3044" t="s">
        <v>97</v>
      </c>
      <c r="L3044" t="s">
        <v>1273</v>
      </c>
      <c r="M3044">
        <v>11</v>
      </c>
      <c r="P3044" s="13">
        <v>175</v>
      </c>
      <c r="Q3044" s="13">
        <v>56</v>
      </c>
      <c r="R3044">
        <v>30</v>
      </c>
      <c r="S3044">
        <v>38</v>
      </c>
      <c r="T3044" s="13">
        <v>19</v>
      </c>
      <c r="U3044" s="13">
        <v>25</v>
      </c>
      <c r="V3044" t="s">
        <v>99</v>
      </c>
      <c r="X3044" s="13">
        <v>175</v>
      </c>
    </row>
    <row r="3045" spans="1:24" x14ac:dyDescent="0.25">
      <c r="A3045" t="s">
        <v>2858</v>
      </c>
      <c r="B3045" t="s">
        <v>65</v>
      </c>
      <c r="C3045" t="s">
        <v>2848</v>
      </c>
      <c r="D3045" t="s">
        <v>2849</v>
      </c>
      <c r="E3045" t="s">
        <v>2502</v>
      </c>
      <c r="F3045" t="s">
        <v>94</v>
      </c>
      <c r="G3045" t="s">
        <v>277</v>
      </c>
      <c r="H3045" s="12">
        <v>7.6672000000000002</v>
      </c>
      <c r="I3045" s="12">
        <v>-76.681100000000001</v>
      </c>
      <c r="J3045" t="s">
        <v>2850</v>
      </c>
      <c r="K3045" t="s">
        <v>97</v>
      </c>
      <c r="L3045" t="s">
        <v>1273</v>
      </c>
      <c r="M3045">
        <v>11</v>
      </c>
      <c r="P3045" s="13">
        <v>172</v>
      </c>
      <c r="Q3045" s="13">
        <v>32</v>
      </c>
      <c r="R3045">
        <v>32</v>
      </c>
      <c r="S3045">
        <v>50</v>
      </c>
      <c r="T3045" s="13">
        <v>24</v>
      </c>
      <c r="U3045" s="13">
        <v>33</v>
      </c>
      <c r="V3045" t="s">
        <v>99</v>
      </c>
      <c r="X3045" s="13">
        <v>172</v>
      </c>
    </row>
    <row r="3046" spans="1:24" x14ac:dyDescent="0.25">
      <c r="A3046" t="s">
        <v>2859</v>
      </c>
      <c r="B3046" t="s">
        <v>65</v>
      </c>
      <c r="C3046" t="s">
        <v>2848</v>
      </c>
      <c r="D3046" t="s">
        <v>2849</v>
      </c>
      <c r="E3046" t="s">
        <v>2502</v>
      </c>
      <c r="F3046" t="s">
        <v>94</v>
      </c>
      <c r="G3046" t="s">
        <v>277</v>
      </c>
      <c r="H3046" s="12">
        <v>7.6672000000000002</v>
      </c>
      <c r="I3046" s="12">
        <v>-76.681100000000001</v>
      </c>
      <c r="J3046" t="s">
        <v>2850</v>
      </c>
      <c r="K3046" t="s">
        <v>97</v>
      </c>
      <c r="L3046" t="s">
        <v>1273</v>
      </c>
      <c r="M3046">
        <v>11</v>
      </c>
      <c r="P3046" s="13">
        <v>162</v>
      </c>
      <c r="Q3046" s="13">
        <v>37</v>
      </c>
      <c r="R3046">
        <v>24</v>
      </c>
      <c r="S3046">
        <v>40</v>
      </c>
      <c r="T3046" s="13">
        <v>26</v>
      </c>
      <c r="U3046" s="13">
        <v>42</v>
      </c>
      <c r="V3046" t="s">
        <v>99</v>
      </c>
      <c r="X3046" s="13">
        <v>162</v>
      </c>
    </row>
    <row r="3047" spans="1:24" x14ac:dyDescent="0.25">
      <c r="A3047" t="s">
        <v>2860</v>
      </c>
      <c r="B3047" t="s">
        <v>65</v>
      </c>
      <c r="C3047" t="s">
        <v>2848</v>
      </c>
      <c r="D3047" t="s">
        <v>2849</v>
      </c>
      <c r="E3047" t="s">
        <v>2502</v>
      </c>
      <c r="F3047" t="s">
        <v>94</v>
      </c>
      <c r="G3047" t="s">
        <v>277</v>
      </c>
      <c r="H3047" s="12">
        <v>7.6672000000000002</v>
      </c>
      <c r="I3047" s="12">
        <v>-76.681100000000001</v>
      </c>
      <c r="J3047" t="s">
        <v>2850</v>
      </c>
      <c r="K3047" t="s">
        <v>97</v>
      </c>
      <c r="L3047" t="s">
        <v>1273</v>
      </c>
      <c r="M3047">
        <v>11</v>
      </c>
      <c r="P3047" s="13">
        <v>159</v>
      </c>
      <c r="Q3047" s="13">
        <v>37</v>
      </c>
      <c r="R3047">
        <v>24</v>
      </c>
      <c r="S3047">
        <v>44</v>
      </c>
      <c r="T3047" s="13">
        <v>19</v>
      </c>
      <c r="U3047" s="13">
        <v>42</v>
      </c>
      <c r="V3047" t="s">
        <v>99</v>
      </c>
      <c r="X3047" s="13">
        <v>159</v>
      </c>
    </row>
    <row r="3048" spans="1:24" x14ac:dyDescent="0.25">
      <c r="A3048" t="s">
        <v>2861</v>
      </c>
      <c r="B3048" t="s">
        <v>65</v>
      </c>
      <c r="C3048" t="s">
        <v>2848</v>
      </c>
      <c r="D3048" t="s">
        <v>2849</v>
      </c>
      <c r="E3048" t="s">
        <v>2502</v>
      </c>
      <c r="F3048" t="s">
        <v>94</v>
      </c>
      <c r="G3048" t="s">
        <v>277</v>
      </c>
      <c r="H3048" s="12">
        <v>7.6672000000000002</v>
      </c>
      <c r="I3048" s="12">
        <v>-76.681100000000001</v>
      </c>
      <c r="J3048" t="s">
        <v>2850</v>
      </c>
      <c r="K3048" t="s">
        <v>97</v>
      </c>
      <c r="L3048" t="s">
        <v>1273</v>
      </c>
      <c r="M3048">
        <v>11</v>
      </c>
      <c r="P3048" s="13">
        <v>158</v>
      </c>
      <c r="Q3048" s="13">
        <v>39</v>
      </c>
      <c r="R3048">
        <v>16</v>
      </c>
      <c r="S3048">
        <v>36</v>
      </c>
      <c r="T3048" s="13">
        <v>31</v>
      </c>
      <c r="U3048" s="13">
        <v>45</v>
      </c>
      <c r="V3048" t="s">
        <v>99</v>
      </c>
      <c r="X3048" s="13">
        <v>158</v>
      </c>
    </row>
    <row r="3049" spans="1:24" x14ac:dyDescent="0.25">
      <c r="A3049" t="s">
        <v>2862</v>
      </c>
      <c r="B3049" t="s">
        <v>65</v>
      </c>
      <c r="C3049" t="s">
        <v>2848</v>
      </c>
      <c r="D3049" t="s">
        <v>2849</v>
      </c>
      <c r="E3049" t="s">
        <v>2502</v>
      </c>
      <c r="F3049" t="s">
        <v>94</v>
      </c>
      <c r="G3049" t="s">
        <v>277</v>
      </c>
      <c r="H3049" s="12">
        <v>7.6672000000000002</v>
      </c>
      <c r="I3049" s="12">
        <v>-76.681100000000001</v>
      </c>
      <c r="J3049" t="s">
        <v>2850</v>
      </c>
      <c r="K3049" t="s">
        <v>97</v>
      </c>
      <c r="L3049" t="s">
        <v>1273</v>
      </c>
      <c r="M3049">
        <v>11</v>
      </c>
      <c r="P3049" s="13">
        <v>152</v>
      </c>
      <c r="Q3049" s="13">
        <v>34</v>
      </c>
      <c r="R3049">
        <v>22</v>
      </c>
      <c r="S3049">
        <v>30</v>
      </c>
      <c r="T3049" s="13">
        <v>33</v>
      </c>
      <c r="U3049" s="13">
        <v>38</v>
      </c>
      <c r="V3049" t="s">
        <v>99</v>
      </c>
      <c r="X3049" s="13">
        <v>152</v>
      </c>
    </row>
    <row r="3050" spans="1:24" x14ac:dyDescent="0.25">
      <c r="A3050" t="s">
        <v>2863</v>
      </c>
      <c r="B3050" t="s">
        <v>65</v>
      </c>
      <c r="C3050" t="s">
        <v>2848</v>
      </c>
      <c r="D3050" t="s">
        <v>2849</v>
      </c>
      <c r="E3050" t="s">
        <v>2502</v>
      </c>
      <c r="F3050" t="s">
        <v>94</v>
      </c>
      <c r="G3050" t="s">
        <v>277</v>
      </c>
      <c r="H3050" s="12">
        <v>7.6672000000000002</v>
      </c>
      <c r="I3050" s="12">
        <v>-76.681100000000001</v>
      </c>
      <c r="J3050" t="s">
        <v>2850</v>
      </c>
      <c r="K3050" t="s">
        <v>97</v>
      </c>
      <c r="L3050" t="s">
        <v>1273</v>
      </c>
      <c r="M3050">
        <v>11</v>
      </c>
      <c r="P3050" s="13">
        <v>152</v>
      </c>
      <c r="Q3050" s="13">
        <v>49</v>
      </c>
      <c r="R3050">
        <v>20</v>
      </c>
      <c r="S3050">
        <v>28</v>
      </c>
      <c r="T3050" s="13">
        <v>22</v>
      </c>
      <c r="U3050" s="13">
        <v>36</v>
      </c>
      <c r="V3050" t="s">
        <v>99</v>
      </c>
      <c r="X3050" s="13">
        <v>152</v>
      </c>
    </row>
    <row r="3051" spans="1:24" x14ac:dyDescent="0.25">
      <c r="A3051" t="s">
        <v>2864</v>
      </c>
      <c r="B3051" t="s">
        <v>65</v>
      </c>
      <c r="C3051" t="s">
        <v>2848</v>
      </c>
      <c r="D3051" t="s">
        <v>2849</v>
      </c>
      <c r="E3051" t="s">
        <v>2502</v>
      </c>
      <c r="F3051" t="s">
        <v>94</v>
      </c>
      <c r="G3051" t="s">
        <v>277</v>
      </c>
      <c r="H3051" s="12">
        <v>7.6672000000000002</v>
      </c>
      <c r="I3051" s="12">
        <v>-76.681100000000001</v>
      </c>
      <c r="J3051" t="s">
        <v>2850</v>
      </c>
      <c r="K3051" t="s">
        <v>97</v>
      </c>
      <c r="L3051" t="s">
        <v>1273</v>
      </c>
      <c r="M3051">
        <v>11</v>
      </c>
      <c r="P3051" s="13">
        <v>151</v>
      </c>
      <c r="Q3051" s="13">
        <v>34</v>
      </c>
      <c r="R3051">
        <v>16</v>
      </c>
      <c r="S3051">
        <v>36</v>
      </c>
      <c r="T3051" s="13">
        <v>31</v>
      </c>
      <c r="U3051" s="13">
        <v>40</v>
      </c>
      <c r="V3051" t="s">
        <v>99</v>
      </c>
      <c r="X3051" s="13">
        <v>151</v>
      </c>
    </row>
    <row r="3052" spans="1:24" x14ac:dyDescent="0.25">
      <c r="A3052" t="s">
        <v>2865</v>
      </c>
      <c r="B3052" t="s">
        <v>65</v>
      </c>
      <c r="C3052" t="s">
        <v>2848</v>
      </c>
      <c r="D3052" t="s">
        <v>2849</v>
      </c>
      <c r="E3052" t="s">
        <v>2502</v>
      </c>
      <c r="F3052" t="s">
        <v>94</v>
      </c>
      <c r="G3052" t="s">
        <v>277</v>
      </c>
      <c r="H3052" s="12">
        <v>7.6672000000000002</v>
      </c>
      <c r="I3052" s="12">
        <v>-76.681100000000001</v>
      </c>
      <c r="J3052" t="s">
        <v>2850</v>
      </c>
      <c r="K3052" t="s">
        <v>97</v>
      </c>
      <c r="L3052" t="s">
        <v>1273</v>
      </c>
      <c r="M3052">
        <v>11</v>
      </c>
      <c r="P3052" s="13">
        <v>148</v>
      </c>
      <c r="Q3052" s="13">
        <v>39</v>
      </c>
      <c r="R3052">
        <v>22</v>
      </c>
      <c r="S3052">
        <v>32</v>
      </c>
      <c r="T3052" s="13">
        <v>26</v>
      </c>
      <c r="U3052" s="13">
        <v>29</v>
      </c>
      <c r="V3052" t="s">
        <v>99</v>
      </c>
      <c r="X3052" s="13">
        <v>148</v>
      </c>
    </row>
    <row r="3053" spans="1:24" x14ac:dyDescent="0.25">
      <c r="A3053" t="s">
        <v>2866</v>
      </c>
      <c r="B3053" t="s">
        <v>65</v>
      </c>
      <c r="C3053" t="s">
        <v>2848</v>
      </c>
      <c r="D3053" t="s">
        <v>2849</v>
      </c>
      <c r="E3053" t="s">
        <v>2502</v>
      </c>
      <c r="F3053" t="s">
        <v>94</v>
      </c>
      <c r="G3053" t="s">
        <v>277</v>
      </c>
      <c r="H3053" s="12">
        <v>7.6672000000000002</v>
      </c>
      <c r="I3053" s="12">
        <v>-76.681100000000001</v>
      </c>
      <c r="J3053" t="s">
        <v>2850</v>
      </c>
      <c r="K3053" t="s">
        <v>97</v>
      </c>
      <c r="L3053" t="s">
        <v>1273</v>
      </c>
      <c r="M3053">
        <v>11</v>
      </c>
      <c r="P3053" s="13">
        <v>148</v>
      </c>
      <c r="Q3053" s="13">
        <v>51</v>
      </c>
      <c r="R3053">
        <v>28</v>
      </c>
      <c r="S3053">
        <v>20</v>
      </c>
      <c r="T3053" s="13">
        <v>16</v>
      </c>
      <c r="U3053" s="13">
        <v>40</v>
      </c>
      <c r="V3053" t="s">
        <v>99</v>
      </c>
      <c r="X3053" s="13">
        <v>148</v>
      </c>
    </row>
    <row r="3054" spans="1:24" x14ac:dyDescent="0.25">
      <c r="A3054" t="s">
        <v>2867</v>
      </c>
      <c r="B3054" t="s">
        <v>65</v>
      </c>
      <c r="C3054" t="s">
        <v>2848</v>
      </c>
      <c r="D3054" t="s">
        <v>2849</v>
      </c>
      <c r="E3054" t="s">
        <v>2502</v>
      </c>
      <c r="F3054" t="s">
        <v>94</v>
      </c>
      <c r="G3054" t="s">
        <v>277</v>
      </c>
      <c r="H3054" s="12">
        <v>7.6672000000000002</v>
      </c>
      <c r="I3054" s="12">
        <v>-76.681100000000001</v>
      </c>
      <c r="J3054" t="s">
        <v>2850</v>
      </c>
      <c r="K3054" t="s">
        <v>97</v>
      </c>
      <c r="L3054" t="s">
        <v>1273</v>
      </c>
      <c r="M3054">
        <v>11</v>
      </c>
      <c r="P3054" s="13">
        <v>146</v>
      </c>
      <c r="Q3054" s="13">
        <v>39</v>
      </c>
      <c r="R3054">
        <v>24</v>
      </c>
      <c r="S3054">
        <v>32</v>
      </c>
      <c r="T3054" s="13">
        <v>16</v>
      </c>
      <c r="U3054" s="13">
        <v>47</v>
      </c>
      <c r="V3054" t="s">
        <v>99</v>
      </c>
      <c r="X3054" s="13">
        <v>146</v>
      </c>
    </row>
    <row r="3055" spans="1:24" x14ac:dyDescent="0.25">
      <c r="A3055" t="s">
        <v>2868</v>
      </c>
      <c r="B3055" t="s">
        <v>65</v>
      </c>
      <c r="C3055" t="s">
        <v>2848</v>
      </c>
      <c r="D3055" t="s">
        <v>2849</v>
      </c>
      <c r="E3055" t="s">
        <v>2502</v>
      </c>
      <c r="F3055" t="s">
        <v>94</v>
      </c>
      <c r="G3055" t="s">
        <v>277</v>
      </c>
      <c r="H3055" s="12">
        <v>7.6672000000000002</v>
      </c>
      <c r="I3055" s="12">
        <v>-76.681100000000001</v>
      </c>
      <c r="J3055" t="s">
        <v>2850</v>
      </c>
      <c r="K3055" t="s">
        <v>97</v>
      </c>
      <c r="L3055" t="s">
        <v>1273</v>
      </c>
      <c r="M3055">
        <v>11</v>
      </c>
      <c r="P3055" s="13">
        <v>142</v>
      </c>
      <c r="Q3055" s="13">
        <v>37</v>
      </c>
      <c r="R3055">
        <v>14</v>
      </c>
      <c r="S3055">
        <v>36</v>
      </c>
      <c r="T3055" s="13">
        <v>21</v>
      </c>
      <c r="U3055" s="13">
        <v>47</v>
      </c>
      <c r="V3055" t="s">
        <v>99</v>
      </c>
      <c r="X3055" s="13">
        <v>142</v>
      </c>
    </row>
    <row r="3056" spans="1:24" x14ac:dyDescent="0.25">
      <c r="A3056" t="s">
        <v>2869</v>
      </c>
      <c r="B3056" t="s">
        <v>65</v>
      </c>
      <c r="C3056" t="s">
        <v>2848</v>
      </c>
      <c r="D3056" t="s">
        <v>2849</v>
      </c>
      <c r="E3056" t="s">
        <v>2502</v>
      </c>
      <c r="F3056" t="s">
        <v>94</v>
      </c>
      <c r="G3056" t="s">
        <v>277</v>
      </c>
      <c r="H3056" s="12">
        <v>7.6672000000000002</v>
      </c>
      <c r="I3056" s="12">
        <v>-76.681100000000001</v>
      </c>
      <c r="J3056" t="s">
        <v>2850</v>
      </c>
      <c r="K3056" t="s">
        <v>97</v>
      </c>
      <c r="L3056" t="s">
        <v>1273</v>
      </c>
      <c r="M3056">
        <v>11</v>
      </c>
      <c r="P3056" s="13">
        <v>139</v>
      </c>
      <c r="Q3056" s="13">
        <v>39</v>
      </c>
      <c r="R3056">
        <v>14</v>
      </c>
      <c r="S3056">
        <v>24</v>
      </c>
      <c r="T3056" s="13">
        <v>29</v>
      </c>
      <c r="U3056" s="13">
        <v>42</v>
      </c>
      <c r="V3056" t="s">
        <v>99</v>
      </c>
      <c r="X3056" s="13">
        <v>139</v>
      </c>
    </row>
    <row r="3057" spans="1:24" x14ac:dyDescent="0.25">
      <c r="A3057" t="s">
        <v>2870</v>
      </c>
      <c r="B3057" t="s">
        <v>65</v>
      </c>
      <c r="C3057" t="s">
        <v>2848</v>
      </c>
      <c r="D3057" t="s">
        <v>2849</v>
      </c>
      <c r="E3057" t="s">
        <v>2502</v>
      </c>
      <c r="F3057" t="s">
        <v>94</v>
      </c>
      <c r="G3057" t="s">
        <v>277</v>
      </c>
      <c r="H3057" s="12">
        <v>7.6672000000000002</v>
      </c>
      <c r="I3057" s="12">
        <v>-76.681100000000001</v>
      </c>
      <c r="J3057" t="s">
        <v>2850</v>
      </c>
      <c r="K3057" t="s">
        <v>97</v>
      </c>
      <c r="L3057" t="s">
        <v>1273</v>
      </c>
      <c r="M3057">
        <v>11</v>
      </c>
      <c r="P3057" s="13">
        <v>138</v>
      </c>
      <c r="Q3057" s="13">
        <v>24</v>
      </c>
      <c r="R3057">
        <v>26</v>
      </c>
      <c r="S3057">
        <v>30</v>
      </c>
      <c r="T3057" s="13">
        <v>29</v>
      </c>
      <c r="U3057" s="13">
        <v>29</v>
      </c>
      <c r="V3057" t="s">
        <v>99</v>
      </c>
      <c r="X3057" s="13">
        <v>138</v>
      </c>
    </row>
    <row r="3058" spans="1:24" x14ac:dyDescent="0.25">
      <c r="A3058" t="s">
        <v>2871</v>
      </c>
      <c r="B3058" t="s">
        <v>65</v>
      </c>
      <c r="C3058" t="s">
        <v>2848</v>
      </c>
      <c r="D3058" t="s">
        <v>2849</v>
      </c>
      <c r="E3058" t="s">
        <v>2502</v>
      </c>
      <c r="F3058" t="s">
        <v>94</v>
      </c>
      <c r="G3058" t="s">
        <v>277</v>
      </c>
      <c r="H3058" s="12">
        <v>7.6672000000000002</v>
      </c>
      <c r="I3058" s="12">
        <v>-76.681100000000001</v>
      </c>
      <c r="J3058" t="s">
        <v>2850</v>
      </c>
      <c r="K3058" t="s">
        <v>97</v>
      </c>
      <c r="L3058" t="s">
        <v>1273</v>
      </c>
      <c r="M3058">
        <v>11</v>
      </c>
      <c r="P3058" s="13">
        <v>136</v>
      </c>
      <c r="Q3058" s="13">
        <v>17</v>
      </c>
      <c r="R3058">
        <v>22</v>
      </c>
      <c r="S3058">
        <v>32</v>
      </c>
      <c r="T3058" s="13">
        <v>34</v>
      </c>
      <c r="U3058" s="13">
        <v>38</v>
      </c>
      <c r="V3058" t="s">
        <v>99</v>
      </c>
      <c r="X3058" s="13">
        <v>136</v>
      </c>
    </row>
    <row r="3059" spans="1:24" x14ac:dyDescent="0.25">
      <c r="A3059" t="s">
        <v>2872</v>
      </c>
      <c r="B3059" t="s">
        <v>65</v>
      </c>
      <c r="C3059" t="s">
        <v>2848</v>
      </c>
      <c r="D3059" t="s">
        <v>2849</v>
      </c>
      <c r="E3059" t="s">
        <v>2502</v>
      </c>
      <c r="F3059" t="s">
        <v>94</v>
      </c>
      <c r="G3059" t="s">
        <v>277</v>
      </c>
      <c r="H3059" s="12">
        <v>7.6672000000000002</v>
      </c>
      <c r="I3059" s="12">
        <v>-76.681100000000001</v>
      </c>
      <c r="J3059" t="s">
        <v>2850</v>
      </c>
      <c r="K3059" t="s">
        <v>97</v>
      </c>
      <c r="L3059" t="s">
        <v>1273</v>
      </c>
      <c r="M3059">
        <v>11</v>
      </c>
      <c r="P3059" s="13">
        <v>136</v>
      </c>
      <c r="Q3059" s="13">
        <v>22</v>
      </c>
      <c r="R3059">
        <v>32</v>
      </c>
      <c r="S3059">
        <v>30</v>
      </c>
      <c r="T3059" s="13">
        <v>24</v>
      </c>
      <c r="U3059" s="13">
        <v>29</v>
      </c>
      <c r="V3059" t="s">
        <v>99</v>
      </c>
      <c r="X3059" s="13">
        <v>136</v>
      </c>
    </row>
    <row r="3060" spans="1:24" x14ac:dyDescent="0.25">
      <c r="A3060" t="s">
        <v>2873</v>
      </c>
      <c r="B3060" t="s">
        <v>65</v>
      </c>
      <c r="C3060" t="s">
        <v>2848</v>
      </c>
      <c r="D3060" t="s">
        <v>2849</v>
      </c>
      <c r="E3060" t="s">
        <v>2502</v>
      </c>
      <c r="F3060" t="s">
        <v>94</v>
      </c>
      <c r="G3060" t="s">
        <v>277</v>
      </c>
      <c r="H3060" s="12">
        <v>7.6672000000000002</v>
      </c>
      <c r="I3060" s="12">
        <v>-76.681100000000001</v>
      </c>
      <c r="J3060" t="s">
        <v>2850</v>
      </c>
      <c r="K3060" t="s">
        <v>97</v>
      </c>
      <c r="L3060" t="s">
        <v>1273</v>
      </c>
      <c r="M3060">
        <v>11</v>
      </c>
      <c r="P3060" s="13">
        <v>136</v>
      </c>
      <c r="Q3060" s="13">
        <v>34</v>
      </c>
      <c r="R3060">
        <v>22</v>
      </c>
      <c r="S3060">
        <v>24</v>
      </c>
      <c r="T3060" s="13">
        <v>26</v>
      </c>
      <c r="U3060" s="13">
        <v>35</v>
      </c>
      <c r="V3060" t="s">
        <v>99</v>
      </c>
      <c r="X3060" s="13">
        <v>136</v>
      </c>
    </row>
    <row r="3061" spans="1:24" x14ac:dyDescent="0.25">
      <c r="A3061" t="s">
        <v>2874</v>
      </c>
      <c r="B3061" t="s">
        <v>65</v>
      </c>
      <c r="C3061" t="s">
        <v>2848</v>
      </c>
      <c r="D3061" t="s">
        <v>2849</v>
      </c>
      <c r="E3061" t="s">
        <v>2502</v>
      </c>
      <c r="F3061" t="s">
        <v>94</v>
      </c>
      <c r="G3061" t="s">
        <v>277</v>
      </c>
      <c r="H3061" s="12">
        <v>7.6672000000000002</v>
      </c>
      <c r="I3061" s="12">
        <v>-76.681100000000001</v>
      </c>
      <c r="J3061" t="s">
        <v>2850</v>
      </c>
      <c r="K3061" t="s">
        <v>97</v>
      </c>
      <c r="L3061" t="s">
        <v>1273</v>
      </c>
      <c r="M3061">
        <v>11</v>
      </c>
      <c r="P3061" s="13">
        <v>135</v>
      </c>
      <c r="Q3061" s="13">
        <v>39</v>
      </c>
      <c r="R3061">
        <v>30</v>
      </c>
      <c r="S3061">
        <v>14</v>
      </c>
      <c r="T3061" s="13">
        <v>26</v>
      </c>
      <c r="U3061" s="13">
        <v>25</v>
      </c>
      <c r="V3061" t="s">
        <v>99</v>
      </c>
      <c r="X3061" s="13">
        <v>135</v>
      </c>
    </row>
    <row r="3062" spans="1:24" x14ac:dyDescent="0.25">
      <c r="A3062" t="s">
        <v>2875</v>
      </c>
      <c r="B3062" t="s">
        <v>65</v>
      </c>
      <c r="C3062" t="s">
        <v>2848</v>
      </c>
      <c r="D3062" t="s">
        <v>2849</v>
      </c>
      <c r="E3062" t="s">
        <v>2502</v>
      </c>
      <c r="F3062" t="s">
        <v>94</v>
      </c>
      <c r="G3062" t="s">
        <v>277</v>
      </c>
      <c r="H3062" s="12">
        <v>7.6672000000000002</v>
      </c>
      <c r="I3062" s="12">
        <v>-76.681100000000001</v>
      </c>
      <c r="J3062" t="s">
        <v>2850</v>
      </c>
      <c r="K3062" t="s">
        <v>97</v>
      </c>
      <c r="L3062" t="s">
        <v>1273</v>
      </c>
      <c r="M3062">
        <v>11</v>
      </c>
      <c r="P3062" s="13">
        <v>124</v>
      </c>
      <c r="Q3062" s="13">
        <v>37</v>
      </c>
      <c r="R3062">
        <v>24</v>
      </c>
      <c r="S3062">
        <v>24</v>
      </c>
      <c r="T3062" s="13">
        <v>17</v>
      </c>
      <c r="U3062" s="13">
        <v>18</v>
      </c>
      <c r="V3062" t="s">
        <v>99</v>
      </c>
      <c r="X3062" s="13">
        <v>124</v>
      </c>
    </row>
    <row r="3063" spans="1:24" x14ac:dyDescent="0.25">
      <c r="A3063" t="s">
        <v>2876</v>
      </c>
      <c r="B3063" t="s">
        <v>65</v>
      </c>
      <c r="C3063" t="s">
        <v>2848</v>
      </c>
      <c r="D3063" t="s">
        <v>2849</v>
      </c>
      <c r="E3063" t="s">
        <v>2502</v>
      </c>
      <c r="F3063" t="s">
        <v>94</v>
      </c>
      <c r="G3063" t="s">
        <v>277</v>
      </c>
      <c r="H3063" s="12">
        <v>7.6672000000000002</v>
      </c>
      <c r="I3063" s="12">
        <v>-76.681100000000001</v>
      </c>
      <c r="J3063" t="s">
        <v>2850</v>
      </c>
      <c r="K3063" t="s">
        <v>97</v>
      </c>
      <c r="L3063" t="s">
        <v>1273</v>
      </c>
      <c r="M3063">
        <v>11</v>
      </c>
      <c r="P3063" s="13">
        <v>119</v>
      </c>
      <c r="Q3063" s="13">
        <v>22</v>
      </c>
      <c r="R3063">
        <v>14</v>
      </c>
      <c r="S3063">
        <v>32</v>
      </c>
      <c r="T3063" s="13">
        <v>17</v>
      </c>
      <c r="U3063" s="13">
        <v>55</v>
      </c>
      <c r="V3063" t="s">
        <v>99</v>
      </c>
      <c r="X3063" s="13">
        <v>119</v>
      </c>
    </row>
    <row r="3064" spans="1:24" x14ac:dyDescent="0.25">
      <c r="A3064" t="s">
        <v>2877</v>
      </c>
      <c r="B3064" t="s">
        <v>65</v>
      </c>
      <c r="C3064" t="s">
        <v>2848</v>
      </c>
      <c r="D3064" t="s">
        <v>2849</v>
      </c>
      <c r="E3064" t="s">
        <v>2502</v>
      </c>
      <c r="F3064" t="s">
        <v>94</v>
      </c>
      <c r="G3064" t="s">
        <v>277</v>
      </c>
      <c r="H3064" s="12">
        <v>7.6672000000000002</v>
      </c>
      <c r="I3064" s="12">
        <v>-76.681100000000001</v>
      </c>
      <c r="J3064" t="s">
        <v>2850</v>
      </c>
      <c r="K3064" t="s">
        <v>97</v>
      </c>
      <c r="L3064" t="s">
        <v>1273</v>
      </c>
      <c r="M3064">
        <v>11</v>
      </c>
      <c r="P3064" s="13">
        <v>114</v>
      </c>
      <c r="Q3064" s="13">
        <v>32</v>
      </c>
      <c r="R3064">
        <v>16</v>
      </c>
      <c r="S3064">
        <v>18</v>
      </c>
      <c r="T3064" s="13">
        <v>22</v>
      </c>
      <c r="U3064" s="13">
        <v>33</v>
      </c>
      <c r="V3064" t="s">
        <v>99</v>
      </c>
      <c r="X3064" s="13">
        <v>114</v>
      </c>
    </row>
    <row r="3065" spans="1:24" x14ac:dyDescent="0.25">
      <c r="A3065" t="s">
        <v>2878</v>
      </c>
      <c r="B3065" t="s">
        <v>65</v>
      </c>
      <c r="C3065" t="s">
        <v>2848</v>
      </c>
      <c r="D3065" t="s">
        <v>2849</v>
      </c>
      <c r="E3065" t="s">
        <v>2502</v>
      </c>
      <c r="F3065" t="s">
        <v>94</v>
      </c>
      <c r="G3065" t="s">
        <v>277</v>
      </c>
      <c r="H3065" s="12">
        <v>7.6672000000000002</v>
      </c>
      <c r="I3065" s="12">
        <v>-76.681100000000001</v>
      </c>
      <c r="J3065" t="s">
        <v>2850</v>
      </c>
      <c r="K3065" t="s">
        <v>97</v>
      </c>
      <c r="L3065" t="s">
        <v>1273</v>
      </c>
      <c r="M3065">
        <v>11</v>
      </c>
      <c r="P3065" s="13">
        <v>110</v>
      </c>
      <c r="Q3065" s="13">
        <v>32</v>
      </c>
      <c r="R3065">
        <v>18</v>
      </c>
      <c r="S3065">
        <v>16</v>
      </c>
      <c r="T3065" s="13">
        <v>17</v>
      </c>
      <c r="U3065" s="13">
        <v>36</v>
      </c>
      <c r="V3065" t="s">
        <v>99</v>
      </c>
      <c r="X3065" s="13">
        <v>110</v>
      </c>
    </row>
    <row r="3066" spans="1:24" x14ac:dyDescent="0.25">
      <c r="A3066" t="s">
        <v>2879</v>
      </c>
      <c r="B3066" t="s">
        <v>65</v>
      </c>
      <c r="C3066" t="s">
        <v>2848</v>
      </c>
      <c r="D3066" t="s">
        <v>2849</v>
      </c>
      <c r="E3066" t="s">
        <v>2502</v>
      </c>
      <c r="F3066" t="s">
        <v>94</v>
      </c>
      <c r="G3066" t="s">
        <v>277</v>
      </c>
      <c r="H3066" s="12">
        <v>7.6672000000000002</v>
      </c>
      <c r="I3066" s="12">
        <v>-76.681100000000001</v>
      </c>
      <c r="J3066" t="s">
        <v>2850</v>
      </c>
      <c r="K3066" t="s">
        <v>97</v>
      </c>
      <c r="L3066" t="s">
        <v>1273</v>
      </c>
      <c r="M3066">
        <v>11</v>
      </c>
      <c r="P3066" s="13">
        <v>99</v>
      </c>
      <c r="Q3066" s="13">
        <v>24</v>
      </c>
      <c r="R3066">
        <v>16</v>
      </c>
      <c r="S3066">
        <v>18</v>
      </c>
      <c r="T3066" s="13">
        <v>16</v>
      </c>
      <c r="U3066" s="13">
        <v>36</v>
      </c>
      <c r="V3066" t="s">
        <v>99</v>
      </c>
      <c r="X3066" s="13">
        <v>99</v>
      </c>
    </row>
    <row r="3067" spans="1:24" x14ac:dyDescent="0.25">
      <c r="A3067" t="s">
        <v>2880</v>
      </c>
      <c r="B3067" t="s">
        <v>65</v>
      </c>
      <c r="C3067" t="s">
        <v>2848</v>
      </c>
      <c r="D3067" t="s">
        <v>2849</v>
      </c>
      <c r="E3067" t="s">
        <v>2502</v>
      </c>
      <c r="F3067" t="s">
        <v>94</v>
      </c>
      <c r="G3067" t="s">
        <v>277</v>
      </c>
      <c r="H3067" s="12">
        <v>7.6672000000000002</v>
      </c>
      <c r="I3067" s="12">
        <v>-76.681100000000001</v>
      </c>
      <c r="J3067" t="s">
        <v>2850</v>
      </c>
      <c r="K3067" t="s">
        <v>97</v>
      </c>
      <c r="L3067" t="s">
        <v>1273</v>
      </c>
      <c r="M3067">
        <v>11</v>
      </c>
      <c r="P3067" s="13">
        <v>59</v>
      </c>
      <c r="Q3067" s="13">
        <v>0</v>
      </c>
      <c r="R3067">
        <v>14</v>
      </c>
      <c r="S3067">
        <v>16</v>
      </c>
      <c r="T3067" s="13">
        <v>7</v>
      </c>
      <c r="U3067" s="13">
        <v>44</v>
      </c>
      <c r="V3067" t="s">
        <v>99</v>
      </c>
      <c r="X3067" s="13">
        <v>59</v>
      </c>
    </row>
    <row r="3068" spans="1:24" x14ac:dyDescent="0.25">
      <c r="A3068" t="s">
        <v>2881</v>
      </c>
      <c r="B3068" t="s">
        <v>65</v>
      </c>
      <c r="C3068" t="s">
        <v>2882</v>
      </c>
      <c r="D3068" t="s">
        <v>2883</v>
      </c>
      <c r="E3068" t="s">
        <v>2356</v>
      </c>
      <c r="F3068" t="s">
        <v>94</v>
      </c>
      <c r="G3068" t="s">
        <v>277</v>
      </c>
      <c r="H3068" s="12">
        <v>8.8507999999999996</v>
      </c>
      <c r="I3068" s="12">
        <v>-76.426699999999997</v>
      </c>
      <c r="J3068" t="s">
        <v>2884</v>
      </c>
      <c r="K3068" t="s">
        <v>97</v>
      </c>
      <c r="L3068" t="s">
        <v>1273</v>
      </c>
      <c r="M3068">
        <v>11</v>
      </c>
      <c r="P3068" s="13">
        <v>251</v>
      </c>
      <c r="Q3068" s="13">
        <v>63</v>
      </c>
      <c r="R3068">
        <v>42</v>
      </c>
      <c r="S3068">
        <v>56</v>
      </c>
      <c r="T3068" s="13">
        <v>34</v>
      </c>
      <c r="U3068" s="13">
        <v>64</v>
      </c>
      <c r="V3068" t="s">
        <v>99</v>
      </c>
      <c r="X3068" s="13">
        <v>251</v>
      </c>
    </row>
    <row r="3069" spans="1:24" x14ac:dyDescent="0.25">
      <c r="A3069" t="s">
        <v>2885</v>
      </c>
      <c r="B3069" t="s">
        <v>65</v>
      </c>
      <c r="C3069" t="s">
        <v>2882</v>
      </c>
      <c r="D3069" t="s">
        <v>2883</v>
      </c>
      <c r="E3069" t="s">
        <v>2356</v>
      </c>
      <c r="F3069" t="s">
        <v>94</v>
      </c>
      <c r="G3069" t="s">
        <v>277</v>
      </c>
      <c r="H3069" s="12">
        <v>8.8507999999999996</v>
      </c>
      <c r="I3069" s="12">
        <v>-76.426699999999997</v>
      </c>
      <c r="J3069" t="s">
        <v>2884</v>
      </c>
      <c r="K3069" t="s">
        <v>97</v>
      </c>
      <c r="L3069" t="s">
        <v>1273</v>
      </c>
      <c r="M3069">
        <v>11</v>
      </c>
      <c r="P3069" s="13">
        <v>249</v>
      </c>
      <c r="Q3069" s="13">
        <v>56</v>
      </c>
      <c r="R3069">
        <v>54</v>
      </c>
      <c r="S3069">
        <v>60</v>
      </c>
      <c r="T3069" s="13">
        <v>28</v>
      </c>
      <c r="U3069" s="13">
        <v>55</v>
      </c>
      <c r="V3069" t="s">
        <v>99</v>
      </c>
      <c r="X3069" s="13">
        <v>249</v>
      </c>
    </row>
    <row r="3070" spans="1:24" x14ac:dyDescent="0.25">
      <c r="A3070" t="s">
        <v>2886</v>
      </c>
      <c r="B3070" t="s">
        <v>65</v>
      </c>
      <c r="C3070" t="s">
        <v>2882</v>
      </c>
      <c r="D3070" t="s">
        <v>2883</v>
      </c>
      <c r="E3070" t="s">
        <v>2356</v>
      </c>
      <c r="F3070" t="s">
        <v>94</v>
      </c>
      <c r="G3070" t="s">
        <v>277</v>
      </c>
      <c r="H3070" s="12">
        <v>8.8507999999999996</v>
      </c>
      <c r="I3070" s="12">
        <v>-76.426699999999997</v>
      </c>
      <c r="J3070" t="s">
        <v>2884</v>
      </c>
      <c r="K3070" t="s">
        <v>97</v>
      </c>
      <c r="L3070" t="s">
        <v>1273</v>
      </c>
      <c r="M3070">
        <v>11</v>
      </c>
      <c r="P3070" s="13">
        <v>243</v>
      </c>
      <c r="Q3070" s="13">
        <v>63</v>
      </c>
      <c r="R3070">
        <v>44</v>
      </c>
      <c r="S3070">
        <v>52</v>
      </c>
      <c r="T3070" s="13">
        <v>31</v>
      </c>
      <c r="U3070" s="13">
        <v>60</v>
      </c>
      <c r="V3070" t="s">
        <v>99</v>
      </c>
      <c r="X3070" s="13">
        <v>243</v>
      </c>
    </row>
    <row r="3071" spans="1:24" x14ac:dyDescent="0.25">
      <c r="A3071" t="s">
        <v>2887</v>
      </c>
      <c r="B3071" t="s">
        <v>65</v>
      </c>
      <c r="C3071" t="s">
        <v>2882</v>
      </c>
      <c r="D3071" t="s">
        <v>2883</v>
      </c>
      <c r="E3071" t="s">
        <v>2356</v>
      </c>
      <c r="F3071" t="s">
        <v>94</v>
      </c>
      <c r="G3071" t="s">
        <v>277</v>
      </c>
      <c r="H3071" s="12">
        <v>8.8507999999999996</v>
      </c>
      <c r="I3071" s="12">
        <v>-76.426699999999997</v>
      </c>
      <c r="J3071" t="s">
        <v>2884</v>
      </c>
      <c r="K3071" t="s">
        <v>97</v>
      </c>
      <c r="L3071" t="s">
        <v>1273</v>
      </c>
      <c r="M3071">
        <v>11</v>
      </c>
      <c r="P3071" s="13">
        <v>241</v>
      </c>
      <c r="Q3071" s="13">
        <v>51</v>
      </c>
      <c r="R3071">
        <v>40</v>
      </c>
      <c r="S3071">
        <v>48</v>
      </c>
      <c r="T3071" s="13">
        <v>41</v>
      </c>
      <c r="U3071" s="13">
        <v>84</v>
      </c>
      <c r="V3071" t="s">
        <v>99</v>
      </c>
      <c r="X3071" s="13">
        <v>241</v>
      </c>
    </row>
    <row r="3072" spans="1:24" x14ac:dyDescent="0.25">
      <c r="A3072" t="s">
        <v>2888</v>
      </c>
      <c r="B3072" t="s">
        <v>65</v>
      </c>
      <c r="C3072" t="s">
        <v>2882</v>
      </c>
      <c r="D3072" t="s">
        <v>2883</v>
      </c>
      <c r="E3072" t="s">
        <v>2356</v>
      </c>
      <c r="F3072" t="s">
        <v>94</v>
      </c>
      <c r="G3072" t="s">
        <v>277</v>
      </c>
      <c r="H3072" s="12">
        <v>8.8507999999999996</v>
      </c>
      <c r="I3072" s="12">
        <v>-76.426699999999997</v>
      </c>
      <c r="J3072" t="s">
        <v>2884</v>
      </c>
      <c r="K3072" t="s">
        <v>97</v>
      </c>
      <c r="L3072" t="s">
        <v>1273</v>
      </c>
      <c r="M3072">
        <v>11</v>
      </c>
      <c r="P3072" s="13">
        <v>238</v>
      </c>
      <c r="Q3072" s="13">
        <v>66</v>
      </c>
      <c r="R3072">
        <v>28</v>
      </c>
      <c r="S3072">
        <v>60</v>
      </c>
      <c r="T3072" s="13">
        <v>31</v>
      </c>
      <c r="U3072" s="13">
        <v>64</v>
      </c>
      <c r="V3072" t="s">
        <v>99</v>
      </c>
      <c r="X3072" s="13">
        <v>238</v>
      </c>
    </row>
    <row r="3073" spans="1:24" x14ac:dyDescent="0.25">
      <c r="A3073" t="s">
        <v>2889</v>
      </c>
      <c r="B3073" t="s">
        <v>65</v>
      </c>
      <c r="C3073" t="s">
        <v>2882</v>
      </c>
      <c r="D3073" t="s">
        <v>2883</v>
      </c>
      <c r="E3073" t="s">
        <v>2356</v>
      </c>
      <c r="F3073" t="s">
        <v>94</v>
      </c>
      <c r="G3073" t="s">
        <v>277</v>
      </c>
      <c r="H3073" s="12">
        <v>8.8507999999999996</v>
      </c>
      <c r="I3073" s="12">
        <v>-76.426699999999997</v>
      </c>
      <c r="J3073" t="s">
        <v>2884</v>
      </c>
      <c r="K3073" t="s">
        <v>97</v>
      </c>
      <c r="L3073" t="s">
        <v>1273</v>
      </c>
      <c r="M3073">
        <v>11</v>
      </c>
      <c r="P3073" s="13">
        <v>236</v>
      </c>
      <c r="Q3073" s="13">
        <v>66</v>
      </c>
      <c r="R3073">
        <v>32</v>
      </c>
      <c r="S3073">
        <v>54</v>
      </c>
      <c r="T3073" s="13">
        <v>36</v>
      </c>
      <c r="U3073" s="13">
        <v>49</v>
      </c>
      <c r="V3073" t="s">
        <v>99</v>
      </c>
      <c r="X3073" s="13">
        <v>236</v>
      </c>
    </row>
    <row r="3074" spans="1:24" x14ac:dyDescent="0.25">
      <c r="A3074" t="s">
        <v>2890</v>
      </c>
      <c r="B3074" t="s">
        <v>65</v>
      </c>
      <c r="C3074" t="s">
        <v>2882</v>
      </c>
      <c r="D3074" t="s">
        <v>2883</v>
      </c>
      <c r="E3074" t="s">
        <v>2356</v>
      </c>
      <c r="F3074" t="s">
        <v>94</v>
      </c>
      <c r="G3074" t="s">
        <v>277</v>
      </c>
      <c r="H3074" s="12">
        <v>8.8507999999999996</v>
      </c>
      <c r="I3074" s="12">
        <v>-76.426699999999997</v>
      </c>
      <c r="J3074" t="s">
        <v>2884</v>
      </c>
      <c r="K3074" t="s">
        <v>97</v>
      </c>
      <c r="L3074" t="s">
        <v>1273</v>
      </c>
      <c r="M3074">
        <v>11</v>
      </c>
      <c r="P3074" s="13">
        <v>235</v>
      </c>
      <c r="Q3074" s="13">
        <v>61</v>
      </c>
      <c r="R3074">
        <v>30</v>
      </c>
      <c r="S3074">
        <v>56</v>
      </c>
      <c r="T3074" s="13">
        <v>36</v>
      </c>
      <c r="U3074" s="13">
        <v>62</v>
      </c>
      <c r="V3074" t="s">
        <v>99</v>
      </c>
      <c r="X3074" s="13">
        <v>235</v>
      </c>
    </row>
    <row r="3075" spans="1:24" x14ac:dyDescent="0.25">
      <c r="A3075" t="s">
        <v>2891</v>
      </c>
      <c r="B3075" t="s">
        <v>65</v>
      </c>
      <c r="C3075" t="s">
        <v>2882</v>
      </c>
      <c r="D3075" t="s">
        <v>2883</v>
      </c>
      <c r="E3075" t="s">
        <v>2356</v>
      </c>
      <c r="F3075" t="s">
        <v>94</v>
      </c>
      <c r="G3075" t="s">
        <v>277</v>
      </c>
      <c r="H3075" s="12">
        <v>8.8507999999999996</v>
      </c>
      <c r="I3075" s="12">
        <v>-76.426699999999997</v>
      </c>
      <c r="J3075" t="s">
        <v>2884</v>
      </c>
      <c r="K3075" t="s">
        <v>97</v>
      </c>
      <c r="L3075" t="s">
        <v>1273</v>
      </c>
      <c r="M3075">
        <v>11</v>
      </c>
      <c r="P3075" s="13">
        <v>231</v>
      </c>
      <c r="Q3075" s="13">
        <v>63</v>
      </c>
      <c r="R3075">
        <v>34</v>
      </c>
      <c r="S3075">
        <v>52</v>
      </c>
      <c r="T3075" s="13">
        <v>40</v>
      </c>
      <c r="U3075" s="13">
        <v>35</v>
      </c>
      <c r="V3075" t="s">
        <v>99</v>
      </c>
      <c r="X3075" s="13">
        <v>231</v>
      </c>
    </row>
    <row r="3076" spans="1:24" x14ac:dyDescent="0.25">
      <c r="A3076" t="s">
        <v>2892</v>
      </c>
      <c r="B3076" t="s">
        <v>65</v>
      </c>
      <c r="C3076" t="s">
        <v>2882</v>
      </c>
      <c r="D3076" t="s">
        <v>2883</v>
      </c>
      <c r="E3076" t="s">
        <v>2356</v>
      </c>
      <c r="F3076" t="s">
        <v>94</v>
      </c>
      <c r="G3076" t="s">
        <v>277</v>
      </c>
      <c r="H3076" s="12">
        <v>8.8507999999999996</v>
      </c>
      <c r="I3076" s="12">
        <v>-76.426699999999997</v>
      </c>
      <c r="J3076" t="s">
        <v>2884</v>
      </c>
      <c r="K3076" t="s">
        <v>97</v>
      </c>
      <c r="L3076" t="s">
        <v>1273</v>
      </c>
      <c r="M3076">
        <v>11</v>
      </c>
      <c r="P3076" s="13">
        <v>224</v>
      </c>
      <c r="Q3076" s="13">
        <v>51</v>
      </c>
      <c r="R3076">
        <v>30</v>
      </c>
      <c r="S3076">
        <v>54</v>
      </c>
      <c r="T3076" s="13">
        <v>40</v>
      </c>
      <c r="U3076" s="13">
        <v>58</v>
      </c>
      <c r="V3076" t="s">
        <v>99</v>
      </c>
      <c r="X3076" s="13">
        <v>224</v>
      </c>
    </row>
    <row r="3077" spans="1:24" x14ac:dyDescent="0.25">
      <c r="A3077" t="s">
        <v>2893</v>
      </c>
      <c r="B3077" t="s">
        <v>65</v>
      </c>
      <c r="C3077" t="s">
        <v>2882</v>
      </c>
      <c r="D3077" t="s">
        <v>2883</v>
      </c>
      <c r="E3077" t="s">
        <v>2356</v>
      </c>
      <c r="F3077" t="s">
        <v>94</v>
      </c>
      <c r="G3077" t="s">
        <v>277</v>
      </c>
      <c r="H3077" s="12">
        <v>8.8507999999999996</v>
      </c>
      <c r="I3077" s="12">
        <v>-76.426699999999997</v>
      </c>
      <c r="J3077" t="s">
        <v>2884</v>
      </c>
      <c r="K3077" t="s">
        <v>97</v>
      </c>
      <c r="L3077" t="s">
        <v>1273</v>
      </c>
      <c r="M3077">
        <v>11</v>
      </c>
      <c r="P3077" s="13">
        <v>224</v>
      </c>
      <c r="Q3077" s="13">
        <v>49</v>
      </c>
      <c r="R3077">
        <v>44</v>
      </c>
      <c r="S3077">
        <v>50</v>
      </c>
      <c r="T3077" s="13">
        <v>33</v>
      </c>
      <c r="U3077" s="13">
        <v>55</v>
      </c>
      <c r="V3077" t="s">
        <v>99</v>
      </c>
      <c r="X3077" s="13">
        <v>224</v>
      </c>
    </row>
    <row r="3078" spans="1:24" x14ac:dyDescent="0.25">
      <c r="A3078" t="s">
        <v>2894</v>
      </c>
      <c r="B3078" t="s">
        <v>65</v>
      </c>
      <c r="C3078" t="s">
        <v>2882</v>
      </c>
      <c r="D3078" t="s">
        <v>2883</v>
      </c>
      <c r="E3078" t="s">
        <v>2356</v>
      </c>
      <c r="F3078" t="s">
        <v>94</v>
      </c>
      <c r="G3078" t="s">
        <v>277</v>
      </c>
      <c r="H3078" s="12">
        <v>8.8507999999999996</v>
      </c>
      <c r="I3078" s="12">
        <v>-76.426699999999997</v>
      </c>
      <c r="J3078" t="s">
        <v>2884</v>
      </c>
      <c r="K3078" t="s">
        <v>97</v>
      </c>
      <c r="L3078" t="s">
        <v>1273</v>
      </c>
      <c r="M3078">
        <v>11</v>
      </c>
      <c r="P3078" s="13">
        <v>220</v>
      </c>
      <c r="Q3078" s="13">
        <v>49</v>
      </c>
      <c r="R3078">
        <v>28</v>
      </c>
      <c r="S3078">
        <v>64</v>
      </c>
      <c r="T3078" s="13">
        <v>36</v>
      </c>
      <c r="U3078" s="13">
        <v>42</v>
      </c>
      <c r="V3078" t="s">
        <v>99</v>
      </c>
      <c r="X3078" s="13">
        <v>220</v>
      </c>
    </row>
    <row r="3079" spans="1:24" x14ac:dyDescent="0.25">
      <c r="A3079" t="s">
        <v>2895</v>
      </c>
      <c r="B3079" t="s">
        <v>65</v>
      </c>
      <c r="C3079" t="s">
        <v>2882</v>
      </c>
      <c r="D3079" t="s">
        <v>2883</v>
      </c>
      <c r="E3079" t="s">
        <v>2356</v>
      </c>
      <c r="F3079" t="s">
        <v>94</v>
      </c>
      <c r="G3079" t="s">
        <v>277</v>
      </c>
      <c r="H3079" s="12">
        <v>8.8507999999999996</v>
      </c>
      <c r="I3079" s="12">
        <v>-76.426699999999997</v>
      </c>
      <c r="J3079" t="s">
        <v>2884</v>
      </c>
      <c r="K3079" t="s">
        <v>97</v>
      </c>
      <c r="L3079" t="s">
        <v>1273</v>
      </c>
      <c r="M3079">
        <v>11</v>
      </c>
      <c r="P3079" s="13">
        <v>219</v>
      </c>
      <c r="Q3079" s="13">
        <v>51</v>
      </c>
      <c r="R3079">
        <v>24</v>
      </c>
      <c r="S3079">
        <v>56</v>
      </c>
      <c r="T3079" s="13">
        <v>41</v>
      </c>
      <c r="U3079" s="13">
        <v>51</v>
      </c>
      <c r="V3079" t="s">
        <v>99</v>
      </c>
      <c r="X3079" s="13">
        <v>219</v>
      </c>
    </row>
    <row r="3080" spans="1:24" x14ac:dyDescent="0.25">
      <c r="A3080" t="s">
        <v>2896</v>
      </c>
      <c r="B3080" t="s">
        <v>65</v>
      </c>
      <c r="C3080" t="s">
        <v>2882</v>
      </c>
      <c r="D3080" t="s">
        <v>2883</v>
      </c>
      <c r="E3080" t="s">
        <v>2356</v>
      </c>
      <c r="F3080" t="s">
        <v>94</v>
      </c>
      <c r="G3080" t="s">
        <v>277</v>
      </c>
      <c r="H3080" s="12">
        <v>8.8507999999999996</v>
      </c>
      <c r="I3080" s="12">
        <v>-76.426699999999997</v>
      </c>
      <c r="J3080" t="s">
        <v>2884</v>
      </c>
      <c r="K3080" t="s">
        <v>97</v>
      </c>
      <c r="L3080" t="s">
        <v>1273</v>
      </c>
      <c r="M3080">
        <v>11</v>
      </c>
      <c r="P3080" s="13">
        <v>218</v>
      </c>
      <c r="Q3080" s="13">
        <v>49</v>
      </c>
      <c r="R3080">
        <v>34</v>
      </c>
      <c r="S3080">
        <v>54</v>
      </c>
      <c r="T3080" s="13">
        <v>36</v>
      </c>
      <c r="U3080" s="13">
        <v>47</v>
      </c>
      <c r="V3080" t="s">
        <v>99</v>
      </c>
      <c r="X3080" s="13">
        <v>218</v>
      </c>
    </row>
    <row r="3081" spans="1:24" x14ac:dyDescent="0.25">
      <c r="A3081" t="s">
        <v>2897</v>
      </c>
      <c r="B3081" t="s">
        <v>65</v>
      </c>
      <c r="C3081" t="s">
        <v>2882</v>
      </c>
      <c r="D3081" t="s">
        <v>2883</v>
      </c>
      <c r="E3081" t="s">
        <v>2356</v>
      </c>
      <c r="F3081" t="s">
        <v>94</v>
      </c>
      <c r="G3081" t="s">
        <v>277</v>
      </c>
      <c r="H3081" s="12">
        <v>8.8507999999999996</v>
      </c>
      <c r="I3081" s="12">
        <v>-76.426699999999997</v>
      </c>
      <c r="J3081" t="s">
        <v>2884</v>
      </c>
      <c r="K3081" t="s">
        <v>97</v>
      </c>
      <c r="L3081" t="s">
        <v>1273</v>
      </c>
      <c r="M3081">
        <v>11</v>
      </c>
      <c r="P3081" s="13">
        <v>217</v>
      </c>
      <c r="Q3081" s="13">
        <v>56</v>
      </c>
      <c r="R3081">
        <v>30</v>
      </c>
      <c r="S3081">
        <v>64</v>
      </c>
      <c r="T3081" s="13">
        <v>21</v>
      </c>
      <c r="U3081" s="13">
        <v>51</v>
      </c>
      <c r="V3081" t="s">
        <v>99</v>
      </c>
      <c r="X3081" s="13">
        <v>217</v>
      </c>
    </row>
    <row r="3082" spans="1:24" x14ac:dyDescent="0.25">
      <c r="A3082" t="s">
        <v>2898</v>
      </c>
      <c r="B3082" t="s">
        <v>65</v>
      </c>
      <c r="C3082" t="s">
        <v>2882</v>
      </c>
      <c r="D3082" t="s">
        <v>2883</v>
      </c>
      <c r="E3082" t="s">
        <v>2356</v>
      </c>
      <c r="F3082" t="s">
        <v>94</v>
      </c>
      <c r="G3082" t="s">
        <v>277</v>
      </c>
      <c r="H3082" s="12">
        <v>8.8507999999999996</v>
      </c>
      <c r="I3082" s="12">
        <v>-76.426699999999997</v>
      </c>
      <c r="J3082" t="s">
        <v>2884</v>
      </c>
      <c r="K3082" t="s">
        <v>97</v>
      </c>
      <c r="L3082" t="s">
        <v>1273</v>
      </c>
      <c r="M3082">
        <v>11</v>
      </c>
      <c r="P3082" s="13">
        <v>211</v>
      </c>
      <c r="Q3082" s="13">
        <v>49</v>
      </c>
      <c r="R3082">
        <v>22</v>
      </c>
      <c r="S3082">
        <v>50</v>
      </c>
      <c r="T3082" s="13">
        <v>47</v>
      </c>
      <c r="U3082" s="13">
        <v>45</v>
      </c>
      <c r="V3082" t="s">
        <v>99</v>
      </c>
      <c r="X3082" s="13">
        <v>211</v>
      </c>
    </row>
    <row r="3083" spans="1:24" x14ac:dyDescent="0.25">
      <c r="A3083" t="s">
        <v>2899</v>
      </c>
      <c r="B3083" t="s">
        <v>65</v>
      </c>
      <c r="C3083" t="s">
        <v>2882</v>
      </c>
      <c r="D3083" t="s">
        <v>2883</v>
      </c>
      <c r="E3083" t="s">
        <v>2356</v>
      </c>
      <c r="F3083" t="s">
        <v>94</v>
      </c>
      <c r="G3083" t="s">
        <v>277</v>
      </c>
      <c r="H3083" s="12">
        <v>8.8507999999999996</v>
      </c>
      <c r="I3083" s="12">
        <v>-76.426699999999997</v>
      </c>
      <c r="J3083" t="s">
        <v>2884</v>
      </c>
      <c r="K3083" t="s">
        <v>97</v>
      </c>
      <c r="L3083" t="s">
        <v>1273</v>
      </c>
      <c r="M3083">
        <v>11</v>
      </c>
      <c r="P3083" s="13">
        <v>210</v>
      </c>
      <c r="Q3083" s="13">
        <v>61</v>
      </c>
      <c r="R3083">
        <v>22</v>
      </c>
      <c r="S3083">
        <v>46</v>
      </c>
      <c r="T3083" s="13">
        <v>36</v>
      </c>
      <c r="U3083" s="13">
        <v>51</v>
      </c>
      <c r="V3083" t="s">
        <v>99</v>
      </c>
      <c r="X3083" s="13">
        <v>210</v>
      </c>
    </row>
    <row r="3084" spans="1:24" x14ac:dyDescent="0.25">
      <c r="A3084" t="s">
        <v>2900</v>
      </c>
      <c r="B3084" t="s">
        <v>65</v>
      </c>
      <c r="C3084" t="s">
        <v>2882</v>
      </c>
      <c r="D3084" t="s">
        <v>2883</v>
      </c>
      <c r="E3084" t="s">
        <v>2356</v>
      </c>
      <c r="F3084" t="s">
        <v>94</v>
      </c>
      <c r="G3084" t="s">
        <v>277</v>
      </c>
      <c r="H3084" s="12">
        <v>8.8507999999999996</v>
      </c>
      <c r="I3084" s="12">
        <v>-76.426699999999997</v>
      </c>
      <c r="J3084" t="s">
        <v>2884</v>
      </c>
      <c r="K3084" t="s">
        <v>97</v>
      </c>
      <c r="L3084" t="s">
        <v>1273</v>
      </c>
      <c r="M3084">
        <v>11</v>
      </c>
      <c r="P3084" s="13">
        <v>208</v>
      </c>
      <c r="Q3084" s="13">
        <v>46</v>
      </c>
      <c r="R3084">
        <v>22</v>
      </c>
      <c r="S3084">
        <v>64</v>
      </c>
      <c r="T3084" s="13">
        <v>29</v>
      </c>
      <c r="U3084" s="13">
        <v>56</v>
      </c>
      <c r="V3084" t="s">
        <v>99</v>
      </c>
      <c r="X3084" s="13">
        <v>208</v>
      </c>
    </row>
    <row r="3085" spans="1:24" x14ac:dyDescent="0.25">
      <c r="A3085" t="s">
        <v>2901</v>
      </c>
      <c r="B3085" t="s">
        <v>65</v>
      </c>
      <c r="C3085" t="s">
        <v>2882</v>
      </c>
      <c r="D3085" t="s">
        <v>2883</v>
      </c>
      <c r="E3085" t="s">
        <v>2356</v>
      </c>
      <c r="F3085" t="s">
        <v>94</v>
      </c>
      <c r="G3085" t="s">
        <v>277</v>
      </c>
      <c r="H3085" s="12">
        <v>8.8507999999999996</v>
      </c>
      <c r="I3085" s="12">
        <v>-76.426699999999997</v>
      </c>
      <c r="J3085" t="s">
        <v>2884</v>
      </c>
      <c r="K3085" t="s">
        <v>97</v>
      </c>
      <c r="L3085" t="s">
        <v>1273</v>
      </c>
      <c r="M3085">
        <v>11</v>
      </c>
      <c r="P3085" s="13">
        <v>208</v>
      </c>
      <c r="Q3085" s="13">
        <v>56</v>
      </c>
      <c r="R3085">
        <v>18</v>
      </c>
      <c r="S3085">
        <v>58</v>
      </c>
      <c r="T3085" s="13">
        <v>33</v>
      </c>
      <c r="U3085" s="13">
        <v>45</v>
      </c>
      <c r="V3085" t="s">
        <v>99</v>
      </c>
      <c r="X3085" s="13">
        <v>208</v>
      </c>
    </row>
    <row r="3086" spans="1:24" x14ac:dyDescent="0.25">
      <c r="A3086" t="s">
        <v>2902</v>
      </c>
      <c r="B3086" t="s">
        <v>65</v>
      </c>
      <c r="C3086" t="s">
        <v>2882</v>
      </c>
      <c r="D3086" t="s">
        <v>2883</v>
      </c>
      <c r="E3086" t="s">
        <v>2356</v>
      </c>
      <c r="F3086" t="s">
        <v>94</v>
      </c>
      <c r="G3086" t="s">
        <v>277</v>
      </c>
      <c r="H3086" s="12">
        <v>8.8507999999999996</v>
      </c>
      <c r="I3086" s="12">
        <v>-76.426699999999997</v>
      </c>
      <c r="J3086" t="s">
        <v>2884</v>
      </c>
      <c r="K3086" t="s">
        <v>97</v>
      </c>
      <c r="L3086" t="s">
        <v>1273</v>
      </c>
      <c r="M3086">
        <v>11</v>
      </c>
      <c r="P3086" s="13">
        <v>207</v>
      </c>
      <c r="Q3086" s="13">
        <v>46</v>
      </c>
      <c r="R3086">
        <v>20</v>
      </c>
      <c r="S3086">
        <v>64</v>
      </c>
      <c r="T3086" s="13">
        <v>28</v>
      </c>
      <c r="U3086" s="13">
        <v>64</v>
      </c>
      <c r="V3086" t="s">
        <v>99</v>
      </c>
      <c r="X3086" s="13">
        <v>207</v>
      </c>
    </row>
    <row r="3087" spans="1:24" x14ac:dyDescent="0.25">
      <c r="A3087" t="s">
        <v>2903</v>
      </c>
      <c r="B3087" t="s">
        <v>65</v>
      </c>
      <c r="C3087" t="s">
        <v>2882</v>
      </c>
      <c r="D3087" t="s">
        <v>2883</v>
      </c>
      <c r="E3087" t="s">
        <v>2356</v>
      </c>
      <c r="F3087" t="s">
        <v>94</v>
      </c>
      <c r="G3087" t="s">
        <v>277</v>
      </c>
      <c r="H3087" s="12">
        <v>8.8507999999999996</v>
      </c>
      <c r="I3087" s="12">
        <v>-76.426699999999997</v>
      </c>
      <c r="J3087" t="s">
        <v>2884</v>
      </c>
      <c r="K3087" t="s">
        <v>97</v>
      </c>
      <c r="L3087" t="s">
        <v>1273</v>
      </c>
      <c r="M3087">
        <v>11</v>
      </c>
      <c r="P3087" s="13">
        <v>205</v>
      </c>
      <c r="Q3087" s="13">
        <v>32</v>
      </c>
      <c r="R3087">
        <v>46</v>
      </c>
      <c r="S3087">
        <v>52</v>
      </c>
      <c r="T3087" s="13">
        <v>36</v>
      </c>
      <c r="U3087" s="13">
        <v>35</v>
      </c>
      <c r="V3087" t="s">
        <v>99</v>
      </c>
      <c r="X3087" s="13">
        <v>205</v>
      </c>
    </row>
    <row r="3088" spans="1:24" x14ac:dyDescent="0.25">
      <c r="A3088" t="s">
        <v>2904</v>
      </c>
      <c r="B3088" t="s">
        <v>65</v>
      </c>
      <c r="C3088" t="s">
        <v>2882</v>
      </c>
      <c r="D3088" t="s">
        <v>2883</v>
      </c>
      <c r="E3088" t="s">
        <v>2356</v>
      </c>
      <c r="F3088" t="s">
        <v>94</v>
      </c>
      <c r="G3088" t="s">
        <v>277</v>
      </c>
      <c r="H3088" s="12">
        <v>8.8507999999999996</v>
      </c>
      <c r="I3088" s="12">
        <v>-76.426699999999997</v>
      </c>
      <c r="J3088" t="s">
        <v>2884</v>
      </c>
      <c r="K3088" t="s">
        <v>97</v>
      </c>
      <c r="L3088" t="s">
        <v>1273</v>
      </c>
      <c r="M3088">
        <v>11</v>
      </c>
      <c r="P3088" s="13">
        <v>204</v>
      </c>
      <c r="Q3088" s="13">
        <v>66</v>
      </c>
      <c r="R3088">
        <v>18</v>
      </c>
      <c r="S3088">
        <v>52</v>
      </c>
      <c r="T3088" s="13">
        <v>28</v>
      </c>
      <c r="U3088" s="13">
        <v>40</v>
      </c>
      <c r="V3088" t="s">
        <v>99</v>
      </c>
      <c r="X3088" s="13">
        <v>204</v>
      </c>
    </row>
    <row r="3089" spans="1:24" x14ac:dyDescent="0.25">
      <c r="A3089" t="s">
        <v>2905</v>
      </c>
      <c r="B3089" t="s">
        <v>65</v>
      </c>
      <c r="C3089" t="s">
        <v>2882</v>
      </c>
      <c r="D3089" t="s">
        <v>2883</v>
      </c>
      <c r="E3089" t="s">
        <v>2356</v>
      </c>
      <c r="F3089" t="s">
        <v>94</v>
      </c>
      <c r="G3089" t="s">
        <v>277</v>
      </c>
      <c r="H3089" s="12">
        <v>8.8507999999999996</v>
      </c>
      <c r="I3089" s="12">
        <v>-76.426699999999997</v>
      </c>
      <c r="J3089" t="s">
        <v>2884</v>
      </c>
      <c r="K3089" t="s">
        <v>97</v>
      </c>
      <c r="L3089" t="s">
        <v>1273</v>
      </c>
      <c r="M3089">
        <v>11</v>
      </c>
      <c r="P3089" s="13">
        <v>201</v>
      </c>
      <c r="Q3089" s="13">
        <v>49</v>
      </c>
      <c r="R3089">
        <v>28</v>
      </c>
      <c r="S3089">
        <v>44</v>
      </c>
      <c r="T3089" s="13">
        <v>38</v>
      </c>
      <c r="U3089" s="13">
        <v>47</v>
      </c>
      <c r="V3089" t="s">
        <v>99</v>
      </c>
      <c r="X3089" s="13">
        <v>201</v>
      </c>
    </row>
    <row r="3090" spans="1:24" x14ac:dyDescent="0.25">
      <c r="A3090" t="s">
        <v>2906</v>
      </c>
      <c r="B3090" t="s">
        <v>65</v>
      </c>
      <c r="C3090" t="s">
        <v>2882</v>
      </c>
      <c r="D3090" t="s">
        <v>2883</v>
      </c>
      <c r="E3090" t="s">
        <v>2356</v>
      </c>
      <c r="F3090" t="s">
        <v>94</v>
      </c>
      <c r="G3090" t="s">
        <v>277</v>
      </c>
      <c r="H3090" s="12">
        <v>8.8507999999999996</v>
      </c>
      <c r="I3090" s="12">
        <v>-76.426699999999997</v>
      </c>
      <c r="J3090" t="s">
        <v>2884</v>
      </c>
      <c r="K3090" t="s">
        <v>97</v>
      </c>
      <c r="L3090" t="s">
        <v>1273</v>
      </c>
      <c r="M3090">
        <v>11</v>
      </c>
      <c r="P3090" s="13">
        <v>196</v>
      </c>
      <c r="Q3090" s="13">
        <v>51</v>
      </c>
      <c r="R3090">
        <v>30</v>
      </c>
      <c r="S3090">
        <v>42</v>
      </c>
      <c r="T3090" s="13">
        <v>33</v>
      </c>
      <c r="U3090" s="13">
        <v>42</v>
      </c>
      <c r="V3090" t="s">
        <v>99</v>
      </c>
      <c r="X3090" s="13">
        <v>196</v>
      </c>
    </row>
    <row r="3091" spans="1:24" x14ac:dyDescent="0.25">
      <c r="A3091" t="s">
        <v>2907</v>
      </c>
      <c r="B3091" t="s">
        <v>65</v>
      </c>
      <c r="C3091" t="s">
        <v>2882</v>
      </c>
      <c r="D3091" t="s">
        <v>2883</v>
      </c>
      <c r="E3091" t="s">
        <v>2356</v>
      </c>
      <c r="F3091" t="s">
        <v>94</v>
      </c>
      <c r="G3091" t="s">
        <v>277</v>
      </c>
      <c r="H3091" s="12">
        <v>8.8507999999999996</v>
      </c>
      <c r="I3091" s="12">
        <v>-76.426699999999997</v>
      </c>
      <c r="J3091" t="s">
        <v>2884</v>
      </c>
      <c r="K3091" t="s">
        <v>97</v>
      </c>
      <c r="L3091" t="s">
        <v>1273</v>
      </c>
      <c r="M3091">
        <v>11</v>
      </c>
      <c r="P3091" s="13">
        <v>195</v>
      </c>
      <c r="Q3091" s="13">
        <v>49</v>
      </c>
      <c r="R3091">
        <v>36</v>
      </c>
      <c r="S3091">
        <v>42</v>
      </c>
      <c r="T3091" s="13">
        <v>26</v>
      </c>
      <c r="U3091" s="13">
        <v>49</v>
      </c>
      <c r="V3091" t="s">
        <v>99</v>
      </c>
      <c r="X3091" s="13">
        <v>195</v>
      </c>
    </row>
    <row r="3092" spans="1:24" x14ac:dyDescent="0.25">
      <c r="A3092" t="s">
        <v>2908</v>
      </c>
      <c r="B3092" t="s">
        <v>65</v>
      </c>
      <c r="C3092" t="s">
        <v>2882</v>
      </c>
      <c r="D3092" t="s">
        <v>2883</v>
      </c>
      <c r="E3092" t="s">
        <v>2356</v>
      </c>
      <c r="F3092" t="s">
        <v>94</v>
      </c>
      <c r="G3092" t="s">
        <v>277</v>
      </c>
      <c r="H3092" s="12">
        <v>8.8507999999999996</v>
      </c>
      <c r="I3092" s="12">
        <v>-76.426699999999997</v>
      </c>
      <c r="J3092" t="s">
        <v>2884</v>
      </c>
      <c r="K3092" t="s">
        <v>97</v>
      </c>
      <c r="L3092" t="s">
        <v>1273</v>
      </c>
      <c r="M3092">
        <v>11</v>
      </c>
      <c r="P3092" s="13">
        <v>195</v>
      </c>
      <c r="Q3092" s="13">
        <v>46</v>
      </c>
      <c r="R3092">
        <v>30</v>
      </c>
      <c r="S3092">
        <v>44</v>
      </c>
      <c r="T3092" s="13">
        <v>31</v>
      </c>
      <c r="U3092" s="13">
        <v>53</v>
      </c>
      <c r="V3092" t="s">
        <v>99</v>
      </c>
      <c r="X3092" s="13">
        <v>195</v>
      </c>
    </row>
    <row r="3093" spans="1:24" x14ac:dyDescent="0.25">
      <c r="A3093" t="s">
        <v>2909</v>
      </c>
      <c r="B3093" t="s">
        <v>65</v>
      </c>
      <c r="C3093" t="s">
        <v>2882</v>
      </c>
      <c r="D3093" t="s">
        <v>2883</v>
      </c>
      <c r="E3093" t="s">
        <v>2356</v>
      </c>
      <c r="F3093" t="s">
        <v>94</v>
      </c>
      <c r="G3093" t="s">
        <v>277</v>
      </c>
      <c r="H3093" s="12">
        <v>8.8507999999999996</v>
      </c>
      <c r="I3093" s="12">
        <v>-76.426699999999997</v>
      </c>
      <c r="J3093" t="s">
        <v>2884</v>
      </c>
      <c r="K3093" t="s">
        <v>97</v>
      </c>
      <c r="L3093" t="s">
        <v>1273</v>
      </c>
      <c r="M3093">
        <v>11</v>
      </c>
      <c r="P3093" s="13">
        <v>193</v>
      </c>
      <c r="Q3093" s="13">
        <v>49</v>
      </c>
      <c r="R3093">
        <v>32</v>
      </c>
      <c r="S3093">
        <v>44</v>
      </c>
      <c r="T3093" s="13">
        <v>29</v>
      </c>
      <c r="U3093" s="13">
        <v>40</v>
      </c>
      <c r="V3093" t="s">
        <v>99</v>
      </c>
      <c r="X3093" s="13">
        <v>193</v>
      </c>
    </row>
    <row r="3094" spans="1:24" x14ac:dyDescent="0.25">
      <c r="A3094" t="s">
        <v>2910</v>
      </c>
      <c r="B3094" t="s">
        <v>65</v>
      </c>
      <c r="C3094" t="s">
        <v>2882</v>
      </c>
      <c r="D3094" t="s">
        <v>2883</v>
      </c>
      <c r="E3094" t="s">
        <v>2356</v>
      </c>
      <c r="F3094" t="s">
        <v>94</v>
      </c>
      <c r="G3094" t="s">
        <v>277</v>
      </c>
      <c r="H3094" s="12">
        <v>8.8507999999999996</v>
      </c>
      <c r="I3094" s="12">
        <v>-76.426699999999997</v>
      </c>
      <c r="J3094" t="s">
        <v>2884</v>
      </c>
      <c r="K3094" t="s">
        <v>97</v>
      </c>
      <c r="L3094" t="s">
        <v>1273</v>
      </c>
      <c r="M3094">
        <v>11</v>
      </c>
      <c r="P3094" s="13">
        <v>191</v>
      </c>
      <c r="Q3094" s="13">
        <v>51</v>
      </c>
      <c r="R3094">
        <v>20</v>
      </c>
      <c r="S3094">
        <v>46</v>
      </c>
      <c r="T3094" s="13">
        <v>38</v>
      </c>
      <c r="U3094" s="13">
        <v>31</v>
      </c>
      <c r="V3094" t="s">
        <v>99</v>
      </c>
      <c r="X3094" s="13">
        <v>191</v>
      </c>
    </row>
    <row r="3095" spans="1:24" x14ac:dyDescent="0.25">
      <c r="A3095" t="s">
        <v>2911</v>
      </c>
      <c r="B3095" t="s">
        <v>65</v>
      </c>
      <c r="C3095" t="s">
        <v>2882</v>
      </c>
      <c r="D3095" t="s">
        <v>2883</v>
      </c>
      <c r="E3095" t="s">
        <v>2356</v>
      </c>
      <c r="F3095" t="s">
        <v>94</v>
      </c>
      <c r="G3095" t="s">
        <v>277</v>
      </c>
      <c r="H3095" s="12">
        <v>8.8507999999999996</v>
      </c>
      <c r="I3095" s="12">
        <v>-76.426699999999997</v>
      </c>
      <c r="J3095" t="s">
        <v>2884</v>
      </c>
      <c r="K3095" t="s">
        <v>97</v>
      </c>
      <c r="L3095" t="s">
        <v>1273</v>
      </c>
      <c r="M3095">
        <v>11</v>
      </c>
      <c r="P3095" s="13">
        <v>188</v>
      </c>
      <c r="Q3095" s="13">
        <v>49</v>
      </c>
      <c r="R3095">
        <v>24</v>
      </c>
      <c r="S3095">
        <v>46</v>
      </c>
      <c r="T3095" s="13">
        <v>34</v>
      </c>
      <c r="U3095" s="13">
        <v>29</v>
      </c>
      <c r="V3095" t="s">
        <v>99</v>
      </c>
      <c r="X3095" s="13">
        <v>188</v>
      </c>
    </row>
    <row r="3096" spans="1:24" x14ac:dyDescent="0.25">
      <c r="A3096" t="s">
        <v>2912</v>
      </c>
      <c r="B3096" t="s">
        <v>65</v>
      </c>
      <c r="C3096" t="s">
        <v>2882</v>
      </c>
      <c r="D3096" t="s">
        <v>2883</v>
      </c>
      <c r="E3096" t="s">
        <v>2356</v>
      </c>
      <c r="F3096" t="s">
        <v>94</v>
      </c>
      <c r="G3096" t="s">
        <v>277</v>
      </c>
      <c r="H3096" s="12">
        <v>8.8507999999999996</v>
      </c>
      <c r="I3096" s="12">
        <v>-76.426699999999997</v>
      </c>
      <c r="J3096" t="s">
        <v>2884</v>
      </c>
      <c r="K3096" t="s">
        <v>97</v>
      </c>
      <c r="L3096" t="s">
        <v>1273</v>
      </c>
      <c r="M3096">
        <v>11</v>
      </c>
      <c r="P3096" s="13">
        <v>186</v>
      </c>
      <c r="Q3096" s="13">
        <v>41</v>
      </c>
      <c r="R3096">
        <v>40</v>
      </c>
      <c r="S3096">
        <v>44</v>
      </c>
      <c r="T3096" s="13">
        <v>24</v>
      </c>
      <c r="U3096" s="13">
        <v>35</v>
      </c>
      <c r="V3096" t="s">
        <v>99</v>
      </c>
      <c r="X3096" s="13">
        <v>186</v>
      </c>
    </row>
    <row r="3097" spans="1:24" x14ac:dyDescent="0.25">
      <c r="A3097" t="s">
        <v>2913</v>
      </c>
      <c r="B3097" t="s">
        <v>65</v>
      </c>
      <c r="C3097" t="s">
        <v>2882</v>
      </c>
      <c r="D3097" t="s">
        <v>2883</v>
      </c>
      <c r="E3097" t="s">
        <v>2356</v>
      </c>
      <c r="F3097" t="s">
        <v>94</v>
      </c>
      <c r="G3097" t="s">
        <v>277</v>
      </c>
      <c r="H3097" s="12">
        <v>8.8507999999999996</v>
      </c>
      <c r="I3097" s="12">
        <v>-76.426699999999997</v>
      </c>
      <c r="J3097" t="s">
        <v>2884</v>
      </c>
      <c r="K3097" t="s">
        <v>97</v>
      </c>
      <c r="L3097" t="s">
        <v>1273</v>
      </c>
      <c r="M3097">
        <v>11</v>
      </c>
      <c r="P3097" s="13">
        <v>185</v>
      </c>
      <c r="Q3097" s="13">
        <v>39</v>
      </c>
      <c r="R3097">
        <v>22</v>
      </c>
      <c r="S3097">
        <v>58</v>
      </c>
      <c r="T3097" s="13">
        <v>28</v>
      </c>
      <c r="U3097" s="13">
        <v>42</v>
      </c>
      <c r="V3097" t="s">
        <v>99</v>
      </c>
      <c r="X3097" s="13">
        <v>185</v>
      </c>
    </row>
    <row r="3098" spans="1:24" x14ac:dyDescent="0.25">
      <c r="A3098" t="s">
        <v>2914</v>
      </c>
      <c r="B3098" t="s">
        <v>65</v>
      </c>
      <c r="C3098" t="s">
        <v>2882</v>
      </c>
      <c r="D3098" t="s">
        <v>2883</v>
      </c>
      <c r="E3098" t="s">
        <v>2356</v>
      </c>
      <c r="F3098" t="s">
        <v>94</v>
      </c>
      <c r="G3098" t="s">
        <v>277</v>
      </c>
      <c r="H3098" s="12">
        <v>8.8507999999999996</v>
      </c>
      <c r="I3098" s="12">
        <v>-76.426699999999997</v>
      </c>
      <c r="J3098" t="s">
        <v>2884</v>
      </c>
      <c r="K3098" t="s">
        <v>97</v>
      </c>
      <c r="L3098" t="s">
        <v>1273</v>
      </c>
      <c r="M3098">
        <v>11</v>
      </c>
      <c r="P3098" s="13">
        <v>185</v>
      </c>
      <c r="Q3098" s="13">
        <v>46</v>
      </c>
      <c r="R3098">
        <v>28</v>
      </c>
      <c r="S3098">
        <v>48</v>
      </c>
      <c r="T3098" s="13">
        <v>24</v>
      </c>
      <c r="U3098" s="13">
        <v>42</v>
      </c>
      <c r="V3098" t="s">
        <v>99</v>
      </c>
      <c r="X3098" s="13">
        <v>185</v>
      </c>
    </row>
    <row r="3099" spans="1:24" x14ac:dyDescent="0.25">
      <c r="A3099" t="s">
        <v>2915</v>
      </c>
      <c r="B3099" t="s">
        <v>65</v>
      </c>
      <c r="C3099" t="s">
        <v>2882</v>
      </c>
      <c r="D3099" t="s">
        <v>2883</v>
      </c>
      <c r="E3099" t="s">
        <v>2356</v>
      </c>
      <c r="F3099" t="s">
        <v>94</v>
      </c>
      <c r="G3099" t="s">
        <v>277</v>
      </c>
      <c r="H3099" s="12">
        <v>8.8507999999999996</v>
      </c>
      <c r="I3099" s="12">
        <v>-76.426699999999997</v>
      </c>
      <c r="J3099" t="s">
        <v>2884</v>
      </c>
      <c r="K3099" t="s">
        <v>97</v>
      </c>
      <c r="L3099" t="s">
        <v>1273</v>
      </c>
      <c r="M3099">
        <v>11</v>
      </c>
      <c r="P3099" s="13">
        <v>180</v>
      </c>
      <c r="Q3099" s="13">
        <v>51</v>
      </c>
      <c r="R3099">
        <v>18</v>
      </c>
      <c r="S3099">
        <v>46</v>
      </c>
      <c r="T3099" s="13">
        <v>22</v>
      </c>
      <c r="U3099" s="13">
        <v>55</v>
      </c>
      <c r="V3099" t="s">
        <v>99</v>
      </c>
      <c r="X3099" s="13">
        <v>180</v>
      </c>
    </row>
    <row r="3100" spans="1:24" x14ac:dyDescent="0.25">
      <c r="A3100" t="s">
        <v>2916</v>
      </c>
      <c r="B3100" t="s">
        <v>65</v>
      </c>
      <c r="C3100" t="s">
        <v>2882</v>
      </c>
      <c r="D3100" t="s">
        <v>2883</v>
      </c>
      <c r="E3100" t="s">
        <v>2356</v>
      </c>
      <c r="F3100" t="s">
        <v>94</v>
      </c>
      <c r="G3100" t="s">
        <v>277</v>
      </c>
      <c r="H3100" s="12">
        <v>8.8507999999999996</v>
      </c>
      <c r="I3100" s="12">
        <v>-76.426699999999997</v>
      </c>
      <c r="J3100" t="s">
        <v>2884</v>
      </c>
      <c r="K3100" t="s">
        <v>97</v>
      </c>
      <c r="L3100" t="s">
        <v>1273</v>
      </c>
      <c r="M3100">
        <v>11</v>
      </c>
      <c r="P3100" s="13">
        <v>172</v>
      </c>
      <c r="Q3100" s="13">
        <v>29</v>
      </c>
      <c r="R3100">
        <v>26</v>
      </c>
      <c r="S3100">
        <v>52</v>
      </c>
      <c r="T3100" s="13">
        <v>28</v>
      </c>
      <c r="U3100" s="13">
        <v>44</v>
      </c>
      <c r="V3100" t="s">
        <v>99</v>
      </c>
      <c r="X3100" s="13">
        <v>172</v>
      </c>
    </row>
    <row r="3101" spans="1:24" x14ac:dyDescent="0.25">
      <c r="A3101" t="s">
        <v>2917</v>
      </c>
      <c r="B3101" t="s">
        <v>65</v>
      </c>
      <c r="C3101" t="s">
        <v>2882</v>
      </c>
      <c r="D3101" t="s">
        <v>2883</v>
      </c>
      <c r="E3101" t="s">
        <v>2356</v>
      </c>
      <c r="F3101" t="s">
        <v>94</v>
      </c>
      <c r="G3101" t="s">
        <v>277</v>
      </c>
      <c r="H3101" s="12">
        <v>8.8507999999999996</v>
      </c>
      <c r="I3101" s="12">
        <v>-76.426699999999997</v>
      </c>
      <c r="J3101" t="s">
        <v>2884</v>
      </c>
      <c r="K3101" t="s">
        <v>97</v>
      </c>
      <c r="L3101" t="s">
        <v>1273</v>
      </c>
      <c r="M3101">
        <v>11</v>
      </c>
      <c r="P3101" s="13">
        <v>170</v>
      </c>
      <c r="Q3101" s="13">
        <v>29</v>
      </c>
      <c r="R3101">
        <v>40</v>
      </c>
      <c r="S3101">
        <v>48</v>
      </c>
      <c r="T3101" s="13">
        <v>21</v>
      </c>
      <c r="U3101" s="13">
        <v>29</v>
      </c>
      <c r="V3101" t="s">
        <v>99</v>
      </c>
      <c r="X3101" s="13">
        <v>170</v>
      </c>
    </row>
    <row r="3102" spans="1:24" x14ac:dyDescent="0.25">
      <c r="A3102" t="s">
        <v>2918</v>
      </c>
      <c r="B3102" t="s">
        <v>65</v>
      </c>
      <c r="C3102" t="s">
        <v>2882</v>
      </c>
      <c r="D3102" t="s">
        <v>2883</v>
      </c>
      <c r="E3102" t="s">
        <v>2356</v>
      </c>
      <c r="F3102" t="s">
        <v>94</v>
      </c>
      <c r="G3102" t="s">
        <v>277</v>
      </c>
      <c r="H3102" s="12">
        <v>8.8507999999999996</v>
      </c>
      <c r="I3102" s="12">
        <v>-76.426699999999997</v>
      </c>
      <c r="J3102" t="s">
        <v>2884</v>
      </c>
      <c r="K3102" t="s">
        <v>97</v>
      </c>
      <c r="L3102" t="s">
        <v>1273</v>
      </c>
      <c r="M3102">
        <v>11</v>
      </c>
      <c r="P3102" s="13">
        <v>169</v>
      </c>
      <c r="Q3102" s="13">
        <v>37</v>
      </c>
      <c r="R3102">
        <v>30</v>
      </c>
      <c r="S3102">
        <v>36</v>
      </c>
      <c r="T3102" s="13">
        <v>28</v>
      </c>
      <c r="U3102" s="13">
        <v>49</v>
      </c>
      <c r="V3102" t="s">
        <v>99</v>
      </c>
      <c r="X3102" s="13">
        <v>169</v>
      </c>
    </row>
    <row r="3103" spans="1:24" x14ac:dyDescent="0.25">
      <c r="A3103" t="s">
        <v>2919</v>
      </c>
      <c r="B3103" t="s">
        <v>65</v>
      </c>
      <c r="C3103" t="s">
        <v>2882</v>
      </c>
      <c r="D3103" t="s">
        <v>2883</v>
      </c>
      <c r="E3103" t="s">
        <v>2356</v>
      </c>
      <c r="F3103" t="s">
        <v>94</v>
      </c>
      <c r="G3103" t="s">
        <v>277</v>
      </c>
      <c r="H3103" s="12">
        <v>8.8507999999999996</v>
      </c>
      <c r="I3103" s="12">
        <v>-76.426699999999997</v>
      </c>
      <c r="J3103" t="s">
        <v>2884</v>
      </c>
      <c r="K3103" t="s">
        <v>97</v>
      </c>
      <c r="L3103" t="s">
        <v>1273</v>
      </c>
      <c r="M3103">
        <v>11</v>
      </c>
      <c r="P3103" s="13">
        <v>168</v>
      </c>
      <c r="Q3103" s="13">
        <v>41</v>
      </c>
      <c r="R3103">
        <v>18</v>
      </c>
      <c r="S3103">
        <v>46</v>
      </c>
      <c r="T3103" s="13">
        <v>26</v>
      </c>
      <c r="U3103" s="13">
        <v>44</v>
      </c>
      <c r="V3103" t="s">
        <v>99</v>
      </c>
      <c r="X3103" s="13">
        <v>168</v>
      </c>
    </row>
    <row r="3104" spans="1:24" x14ac:dyDescent="0.25">
      <c r="A3104" t="s">
        <v>2920</v>
      </c>
      <c r="B3104" t="s">
        <v>65</v>
      </c>
      <c r="C3104" t="s">
        <v>2882</v>
      </c>
      <c r="D3104" t="s">
        <v>2883</v>
      </c>
      <c r="E3104" t="s">
        <v>2356</v>
      </c>
      <c r="F3104" t="s">
        <v>94</v>
      </c>
      <c r="G3104" t="s">
        <v>277</v>
      </c>
      <c r="H3104" s="12">
        <v>8.8507999999999996</v>
      </c>
      <c r="I3104" s="12">
        <v>-76.426699999999997</v>
      </c>
      <c r="J3104" t="s">
        <v>2884</v>
      </c>
      <c r="K3104" t="s">
        <v>97</v>
      </c>
      <c r="L3104" t="s">
        <v>1273</v>
      </c>
      <c r="M3104">
        <v>11</v>
      </c>
      <c r="P3104" s="13">
        <v>168</v>
      </c>
      <c r="Q3104" s="13">
        <v>44</v>
      </c>
      <c r="R3104">
        <v>26</v>
      </c>
      <c r="S3104">
        <v>34</v>
      </c>
      <c r="T3104" s="13">
        <v>24</v>
      </c>
      <c r="U3104" s="13">
        <v>53</v>
      </c>
      <c r="V3104" t="s">
        <v>99</v>
      </c>
      <c r="X3104" s="13">
        <v>168</v>
      </c>
    </row>
    <row r="3105" spans="1:24" x14ac:dyDescent="0.25">
      <c r="A3105" t="s">
        <v>2921</v>
      </c>
      <c r="B3105" t="s">
        <v>65</v>
      </c>
      <c r="C3105" t="s">
        <v>2882</v>
      </c>
      <c r="D3105" t="s">
        <v>2883</v>
      </c>
      <c r="E3105" t="s">
        <v>2356</v>
      </c>
      <c r="F3105" t="s">
        <v>94</v>
      </c>
      <c r="G3105" t="s">
        <v>277</v>
      </c>
      <c r="H3105" s="12">
        <v>8.8507999999999996</v>
      </c>
      <c r="I3105" s="12">
        <v>-76.426699999999997</v>
      </c>
      <c r="J3105" t="s">
        <v>2884</v>
      </c>
      <c r="K3105" t="s">
        <v>97</v>
      </c>
      <c r="L3105" t="s">
        <v>1273</v>
      </c>
      <c r="M3105">
        <v>11</v>
      </c>
      <c r="P3105" s="13">
        <v>167</v>
      </c>
      <c r="Q3105" s="13">
        <v>24</v>
      </c>
      <c r="R3105">
        <v>34</v>
      </c>
      <c r="S3105">
        <v>44</v>
      </c>
      <c r="T3105" s="13">
        <v>29</v>
      </c>
      <c r="U3105" s="13">
        <v>40</v>
      </c>
      <c r="V3105" t="s">
        <v>99</v>
      </c>
      <c r="X3105" s="13">
        <v>167</v>
      </c>
    </row>
    <row r="3106" spans="1:24" x14ac:dyDescent="0.25">
      <c r="A3106" t="s">
        <v>2922</v>
      </c>
      <c r="B3106" t="s">
        <v>65</v>
      </c>
      <c r="C3106" t="s">
        <v>2882</v>
      </c>
      <c r="D3106" t="s">
        <v>2883</v>
      </c>
      <c r="E3106" t="s">
        <v>2356</v>
      </c>
      <c r="F3106" t="s">
        <v>94</v>
      </c>
      <c r="G3106" t="s">
        <v>277</v>
      </c>
      <c r="H3106" s="12">
        <v>8.8507999999999996</v>
      </c>
      <c r="I3106" s="12">
        <v>-76.426699999999997</v>
      </c>
      <c r="J3106" t="s">
        <v>2884</v>
      </c>
      <c r="K3106" t="s">
        <v>97</v>
      </c>
      <c r="L3106" t="s">
        <v>1273</v>
      </c>
      <c r="M3106">
        <v>11</v>
      </c>
      <c r="P3106" s="13">
        <v>163</v>
      </c>
      <c r="Q3106" s="13">
        <v>41</v>
      </c>
      <c r="R3106">
        <v>24</v>
      </c>
      <c r="S3106">
        <v>42</v>
      </c>
      <c r="T3106" s="13">
        <v>21</v>
      </c>
      <c r="U3106" s="13">
        <v>40</v>
      </c>
      <c r="V3106" t="s">
        <v>99</v>
      </c>
      <c r="X3106" s="13">
        <v>163</v>
      </c>
    </row>
    <row r="3107" spans="1:24" x14ac:dyDescent="0.25">
      <c r="A3107" t="s">
        <v>2923</v>
      </c>
      <c r="B3107" t="s">
        <v>65</v>
      </c>
      <c r="C3107" t="s">
        <v>2882</v>
      </c>
      <c r="D3107" t="s">
        <v>2883</v>
      </c>
      <c r="E3107" t="s">
        <v>2356</v>
      </c>
      <c r="F3107" t="s">
        <v>94</v>
      </c>
      <c r="G3107" t="s">
        <v>277</v>
      </c>
      <c r="H3107" s="12">
        <v>8.8507999999999996</v>
      </c>
      <c r="I3107" s="12">
        <v>-76.426699999999997</v>
      </c>
      <c r="J3107" t="s">
        <v>2884</v>
      </c>
      <c r="K3107" t="s">
        <v>97</v>
      </c>
      <c r="L3107" t="s">
        <v>1273</v>
      </c>
      <c r="M3107">
        <v>11</v>
      </c>
      <c r="P3107" s="13">
        <v>161</v>
      </c>
      <c r="Q3107" s="13">
        <v>39</v>
      </c>
      <c r="R3107">
        <v>28</v>
      </c>
      <c r="S3107">
        <v>38</v>
      </c>
      <c r="T3107" s="13">
        <v>22</v>
      </c>
      <c r="U3107" s="13">
        <v>36</v>
      </c>
      <c r="V3107" t="s">
        <v>99</v>
      </c>
      <c r="X3107" s="13">
        <v>161</v>
      </c>
    </row>
    <row r="3108" spans="1:24" x14ac:dyDescent="0.25">
      <c r="A3108" t="s">
        <v>2924</v>
      </c>
      <c r="B3108" t="s">
        <v>65</v>
      </c>
      <c r="C3108" t="s">
        <v>2925</v>
      </c>
      <c r="D3108" t="s">
        <v>2926</v>
      </c>
      <c r="E3108" t="s">
        <v>2502</v>
      </c>
      <c r="F3108" t="s">
        <v>94</v>
      </c>
      <c r="G3108" t="s">
        <v>277</v>
      </c>
      <c r="H3108" s="12">
        <v>7.6672000000000002</v>
      </c>
      <c r="I3108" s="12">
        <v>-76.681100000000001</v>
      </c>
      <c r="J3108" t="s">
        <v>2927</v>
      </c>
      <c r="K3108" t="s">
        <v>97</v>
      </c>
      <c r="L3108" t="s">
        <v>1273</v>
      </c>
      <c r="M3108">
        <v>11</v>
      </c>
      <c r="P3108" s="13">
        <v>254</v>
      </c>
      <c r="Q3108" s="13">
        <v>54</v>
      </c>
      <c r="R3108">
        <v>36</v>
      </c>
      <c r="S3108">
        <v>64</v>
      </c>
      <c r="T3108" s="13">
        <v>47</v>
      </c>
      <c r="U3108" s="13">
        <v>60</v>
      </c>
      <c r="V3108" t="s">
        <v>99</v>
      </c>
      <c r="X3108" s="13">
        <v>254</v>
      </c>
    </row>
    <row r="3109" spans="1:24" x14ac:dyDescent="0.25">
      <c r="A3109" t="s">
        <v>2928</v>
      </c>
      <c r="B3109" t="s">
        <v>65</v>
      </c>
      <c r="C3109" t="s">
        <v>2925</v>
      </c>
      <c r="D3109" t="s">
        <v>2926</v>
      </c>
      <c r="E3109" t="s">
        <v>2502</v>
      </c>
      <c r="F3109" t="s">
        <v>94</v>
      </c>
      <c r="G3109" t="s">
        <v>277</v>
      </c>
      <c r="H3109" s="12">
        <v>7.6672000000000002</v>
      </c>
      <c r="I3109" s="12">
        <v>-76.681100000000001</v>
      </c>
      <c r="J3109" t="s">
        <v>2927</v>
      </c>
      <c r="K3109" t="s">
        <v>97</v>
      </c>
      <c r="L3109" t="s">
        <v>1273</v>
      </c>
      <c r="M3109">
        <v>11</v>
      </c>
      <c r="P3109" s="13">
        <v>254</v>
      </c>
      <c r="Q3109" s="13">
        <v>61</v>
      </c>
      <c r="R3109">
        <v>30</v>
      </c>
      <c r="S3109">
        <v>72</v>
      </c>
      <c r="T3109" s="13">
        <v>41</v>
      </c>
      <c r="U3109" s="13">
        <v>47</v>
      </c>
      <c r="V3109" t="s">
        <v>99</v>
      </c>
      <c r="X3109" s="13">
        <v>254</v>
      </c>
    </row>
    <row r="3110" spans="1:24" x14ac:dyDescent="0.25">
      <c r="A3110" t="s">
        <v>2929</v>
      </c>
      <c r="B3110" t="s">
        <v>65</v>
      </c>
      <c r="C3110" t="s">
        <v>2925</v>
      </c>
      <c r="D3110" t="s">
        <v>2926</v>
      </c>
      <c r="E3110" t="s">
        <v>2502</v>
      </c>
      <c r="F3110" t="s">
        <v>94</v>
      </c>
      <c r="G3110" t="s">
        <v>277</v>
      </c>
      <c r="H3110" s="12">
        <v>7.6672000000000002</v>
      </c>
      <c r="I3110" s="12">
        <v>-76.681100000000001</v>
      </c>
      <c r="J3110" t="s">
        <v>2927</v>
      </c>
      <c r="K3110" t="s">
        <v>97</v>
      </c>
      <c r="L3110" t="s">
        <v>1273</v>
      </c>
      <c r="M3110">
        <v>11</v>
      </c>
      <c r="P3110" s="13">
        <v>249</v>
      </c>
      <c r="Q3110" s="13">
        <v>68</v>
      </c>
      <c r="R3110">
        <v>34</v>
      </c>
      <c r="S3110">
        <v>62</v>
      </c>
      <c r="T3110" s="13">
        <v>29</v>
      </c>
      <c r="U3110" s="13">
        <v>65</v>
      </c>
      <c r="V3110" t="s">
        <v>99</v>
      </c>
      <c r="X3110" s="13">
        <v>249</v>
      </c>
    </row>
    <row r="3111" spans="1:24" x14ac:dyDescent="0.25">
      <c r="A3111" t="s">
        <v>2930</v>
      </c>
      <c r="B3111" t="s">
        <v>65</v>
      </c>
      <c r="C3111" t="s">
        <v>2925</v>
      </c>
      <c r="D3111" t="s">
        <v>2926</v>
      </c>
      <c r="E3111" t="s">
        <v>2502</v>
      </c>
      <c r="F3111" t="s">
        <v>94</v>
      </c>
      <c r="G3111" t="s">
        <v>277</v>
      </c>
      <c r="H3111" s="12">
        <v>7.6672000000000002</v>
      </c>
      <c r="I3111" s="12">
        <v>-76.681100000000001</v>
      </c>
      <c r="J3111" t="s">
        <v>2927</v>
      </c>
      <c r="K3111" t="s">
        <v>97</v>
      </c>
      <c r="L3111" t="s">
        <v>1273</v>
      </c>
      <c r="M3111">
        <v>11</v>
      </c>
      <c r="P3111" s="13">
        <v>225</v>
      </c>
      <c r="Q3111" s="13">
        <v>68</v>
      </c>
      <c r="R3111">
        <v>26</v>
      </c>
      <c r="S3111">
        <v>46</v>
      </c>
      <c r="T3111" s="13">
        <v>36</v>
      </c>
      <c r="U3111" s="13">
        <v>55</v>
      </c>
      <c r="V3111" t="s">
        <v>99</v>
      </c>
      <c r="X3111" s="13">
        <v>225</v>
      </c>
    </row>
    <row r="3112" spans="1:24" x14ac:dyDescent="0.25">
      <c r="A3112" t="s">
        <v>2931</v>
      </c>
      <c r="B3112" t="s">
        <v>65</v>
      </c>
      <c r="C3112" t="s">
        <v>2925</v>
      </c>
      <c r="D3112" t="s">
        <v>2926</v>
      </c>
      <c r="E3112" t="s">
        <v>2502</v>
      </c>
      <c r="F3112" t="s">
        <v>94</v>
      </c>
      <c r="G3112" t="s">
        <v>277</v>
      </c>
      <c r="H3112" s="12">
        <v>7.6672000000000002</v>
      </c>
      <c r="I3112" s="12">
        <v>-76.681100000000001</v>
      </c>
      <c r="J3112" t="s">
        <v>2927</v>
      </c>
      <c r="K3112" t="s">
        <v>97</v>
      </c>
      <c r="L3112" t="s">
        <v>1273</v>
      </c>
      <c r="M3112">
        <v>11</v>
      </c>
      <c r="P3112" s="13">
        <v>205</v>
      </c>
      <c r="Q3112" s="13">
        <v>44</v>
      </c>
      <c r="R3112">
        <v>34</v>
      </c>
      <c r="S3112">
        <v>50</v>
      </c>
      <c r="T3112" s="13">
        <v>38</v>
      </c>
      <c r="U3112" s="13">
        <v>35</v>
      </c>
      <c r="V3112" t="s">
        <v>99</v>
      </c>
      <c r="X3112" s="13">
        <v>205</v>
      </c>
    </row>
    <row r="3113" spans="1:24" x14ac:dyDescent="0.25">
      <c r="A3113" t="s">
        <v>2932</v>
      </c>
      <c r="B3113" t="s">
        <v>65</v>
      </c>
      <c r="C3113" t="s">
        <v>2925</v>
      </c>
      <c r="D3113" t="s">
        <v>2926</v>
      </c>
      <c r="E3113" t="s">
        <v>2502</v>
      </c>
      <c r="F3113" t="s">
        <v>94</v>
      </c>
      <c r="G3113" t="s">
        <v>277</v>
      </c>
      <c r="H3113" s="12">
        <v>7.6672000000000002</v>
      </c>
      <c r="I3113" s="12">
        <v>-76.681100000000001</v>
      </c>
      <c r="J3113" t="s">
        <v>2927</v>
      </c>
      <c r="K3113" t="s">
        <v>97</v>
      </c>
      <c r="L3113" t="s">
        <v>1273</v>
      </c>
      <c r="M3113">
        <v>11</v>
      </c>
      <c r="P3113" s="13">
        <v>203</v>
      </c>
      <c r="Q3113" s="13">
        <v>54</v>
      </c>
      <c r="R3113">
        <v>20</v>
      </c>
      <c r="S3113">
        <v>42</v>
      </c>
      <c r="T3113" s="13">
        <v>31</v>
      </c>
      <c r="U3113" s="13">
        <v>87</v>
      </c>
      <c r="V3113" t="s">
        <v>99</v>
      </c>
      <c r="X3113" s="13">
        <v>203</v>
      </c>
    </row>
    <row r="3114" spans="1:24" x14ac:dyDescent="0.25">
      <c r="A3114" t="s">
        <v>2933</v>
      </c>
      <c r="B3114" t="s">
        <v>65</v>
      </c>
      <c r="C3114" t="s">
        <v>2925</v>
      </c>
      <c r="D3114" t="s">
        <v>2926</v>
      </c>
      <c r="E3114" t="s">
        <v>2502</v>
      </c>
      <c r="F3114" t="s">
        <v>94</v>
      </c>
      <c r="G3114" t="s">
        <v>277</v>
      </c>
      <c r="H3114" s="12">
        <v>7.6672000000000002</v>
      </c>
      <c r="I3114" s="12">
        <v>-76.681100000000001</v>
      </c>
      <c r="J3114" t="s">
        <v>2927</v>
      </c>
      <c r="K3114" t="s">
        <v>97</v>
      </c>
      <c r="L3114" t="s">
        <v>1273</v>
      </c>
      <c r="M3114">
        <v>11</v>
      </c>
      <c r="P3114" s="13">
        <v>202</v>
      </c>
      <c r="Q3114" s="13">
        <v>51</v>
      </c>
      <c r="R3114">
        <v>24</v>
      </c>
      <c r="S3114">
        <v>58</v>
      </c>
      <c r="T3114" s="13">
        <v>28</v>
      </c>
      <c r="U3114" s="13">
        <v>42</v>
      </c>
      <c r="V3114" t="s">
        <v>99</v>
      </c>
      <c r="X3114" s="13">
        <v>202</v>
      </c>
    </row>
    <row r="3115" spans="1:24" x14ac:dyDescent="0.25">
      <c r="A3115" t="s">
        <v>2934</v>
      </c>
      <c r="B3115" t="s">
        <v>65</v>
      </c>
      <c r="C3115" t="s">
        <v>2925</v>
      </c>
      <c r="D3115" t="s">
        <v>2926</v>
      </c>
      <c r="E3115" t="s">
        <v>2502</v>
      </c>
      <c r="F3115" t="s">
        <v>94</v>
      </c>
      <c r="G3115" t="s">
        <v>277</v>
      </c>
      <c r="H3115" s="12">
        <v>7.6672000000000002</v>
      </c>
      <c r="I3115" s="12">
        <v>-76.681100000000001</v>
      </c>
      <c r="J3115" t="s">
        <v>2927</v>
      </c>
      <c r="K3115" t="s">
        <v>97</v>
      </c>
      <c r="L3115" t="s">
        <v>1273</v>
      </c>
      <c r="M3115">
        <v>11</v>
      </c>
      <c r="P3115" s="13">
        <v>195</v>
      </c>
      <c r="Q3115" s="13">
        <v>51</v>
      </c>
      <c r="R3115">
        <v>30</v>
      </c>
      <c r="S3115">
        <v>38</v>
      </c>
      <c r="T3115" s="13">
        <v>36</v>
      </c>
      <c r="U3115" s="13">
        <v>42</v>
      </c>
      <c r="V3115" t="s">
        <v>99</v>
      </c>
      <c r="X3115" s="13">
        <v>195</v>
      </c>
    </row>
    <row r="3116" spans="1:24" x14ac:dyDescent="0.25">
      <c r="A3116" t="s">
        <v>2935</v>
      </c>
      <c r="B3116" t="s">
        <v>65</v>
      </c>
      <c r="C3116" t="s">
        <v>2925</v>
      </c>
      <c r="D3116" t="s">
        <v>2926</v>
      </c>
      <c r="E3116" t="s">
        <v>2502</v>
      </c>
      <c r="F3116" t="s">
        <v>94</v>
      </c>
      <c r="G3116" t="s">
        <v>277</v>
      </c>
      <c r="H3116" s="12">
        <v>7.6672000000000002</v>
      </c>
      <c r="I3116" s="12">
        <v>-76.681100000000001</v>
      </c>
      <c r="J3116" t="s">
        <v>2927</v>
      </c>
      <c r="K3116" t="s">
        <v>97</v>
      </c>
      <c r="L3116" t="s">
        <v>1273</v>
      </c>
      <c r="M3116">
        <v>11</v>
      </c>
      <c r="P3116" s="13">
        <v>195</v>
      </c>
      <c r="Q3116" s="13">
        <v>59</v>
      </c>
      <c r="R3116">
        <v>24</v>
      </c>
      <c r="S3116">
        <v>46</v>
      </c>
      <c r="T3116" s="13">
        <v>26</v>
      </c>
      <c r="U3116" s="13">
        <v>44</v>
      </c>
      <c r="V3116" t="s">
        <v>99</v>
      </c>
      <c r="X3116" s="13">
        <v>195</v>
      </c>
    </row>
    <row r="3117" spans="1:24" x14ac:dyDescent="0.25">
      <c r="A3117" t="s">
        <v>2936</v>
      </c>
      <c r="B3117" t="s">
        <v>65</v>
      </c>
      <c r="C3117" t="s">
        <v>2925</v>
      </c>
      <c r="D3117" t="s">
        <v>2926</v>
      </c>
      <c r="E3117" t="s">
        <v>2502</v>
      </c>
      <c r="F3117" t="s">
        <v>94</v>
      </c>
      <c r="G3117" t="s">
        <v>277</v>
      </c>
      <c r="H3117" s="12">
        <v>7.6672000000000002</v>
      </c>
      <c r="I3117" s="12">
        <v>-76.681100000000001</v>
      </c>
      <c r="J3117" t="s">
        <v>2927</v>
      </c>
      <c r="K3117" t="s">
        <v>97</v>
      </c>
      <c r="L3117" t="s">
        <v>1273</v>
      </c>
      <c r="M3117">
        <v>11</v>
      </c>
      <c r="P3117" s="13">
        <v>195</v>
      </c>
      <c r="Q3117" s="13">
        <v>41</v>
      </c>
      <c r="R3117">
        <v>36</v>
      </c>
      <c r="S3117">
        <v>52</v>
      </c>
      <c r="T3117" s="13">
        <v>22</v>
      </c>
      <c r="U3117" s="13">
        <v>51</v>
      </c>
      <c r="V3117" t="s">
        <v>99</v>
      </c>
      <c r="X3117" s="13">
        <v>195</v>
      </c>
    </row>
    <row r="3118" spans="1:24" x14ac:dyDescent="0.25">
      <c r="A3118" t="s">
        <v>2937</v>
      </c>
      <c r="B3118" t="s">
        <v>65</v>
      </c>
      <c r="C3118" t="s">
        <v>2925</v>
      </c>
      <c r="D3118" t="s">
        <v>2926</v>
      </c>
      <c r="E3118" t="s">
        <v>2502</v>
      </c>
      <c r="F3118" t="s">
        <v>94</v>
      </c>
      <c r="G3118" t="s">
        <v>277</v>
      </c>
      <c r="H3118" s="12">
        <v>7.6672000000000002</v>
      </c>
      <c r="I3118" s="12">
        <v>-76.681100000000001</v>
      </c>
      <c r="J3118" t="s">
        <v>2927</v>
      </c>
      <c r="K3118" t="s">
        <v>97</v>
      </c>
      <c r="L3118" t="s">
        <v>1273</v>
      </c>
      <c r="M3118">
        <v>11</v>
      </c>
      <c r="P3118" s="13">
        <v>192</v>
      </c>
      <c r="Q3118" s="13">
        <v>37</v>
      </c>
      <c r="R3118">
        <v>28</v>
      </c>
      <c r="S3118">
        <v>62</v>
      </c>
      <c r="T3118" s="13">
        <v>28</v>
      </c>
      <c r="U3118" s="13">
        <v>36</v>
      </c>
      <c r="V3118" t="s">
        <v>99</v>
      </c>
      <c r="X3118" s="13">
        <v>192</v>
      </c>
    </row>
    <row r="3119" spans="1:24" x14ac:dyDescent="0.25">
      <c r="A3119" t="s">
        <v>2938</v>
      </c>
      <c r="B3119" t="s">
        <v>65</v>
      </c>
      <c r="C3119" t="s">
        <v>2925</v>
      </c>
      <c r="D3119" t="s">
        <v>2926</v>
      </c>
      <c r="E3119" t="s">
        <v>2502</v>
      </c>
      <c r="F3119" t="s">
        <v>94</v>
      </c>
      <c r="G3119" t="s">
        <v>277</v>
      </c>
      <c r="H3119" s="12">
        <v>7.6672000000000002</v>
      </c>
      <c r="I3119" s="12">
        <v>-76.681100000000001</v>
      </c>
      <c r="J3119" t="s">
        <v>2927</v>
      </c>
      <c r="K3119" t="s">
        <v>97</v>
      </c>
      <c r="L3119" t="s">
        <v>1273</v>
      </c>
      <c r="M3119">
        <v>11</v>
      </c>
      <c r="P3119" s="13">
        <v>190</v>
      </c>
      <c r="Q3119" s="13">
        <v>37</v>
      </c>
      <c r="R3119">
        <v>30</v>
      </c>
      <c r="S3119">
        <v>52</v>
      </c>
      <c r="T3119" s="13">
        <v>33</v>
      </c>
      <c r="U3119" s="13">
        <v>40</v>
      </c>
      <c r="V3119" t="s">
        <v>99</v>
      </c>
      <c r="X3119" s="13">
        <v>190</v>
      </c>
    </row>
    <row r="3120" spans="1:24" x14ac:dyDescent="0.25">
      <c r="A3120" t="s">
        <v>2939</v>
      </c>
      <c r="B3120" t="s">
        <v>65</v>
      </c>
      <c r="C3120" t="s">
        <v>2925</v>
      </c>
      <c r="D3120" t="s">
        <v>2926</v>
      </c>
      <c r="E3120" t="s">
        <v>2502</v>
      </c>
      <c r="F3120" t="s">
        <v>94</v>
      </c>
      <c r="G3120" t="s">
        <v>277</v>
      </c>
      <c r="H3120" s="12">
        <v>7.6672000000000002</v>
      </c>
      <c r="I3120" s="12">
        <v>-76.681100000000001</v>
      </c>
      <c r="J3120" t="s">
        <v>2927</v>
      </c>
      <c r="K3120" t="s">
        <v>97</v>
      </c>
      <c r="L3120" t="s">
        <v>1273</v>
      </c>
      <c r="M3120">
        <v>11</v>
      </c>
      <c r="P3120" s="13">
        <v>189</v>
      </c>
      <c r="Q3120" s="13">
        <v>34</v>
      </c>
      <c r="R3120">
        <v>32</v>
      </c>
      <c r="S3120">
        <v>40</v>
      </c>
      <c r="T3120" s="13">
        <v>41</v>
      </c>
      <c r="U3120" s="13">
        <v>49</v>
      </c>
      <c r="V3120" t="s">
        <v>99</v>
      </c>
      <c r="X3120" s="13">
        <v>189</v>
      </c>
    </row>
    <row r="3121" spans="1:24" x14ac:dyDescent="0.25">
      <c r="A3121" t="s">
        <v>2940</v>
      </c>
      <c r="B3121" t="s">
        <v>65</v>
      </c>
      <c r="C3121" t="s">
        <v>2925</v>
      </c>
      <c r="D3121" t="s">
        <v>2926</v>
      </c>
      <c r="E3121" t="s">
        <v>2502</v>
      </c>
      <c r="F3121" t="s">
        <v>94</v>
      </c>
      <c r="G3121" t="s">
        <v>277</v>
      </c>
      <c r="H3121" s="12">
        <v>7.6672000000000002</v>
      </c>
      <c r="I3121" s="12">
        <v>-76.681100000000001</v>
      </c>
      <c r="J3121" t="s">
        <v>2927</v>
      </c>
      <c r="K3121" t="s">
        <v>97</v>
      </c>
      <c r="L3121" t="s">
        <v>1273</v>
      </c>
      <c r="M3121">
        <v>11</v>
      </c>
      <c r="P3121" s="13">
        <v>189</v>
      </c>
      <c r="Q3121" s="13">
        <v>37</v>
      </c>
      <c r="R3121">
        <v>20</v>
      </c>
      <c r="S3121">
        <v>52</v>
      </c>
      <c r="T3121" s="13">
        <v>36</v>
      </c>
      <c r="U3121" s="13">
        <v>56</v>
      </c>
      <c r="V3121" t="s">
        <v>99</v>
      </c>
      <c r="X3121" s="13">
        <v>189</v>
      </c>
    </row>
    <row r="3122" spans="1:24" x14ac:dyDescent="0.25">
      <c r="A3122" t="s">
        <v>2941</v>
      </c>
      <c r="B3122" t="s">
        <v>65</v>
      </c>
      <c r="C3122" t="s">
        <v>2925</v>
      </c>
      <c r="D3122" t="s">
        <v>2926</v>
      </c>
      <c r="E3122" t="s">
        <v>2502</v>
      </c>
      <c r="F3122" t="s">
        <v>94</v>
      </c>
      <c r="G3122" t="s">
        <v>277</v>
      </c>
      <c r="H3122" s="12">
        <v>7.6672000000000002</v>
      </c>
      <c r="I3122" s="12">
        <v>-76.681100000000001</v>
      </c>
      <c r="J3122" t="s">
        <v>2927</v>
      </c>
      <c r="K3122" t="s">
        <v>97</v>
      </c>
      <c r="L3122" t="s">
        <v>1273</v>
      </c>
      <c r="M3122">
        <v>11</v>
      </c>
      <c r="P3122" s="13">
        <v>185</v>
      </c>
      <c r="Q3122" s="13">
        <v>51</v>
      </c>
      <c r="R3122">
        <v>40</v>
      </c>
      <c r="S3122">
        <v>32</v>
      </c>
      <c r="T3122" s="13">
        <v>28</v>
      </c>
      <c r="U3122" s="13">
        <v>29</v>
      </c>
      <c r="V3122" t="s">
        <v>99</v>
      </c>
      <c r="X3122" s="13">
        <v>185</v>
      </c>
    </row>
    <row r="3123" spans="1:24" x14ac:dyDescent="0.25">
      <c r="A3123" t="s">
        <v>2942</v>
      </c>
      <c r="B3123" t="s">
        <v>65</v>
      </c>
      <c r="C3123" t="s">
        <v>2925</v>
      </c>
      <c r="D3123" t="s">
        <v>2926</v>
      </c>
      <c r="E3123" t="s">
        <v>2502</v>
      </c>
      <c r="F3123" t="s">
        <v>94</v>
      </c>
      <c r="G3123" t="s">
        <v>277</v>
      </c>
      <c r="H3123" s="12">
        <v>7.6672000000000002</v>
      </c>
      <c r="I3123" s="12">
        <v>-76.681100000000001</v>
      </c>
      <c r="J3123" t="s">
        <v>2927</v>
      </c>
      <c r="K3123" t="s">
        <v>97</v>
      </c>
      <c r="L3123" t="s">
        <v>1273</v>
      </c>
      <c r="M3123">
        <v>11</v>
      </c>
      <c r="P3123" s="13">
        <v>185</v>
      </c>
      <c r="Q3123" s="13">
        <v>44</v>
      </c>
      <c r="R3123">
        <v>18</v>
      </c>
      <c r="S3123">
        <v>52</v>
      </c>
      <c r="T3123" s="13">
        <v>31</v>
      </c>
      <c r="U3123" s="13">
        <v>45</v>
      </c>
      <c r="V3123" t="s">
        <v>99</v>
      </c>
      <c r="X3123" s="13">
        <v>185</v>
      </c>
    </row>
    <row r="3124" spans="1:24" x14ac:dyDescent="0.25">
      <c r="A3124" t="s">
        <v>2943</v>
      </c>
      <c r="B3124" t="s">
        <v>65</v>
      </c>
      <c r="C3124" t="s">
        <v>2925</v>
      </c>
      <c r="D3124" t="s">
        <v>2926</v>
      </c>
      <c r="E3124" t="s">
        <v>2502</v>
      </c>
      <c r="F3124" t="s">
        <v>94</v>
      </c>
      <c r="G3124" t="s">
        <v>277</v>
      </c>
      <c r="H3124" s="12">
        <v>7.6672000000000002</v>
      </c>
      <c r="I3124" s="12">
        <v>-76.681100000000001</v>
      </c>
      <c r="J3124" t="s">
        <v>2927</v>
      </c>
      <c r="K3124" t="s">
        <v>97</v>
      </c>
      <c r="L3124" t="s">
        <v>1273</v>
      </c>
      <c r="M3124">
        <v>11</v>
      </c>
      <c r="P3124" s="13">
        <v>184</v>
      </c>
      <c r="Q3124" s="13">
        <v>32</v>
      </c>
      <c r="R3124">
        <v>26</v>
      </c>
      <c r="S3124">
        <v>48</v>
      </c>
      <c r="T3124" s="13">
        <v>38</v>
      </c>
      <c r="U3124" s="13">
        <v>47</v>
      </c>
      <c r="V3124" t="s">
        <v>99</v>
      </c>
      <c r="X3124" s="13">
        <v>184</v>
      </c>
    </row>
    <row r="3125" spans="1:24" x14ac:dyDescent="0.25">
      <c r="A3125" t="s">
        <v>2944</v>
      </c>
      <c r="B3125" t="s">
        <v>65</v>
      </c>
      <c r="C3125" t="s">
        <v>2925</v>
      </c>
      <c r="D3125" t="s">
        <v>2926</v>
      </c>
      <c r="E3125" t="s">
        <v>2502</v>
      </c>
      <c r="F3125" t="s">
        <v>94</v>
      </c>
      <c r="G3125" t="s">
        <v>277</v>
      </c>
      <c r="H3125" s="12">
        <v>7.6672000000000002</v>
      </c>
      <c r="I3125" s="12">
        <v>-76.681100000000001</v>
      </c>
      <c r="J3125" t="s">
        <v>2927</v>
      </c>
      <c r="K3125" t="s">
        <v>97</v>
      </c>
      <c r="L3125" t="s">
        <v>1273</v>
      </c>
      <c r="M3125">
        <v>11</v>
      </c>
      <c r="P3125" s="13">
        <v>183</v>
      </c>
      <c r="Q3125" s="13">
        <v>46</v>
      </c>
      <c r="R3125">
        <v>24</v>
      </c>
      <c r="S3125">
        <v>40</v>
      </c>
      <c r="T3125" s="13">
        <v>33</v>
      </c>
      <c r="U3125" s="13">
        <v>47</v>
      </c>
      <c r="V3125" t="s">
        <v>99</v>
      </c>
      <c r="X3125" s="13">
        <v>183</v>
      </c>
    </row>
    <row r="3126" spans="1:24" x14ac:dyDescent="0.25">
      <c r="A3126" t="s">
        <v>2945</v>
      </c>
      <c r="B3126" t="s">
        <v>65</v>
      </c>
      <c r="C3126" t="s">
        <v>2925</v>
      </c>
      <c r="D3126" t="s">
        <v>2926</v>
      </c>
      <c r="E3126" t="s">
        <v>2502</v>
      </c>
      <c r="F3126" t="s">
        <v>94</v>
      </c>
      <c r="G3126" t="s">
        <v>277</v>
      </c>
      <c r="H3126" s="12">
        <v>7.6672000000000002</v>
      </c>
      <c r="I3126" s="12">
        <v>-76.681100000000001</v>
      </c>
      <c r="J3126" t="s">
        <v>2927</v>
      </c>
      <c r="K3126" t="s">
        <v>97</v>
      </c>
      <c r="L3126" t="s">
        <v>1273</v>
      </c>
      <c r="M3126">
        <v>11</v>
      </c>
      <c r="P3126" s="13">
        <v>182</v>
      </c>
      <c r="Q3126" s="13">
        <v>34</v>
      </c>
      <c r="R3126">
        <v>24</v>
      </c>
      <c r="S3126">
        <v>50</v>
      </c>
      <c r="T3126" s="13">
        <v>33</v>
      </c>
      <c r="U3126" s="13">
        <v>51</v>
      </c>
      <c r="V3126" t="s">
        <v>99</v>
      </c>
      <c r="X3126" s="13">
        <v>182</v>
      </c>
    </row>
    <row r="3127" spans="1:24" x14ac:dyDescent="0.25">
      <c r="A3127" t="s">
        <v>2946</v>
      </c>
      <c r="B3127" t="s">
        <v>65</v>
      </c>
      <c r="C3127" t="s">
        <v>2925</v>
      </c>
      <c r="D3127" t="s">
        <v>2926</v>
      </c>
      <c r="E3127" t="s">
        <v>2502</v>
      </c>
      <c r="F3127" t="s">
        <v>94</v>
      </c>
      <c r="G3127" t="s">
        <v>277</v>
      </c>
      <c r="H3127" s="12">
        <v>7.6672000000000002</v>
      </c>
      <c r="I3127" s="12">
        <v>-76.681100000000001</v>
      </c>
      <c r="J3127" t="s">
        <v>2927</v>
      </c>
      <c r="K3127" t="s">
        <v>97</v>
      </c>
      <c r="L3127" t="s">
        <v>1273</v>
      </c>
      <c r="M3127">
        <v>11</v>
      </c>
      <c r="P3127" s="13">
        <v>182</v>
      </c>
      <c r="Q3127" s="13">
        <v>34</v>
      </c>
      <c r="R3127">
        <v>30</v>
      </c>
      <c r="S3127">
        <v>44</v>
      </c>
      <c r="T3127" s="13">
        <v>36</v>
      </c>
      <c r="U3127" s="13">
        <v>40</v>
      </c>
      <c r="V3127" t="s">
        <v>99</v>
      </c>
      <c r="X3127" s="13">
        <v>182</v>
      </c>
    </row>
    <row r="3128" spans="1:24" x14ac:dyDescent="0.25">
      <c r="A3128" t="s">
        <v>2947</v>
      </c>
      <c r="B3128" t="s">
        <v>65</v>
      </c>
      <c r="C3128" t="s">
        <v>2925</v>
      </c>
      <c r="D3128" t="s">
        <v>2926</v>
      </c>
      <c r="E3128" t="s">
        <v>2502</v>
      </c>
      <c r="F3128" t="s">
        <v>94</v>
      </c>
      <c r="G3128" t="s">
        <v>277</v>
      </c>
      <c r="H3128" s="12">
        <v>7.6672000000000002</v>
      </c>
      <c r="I3128" s="12">
        <v>-76.681100000000001</v>
      </c>
      <c r="J3128" t="s">
        <v>2927</v>
      </c>
      <c r="K3128" t="s">
        <v>97</v>
      </c>
      <c r="L3128" t="s">
        <v>1273</v>
      </c>
      <c r="M3128">
        <v>11</v>
      </c>
      <c r="P3128" s="13">
        <v>181</v>
      </c>
      <c r="Q3128" s="13">
        <v>44</v>
      </c>
      <c r="R3128">
        <v>30</v>
      </c>
      <c r="S3128">
        <v>46</v>
      </c>
      <c r="T3128" s="13">
        <v>19</v>
      </c>
      <c r="U3128" s="13">
        <v>55</v>
      </c>
      <c r="V3128" t="s">
        <v>99</v>
      </c>
      <c r="X3128" s="13">
        <v>181</v>
      </c>
    </row>
    <row r="3129" spans="1:24" x14ac:dyDescent="0.25">
      <c r="A3129" t="s">
        <v>2948</v>
      </c>
      <c r="B3129" t="s">
        <v>65</v>
      </c>
      <c r="C3129" t="s">
        <v>2925</v>
      </c>
      <c r="D3129" t="s">
        <v>2926</v>
      </c>
      <c r="E3129" t="s">
        <v>2502</v>
      </c>
      <c r="F3129" t="s">
        <v>94</v>
      </c>
      <c r="G3129" t="s">
        <v>277</v>
      </c>
      <c r="H3129" s="12">
        <v>7.6672000000000002</v>
      </c>
      <c r="I3129" s="12">
        <v>-76.681100000000001</v>
      </c>
      <c r="J3129" t="s">
        <v>2927</v>
      </c>
      <c r="K3129" t="s">
        <v>97</v>
      </c>
      <c r="L3129" t="s">
        <v>1273</v>
      </c>
      <c r="M3129">
        <v>11</v>
      </c>
      <c r="P3129" s="13">
        <v>178</v>
      </c>
      <c r="Q3129" s="13">
        <v>29</v>
      </c>
      <c r="R3129">
        <v>26</v>
      </c>
      <c r="S3129">
        <v>58</v>
      </c>
      <c r="T3129" s="13">
        <v>22</v>
      </c>
      <c r="U3129" s="13">
        <v>56</v>
      </c>
      <c r="V3129" t="s">
        <v>99</v>
      </c>
      <c r="X3129" s="13">
        <v>178</v>
      </c>
    </row>
    <row r="3130" spans="1:24" x14ac:dyDescent="0.25">
      <c r="A3130" t="s">
        <v>2949</v>
      </c>
      <c r="B3130" t="s">
        <v>65</v>
      </c>
      <c r="C3130" t="s">
        <v>2925</v>
      </c>
      <c r="D3130" t="s">
        <v>2926</v>
      </c>
      <c r="E3130" t="s">
        <v>2502</v>
      </c>
      <c r="F3130" t="s">
        <v>94</v>
      </c>
      <c r="G3130" t="s">
        <v>277</v>
      </c>
      <c r="H3130" s="12">
        <v>7.6672000000000002</v>
      </c>
      <c r="I3130" s="12">
        <v>-76.681100000000001</v>
      </c>
      <c r="J3130" t="s">
        <v>2927</v>
      </c>
      <c r="K3130" t="s">
        <v>97</v>
      </c>
      <c r="L3130" t="s">
        <v>1273</v>
      </c>
      <c r="M3130">
        <v>11</v>
      </c>
      <c r="P3130" s="13">
        <v>178</v>
      </c>
      <c r="Q3130" s="13">
        <v>37</v>
      </c>
      <c r="R3130">
        <v>40</v>
      </c>
      <c r="S3130">
        <v>36</v>
      </c>
      <c r="T3130" s="13">
        <v>29</v>
      </c>
      <c r="U3130" s="13">
        <v>36</v>
      </c>
      <c r="V3130" t="s">
        <v>99</v>
      </c>
      <c r="X3130" s="13">
        <v>178</v>
      </c>
    </row>
    <row r="3131" spans="1:24" x14ac:dyDescent="0.25">
      <c r="A3131" t="s">
        <v>2950</v>
      </c>
      <c r="B3131" t="s">
        <v>65</v>
      </c>
      <c r="C3131" t="s">
        <v>2925</v>
      </c>
      <c r="D3131" t="s">
        <v>2926</v>
      </c>
      <c r="E3131" t="s">
        <v>2502</v>
      </c>
      <c r="F3131" t="s">
        <v>94</v>
      </c>
      <c r="G3131" t="s">
        <v>277</v>
      </c>
      <c r="H3131" s="12">
        <v>7.6672000000000002</v>
      </c>
      <c r="I3131" s="12">
        <v>-76.681100000000001</v>
      </c>
      <c r="J3131" t="s">
        <v>2927</v>
      </c>
      <c r="K3131" t="s">
        <v>97</v>
      </c>
      <c r="L3131" t="s">
        <v>1273</v>
      </c>
      <c r="M3131">
        <v>11</v>
      </c>
      <c r="P3131" s="13">
        <v>175</v>
      </c>
      <c r="Q3131" s="13">
        <v>44</v>
      </c>
      <c r="R3131">
        <v>22</v>
      </c>
      <c r="S3131">
        <v>38</v>
      </c>
      <c r="T3131" s="13">
        <v>31</v>
      </c>
      <c r="U3131" s="13">
        <v>49</v>
      </c>
      <c r="V3131" t="s">
        <v>99</v>
      </c>
      <c r="X3131" s="13">
        <v>175</v>
      </c>
    </row>
    <row r="3132" spans="1:24" x14ac:dyDescent="0.25">
      <c r="A3132" t="s">
        <v>2951</v>
      </c>
      <c r="B3132" t="s">
        <v>65</v>
      </c>
      <c r="C3132" t="s">
        <v>2925</v>
      </c>
      <c r="D3132" t="s">
        <v>2926</v>
      </c>
      <c r="E3132" t="s">
        <v>2502</v>
      </c>
      <c r="F3132" t="s">
        <v>94</v>
      </c>
      <c r="G3132" t="s">
        <v>277</v>
      </c>
      <c r="H3132" s="12">
        <v>7.6672000000000002</v>
      </c>
      <c r="I3132" s="12">
        <v>-76.681100000000001</v>
      </c>
      <c r="J3132" t="s">
        <v>2927</v>
      </c>
      <c r="K3132" t="s">
        <v>97</v>
      </c>
      <c r="L3132" t="s">
        <v>1273</v>
      </c>
      <c r="M3132">
        <v>11</v>
      </c>
      <c r="P3132" s="13">
        <v>173</v>
      </c>
      <c r="Q3132" s="13">
        <v>41</v>
      </c>
      <c r="R3132">
        <v>40</v>
      </c>
      <c r="S3132">
        <v>40</v>
      </c>
      <c r="T3132" s="13">
        <v>17</v>
      </c>
      <c r="U3132" s="13">
        <v>35</v>
      </c>
      <c r="V3132" t="s">
        <v>99</v>
      </c>
      <c r="X3132" s="13">
        <v>173</v>
      </c>
    </row>
    <row r="3133" spans="1:24" x14ac:dyDescent="0.25">
      <c r="A3133" t="s">
        <v>2952</v>
      </c>
      <c r="B3133" t="s">
        <v>65</v>
      </c>
      <c r="C3133" t="s">
        <v>2925</v>
      </c>
      <c r="D3133" t="s">
        <v>2926</v>
      </c>
      <c r="E3133" t="s">
        <v>2502</v>
      </c>
      <c r="F3133" t="s">
        <v>94</v>
      </c>
      <c r="G3133" t="s">
        <v>277</v>
      </c>
      <c r="H3133" s="12">
        <v>7.6672000000000002</v>
      </c>
      <c r="I3133" s="12">
        <v>-76.681100000000001</v>
      </c>
      <c r="J3133" t="s">
        <v>2927</v>
      </c>
      <c r="K3133" t="s">
        <v>97</v>
      </c>
      <c r="L3133" t="s">
        <v>1273</v>
      </c>
      <c r="M3133">
        <v>11</v>
      </c>
      <c r="P3133" s="13">
        <v>173</v>
      </c>
      <c r="Q3133" s="13">
        <v>32</v>
      </c>
      <c r="R3133">
        <v>18</v>
      </c>
      <c r="S3133">
        <v>54</v>
      </c>
      <c r="T3133" s="13">
        <v>28</v>
      </c>
      <c r="U3133" s="13">
        <v>56</v>
      </c>
      <c r="V3133" t="s">
        <v>99</v>
      </c>
      <c r="X3133" s="13">
        <v>173</v>
      </c>
    </row>
    <row r="3134" spans="1:24" x14ac:dyDescent="0.25">
      <c r="A3134" t="s">
        <v>2953</v>
      </c>
      <c r="B3134" t="s">
        <v>65</v>
      </c>
      <c r="C3134" t="s">
        <v>2925</v>
      </c>
      <c r="D3134" t="s">
        <v>2926</v>
      </c>
      <c r="E3134" t="s">
        <v>2502</v>
      </c>
      <c r="F3134" t="s">
        <v>94</v>
      </c>
      <c r="G3134" t="s">
        <v>277</v>
      </c>
      <c r="H3134" s="12">
        <v>7.6672000000000002</v>
      </c>
      <c r="I3134" s="12">
        <v>-76.681100000000001</v>
      </c>
      <c r="J3134" t="s">
        <v>2927</v>
      </c>
      <c r="K3134" t="s">
        <v>97</v>
      </c>
      <c r="L3134" t="s">
        <v>1273</v>
      </c>
      <c r="M3134">
        <v>11</v>
      </c>
      <c r="P3134" s="13">
        <v>171</v>
      </c>
      <c r="Q3134" s="13">
        <v>34</v>
      </c>
      <c r="R3134">
        <v>40</v>
      </c>
      <c r="S3134">
        <v>38</v>
      </c>
      <c r="T3134" s="13">
        <v>24</v>
      </c>
      <c r="U3134" s="13">
        <v>35</v>
      </c>
      <c r="V3134" t="s">
        <v>99</v>
      </c>
      <c r="X3134" s="13">
        <v>171</v>
      </c>
    </row>
    <row r="3135" spans="1:24" x14ac:dyDescent="0.25">
      <c r="A3135" t="s">
        <v>2954</v>
      </c>
      <c r="B3135" t="s">
        <v>65</v>
      </c>
      <c r="C3135" t="s">
        <v>2925</v>
      </c>
      <c r="D3135" t="s">
        <v>2926</v>
      </c>
      <c r="E3135" t="s">
        <v>2502</v>
      </c>
      <c r="F3135" t="s">
        <v>94</v>
      </c>
      <c r="G3135" t="s">
        <v>277</v>
      </c>
      <c r="H3135" s="12">
        <v>7.6672000000000002</v>
      </c>
      <c r="I3135" s="12">
        <v>-76.681100000000001</v>
      </c>
      <c r="J3135" t="s">
        <v>2927</v>
      </c>
      <c r="K3135" t="s">
        <v>97</v>
      </c>
      <c r="L3135" t="s">
        <v>1273</v>
      </c>
      <c r="M3135">
        <v>11</v>
      </c>
      <c r="P3135" s="13">
        <v>170</v>
      </c>
      <c r="Q3135" s="13">
        <v>44</v>
      </c>
      <c r="R3135">
        <v>26</v>
      </c>
      <c r="S3135">
        <v>46</v>
      </c>
      <c r="T3135" s="13">
        <v>17</v>
      </c>
      <c r="U3135" s="13">
        <v>42</v>
      </c>
      <c r="V3135" t="s">
        <v>99</v>
      </c>
      <c r="X3135" s="13">
        <v>170</v>
      </c>
    </row>
    <row r="3136" spans="1:24" x14ac:dyDescent="0.25">
      <c r="A3136" t="s">
        <v>2955</v>
      </c>
      <c r="B3136" t="s">
        <v>65</v>
      </c>
      <c r="C3136" t="s">
        <v>2925</v>
      </c>
      <c r="D3136" t="s">
        <v>2926</v>
      </c>
      <c r="E3136" t="s">
        <v>2502</v>
      </c>
      <c r="F3136" t="s">
        <v>94</v>
      </c>
      <c r="G3136" t="s">
        <v>277</v>
      </c>
      <c r="H3136" s="12">
        <v>7.6672000000000002</v>
      </c>
      <c r="I3136" s="12">
        <v>-76.681100000000001</v>
      </c>
      <c r="J3136" t="s">
        <v>2927</v>
      </c>
      <c r="K3136" t="s">
        <v>97</v>
      </c>
      <c r="L3136" t="s">
        <v>1273</v>
      </c>
      <c r="M3136">
        <v>11</v>
      </c>
      <c r="P3136" s="13">
        <v>169</v>
      </c>
      <c r="Q3136" s="13">
        <v>37</v>
      </c>
      <c r="R3136">
        <v>24</v>
      </c>
      <c r="S3136">
        <v>38</v>
      </c>
      <c r="T3136" s="13">
        <v>38</v>
      </c>
      <c r="U3136" s="13">
        <v>31</v>
      </c>
      <c r="V3136" t="s">
        <v>99</v>
      </c>
      <c r="X3136" s="13">
        <v>169</v>
      </c>
    </row>
    <row r="3137" spans="1:24" x14ac:dyDescent="0.25">
      <c r="A3137" t="s">
        <v>2956</v>
      </c>
      <c r="B3137" t="s">
        <v>65</v>
      </c>
      <c r="C3137" t="s">
        <v>2925</v>
      </c>
      <c r="D3137" t="s">
        <v>2926</v>
      </c>
      <c r="E3137" t="s">
        <v>2502</v>
      </c>
      <c r="F3137" t="s">
        <v>94</v>
      </c>
      <c r="G3137" t="s">
        <v>277</v>
      </c>
      <c r="H3137" s="12">
        <v>7.6672000000000002</v>
      </c>
      <c r="I3137" s="12">
        <v>-76.681100000000001</v>
      </c>
      <c r="J3137" t="s">
        <v>2927</v>
      </c>
      <c r="K3137" t="s">
        <v>97</v>
      </c>
      <c r="L3137" t="s">
        <v>1273</v>
      </c>
      <c r="M3137">
        <v>11</v>
      </c>
      <c r="P3137" s="13">
        <v>164</v>
      </c>
      <c r="Q3137" s="13">
        <v>41</v>
      </c>
      <c r="R3137">
        <v>22</v>
      </c>
      <c r="S3137">
        <v>40</v>
      </c>
      <c r="T3137" s="13">
        <v>21</v>
      </c>
      <c r="U3137" s="13">
        <v>55</v>
      </c>
      <c r="V3137" t="s">
        <v>99</v>
      </c>
      <c r="X3137" s="13">
        <v>164</v>
      </c>
    </row>
    <row r="3138" spans="1:24" x14ac:dyDescent="0.25">
      <c r="A3138" t="s">
        <v>2957</v>
      </c>
      <c r="B3138" t="s">
        <v>65</v>
      </c>
      <c r="C3138" t="s">
        <v>2925</v>
      </c>
      <c r="D3138" t="s">
        <v>2926</v>
      </c>
      <c r="E3138" t="s">
        <v>2502</v>
      </c>
      <c r="F3138" t="s">
        <v>94</v>
      </c>
      <c r="G3138" t="s">
        <v>277</v>
      </c>
      <c r="H3138" s="12">
        <v>7.6672000000000002</v>
      </c>
      <c r="I3138" s="12">
        <v>-76.681100000000001</v>
      </c>
      <c r="J3138" t="s">
        <v>2927</v>
      </c>
      <c r="K3138" t="s">
        <v>97</v>
      </c>
      <c r="L3138" t="s">
        <v>1273</v>
      </c>
      <c r="M3138">
        <v>11</v>
      </c>
      <c r="P3138" s="13">
        <v>164</v>
      </c>
      <c r="Q3138" s="13">
        <v>63</v>
      </c>
      <c r="R3138">
        <v>22</v>
      </c>
      <c r="S3138">
        <v>36</v>
      </c>
      <c r="T3138" s="13">
        <v>21</v>
      </c>
      <c r="U3138" s="13">
        <v>0</v>
      </c>
      <c r="V3138" t="s">
        <v>99</v>
      </c>
      <c r="X3138" s="13">
        <v>164</v>
      </c>
    </row>
    <row r="3139" spans="1:24" x14ac:dyDescent="0.25">
      <c r="A3139" t="s">
        <v>2958</v>
      </c>
      <c r="B3139" t="s">
        <v>65</v>
      </c>
      <c r="C3139" t="s">
        <v>2925</v>
      </c>
      <c r="D3139" t="s">
        <v>2926</v>
      </c>
      <c r="E3139" t="s">
        <v>2502</v>
      </c>
      <c r="F3139" t="s">
        <v>94</v>
      </c>
      <c r="G3139" t="s">
        <v>277</v>
      </c>
      <c r="H3139" s="12">
        <v>7.6672000000000002</v>
      </c>
      <c r="I3139" s="12">
        <v>-76.681100000000001</v>
      </c>
      <c r="J3139" t="s">
        <v>2927</v>
      </c>
      <c r="K3139" t="s">
        <v>97</v>
      </c>
      <c r="L3139" t="s">
        <v>1273</v>
      </c>
      <c r="M3139">
        <v>11</v>
      </c>
      <c r="P3139" s="13">
        <v>163</v>
      </c>
      <c r="Q3139" s="13">
        <v>37</v>
      </c>
      <c r="R3139">
        <v>20</v>
      </c>
      <c r="S3139">
        <v>50</v>
      </c>
      <c r="T3139" s="13">
        <v>17</v>
      </c>
      <c r="U3139" s="13">
        <v>53</v>
      </c>
      <c r="V3139" t="s">
        <v>99</v>
      </c>
      <c r="X3139" s="13">
        <v>163</v>
      </c>
    </row>
    <row r="3140" spans="1:24" x14ac:dyDescent="0.25">
      <c r="A3140" t="s">
        <v>2959</v>
      </c>
      <c r="B3140" t="s">
        <v>65</v>
      </c>
      <c r="C3140" t="s">
        <v>2925</v>
      </c>
      <c r="D3140" t="s">
        <v>2926</v>
      </c>
      <c r="E3140" t="s">
        <v>2502</v>
      </c>
      <c r="F3140" t="s">
        <v>94</v>
      </c>
      <c r="G3140" t="s">
        <v>277</v>
      </c>
      <c r="H3140" s="12">
        <v>7.6672000000000002</v>
      </c>
      <c r="I3140" s="12">
        <v>-76.681100000000001</v>
      </c>
      <c r="J3140" t="s">
        <v>2927</v>
      </c>
      <c r="K3140" t="s">
        <v>97</v>
      </c>
      <c r="L3140" t="s">
        <v>1273</v>
      </c>
      <c r="M3140">
        <v>11</v>
      </c>
      <c r="P3140" s="13">
        <v>163</v>
      </c>
      <c r="Q3140" s="13">
        <v>39</v>
      </c>
      <c r="R3140">
        <v>20</v>
      </c>
      <c r="S3140">
        <v>42</v>
      </c>
      <c r="T3140" s="13">
        <v>21</v>
      </c>
      <c r="U3140" s="13">
        <v>58</v>
      </c>
      <c r="V3140" t="s">
        <v>99</v>
      </c>
      <c r="X3140" s="13">
        <v>163</v>
      </c>
    </row>
    <row r="3141" spans="1:24" x14ac:dyDescent="0.25">
      <c r="A3141" t="s">
        <v>2960</v>
      </c>
      <c r="B3141" t="s">
        <v>65</v>
      </c>
      <c r="C3141" t="s">
        <v>2925</v>
      </c>
      <c r="D3141" t="s">
        <v>2926</v>
      </c>
      <c r="E3141" t="s">
        <v>2502</v>
      </c>
      <c r="F3141" t="s">
        <v>94</v>
      </c>
      <c r="G3141" t="s">
        <v>277</v>
      </c>
      <c r="H3141" s="12">
        <v>7.6672000000000002</v>
      </c>
      <c r="I3141" s="12">
        <v>-76.681100000000001</v>
      </c>
      <c r="J3141" t="s">
        <v>2927</v>
      </c>
      <c r="K3141" t="s">
        <v>97</v>
      </c>
      <c r="L3141" t="s">
        <v>1273</v>
      </c>
      <c r="M3141">
        <v>11</v>
      </c>
      <c r="P3141" s="13">
        <v>158</v>
      </c>
      <c r="Q3141" s="13">
        <v>41</v>
      </c>
      <c r="R3141">
        <v>20</v>
      </c>
      <c r="S3141">
        <v>36</v>
      </c>
      <c r="T3141" s="13">
        <v>21</v>
      </c>
      <c r="U3141" s="13">
        <v>56</v>
      </c>
      <c r="V3141" t="s">
        <v>99</v>
      </c>
      <c r="X3141" s="13">
        <v>158</v>
      </c>
    </row>
    <row r="3142" spans="1:24" x14ac:dyDescent="0.25">
      <c r="A3142" t="s">
        <v>2961</v>
      </c>
      <c r="B3142" t="s">
        <v>65</v>
      </c>
      <c r="C3142" t="s">
        <v>2925</v>
      </c>
      <c r="D3142" t="s">
        <v>2926</v>
      </c>
      <c r="E3142" t="s">
        <v>2502</v>
      </c>
      <c r="F3142" t="s">
        <v>94</v>
      </c>
      <c r="G3142" t="s">
        <v>277</v>
      </c>
      <c r="H3142" s="12">
        <v>7.6672000000000002</v>
      </c>
      <c r="I3142" s="12">
        <v>-76.681100000000001</v>
      </c>
      <c r="J3142" t="s">
        <v>2927</v>
      </c>
      <c r="K3142" t="s">
        <v>97</v>
      </c>
      <c r="L3142" t="s">
        <v>1273</v>
      </c>
      <c r="M3142">
        <v>11</v>
      </c>
      <c r="P3142" s="13">
        <v>155</v>
      </c>
      <c r="Q3142" s="13">
        <v>32</v>
      </c>
      <c r="R3142">
        <v>26</v>
      </c>
      <c r="S3142">
        <v>40</v>
      </c>
      <c r="T3142" s="13">
        <v>19</v>
      </c>
      <c r="U3142" s="13">
        <v>53</v>
      </c>
      <c r="V3142" t="s">
        <v>99</v>
      </c>
      <c r="X3142" s="13">
        <v>155</v>
      </c>
    </row>
    <row r="3143" spans="1:24" x14ac:dyDescent="0.25">
      <c r="A3143" t="s">
        <v>2962</v>
      </c>
      <c r="B3143" t="s">
        <v>65</v>
      </c>
      <c r="C3143" t="s">
        <v>2925</v>
      </c>
      <c r="D3143" t="s">
        <v>2926</v>
      </c>
      <c r="E3143" t="s">
        <v>2502</v>
      </c>
      <c r="F3143" t="s">
        <v>94</v>
      </c>
      <c r="G3143" t="s">
        <v>277</v>
      </c>
      <c r="H3143" s="12">
        <v>7.6672000000000002</v>
      </c>
      <c r="I3143" s="12">
        <v>-76.681100000000001</v>
      </c>
      <c r="J3143" t="s">
        <v>2927</v>
      </c>
      <c r="K3143" t="s">
        <v>97</v>
      </c>
      <c r="L3143" t="s">
        <v>1273</v>
      </c>
      <c r="M3143">
        <v>11</v>
      </c>
      <c r="P3143" s="13">
        <v>155</v>
      </c>
      <c r="Q3143" s="13">
        <v>44</v>
      </c>
      <c r="R3143">
        <v>30</v>
      </c>
      <c r="S3143">
        <v>24</v>
      </c>
      <c r="T3143" s="13">
        <v>24</v>
      </c>
      <c r="U3143" s="13">
        <v>36</v>
      </c>
      <c r="V3143" t="s">
        <v>99</v>
      </c>
      <c r="X3143" s="13">
        <v>155</v>
      </c>
    </row>
    <row r="3144" spans="1:24" x14ac:dyDescent="0.25">
      <c r="A3144" t="s">
        <v>2963</v>
      </c>
      <c r="B3144" t="s">
        <v>65</v>
      </c>
      <c r="C3144" t="s">
        <v>2925</v>
      </c>
      <c r="D3144" t="s">
        <v>2926</v>
      </c>
      <c r="E3144" t="s">
        <v>2502</v>
      </c>
      <c r="F3144" t="s">
        <v>94</v>
      </c>
      <c r="G3144" t="s">
        <v>277</v>
      </c>
      <c r="H3144" s="12">
        <v>7.6672000000000002</v>
      </c>
      <c r="I3144" s="12">
        <v>-76.681100000000001</v>
      </c>
      <c r="J3144" t="s">
        <v>2927</v>
      </c>
      <c r="K3144" t="s">
        <v>97</v>
      </c>
      <c r="L3144" t="s">
        <v>1273</v>
      </c>
      <c r="M3144">
        <v>11</v>
      </c>
      <c r="P3144" s="13">
        <v>155</v>
      </c>
      <c r="Q3144" s="13">
        <v>39</v>
      </c>
      <c r="R3144">
        <v>24</v>
      </c>
      <c r="S3144">
        <v>36</v>
      </c>
      <c r="T3144" s="13">
        <v>26</v>
      </c>
      <c r="U3144" s="13">
        <v>27</v>
      </c>
      <c r="V3144" t="s">
        <v>99</v>
      </c>
      <c r="X3144" s="13">
        <v>155</v>
      </c>
    </row>
    <row r="3145" spans="1:24" x14ac:dyDescent="0.25">
      <c r="A3145" t="s">
        <v>2964</v>
      </c>
      <c r="B3145" t="s">
        <v>65</v>
      </c>
      <c r="C3145" t="s">
        <v>2925</v>
      </c>
      <c r="D3145" t="s">
        <v>2926</v>
      </c>
      <c r="E3145" t="s">
        <v>2502</v>
      </c>
      <c r="F3145" t="s">
        <v>94</v>
      </c>
      <c r="G3145" t="s">
        <v>277</v>
      </c>
      <c r="H3145" s="12">
        <v>7.6672000000000002</v>
      </c>
      <c r="I3145" s="12">
        <v>-76.681100000000001</v>
      </c>
      <c r="J3145" t="s">
        <v>2927</v>
      </c>
      <c r="K3145" t="s">
        <v>97</v>
      </c>
      <c r="L3145" t="s">
        <v>1273</v>
      </c>
      <c r="M3145">
        <v>11</v>
      </c>
      <c r="P3145" s="13">
        <v>154</v>
      </c>
      <c r="Q3145" s="13">
        <v>37</v>
      </c>
      <c r="R3145">
        <v>22</v>
      </c>
      <c r="S3145">
        <v>32</v>
      </c>
      <c r="T3145" s="13">
        <v>31</v>
      </c>
      <c r="U3145" s="13">
        <v>36</v>
      </c>
      <c r="V3145" t="s">
        <v>99</v>
      </c>
      <c r="X3145" s="13">
        <v>154</v>
      </c>
    </row>
    <row r="3146" spans="1:24" x14ac:dyDescent="0.25">
      <c r="A3146" t="s">
        <v>2965</v>
      </c>
      <c r="B3146" t="s">
        <v>65</v>
      </c>
      <c r="C3146" t="s">
        <v>2925</v>
      </c>
      <c r="D3146" t="s">
        <v>2926</v>
      </c>
      <c r="E3146" t="s">
        <v>2502</v>
      </c>
      <c r="F3146" t="s">
        <v>94</v>
      </c>
      <c r="G3146" t="s">
        <v>277</v>
      </c>
      <c r="H3146" s="12">
        <v>7.6672000000000002</v>
      </c>
      <c r="I3146" s="12">
        <v>-76.681100000000001</v>
      </c>
      <c r="J3146" t="s">
        <v>2927</v>
      </c>
      <c r="K3146" t="s">
        <v>97</v>
      </c>
      <c r="L3146" t="s">
        <v>1273</v>
      </c>
      <c r="M3146">
        <v>11</v>
      </c>
      <c r="P3146" s="13">
        <v>153</v>
      </c>
      <c r="Q3146" s="13">
        <v>37</v>
      </c>
      <c r="R3146">
        <v>16</v>
      </c>
      <c r="S3146">
        <v>38</v>
      </c>
      <c r="T3146" s="13">
        <v>33</v>
      </c>
      <c r="U3146" s="13">
        <v>27</v>
      </c>
      <c r="V3146" t="s">
        <v>99</v>
      </c>
      <c r="X3146" s="13">
        <v>153</v>
      </c>
    </row>
    <row r="3147" spans="1:24" x14ac:dyDescent="0.25">
      <c r="A3147" t="s">
        <v>2966</v>
      </c>
      <c r="B3147" t="s">
        <v>65</v>
      </c>
      <c r="C3147" t="s">
        <v>2925</v>
      </c>
      <c r="D3147" t="s">
        <v>2926</v>
      </c>
      <c r="E3147" t="s">
        <v>2502</v>
      </c>
      <c r="F3147" t="s">
        <v>94</v>
      </c>
      <c r="G3147" t="s">
        <v>277</v>
      </c>
      <c r="H3147" s="12">
        <v>7.6672000000000002</v>
      </c>
      <c r="I3147" s="12">
        <v>-76.681100000000001</v>
      </c>
      <c r="J3147" t="s">
        <v>2927</v>
      </c>
      <c r="K3147" t="s">
        <v>97</v>
      </c>
      <c r="L3147" t="s">
        <v>1273</v>
      </c>
      <c r="M3147">
        <v>11</v>
      </c>
      <c r="P3147" s="13">
        <v>152</v>
      </c>
      <c r="Q3147" s="13">
        <v>22</v>
      </c>
      <c r="R3147">
        <v>28</v>
      </c>
      <c r="S3147">
        <v>44</v>
      </c>
      <c r="T3147" s="13">
        <v>22</v>
      </c>
      <c r="U3147" s="13">
        <v>47</v>
      </c>
      <c r="V3147" t="s">
        <v>99</v>
      </c>
      <c r="X3147" s="13">
        <v>152</v>
      </c>
    </row>
    <row r="3148" spans="1:24" x14ac:dyDescent="0.25">
      <c r="A3148" t="s">
        <v>2967</v>
      </c>
      <c r="B3148" t="s">
        <v>65</v>
      </c>
      <c r="C3148" t="s">
        <v>2925</v>
      </c>
      <c r="D3148" t="s">
        <v>2926</v>
      </c>
      <c r="E3148" t="s">
        <v>2502</v>
      </c>
      <c r="F3148" t="s">
        <v>94</v>
      </c>
      <c r="G3148" t="s">
        <v>277</v>
      </c>
      <c r="H3148" s="12">
        <v>7.6672000000000002</v>
      </c>
      <c r="I3148" s="12">
        <v>-76.681100000000001</v>
      </c>
      <c r="J3148" t="s">
        <v>2927</v>
      </c>
      <c r="K3148" t="s">
        <v>97</v>
      </c>
      <c r="L3148" t="s">
        <v>1273</v>
      </c>
      <c r="M3148">
        <v>11</v>
      </c>
      <c r="P3148" s="13">
        <v>152</v>
      </c>
      <c r="Q3148" s="13">
        <v>49</v>
      </c>
      <c r="R3148">
        <v>20</v>
      </c>
      <c r="S3148">
        <v>24</v>
      </c>
      <c r="T3148" s="13">
        <v>24</v>
      </c>
      <c r="U3148" s="13">
        <v>45</v>
      </c>
      <c r="V3148" t="s">
        <v>99</v>
      </c>
      <c r="X3148" s="13">
        <v>152</v>
      </c>
    </row>
    <row r="3149" spans="1:24" x14ac:dyDescent="0.25">
      <c r="A3149" t="s">
        <v>2968</v>
      </c>
      <c r="B3149" t="s">
        <v>65</v>
      </c>
      <c r="C3149" t="s">
        <v>2925</v>
      </c>
      <c r="D3149" t="s">
        <v>2926</v>
      </c>
      <c r="E3149" t="s">
        <v>2502</v>
      </c>
      <c r="F3149" t="s">
        <v>94</v>
      </c>
      <c r="G3149" t="s">
        <v>277</v>
      </c>
      <c r="H3149" s="12">
        <v>7.6672000000000002</v>
      </c>
      <c r="I3149" s="12">
        <v>-76.681100000000001</v>
      </c>
      <c r="J3149" t="s">
        <v>2927</v>
      </c>
      <c r="K3149" t="s">
        <v>97</v>
      </c>
      <c r="L3149" t="s">
        <v>1273</v>
      </c>
      <c r="M3149">
        <v>11</v>
      </c>
      <c r="P3149" s="13">
        <v>151</v>
      </c>
      <c r="Q3149" s="13">
        <v>44</v>
      </c>
      <c r="R3149">
        <v>28</v>
      </c>
      <c r="S3149">
        <v>22</v>
      </c>
      <c r="T3149" s="13">
        <v>22</v>
      </c>
      <c r="U3149" s="13">
        <v>44</v>
      </c>
      <c r="V3149" t="s">
        <v>99</v>
      </c>
      <c r="X3149" s="13">
        <v>151</v>
      </c>
    </row>
    <row r="3150" spans="1:24" x14ac:dyDescent="0.25">
      <c r="A3150" t="s">
        <v>2969</v>
      </c>
      <c r="B3150" t="s">
        <v>65</v>
      </c>
      <c r="C3150" t="s">
        <v>2925</v>
      </c>
      <c r="D3150" t="s">
        <v>2926</v>
      </c>
      <c r="E3150" t="s">
        <v>2502</v>
      </c>
      <c r="F3150" t="s">
        <v>94</v>
      </c>
      <c r="G3150" t="s">
        <v>277</v>
      </c>
      <c r="H3150" s="12">
        <v>7.6672000000000002</v>
      </c>
      <c r="I3150" s="12">
        <v>-76.681100000000001</v>
      </c>
      <c r="J3150" t="s">
        <v>2927</v>
      </c>
      <c r="K3150" t="s">
        <v>97</v>
      </c>
      <c r="L3150" t="s">
        <v>1273</v>
      </c>
      <c r="M3150">
        <v>11</v>
      </c>
      <c r="P3150" s="13">
        <v>151</v>
      </c>
      <c r="Q3150" s="13">
        <v>37</v>
      </c>
      <c r="R3150">
        <v>16</v>
      </c>
      <c r="S3150">
        <v>40</v>
      </c>
      <c r="T3150" s="13">
        <v>26</v>
      </c>
      <c r="U3150" s="13">
        <v>36</v>
      </c>
      <c r="V3150" t="s">
        <v>99</v>
      </c>
      <c r="X3150" s="13">
        <v>151</v>
      </c>
    </row>
    <row r="3151" spans="1:24" x14ac:dyDescent="0.25">
      <c r="A3151" t="s">
        <v>2970</v>
      </c>
      <c r="B3151" t="s">
        <v>65</v>
      </c>
      <c r="C3151" t="s">
        <v>2925</v>
      </c>
      <c r="D3151" t="s">
        <v>2926</v>
      </c>
      <c r="E3151" t="s">
        <v>2502</v>
      </c>
      <c r="F3151" t="s">
        <v>94</v>
      </c>
      <c r="G3151" t="s">
        <v>277</v>
      </c>
      <c r="H3151" s="12">
        <v>7.6672000000000002</v>
      </c>
      <c r="I3151" s="12">
        <v>-76.681100000000001</v>
      </c>
      <c r="J3151" t="s">
        <v>2927</v>
      </c>
      <c r="K3151" t="s">
        <v>97</v>
      </c>
      <c r="L3151" t="s">
        <v>1273</v>
      </c>
      <c r="M3151">
        <v>11</v>
      </c>
      <c r="P3151" s="13">
        <v>134</v>
      </c>
      <c r="Q3151" s="13">
        <v>27</v>
      </c>
      <c r="R3151">
        <v>20</v>
      </c>
      <c r="S3151">
        <v>30</v>
      </c>
      <c r="T3151" s="13">
        <v>28</v>
      </c>
      <c r="U3151" s="13">
        <v>35</v>
      </c>
      <c r="V3151" t="s">
        <v>99</v>
      </c>
      <c r="X3151" s="13">
        <v>134</v>
      </c>
    </row>
    <row r="3152" spans="1:24" x14ac:dyDescent="0.25">
      <c r="A3152" t="s">
        <v>2971</v>
      </c>
      <c r="B3152" t="s">
        <v>65</v>
      </c>
      <c r="C3152" t="s">
        <v>2925</v>
      </c>
      <c r="D3152" t="s">
        <v>2926</v>
      </c>
      <c r="E3152" t="s">
        <v>2502</v>
      </c>
      <c r="F3152" t="s">
        <v>94</v>
      </c>
      <c r="G3152" t="s">
        <v>277</v>
      </c>
      <c r="H3152" s="12">
        <v>7.6672000000000002</v>
      </c>
      <c r="I3152" s="12">
        <v>-76.681100000000001</v>
      </c>
      <c r="J3152" t="s">
        <v>2927</v>
      </c>
      <c r="K3152" t="s">
        <v>97</v>
      </c>
      <c r="L3152" t="s">
        <v>1273</v>
      </c>
      <c r="M3152">
        <v>11</v>
      </c>
      <c r="P3152" s="13">
        <v>130</v>
      </c>
      <c r="Q3152" s="13">
        <v>27</v>
      </c>
      <c r="R3152">
        <v>18</v>
      </c>
      <c r="S3152">
        <v>26</v>
      </c>
      <c r="T3152" s="13">
        <v>28</v>
      </c>
      <c r="U3152" s="13">
        <v>42</v>
      </c>
      <c r="V3152" t="s">
        <v>99</v>
      </c>
      <c r="X3152" s="13">
        <v>130</v>
      </c>
    </row>
    <row r="3153" spans="1:24" x14ac:dyDescent="0.25">
      <c r="A3153" t="s">
        <v>2972</v>
      </c>
      <c r="B3153" t="s">
        <v>65</v>
      </c>
      <c r="C3153" t="s">
        <v>2925</v>
      </c>
      <c r="D3153" t="s">
        <v>2926</v>
      </c>
      <c r="E3153" t="s">
        <v>2502</v>
      </c>
      <c r="F3153" t="s">
        <v>94</v>
      </c>
      <c r="G3153" t="s">
        <v>277</v>
      </c>
      <c r="H3153" s="12">
        <v>7.6672000000000002</v>
      </c>
      <c r="I3153" s="12">
        <v>-76.681100000000001</v>
      </c>
      <c r="J3153" t="s">
        <v>2927</v>
      </c>
      <c r="K3153" t="s">
        <v>97</v>
      </c>
      <c r="L3153" t="s">
        <v>1273</v>
      </c>
      <c r="M3153">
        <v>11</v>
      </c>
      <c r="P3153" s="13">
        <v>85</v>
      </c>
      <c r="Q3153" s="13">
        <v>41</v>
      </c>
      <c r="R3153">
        <v>10</v>
      </c>
      <c r="S3153">
        <v>14</v>
      </c>
      <c r="T3153" s="13">
        <v>9</v>
      </c>
      <c r="U3153" s="13">
        <v>0</v>
      </c>
      <c r="V3153" t="s">
        <v>99</v>
      </c>
      <c r="X3153" s="13">
        <v>85</v>
      </c>
    </row>
    <row r="3154" spans="1:24" x14ac:dyDescent="0.25">
      <c r="A3154" t="s">
        <v>2973</v>
      </c>
      <c r="B3154" t="s">
        <v>65</v>
      </c>
      <c r="C3154" t="s">
        <v>2925</v>
      </c>
      <c r="D3154" t="s">
        <v>2926</v>
      </c>
      <c r="E3154" t="s">
        <v>2502</v>
      </c>
      <c r="F3154" t="s">
        <v>94</v>
      </c>
      <c r="G3154" t="s">
        <v>277</v>
      </c>
      <c r="H3154" s="12">
        <v>7.6672000000000002</v>
      </c>
      <c r="I3154" s="12">
        <v>-76.681100000000001</v>
      </c>
      <c r="J3154" t="s">
        <v>2927</v>
      </c>
      <c r="K3154" t="s">
        <v>97</v>
      </c>
      <c r="L3154" t="s">
        <v>1273</v>
      </c>
      <c r="M3154">
        <v>11</v>
      </c>
      <c r="P3154" s="13">
        <v>78</v>
      </c>
      <c r="Q3154" s="13">
        <v>27</v>
      </c>
      <c r="R3154">
        <v>16</v>
      </c>
      <c r="S3154">
        <v>14</v>
      </c>
      <c r="T3154" s="13">
        <v>10</v>
      </c>
      <c r="U3154" s="13">
        <v>0</v>
      </c>
      <c r="V3154" t="s">
        <v>99</v>
      </c>
      <c r="X3154" s="13">
        <v>78</v>
      </c>
    </row>
    <row r="3155" spans="1:24" x14ac:dyDescent="0.25">
      <c r="A3155" t="s">
        <v>2974</v>
      </c>
      <c r="B3155" t="s">
        <v>65</v>
      </c>
      <c r="C3155" t="s">
        <v>2975</v>
      </c>
      <c r="D3155" t="s">
        <v>2976</v>
      </c>
      <c r="E3155" t="s">
        <v>2977</v>
      </c>
      <c r="F3155" t="s">
        <v>94</v>
      </c>
      <c r="G3155" t="s">
        <v>277</v>
      </c>
      <c r="H3155" s="12">
        <v>7.0168999999999997</v>
      </c>
      <c r="I3155" s="12">
        <v>-76.753600000000006</v>
      </c>
      <c r="J3155" t="s">
        <v>2978</v>
      </c>
      <c r="K3155" t="s">
        <v>97</v>
      </c>
      <c r="L3155" t="s">
        <v>1273</v>
      </c>
      <c r="M3155">
        <v>11</v>
      </c>
      <c r="P3155" s="13">
        <v>239</v>
      </c>
      <c r="Q3155" s="13">
        <v>46</v>
      </c>
      <c r="R3155">
        <v>32</v>
      </c>
      <c r="S3155">
        <v>68</v>
      </c>
      <c r="T3155" s="13">
        <v>47</v>
      </c>
      <c r="U3155" s="13">
        <v>42</v>
      </c>
      <c r="V3155" t="s">
        <v>99</v>
      </c>
      <c r="X3155" s="13">
        <v>239</v>
      </c>
    </row>
    <row r="3156" spans="1:24" x14ac:dyDescent="0.25">
      <c r="A3156" t="s">
        <v>2979</v>
      </c>
      <c r="B3156" t="s">
        <v>65</v>
      </c>
      <c r="C3156" t="s">
        <v>2975</v>
      </c>
      <c r="D3156" t="s">
        <v>2976</v>
      </c>
      <c r="E3156" t="s">
        <v>2977</v>
      </c>
      <c r="F3156" t="s">
        <v>94</v>
      </c>
      <c r="G3156" t="s">
        <v>277</v>
      </c>
      <c r="H3156" s="12">
        <v>7.0168999999999997</v>
      </c>
      <c r="I3156" s="12">
        <v>-76.753600000000006</v>
      </c>
      <c r="J3156" t="s">
        <v>2978</v>
      </c>
      <c r="K3156" t="s">
        <v>97</v>
      </c>
      <c r="L3156" t="s">
        <v>1273</v>
      </c>
      <c r="M3156">
        <v>11</v>
      </c>
      <c r="P3156" s="13">
        <v>237</v>
      </c>
      <c r="Q3156" s="13">
        <v>46</v>
      </c>
      <c r="R3156">
        <v>26</v>
      </c>
      <c r="S3156">
        <v>66</v>
      </c>
      <c r="T3156" s="13">
        <v>53</v>
      </c>
      <c r="U3156" s="13">
        <v>42</v>
      </c>
      <c r="V3156" t="s">
        <v>99</v>
      </c>
      <c r="X3156" s="13">
        <v>237</v>
      </c>
    </row>
    <row r="3157" spans="1:24" x14ac:dyDescent="0.25">
      <c r="A3157" t="s">
        <v>2980</v>
      </c>
      <c r="B3157" t="s">
        <v>65</v>
      </c>
      <c r="C3157" t="s">
        <v>2975</v>
      </c>
      <c r="D3157" t="s">
        <v>2976</v>
      </c>
      <c r="E3157" t="s">
        <v>2977</v>
      </c>
      <c r="F3157" t="s">
        <v>94</v>
      </c>
      <c r="G3157" t="s">
        <v>277</v>
      </c>
      <c r="H3157" s="12">
        <v>7.0168999999999997</v>
      </c>
      <c r="I3157" s="12">
        <v>-76.753600000000006</v>
      </c>
      <c r="J3157" t="s">
        <v>2978</v>
      </c>
      <c r="K3157" t="s">
        <v>97</v>
      </c>
      <c r="L3157" t="s">
        <v>1273</v>
      </c>
      <c r="M3157">
        <v>11</v>
      </c>
      <c r="P3157" s="13">
        <v>226</v>
      </c>
      <c r="Q3157" s="13">
        <v>41</v>
      </c>
      <c r="R3157">
        <v>30</v>
      </c>
      <c r="S3157">
        <v>72</v>
      </c>
      <c r="T3157" s="13">
        <v>40</v>
      </c>
      <c r="U3157" s="13">
        <v>38</v>
      </c>
      <c r="V3157" t="s">
        <v>99</v>
      </c>
      <c r="X3157" s="13">
        <v>226</v>
      </c>
    </row>
    <row r="3158" spans="1:24" x14ac:dyDescent="0.25">
      <c r="A3158" t="s">
        <v>2981</v>
      </c>
      <c r="B3158" t="s">
        <v>65</v>
      </c>
      <c r="C3158" t="s">
        <v>2975</v>
      </c>
      <c r="D3158" t="s">
        <v>2976</v>
      </c>
      <c r="E3158" t="s">
        <v>2977</v>
      </c>
      <c r="F3158" t="s">
        <v>94</v>
      </c>
      <c r="G3158" t="s">
        <v>277</v>
      </c>
      <c r="H3158" s="12">
        <v>7.0168999999999997</v>
      </c>
      <c r="I3158" s="12">
        <v>-76.753600000000006</v>
      </c>
      <c r="J3158" t="s">
        <v>2978</v>
      </c>
      <c r="K3158" t="s">
        <v>97</v>
      </c>
      <c r="L3158" t="s">
        <v>1273</v>
      </c>
      <c r="M3158">
        <v>11</v>
      </c>
      <c r="P3158" s="13">
        <v>224</v>
      </c>
      <c r="Q3158" s="13">
        <v>41</v>
      </c>
      <c r="R3158">
        <v>26</v>
      </c>
      <c r="S3158">
        <v>68</v>
      </c>
      <c r="T3158" s="13">
        <v>50</v>
      </c>
      <c r="U3158" s="13">
        <v>27</v>
      </c>
      <c r="V3158" t="s">
        <v>99</v>
      </c>
      <c r="X3158" s="13">
        <v>224</v>
      </c>
    </row>
    <row r="3159" spans="1:24" x14ac:dyDescent="0.25">
      <c r="A3159" t="s">
        <v>2982</v>
      </c>
      <c r="B3159" t="s">
        <v>65</v>
      </c>
      <c r="C3159" t="s">
        <v>2975</v>
      </c>
      <c r="D3159" t="s">
        <v>2976</v>
      </c>
      <c r="E3159" t="s">
        <v>2977</v>
      </c>
      <c r="F3159" t="s">
        <v>94</v>
      </c>
      <c r="G3159" t="s">
        <v>277</v>
      </c>
      <c r="H3159" s="12">
        <v>7.0168999999999997</v>
      </c>
      <c r="I3159" s="12">
        <v>-76.753600000000006</v>
      </c>
      <c r="J3159" t="s">
        <v>2978</v>
      </c>
      <c r="K3159" t="s">
        <v>97</v>
      </c>
      <c r="L3159" t="s">
        <v>1273</v>
      </c>
      <c r="M3159">
        <v>11</v>
      </c>
      <c r="P3159" s="13">
        <v>213</v>
      </c>
      <c r="Q3159" s="13">
        <v>41</v>
      </c>
      <c r="R3159">
        <v>34</v>
      </c>
      <c r="S3159">
        <v>54</v>
      </c>
      <c r="T3159" s="13">
        <v>38</v>
      </c>
      <c r="U3159" s="13">
        <v>51</v>
      </c>
      <c r="V3159" t="s">
        <v>99</v>
      </c>
      <c r="X3159" s="13">
        <v>213</v>
      </c>
    </row>
    <row r="3160" spans="1:24" x14ac:dyDescent="0.25">
      <c r="A3160" t="s">
        <v>2983</v>
      </c>
      <c r="B3160" t="s">
        <v>65</v>
      </c>
      <c r="C3160" t="s">
        <v>2975</v>
      </c>
      <c r="D3160" t="s">
        <v>2976</v>
      </c>
      <c r="E3160" t="s">
        <v>2977</v>
      </c>
      <c r="F3160" t="s">
        <v>94</v>
      </c>
      <c r="G3160" t="s">
        <v>277</v>
      </c>
      <c r="H3160" s="12">
        <v>7.0168999999999997</v>
      </c>
      <c r="I3160" s="12">
        <v>-76.753600000000006</v>
      </c>
      <c r="J3160" t="s">
        <v>2978</v>
      </c>
      <c r="K3160" t="s">
        <v>97</v>
      </c>
      <c r="L3160" t="s">
        <v>1273</v>
      </c>
      <c r="M3160">
        <v>11</v>
      </c>
      <c r="P3160" s="13">
        <v>212</v>
      </c>
      <c r="Q3160" s="13">
        <v>46</v>
      </c>
      <c r="R3160">
        <v>16</v>
      </c>
      <c r="S3160">
        <v>62</v>
      </c>
      <c r="T3160" s="13">
        <v>53</v>
      </c>
      <c r="U3160" s="13">
        <v>18</v>
      </c>
      <c r="V3160" t="s">
        <v>99</v>
      </c>
      <c r="X3160" s="13">
        <v>212</v>
      </c>
    </row>
    <row r="3161" spans="1:24" x14ac:dyDescent="0.25">
      <c r="A3161" t="s">
        <v>2984</v>
      </c>
      <c r="B3161" t="s">
        <v>65</v>
      </c>
      <c r="C3161" t="s">
        <v>2975</v>
      </c>
      <c r="D3161" t="s">
        <v>2976</v>
      </c>
      <c r="E3161" t="s">
        <v>2977</v>
      </c>
      <c r="F3161" t="s">
        <v>94</v>
      </c>
      <c r="G3161" t="s">
        <v>277</v>
      </c>
      <c r="H3161" s="12">
        <v>7.0168999999999997</v>
      </c>
      <c r="I3161" s="12">
        <v>-76.753600000000006</v>
      </c>
      <c r="J3161" t="s">
        <v>2978</v>
      </c>
      <c r="K3161" t="s">
        <v>97</v>
      </c>
      <c r="L3161" t="s">
        <v>1273</v>
      </c>
      <c r="M3161">
        <v>11</v>
      </c>
      <c r="P3161" s="13">
        <v>212</v>
      </c>
      <c r="Q3161" s="13">
        <v>46</v>
      </c>
      <c r="R3161">
        <v>24</v>
      </c>
      <c r="S3161">
        <v>52</v>
      </c>
      <c r="T3161" s="13">
        <v>48</v>
      </c>
      <c r="U3161" s="13">
        <v>38</v>
      </c>
      <c r="V3161" t="s">
        <v>99</v>
      </c>
      <c r="X3161" s="13">
        <v>212</v>
      </c>
    </row>
    <row r="3162" spans="1:24" x14ac:dyDescent="0.25">
      <c r="A3162" t="s">
        <v>2985</v>
      </c>
      <c r="B3162" t="s">
        <v>65</v>
      </c>
      <c r="C3162" t="s">
        <v>2975</v>
      </c>
      <c r="D3162" t="s">
        <v>2976</v>
      </c>
      <c r="E3162" t="s">
        <v>2977</v>
      </c>
      <c r="F3162" t="s">
        <v>94</v>
      </c>
      <c r="G3162" t="s">
        <v>277</v>
      </c>
      <c r="H3162" s="12">
        <v>7.0168999999999997</v>
      </c>
      <c r="I3162" s="12">
        <v>-76.753600000000006</v>
      </c>
      <c r="J3162" t="s">
        <v>2978</v>
      </c>
      <c r="K3162" t="s">
        <v>97</v>
      </c>
      <c r="L3162" t="s">
        <v>1273</v>
      </c>
      <c r="M3162">
        <v>11</v>
      </c>
      <c r="P3162" s="13">
        <v>209</v>
      </c>
      <c r="Q3162" s="13">
        <v>44</v>
      </c>
      <c r="R3162">
        <v>18</v>
      </c>
      <c r="S3162">
        <v>56</v>
      </c>
      <c r="T3162" s="13">
        <v>50</v>
      </c>
      <c r="U3162" s="13">
        <v>40</v>
      </c>
      <c r="V3162" t="s">
        <v>99</v>
      </c>
      <c r="X3162" s="13">
        <v>209</v>
      </c>
    </row>
    <row r="3163" spans="1:24" x14ac:dyDescent="0.25">
      <c r="A3163" t="s">
        <v>2986</v>
      </c>
      <c r="B3163" t="s">
        <v>65</v>
      </c>
      <c r="C3163" t="s">
        <v>2975</v>
      </c>
      <c r="D3163" t="s">
        <v>2976</v>
      </c>
      <c r="E3163" t="s">
        <v>2977</v>
      </c>
      <c r="F3163" t="s">
        <v>94</v>
      </c>
      <c r="G3163" t="s">
        <v>277</v>
      </c>
      <c r="H3163" s="12">
        <v>7.0168999999999997</v>
      </c>
      <c r="I3163" s="12">
        <v>-76.753600000000006</v>
      </c>
      <c r="J3163" t="s">
        <v>2978</v>
      </c>
      <c r="K3163" t="s">
        <v>97</v>
      </c>
      <c r="L3163" t="s">
        <v>1273</v>
      </c>
      <c r="M3163">
        <v>11</v>
      </c>
      <c r="P3163" s="13">
        <v>199</v>
      </c>
      <c r="Q3163" s="13">
        <v>56</v>
      </c>
      <c r="R3163">
        <v>24</v>
      </c>
      <c r="S3163">
        <v>40</v>
      </c>
      <c r="T3163" s="13">
        <v>31</v>
      </c>
      <c r="U3163" s="13">
        <v>64</v>
      </c>
      <c r="V3163" t="s">
        <v>99</v>
      </c>
      <c r="X3163" s="13">
        <v>199</v>
      </c>
    </row>
    <row r="3164" spans="1:24" x14ac:dyDescent="0.25">
      <c r="A3164" t="s">
        <v>2987</v>
      </c>
      <c r="B3164" t="s">
        <v>65</v>
      </c>
      <c r="C3164" t="s">
        <v>2975</v>
      </c>
      <c r="D3164" t="s">
        <v>2976</v>
      </c>
      <c r="E3164" t="s">
        <v>2977</v>
      </c>
      <c r="F3164" t="s">
        <v>94</v>
      </c>
      <c r="G3164" t="s">
        <v>277</v>
      </c>
      <c r="H3164" s="12">
        <v>7.0168999999999997</v>
      </c>
      <c r="I3164" s="12">
        <v>-76.753600000000006</v>
      </c>
      <c r="J3164" t="s">
        <v>2978</v>
      </c>
      <c r="K3164" t="s">
        <v>97</v>
      </c>
      <c r="L3164" t="s">
        <v>1273</v>
      </c>
      <c r="M3164">
        <v>11</v>
      </c>
      <c r="P3164" s="13">
        <v>181</v>
      </c>
      <c r="Q3164" s="13">
        <v>44</v>
      </c>
      <c r="R3164">
        <v>24</v>
      </c>
      <c r="S3164">
        <v>40</v>
      </c>
      <c r="T3164" s="13">
        <v>41</v>
      </c>
      <c r="U3164" s="13">
        <v>24</v>
      </c>
      <c r="V3164" t="s">
        <v>99</v>
      </c>
      <c r="X3164" s="13">
        <v>181</v>
      </c>
    </row>
    <row r="3165" spans="1:24" x14ac:dyDescent="0.25">
      <c r="A3165" t="s">
        <v>2988</v>
      </c>
      <c r="B3165" t="s">
        <v>65</v>
      </c>
      <c r="C3165" t="s">
        <v>2975</v>
      </c>
      <c r="D3165" t="s">
        <v>2976</v>
      </c>
      <c r="E3165" t="s">
        <v>2977</v>
      </c>
      <c r="F3165" t="s">
        <v>94</v>
      </c>
      <c r="G3165" t="s">
        <v>277</v>
      </c>
      <c r="H3165" s="12">
        <v>7.0168999999999997</v>
      </c>
      <c r="I3165" s="12">
        <v>-76.753600000000006</v>
      </c>
      <c r="J3165" t="s">
        <v>2978</v>
      </c>
      <c r="K3165" t="s">
        <v>97</v>
      </c>
      <c r="L3165" t="s">
        <v>1273</v>
      </c>
      <c r="M3165">
        <v>11</v>
      </c>
      <c r="P3165" s="13">
        <v>180</v>
      </c>
      <c r="Q3165" s="13">
        <v>51</v>
      </c>
      <c r="R3165">
        <v>34</v>
      </c>
      <c r="S3165">
        <v>26</v>
      </c>
      <c r="T3165" s="13">
        <v>29</v>
      </c>
      <c r="U3165" s="13">
        <v>45</v>
      </c>
      <c r="V3165" t="s">
        <v>99</v>
      </c>
      <c r="X3165" s="13">
        <v>180</v>
      </c>
    </row>
    <row r="3166" spans="1:24" x14ac:dyDescent="0.25">
      <c r="A3166" t="s">
        <v>2989</v>
      </c>
      <c r="B3166" t="s">
        <v>65</v>
      </c>
      <c r="C3166" t="s">
        <v>2975</v>
      </c>
      <c r="D3166" t="s">
        <v>2976</v>
      </c>
      <c r="E3166" t="s">
        <v>2977</v>
      </c>
      <c r="F3166" t="s">
        <v>94</v>
      </c>
      <c r="G3166" t="s">
        <v>277</v>
      </c>
      <c r="H3166" s="12">
        <v>7.0168999999999997</v>
      </c>
      <c r="I3166" s="12">
        <v>-76.753600000000006</v>
      </c>
      <c r="J3166" t="s">
        <v>2978</v>
      </c>
      <c r="K3166" t="s">
        <v>97</v>
      </c>
      <c r="L3166" t="s">
        <v>1273</v>
      </c>
      <c r="M3166">
        <v>11</v>
      </c>
      <c r="P3166" s="13">
        <v>179</v>
      </c>
      <c r="Q3166" s="13">
        <v>29</v>
      </c>
      <c r="R3166">
        <v>18</v>
      </c>
      <c r="S3166">
        <v>52</v>
      </c>
      <c r="T3166" s="13">
        <v>38</v>
      </c>
      <c r="U3166" s="13">
        <v>53</v>
      </c>
      <c r="V3166" t="s">
        <v>99</v>
      </c>
      <c r="X3166" s="13">
        <v>179</v>
      </c>
    </row>
    <row r="3167" spans="1:24" x14ac:dyDescent="0.25">
      <c r="A3167" t="s">
        <v>2990</v>
      </c>
      <c r="B3167" t="s">
        <v>65</v>
      </c>
      <c r="C3167" t="s">
        <v>2975</v>
      </c>
      <c r="D3167" t="s">
        <v>2976</v>
      </c>
      <c r="E3167" t="s">
        <v>2977</v>
      </c>
      <c r="F3167" t="s">
        <v>94</v>
      </c>
      <c r="G3167" t="s">
        <v>277</v>
      </c>
      <c r="H3167" s="12">
        <v>7.0168999999999997</v>
      </c>
      <c r="I3167" s="12">
        <v>-76.753600000000006</v>
      </c>
      <c r="J3167" t="s">
        <v>2978</v>
      </c>
      <c r="K3167" t="s">
        <v>97</v>
      </c>
      <c r="L3167" t="s">
        <v>1273</v>
      </c>
      <c r="M3167">
        <v>11</v>
      </c>
      <c r="P3167" s="13">
        <v>178</v>
      </c>
      <c r="Q3167" s="13">
        <v>41</v>
      </c>
      <c r="R3167">
        <v>14</v>
      </c>
      <c r="S3167">
        <v>42</v>
      </c>
      <c r="T3167" s="13">
        <v>47</v>
      </c>
      <c r="U3167" s="13">
        <v>31</v>
      </c>
      <c r="V3167" t="s">
        <v>99</v>
      </c>
      <c r="X3167" s="13">
        <v>178</v>
      </c>
    </row>
    <row r="3168" spans="1:24" x14ac:dyDescent="0.25">
      <c r="A3168" t="s">
        <v>2991</v>
      </c>
      <c r="B3168" t="s">
        <v>65</v>
      </c>
      <c r="C3168" t="s">
        <v>2975</v>
      </c>
      <c r="D3168" t="s">
        <v>2976</v>
      </c>
      <c r="E3168" t="s">
        <v>2977</v>
      </c>
      <c r="F3168" t="s">
        <v>94</v>
      </c>
      <c r="G3168" t="s">
        <v>277</v>
      </c>
      <c r="H3168" s="12">
        <v>7.0168999999999997</v>
      </c>
      <c r="I3168" s="12">
        <v>-76.753600000000006</v>
      </c>
      <c r="J3168" t="s">
        <v>2978</v>
      </c>
      <c r="K3168" t="s">
        <v>97</v>
      </c>
      <c r="L3168" t="s">
        <v>1273</v>
      </c>
      <c r="M3168">
        <v>11</v>
      </c>
      <c r="P3168" s="13">
        <v>178</v>
      </c>
      <c r="Q3168" s="13">
        <v>41</v>
      </c>
      <c r="R3168">
        <v>30</v>
      </c>
      <c r="S3168">
        <v>40</v>
      </c>
      <c r="T3168" s="13">
        <v>33</v>
      </c>
      <c r="U3168" s="13">
        <v>29</v>
      </c>
      <c r="V3168" t="s">
        <v>99</v>
      </c>
      <c r="X3168" s="13">
        <v>178</v>
      </c>
    </row>
    <row r="3169" spans="1:24" x14ac:dyDescent="0.25">
      <c r="A3169" t="s">
        <v>2992</v>
      </c>
      <c r="B3169" t="s">
        <v>65</v>
      </c>
      <c r="C3169" t="s">
        <v>2975</v>
      </c>
      <c r="D3169" t="s">
        <v>2976</v>
      </c>
      <c r="E3169" t="s">
        <v>2977</v>
      </c>
      <c r="F3169" t="s">
        <v>94</v>
      </c>
      <c r="G3169" t="s">
        <v>277</v>
      </c>
      <c r="H3169" s="12">
        <v>7.0168999999999997</v>
      </c>
      <c r="I3169" s="12">
        <v>-76.753600000000006</v>
      </c>
      <c r="J3169" t="s">
        <v>2978</v>
      </c>
      <c r="K3169" t="s">
        <v>97</v>
      </c>
      <c r="L3169" t="s">
        <v>1273</v>
      </c>
      <c r="M3169">
        <v>11</v>
      </c>
      <c r="P3169" s="13">
        <v>175</v>
      </c>
      <c r="Q3169" s="13">
        <v>46</v>
      </c>
      <c r="R3169">
        <v>16</v>
      </c>
      <c r="S3169">
        <v>24</v>
      </c>
      <c r="T3169" s="13">
        <v>50</v>
      </c>
      <c r="U3169" s="13">
        <v>45</v>
      </c>
      <c r="V3169" t="s">
        <v>99</v>
      </c>
      <c r="X3169" s="13">
        <v>175</v>
      </c>
    </row>
    <row r="3170" spans="1:24" x14ac:dyDescent="0.25">
      <c r="A3170" t="s">
        <v>2993</v>
      </c>
      <c r="B3170" t="s">
        <v>65</v>
      </c>
      <c r="C3170" t="s">
        <v>2975</v>
      </c>
      <c r="D3170" t="s">
        <v>2976</v>
      </c>
      <c r="E3170" t="s">
        <v>2977</v>
      </c>
      <c r="F3170" t="s">
        <v>94</v>
      </c>
      <c r="G3170" t="s">
        <v>277</v>
      </c>
      <c r="H3170" s="12">
        <v>7.0168999999999997</v>
      </c>
      <c r="I3170" s="12">
        <v>-76.753600000000006</v>
      </c>
      <c r="J3170" t="s">
        <v>2978</v>
      </c>
      <c r="K3170" t="s">
        <v>97</v>
      </c>
      <c r="L3170" t="s">
        <v>1273</v>
      </c>
      <c r="M3170">
        <v>11</v>
      </c>
      <c r="P3170" s="13">
        <v>168</v>
      </c>
      <c r="Q3170" s="13">
        <v>32</v>
      </c>
      <c r="R3170">
        <v>26</v>
      </c>
      <c r="S3170">
        <v>48</v>
      </c>
      <c r="T3170" s="13">
        <v>28</v>
      </c>
      <c r="U3170" s="13">
        <v>36</v>
      </c>
      <c r="V3170" t="s">
        <v>99</v>
      </c>
      <c r="X3170" s="13">
        <v>168</v>
      </c>
    </row>
    <row r="3171" spans="1:24" x14ac:dyDescent="0.25">
      <c r="A3171" t="s">
        <v>2994</v>
      </c>
      <c r="B3171" t="s">
        <v>65</v>
      </c>
      <c r="C3171" t="s">
        <v>2975</v>
      </c>
      <c r="D3171" t="s">
        <v>2976</v>
      </c>
      <c r="E3171" t="s">
        <v>2977</v>
      </c>
      <c r="F3171" t="s">
        <v>94</v>
      </c>
      <c r="G3171" t="s">
        <v>277</v>
      </c>
      <c r="H3171" s="12">
        <v>7.0168999999999997</v>
      </c>
      <c r="I3171" s="12">
        <v>-76.753600000000006</v>
      </c>
      <c r="J3171" t="s">
        <v>2978</v>
      </c>
      <c r="K3171" t="s">
        <v>97</v>
      </c>
      <c r="L3171" t="s">
        <v>1273</v>
      </c>
      <c r="M3171">
        <v>11</v>
      </c>
      <c r="P3171" s="13">
        <v>168</v>
      </c>
      <c r="Q3171" s="13">
        <v>49</v>
      </c>
      <c r="R3171">
        <v>24</v>
      </c>
      <c r="S3171">
        <v>32</v>
      </c>
      <c r="T3171" s="13">
        <v>26</v>
      </c>
      <c r="U3171" s="13">
        <v>44</v>
      </c>
      <c r="V3171" t="s">
        <v>99</v>
      </c>
      <c r="X3171" s="13">
        <v>168</v>
      </c>
    </row>
    <row r="3172" spans="1:24" x14ac:dyDescent="0.25">
      <c r="A3172" t="s">
        <v>2995</v>
      </c>
      <c r="B3172" t="s">
        <v>65</v>
      </c>
      <c r="C3172" t="s">
        <v>2975</v>
      </c>
      <c r="D3172" t="s">
        <v>2976</v>
      </c>
      <c r="E3172" t="s">
        <v>2977</v>
      </c>
      <c r="F3172" t="s">
        <v>94</v>
      </c>
      <c r="G3172" t="s">
        <v>277</v>
      </c>
      <c r="H3172" s="12">
        <v>7.0168999999999997</v>
      </c>
      <c r="I3172" s="12">
        <v>-76.753600000000006</v>
      </c>
      <c r="J3172" t="s">
        <v>2978</v>
      </c>
      <c r="K3172" t="s">
        <v>97</v>
      </c>
      <c r="L3172" t="s">
        <v>1273</v>
      </c>
      <c r="M3172">
        <v>11</v>
      </c>
      <c r="P3172" s="13">
        <v>165</v>
      </c>
      <c r="Q3172" s="13">
        <v>54</v>
      </c>
      <c r="R3172">
        <v>22</v>
      </c>
      <c r="S3172">
        <v>36</v>
      </c>
      <c r="T3172" s="13">
        <v>19</v>
      </c>
      <c r="U3172" s="13">
        <v>38</v>
      </c>
      <c r="V3172" t="s">
        <v>99</v>
      </c>
      <c r="X3172" s="13">
        <v>165</v>
      </c>
    </row>
    <row r="3173" spans="1:24" x14ac:dyDescent="0.25">
      <c r="A3173" t="s">
        <v>2996</v>
      </c>
      <c r="B3173" t="s">
        <v>65</v>
      </c>
      <c r="C3173" t="s">
        <v>2975</v>
      </c>
      <c r="D3173" t="s">
        <v>2976</v>
      </c>
      <c r="E3173" t="s">
        <v>2977</v>
      </c>
      <c r="F3173" t="s">
        <v>94</v>
      </c>
      <c r="G3173" t="s">
        <v>277</v>
      </c>
      <c r="H3173" s="12">
        <v>7.0168999999999997</v>
      </c>
      <c r="I3173" s="12">
        <v>-76.753600000000006</v>
      </c>
      <c r="J3173" t="s">
        <v>2978</v>
      </c>
      <c r="K3173" t="s">
        <v>97</v>
      </c>
      <c r="L3173" t="s">
        <v>1273</v>
      </c>
      <c r="M3173">
        <v>11</v>
      </c>
      <c r="P3173" s="13">
        <v>163</v>
      </c>
      <c r="Q3173" s="13">
        <v>24</v>
      </c>
      <c r="R3173">
        <v>24</v>
      </c>
      <c r="S3173">
        <v>40</v>
      </c>
      <c r="T3173" s="13">
        <v>34</v>
      </c>
      <c r="U3173" s="13">
        <v>55</v>
      </c>
      <c r="V3173" t="s">
        <v>99</v>
      </c>
      <c r="X3173" s="13">
        <v>163</v>
      </c>
    </row>
    <row r="3174" spans="1:24" x14ac:dyDescent="0.25">
      <c r="A3174" t="s">
        <v>2997</v>
      </c>
      <c r="B3174" t="s">
        <v>65</v>
      </c>
      <c r="C3174" t="s">
        <v>2975</v>
      </c>
      <c r="D3174" t="s">
        <v>2976</v>
      </c>
      <c r="E3174" t="s">
        <v>2977</v>
      </c>
      <c r="F3174" t="s">
        <v>94</v>
      </c>
      <c r="G3174" t="s">
        <v>277</v>
      </c>
      <c r="H3174" s="12">
        <v>7.0168999999999997</v>
      </c>
      <c r="I3174" s="12">
        <v>-76.753600000000006</v>
      </c>
      <c r="J3174" t="s">
        <v>2978</v>
      </c>
      <c r="K3174" t="s">
        <v>97</v>
      </c>
      <c r="L3174" t="s">
        <v>1273</v>
      </c>
      <c r="M3174">
        <v>11</v>
      </c>
      <c r="P3174" s="13">
        <v>154</v>
      </c>
      <c r="Q3174" s="13">
        <v>39</v>
      </c>
      <c r="R3174">
        <v>26</v>
      </c>
      <c r="S3174">
        <v>34</v>
      </c>
      <c r="T3174" s="13">
        <v>21</v>
      </c>
      <c r="U3174" s="13">
        <v>40</v>
      </c>
      <c r="V3174" t="s">
        <v>99</v>
      </c>
      <c r="X3174" s="13">
        <v>154</v>
      </c>
    </row>
    <row r="3175" spans="1:24" x14ac:dyDescent="0.25">
      <c r="A3175" t="s">
        <v>2998</v>
      </c>
      <c r="B3175" t="s">
        <v>65</v>
      </c>
      <c r="C3175" t="s">
        <v>2975</v>
      </c>
      <c r="D3175" t="s">
        <v>2976</v>
      </c>
      <c r="E3175" t="s">
        <v>2977</v>
      </c>
      <c r="F3175" t="s">
        <v>94</v>
      </c>
      <c r="G3175" t="s">
        <v>277</v>
      </c>
      <c r="H3175" s="12">
        <v>7.0168999999999997</v>
      </c>
      <c r="I3175" s="12">
        <v>-76.753600000000006</v>
      </c>
      <c r="J3175" t="s">
        <v>2978</v>
      </c>
      <c r="K3175" t="s">
        <v>97</v>
      </c>
      <c r="L3175" t="s">
        <v>1273</v>
      </c>
      <c r="M3175">
        <v>11</v>
      </c>
      <c r="P3175" s="13">
        <v>153</v>
      </c>
      <c r="Q3175" s="13">
        <v>34</v>
      </c>
      <c r="R3175">
        <v>22</v>
      </c>
      <c r="S3175">
        <v>32</v>
      </c>
      <c r="T3175" s="13">
        <v>33</v>
      </c>
      <c r="U3175" s="13">
        <v>35</v>
      </c>
      <c r="V3175" t="s">
        <v>99</v>
      </c>
      <c r="X3175" s="13">
        <v>153</v>
      </c>
    </row>
    <row r="3176" spans="1:24" x14ac:dyDescent="0.25">
      <c r="A3176" t="s">
        <v>2999</v>
      </c>
      <c r="B3176" t="s">
        <v>65</v>
      </c>
      <c r="C3176" t="s">
        <v>2975</v>
      </c>
      <c r="D3176" t="s">
        <v>2976</v>
      </c>
      <c r="E3176" t="s">
        <v>2977</v>
      </c>
      <c r="F3176" t="s">
        <v>94</v>
      </c>
      <c r="G3176" t="s">
        <v>277</v>
      </c>
      <c r="H3176" s="12">
        <v>7.0168999999999997</v>
      </c>
      <c r="I3176" s="12">
        <v>-76.753600000000006</v>
      </c>
      <c r="J3176" t="s">
        <v>2978</v>
      </c>
      <c r="K3176" t="s">
        <v>97</v>
      </c>
      <c r="L3176" t="s">
        <v>1273</v>
      </c>
      <c r="M3176">
        <v>11</v>
      </c>
      <c r="P3176" s="13">
        <v>152</v>
      </c>
      <c r="Q3176" s="13">
        <v>39</v>
      </c>
      <c r="R3176">
        <v>18</v>
      </c>
      <c r="S3176">
        <v>26</v>
      </c>
      <c r="T3176" s="13">
        <v>34</v>
      </c>
      <c r="U3176" s="13">
        <v>44</v>
      </c>
      <c r="V3176" t="s">
        <v>99</v>
      </c>
      <c r="X3176" s="13">
        <v>152</v>
      </c>
    </row>
    <row r="3177" spans="1:24" x14ac:dyDescent="0.25">
      <c r="A3177" t="s">
        <v>3000</v>
      </c>
      <c r="B3177" t="s">
        <v>65</v>
      </c>
      <c r="C3177" t="s">
        <v>2975</v>
      </c>
      <c r="D3177" t="s">
        <v>2976</v>
      </c>
      <c r="E3177" t="s">
        <v>2977</v>
      </c>
      <c r="F3177" t="s">
        <v>94</v>
      </c>
      <c r="G3177" t="s">
        <v>277</v>
      </c>
      <c r="H3177" s="12">
        <v>7.0168999999999997</v>
      </c>
      <c r="I3177" s="12">
        <v>-76.753600000000006</v>
      </c>
      <c r="J3177" t="s">
        <v>2978</v>
      </c>
      <c r="K3177" t="s">
        <v>97</v>
      </c>
      <c r="L3177" t="s">
        <v>1273</v>
      </c>
      <c r="M3177">
        <v>11</v>
      </c>
      <c r="P3177" s="13">
        <v>149</v>
      </c>
      <c r="Q3177" s="13">
        <v>39</v>
      </c>
      <c r="R3177">
        <v>32</v>
      </c>
      <c r="S3177">
        <v>24</v>
      </c>
      <c r="T3177" s="13">
        <v>24</v>
      </c>
      <c r="U3177" s="13">
        <v>31</v>
      </c>
      <c r="V3177" t="s">
        <v>99</v>
      </c>
      <c r="X3177" s="13">
        <v>149</v>
      </c>
    </row>
    <row r="3178" spans="1:24" x14ac:dyDescent="0.25">
      <c r="A3178" t="s">
        <v>3001</v>
      </c>
      <c r="B3178" t="s">
        <v>65</v>
      </c>
      <c r="C3178" t="s">
        <v>2975</v>
      </c>
      <c r="D3178" t="s">
        <v>2976</v>
      </c>
      <c r="E3178" t="s">
        <v>2977</v>
      </c>
      <c r="F3178" t="s">
        <v>94</v>
      </c>
      <c r="G3178" t="s">
        <v>277</v>
      </c>
      <c r="H3178" s="12">
        <v>7.0168999999999997</v>
      </c>
      <c r="I3178" s="12">
        <v>-76.753600000000006</v>
      </c>
      <c r="J3178" t="s">
        <v>2978</v>
      </c>
      <c r="K3178" t="s">
        <v>97</v>
      </c>
      <c r="L3178" t="s">
        <v>1273</v>
      </c>
      <c r="M3178">
        <v>11</v>
      </c>
      <c r="P3178" s="13">
        <v>148</v>
      </c>
      <c r="Q3178" s="13">
        <v>37</v>
      </c>
      <c r="R3178">
        <v>16</v>
      </c>
      <c r="S3178">
        <v>32</v>
      </c>
      <c r="T3178" s="13">
        <v>29</v>
      </c>
      <c r="U3178" s="13">
        <v>44</v>
      </c>
      <c r="V3178" t="s">
        <v>99</v>
      </c>
      <c r="X3178" s="13">
        <v>148</v>
      </c>
    </row>
    <row r="3179" spans="1:24" x14ac:dyDescent="0.25">
      <c r="A3179" t="s">
        <v>3002</v>
      </c>
      <c r="B3179" t="s">
        <v>65</v>
      </c>
      <c r="C3179" t="s">
        <v>2975</v>
      </c>
      <c r="D3179" t="s">
        <v>2976</v>
      </c>
      <c r="E3179" t="s">
        <v>2977</v>
      </c>
      <c r="F3179" t="s">
        <v>94</v>
      </c>
      <c r="G3179" t="s">
        <v>277</v>
      </c>
      <c r="H3179" s="12">
        <v>7.0168999999999997</v>
      </c>
      <c r="I3179" s="12">
        <v>-76.753600000000006</v>
      </c>
      <c r="J3179" t="s">
        <v>2978</v>
      </c>
      <c r="K3179" t="s">
        <v>97</v>
      </c>
      <c r="L3179" t="s">
        <v>1273</v>
      </c>
      <c r="M3179">
        <v>11</v>
      </c>
      <c r="P3179" s="13">
        <v>147</v>
      </c>
      <c r="Q3179" s="13">
        <v>12</v>
      </c>
      <c r="R3179">
        <v>16</v>
      </c>
      <c r="S3179">
        <v>48</v>
      </c>
      <c r="T3179" s="13">
        <v>38</v>
      </c>
      <c r="U3179" s="13">
        <v>40</v>
      </c>
      <c r="V3179" t="s">
        <v>99</v>
      </c>
      <c r="X3179" s="13">
        <v>147</v>
      </c>
    </row>
    <row r="3180" spans="1:24" x14ac:dyDescent="0.25">
      <c r="A3180" t="s">
        <v>3003</v>
      </c>
      <c r="B3180" t="s">
        <v>65</v>
      </c>
      <c r="C3180" t="s">
        <v>2975</v>
      </c>
      <c r="D3180" t="s">
        <v>2976</v>
      </c>
      <c r="E3180" t="s">
        <v>2977</v>
      </c>
      <c r="F3180" t="s">
        <v>94</v>
      </c>
      <c r="G3180" t="s">
        <v>277</v>
      </c>
      <c r="H3180" s="12">
        <v>7.0168999999999997</v>
      </c>
      <c r="I3180" s="12">
        <v>-76.753600000000006</v>
      </c>
      <c r="J3180" t="s">
        <v>2978</v>
      </c>
      <c r="K3180" t="s">
        <v>97</v>
      </c>
      <c r="L3180" t="s">
        <v>1273</v>
      </c>
      <c r="M3180">
        <v>11</v>
      </c>
      <c r="P3180" s="13">
        <v>147</v>
      </c>
      <c r="Q3180" s="13">
        <v>24</v>
      </c>
      <c r="R3180">
        <v>24</v>
      </c>
      <c r="S3180">
        <v>38</v>
      </c>
      <c r="T3180" s="13">
        <v>26</v>
      </c>
      <c r="U3180" s="13">
        <v>45</v>
      </c>
      <c r="V3180" t="s">
        <v>99</v>
      </c>
      <c r="X3180" s="13">
        <v>147</v>
      </c>
    </row>
    <row r="3181" spans="1:24" x14ac:dyDescent="0.25">
      <c r="A3181" t="s">
        <v>3004</v>
      </c>
      <c r="B3181" t="s">
        <v>65</v>
      </c>
      <c r="C3181" t="s">
        <v>2975</v>
      </c>
      <c r="D3181" t="s">
        <v>2976</v>
      </c>
      <c r="E3181" t="s">
        <v>2977</v>
      </c>
      <c r="F3181" t="s">
        <v>94</v>
      </c>
      <c r="G3181" t="s">
        <v>277</v>
      </c>
      <c r="H3181" s="12">
        <v>7.0168999999999997</v>
      </c>
      <c r="I3181" s="12">
        <v>-76.753600000000006</v>
      </c>
      <c r="J3181" t="s">
        <v>2978</v>
      </c>
      <c r="K3181" t="s">
        <v>97</v>
      </c>
      <c r="L3181" t="s">
        <v>1273</v>
      </c>
      <c r="M3181">
        <v>11</v>
      </c>
      <c r="P3181" s="13">
        <v>145</v>
      </c>
      <c r="Q3181" s="13">
        <v>34</v>
      </c>
      <c r="R3181">
        <v>22</v>
      </c>
      <c r="S3181">
        <v>32</v>
      </c>
      <c r="T3181" s="13">
        <v>31</v>
      </c>
      <c r="U3181" s="13">
        <v>20</v>
      </c>
      <c r="V3181" t="s">
        <v>99</v>
      </c>
      <c r="X3181" s="13">
        <v>145</v>
      </c>
    </row>
    <row r="3182" spans="1:24" x14ac:dyDescent="0.25">
      <c r="A3182" t="s">
        <v>3005</v>
      </c>
      <c r="B3182" t="s">
        <v>65</v>
      </c>
      <c r="C3182" t="s">
        <v>2975</v>
      </c>
      <c r="D3182" t="s">
        <v>2976</v>
      </c>
      <c r="E3182" t="s">
        <v>2977</v>
      </c>
      <c r="F3182" t="s">
        <v>94</v>
      </c>
      <c r="G3182" t="s">
        <v>277</v>
      </c>
      <c r="H3182" s="12">
        <v>7.0168999999999997</v>
      </c>
      <c r="I3182" s="12">
        <v>-76.753600000000006</v>
      </c>
      <c r="J3182" t="s">
        <v>2978</v>
      </c>
      <c r="K3182" t="s">
        <v>97</v>
      </c>
      <c r="L3182" t="s">
        <v>1273</v>
      </c>
      <c r="M3182">
        <v>11</v>
      </c>
      <c r="P3182" s="13">
        <v>145</v>
      </c>
      <c r="Q3182" s="13">
        <v>24</v>
      </c>
      <c r="R3182">
        <v>18</v>
      </c>
      <c r="S3182">
        <v>54</v>
      </c>
      <c r="T3182" s="13">
        <v>24</v>
      </c>
      <c r="U3182" s="13">
        <v>15</v>
      </c>
      <c r="V3182" t="s">
        <v>99</v>
      </c>
      <c r="X3182" s="13">
        <v>145</v>
      </c>
    </row>
    <row r="3183" spans="1:24" x14ac:dyDescent="0.25">
      <c r="A3183" t="s">
        <v>3006</v>
      </c>
      <c r="B3183" t="s">
        <v>65</v>
      </c>
      <c r="C3183" t="s">
        <v>2975</v>
      </c>
      <c r="D3183" t="s">
        <v>2976</v>
      </c>
      <c r="E3183" t="s">
        <v>2977</v>
      </c>
      <c r="F3183" t="s">
        <v>94</v>
      </c>
      <c r="G3183" t="s">
        <v>277</v>
      </c>
      <c r="H3183" s="12">
        <v>7.0168999999999997</v>
      </c>
      <c r="I3183" s="12">
        <v>-76.753600000000006</v>
      </c>
      <c r="J3183" t="s">
        <v>2978</v>
      </c>
      <c r="K3183" t="s">
        <v>97</v>
      </c>
      <c r="L3183" t="s">
        <v>1273</v>
      </c>
      <c r="M3183">
        <v>11</v>
      </c>
      <c r="P3183" s="13">
        <v>143</v>
      </c>
      <c r="Q3183" s="13">
        <v>37</v>
      </c>
      <c r="R3183">
        <v>30</v>
      </c>
      <c r="S3183">
        <v>30</v>
      </c>
      <c r="T3183" s="13">
        <v>17</v>
      </c>
      <c r="U3183" s="13">
        <v>29</v>
      </c>
      <c r="V3183" t="s">
        <v>99</v>
      </c>
      <c r="X3183" s="13">
        <v>143</v>
      </c>
    </row>
    <row r="3184" spans="1:24" x14ac:dyDescent="0.25">
      <c r="A3184" t="s">
        <v>3007</v>
      </c>
      <c r="B3184" t="s">
        <v>65</v>
      </c>
      <c r="C3184" t="s">
        <v>2975</v>
      </c>
      <c r="D3184" t="s">
        <v>2976</v>
      </c>
      <c r="E3184" t="s">
        <v>2977</v>
      </c>
      <c r="F3184" t="s">
        <v>94</v>
      </c>
      <c r="G3184" t="s">
        <v>277</v>
      </c>
      <c r="H3184" s="12">
        <v>7.0168999999999997</v>
      </c>
      <c r="I3184" s="12">
        <v>-76.753600000000006</v>
      </c>
      <c r="J3184" t="s">
        <v>2978</v>
      </c>
      <c r="K3184" t="s">
        <v>97</v>
      </c>
      <c r="L3184" t="s">
        <v>1273</v>
      </c>
      <c r="M3184">
        <v>11</v>
      </c>
      <c r="P3184" s="13">
        <v>142</v>
      </c>
      <c r="Q3184" s="13">
        <v>32</v>
      </c>
      <c r="R3184">
        <v>20</v>
      </c>
      <c r="S3184">
        <v>28</v>
      </c>
      <c r="T3184" s="13">
        <v>33</v>
      </c>
      <c r="U3184" s="13">
        <v>31</v>
      </c>
      <c r="V3184" t="s">
        <v>99</v>
      </c>
      <c r="X3184" s="13">
        <v>142</v>
      </c>
    </row>
    <row r="3185" spans="1:24" x14ac:dyDescent="0.25">
      <c r="A3185" t="s">
        <v>3008</v>
      </c>
      <c r="B3185" t="s">
        <v>65</v>
      </c>
      <c r="C3185" t="s">
        <v>2975</v>
      </c>
      <c r="D3185" t="s">
        <v>2976</v>
      </c>
      <c r="E3185" t="s">
        <v>2977</v>
      </c>
      <c r="F3185" t="s">
        <v>94</v>
      </c>
      <c r="G3185" t="s">
        <v>277</v>
      </c>
      <c r="H3185" s="12">
        <v>7.0168999999999997</v>
      </c>
      <c r="I3185" s="12">
        <v>-76.753600000000006</v>
      </c>
      <c r="J3185" t="s">
        <v>2978</v>
      </c>
      <c r="K3185" t="s">
        <v>97</v>
      </c>
      <c r="L3185" t="s">
        <v>1273</v>
      </c>
      <c r="M3185">
        <v>11</v>
      </c>
      <c r="P3185" s="13">
        <v>141</v>
      </c>
      <c r="Q3185" s="13">
        <v>37</v>
      </c>
      <c r="R3185">
        <v>28</v>
      </c>
      <c r="S3185">
        <v>32</v>
      </c>
      <c r="T3185" s="13">
        <v>12</v>
      </c>
      <c r="U3185" s="13">
        <v>42</v>
      </c>
      <c r="V3185" t="s">
        <v>99</v>
      </c>
      <c r="X3185" s="13">
        <v>141</v>
      </c>
    </row>
    <row r="3186" spans="1:24" x14ac:dyDescent="0.25">
      <c r="A3186" t="s">
        <v>3009</v>
      </c>
      <c r="B3186" t="s">
        <v>65</v>
      </c>
      <c r="C3186" t="s">
        <v>2975</v>
      </c>
      <c r="D3186" t="s">
        <v>2976</v>
      </c>
      <c r="E3186" t="s">
        <v>2977</v>
      </c>
      <c r="F3186" t="s">
        <v>94</v>
      </c>
      <c r="G3186" t="s">
        <v>277</v>
      </c>
      <c r="H3186" s="12">
        <v>7.0168999999999997</v>
      </c>
      <c r="I3186" s="12">
        <v>-76.753600000000006</v>
      </c>
      <c r="J3186" t="s">
        <v>2978</v>
      </c>
      <c r="K3186" t="s">
        <v>97</v>
      </c>
      <c r="L3186" t="s">
        <v>1273</v>
      </c>
      <c r="M3186">
        <v>11</v>
      </c>
      <c r="P3186" s="13">
        <v>141</v>
      </c>
      <c r="Q3186" s="13">
        <v>37</v>
      </c>
      <c r="R3186">
        <v>18</v>
      </c>
      <c r="S3186">
        <v>30</v>
      </c>
      <c r="T3186" s="13">
        <v>26</v>
      </c>
      <c r="U3186" s="13">
        <v>36</v>
      </c>
      <c r="V3186" t="s">
        <v>99</v>
      </c>
      <c r="X3186" s="13">
        <v>141</v>
      </c>
    </row>
    <row r="3187" spans="1:24" x14ac:dyDescent="0.25">
      <c r="A3187" t="s">
        <v>3010</v>
      </c>
      <c r="B3187" t="s">
        <v>65</v>
      </c>
      <c r="C3187" t="s">
        <v>2975</v>
      </c>
      <c r="D3187" t="s">
        <v>2976</v>
      </c>
      <c r="E3187" t="s">
        <v>2977</v>
      </c>
      <c r="F3187" t="s">
        <v>94</v>
      </c>
      <c r="G3187" t="s">
        <v>277</v>
      </c>
      <c r="H3187" s="12">
        <v>7.0168999999999997</v>
      </c>
      <c r="I3187" s="12">
        <v>-76.753600000000006</v>
      </c>
      <c r="J3187" t="s">
        <v>2978</v>
      </c>
      <c r="K3187" t="s">
        <v>97</v>
      </c>
      <c r="L3187" t="s">
        <v>1273</v>
      </c>
      <c r="M3187">
        <v>11</v>
      </c>
      <c r="P3187" s="13">
        <v>141</v>
      </c>
      <c r="Q3187" s="13">
        <v>29</v>
      </c>
      <c r="R3187">
        <v>18</v>
      </c>
      <c r="S3187">
        <v>40</v>
      </c>
      <c r="T3187" s="13">
        <v>22</v>
      </c>
      <c r="U3187" s="13">
        <v>36</v>
      </c>
      <c r="V3187" t="s">
        <v>99</v>
      </c>
      <c r="X3187" s="13">
        <v>141</v>
      </c>
    </row>
    <row r="3188" spans="1:24" x14ac:dyDescent="0.25">
      <c r="A3188" t="s">
        <v>3011</v>
      </c>
      <c r="B3188" t="s">
        <v>65</v>
      </c>
      <c r="C3188" t="s">
        <v>2975</v>
      </c>
      <c r="D3188" t="s">
        <v>2976</v>
      </c>
      <c r="E3188" t="s">
        <v>2977</v>
      </c>
      <c r="F3188" t="s">
        <v>94</v>
      </c>
      <c r="G3188" t="s">
        <v>277</v>
      </c>
      <c r="H3188" s="12">
        <v>7.0168999999999997</v>
      </c>
      <c r="I3188" s="12">
        <v>-76.753600000000006</v>
      </c>
      <c r="J3188" t="s">
        <v>2978</v>
      </c>
      <c r="K3188" t="s">
        <v>97</v>
      </c>
      <c r="L3188" t="s">
        <v>1273</v>
      </c>
      <c r="M3188">
        <v>11</v>
      </c>
      <c r="P3188" s="13">
        <v>139</v>
      </c>
      <c r="Q3188" s="13">
        <v>37</v>
      </c>
      <c r="R3188">
        <v>18</v>
      </c>
      <c r="S3188">
        <v>36</v>
      </c>
      <c r="T3188" s="13">
        <v>19</v>
      </c>
      <c r="U3188" s="13">
        <v>33</v>
      </c>
      <c r="V3188" t="s">
        <v>99</v>
      </c>
      <c r="X3188" s="13">
        <v>139</v>
      </c>
    </row>
    <row r="3189" spans="1:24" x14ac:dyDescent="0.25">
      <c r="A3189" t="s">
        <v>3012</v>
      </c>
      <c r="B3189" t="s">
        <v>65</v>
      </c>
      <c r="C3189" t="s">
        <v>2975</v>
      </c>
      <c r="D3189" t="s">
        <v>2976</v>
      </c>
      <c r="E3189" t="s">
        <v>2977</v>
      </c>
      <c r="F3189" t="s">
        <v>94</v>
      </c>
      <c r="G3189" t="s">
        <v>277</v>
      </c>
      <c r="H3189" s="12">
        <v>7.0168999999999997</v>
      </c>
      <c r="I3189" s="12">
        <v>-76.753600000000006</v>
      </c>
      <c r="J3189" t="s">
        <v>2978</v>
      </c>
      <c r="K3189" t="s">
        <v>97</v>
      </c>
      <c r="L3189" t="s">
        <v>1273</v>
      </c>
      <c r="M3189">
        <v>11</v>
      </c>
      <c r="P3189" s="13">
        <v>137</v>
      </c>
      <c r="Q3189" s="13">
        <v>32</v>
      </c>
      <c r="R3189">
        <v>24</v>
      </c>
      <c r="S3189">
        <v>22</v>
      </c>
      <c r="T3189" s="13">
        <v>28</v>
      </c>
      <c r="U3189" s="13">
        <v>40</v>
      </c>
      <c r="V3189" t="s">
        <v>99</v>
      </c>
      <c r="X3189" s="13">
        <v>137</v>
      </c>
    </row>
    <row r="3190" spans="1:24" x14ac:dyDescent="0.25">
      <c r="A3190" t="s">
        <v>3013</v>
      </c>
      <c r="B3190" t="s">
        <v>65</v>
      </c>
      <c r="C3190" t="s">
        <v>2975</v>
      </c>
      <c r="D3190" t="s">
        <v>2976</v>
      </c>
      <c r="E3190" t="s">
        <v>2977</v>
      </c>
      <c r="F3190" t="s">
        <v>94</v>
      </c>
      <c r="G3190" t="s">
        <v>277</v>
      </c>
      <c r="H3190" s="12">
        <v>7.0168999999999997</v>
      </c>
      <c r="I3190" s="12">
        <v>-76.753600000000006</v>
      </c>
      <c r="J3190" t="s">
        <v>2978</v>
      </c>
      <c r="K3190" t="s">
        <v>97</v>
      </c>
      <c r="L3190" t="s">
        <v>1273</v>
      </c>
      <c r="M3190">
        <v>11</v>
      </c>
      <c r="P3190" s="13">
        <v>137</v>
      </c>
      <c r="Q3190" s="13">
        <v>22</v>
      </c>
      <c r="R3190">
        <v>22</v>
      </c>
      <c r="S3190">
        <v>34</v>
      </c>
      <c r="T3190" s="13">
        <v>26</v>
      </c>
      <c r="U3190" s="13">
        <v>44</v>
      </c>
      <c r="V3190" t="s">
        <v>99</v>
      </c>
      <c r="X3190" s="13">
        <v>137</v>
      </c>
    </row>
    <row r="3191" spans="1:24" x14ac:dyDescent="0.25">
      <c r="A3191" t="s">
        <v>3014</v>
      </c>
      <c r="B3191" t="s">
        <v>65</v>
      </c>
      <c r="C3191" t="s">
        <v>2975</v>
      </c>
      <c r="D3191" t="s">
        <v>2976</v>
      </c>
      <c r="E3191" t="s">
        <v>2977</v>
      </c>
      <c r="F3191" t="s">
        <v>94</v>
      </c>
      <c r="G3191" t="s">
        <v>277</v>
      </c>
      <c r="H3191" s="12">
        <v>7.0168999999999997</v>
      </c>
      <c r="I3191" s="12">
        <v>-76.753600000000006</v>
      </c>
      <c r="J3191" t="s">
        <v>2978</v>
      </c>
      <c r="K3191" t="s">
        <v>97</v>
      </c>
      <c r="L3191" t="s">
        <v>1273</v>
      </c>
      <c r="M3191">
        <v>11</v>
      </c>
      <c r="P3191" s="13">
        <v>136</v>
      </c>
      <c r="Q3191" s="13">
        <v>32</v>
      </c>
      <c r="R3191">
        <v>26</v>
      </c>
      <c r="S3191">
        <v>16</v>
      </c>
      <c r="T3191" s="13">
        <v>24</v>
      </c>
      <c r="U3191" s="13">
        <v>60</v>
      </c>
      <c r="V3191" t="s">
        <v>99</v>
      </c>
      <c r="X3191" s="13">
        <v>136</v>
      </c>
    </row>
    <row r="3192" spans="1:24" x14ac:dyDescent="0.25">
      <c r="A3192" t="s">
        <v>3015</v>
      </c>
      <c r="B3192" t="s">
        <v>65</v>
      </c>
      <c r="C3192" t="s">
        <v>2975</v>
      </c>
      <c r="D3192" t="s">
        <v>2976</v>
      </c>
      <c r="E3192" t="s">
        <v>2977</v>
      </c>
      <c r="F3192" t="s">
        <v>94</v>
      </c>
      <c r="G3192" t="s">
        <v>277</v>
      </c>
      <c r="H3192" s="12">
        <v>7.0168999999999997</v>
      </c>
      <c r="I3192" s="12">
        <v>-76.753600000000006</v>
      </c>
      <c r="J3192" t="s">
        <v>2978</v>
      </c>
      <c r="K3192" t="s">
        <v>97</v>
      </c>
      <c r="L3192" t="s">
        <v>1273</v>
      </c>
      <c r="M3192">
        <v>11</v>
      </c>
      <c r="P3192" s="13">
        <v>132</v>
      </c>
      <c r="Q3192" s="13">
        <v>34</v>
      </c>
      <c r="R3192">
        <v>30</v>
      </c>
      <c r="S3192">
        <v>22</v>
      </c>
      <c r="T3192" s="13">
        <v>19</v>
      </c>
      <c r="U3192" s="13">
        <v>29</v>
      </c>
      <c r="V3192" t="s">
        <v>99</v>
      </c>
      <c r="X3192" s="13">
        <v>132</v>
      </c>
    </row>
    <row r="3193" spans="1:24" x14ac:dyDescent="0.25">
      <c r="A3193" t="s">
        <v>3016</v>
      </c>
      <c r="B3193" t="s">
        <v>65</v>
      </c>
      <c r="C3193" t="s">
        <v>2975</v>
      </c>
      <c r="D3193" t="s">
        <v>2976</v>
      </c>
      <c r="E3193" t="s">
        <v>2977</v>
      </c>
      <c r="F3193" t="s">
        <v>94</v>
      </c>
      <c r="G3193" t="s">
        <v>277</v>
      </c>
      <c r="H3193" s="12">
        <v>7.0168999999999997</v>
      </c>
      <c r="I3193" s="12">
        <v>-76.753600000000006</v>
      </c>
      <c r="J3193" t="s">
        <v>2978</v>
      </c>
      <c r="K3193" t="s">
        <v>97</v>
      </c>
      <c r="L3193" t="s">
        <v>1273</v>
      </c>
      <c r="M3193">
        <v>11</v>
      </c>
      <c r="P3193" s="13">
        <v>131</v>
      </c>
      <c r="Q3193" s="13">
        <v>32</v>
      </c>
      <c r="R3193">
        <v>18</v>
      </c>
      <c r="S3193">
        <v>28</v>
      </c>
      <c r="T3193" s="13">
        <v>26</v>
      </c>
      <c r="U3193" s="13">
        <v>31</v>
      </c>
      <c r="V3193" t="s">
        <v>99</v>
      </c>
      <c r="X3193" s="13">
        <v>131</v>
      </c>
    </row>
    <row r="3194" spans="1:24" x14ac:dyDescent="0.25">
      <c r="A3194" t="s">
        <v>3017</v>
      </c>
      <c r="B3194" t="s">
        <v>65</v>
      </c>
      <c r="C3194" t="s">
        <v>2975</v>
      </c>
      <c r="D3194" t="s">
        <v>2976</v>
      </c>
      <c r="E3194" t="s">
        <v>2977</v>
      </c>
      <c r="F3194" t="s">
        <v>94</v>
      </c>
      <c r="G3194" t="s">
        <v>277</v>
      </c>
      <c r="H3194" s="12">
        <v>7.0168999999999997</v>
      </c>
      <c r="I3194" s="12">
        <v>-76.753600000000006</v>
      </c>
      <c r="J3194" t="s">
        <v>2978</v>
      </c>
      <c r="K3194" t="s">
        <v>97</v>
      </c>
      <c r="L3194" t="s">
        <v>1273</v>
      </c>
      <c r="M3194">
        <v>11</v>
      </c>
      <c r="P3194" s="13">
        <v>131</v>
      </c>
      <c r="Q3194" s="13">
        <v>24</v>
      </c>
      <c r="R3194">
        <v>24</v>
      </c>
      <c r="S3194">
        <v>26</v>
      </c>
      <c r="T3194" s="13">
        <v>24</v>
      </c>
      <c r="U3194" s="13">
        <v>45</v>
      </c>
      <c r="V3194" t="s">
        <v>99</v>
      </c>
      <c r="X3194" s="13">
        <v>131</v>
      </c>
    </row>
    <row r="3195" spans="1:24" x14ac:dyDescent="0.25">
      <c r="A3195" t="s">
        <v>3018</v>
      </c>
      <c r="B3195" t="s">
        <v>65</v>
      </c>
      <c r="C3195" t="s">
        <v>2975</v>
      </c>
      <c r="D3195" t="s">
        <v>2976</v>
      </c>
      <c r="E3195" t="s">
        <v>2977</v>
      </c>
      <c r="F3195" t="s">
        <v>94</v>
      </c>
      <c r="G3195" t="s">
        <v>277</v>
      </c>
      <c r="H3195" s="12">
        <v>7.0168999999999997</v>
      </c>
      <c r="I3195" s="12">
        <v>-76.753600000000006</v>
      </c>
      <c r="J3195" t="s">
        <v>2978</v>
      </c>
      <c r="K3195" t="s">
        <v>97</v>
      </c>
      <c r="L3195" t="s">
        <v>1273</v>
      </c>
      <c r="M3195">
        <v>11</v>
      </c>
      <c r="P3195" s="13">
        <v>130</v>
      </c>
      <c r="Q3195" s="13">
        <v>22</v>
      </c>
      <c r="R3195">
        <v>14</v>
      </c>
      <c r="S3195">
        <v>30</v>
      </c>
      <c r="T3195" s="13">
        <v>33</v>
      </c>
      <c r="U3195" s="13">
        <v>42</v>
      </c>
      <c r="V3195" t="s">
        <v>99</v>
      </c>
      <c r="X3195" s="13">
        <v>130</v>
      </c>
    </row>
    <row r="3196" spans="1:24" x14ac:dyDescent="0.25">
      <c r="A3196" t="s">
        <v>3019</v>
      </c>
      <c r="B3196" t="s">
        <v>65</v>
      </c>
      <c r="C3196" t="s">
        <v>2975</v>
      </c>
      <c r="D3196" t="s">
        <v>2976</v>
      </c>
      <c r="E3196" t="s">
        <v>2977</v>
      </c>
      <c r="F3196" t="s">
        <v>94</v>
      </c>
      <c r="G3196" t="s">
        <v>277</v>
      </c>
      <c r="H3196" s="12">
        <v>7.0168999999999997</v>
      </c>
      <c r="I3196" s="12">
        <v>-76.753600000000006</v>
      </c>
      <c r="J3196" t="s">
        <v>2978</v>
      </c>
      <c r="K3196" t="s">
        <v>97</v>
      </c>
      <c r="L3196" t="s">
        <v>1273</v>
      </c>
      <c r="M3196">
        <v>11</v>
      </c>
      <c r="P3196" s="13">
        <v>126</v>
      </c>
      <c r="Q3196" s="13">
        <v>20</v>
      </c>
      <c r="R3196">
        <v>6</v>
      </c>
      <c r="S3196">
        <v>30</v>
      </c>
      <c r="T3196" s="13">
        <v>40</v>
      </c>
      <c r="U3196" s="13">
        <v>42</v>
      </c>
      <c r="V3196" t="s">
        <v>99</v>
      </c>
      <c r="X3196" s="13">
        <v>126</v>
      </c>
    </row>
    <row r="3197" spans="1:24" x14ac:dyDescent="0.25">
      <c r="A3197" t="s">
        <v>3020</v>
      </c>
      <c r="B3197" t="s">
        <v>65</v>
      </c>
      <c r="C3197" t="s">
        <v>2975</v>
      </c>
      <c r="D3197" t="s">
        <v>2976</v>
      </c>
      <c r="E3197" t="s">
        <v>2977</v>
      </c>
      <c r="F3197" t="s">
        <v>94</v>
      </c>
      <c r="G3197" t="s">
        <v>277</v>
      </c>
      <c r="H3197" s="12">
        <v>7.0168999999999997</v>
      </c>
      <c r="I3197" s="12">
        <v>-76.753600000000006</v>
      </c>
      <c r="J3197" t="s">
        <v>2978</v>
      </c>
      <c r="K3197" t="s">
        <v>97</v>
      </c>
      <c r="L3197" t="s">
        <v>1273</v>
      </c>
      <c r="M3197">
        <v>11</v>
      </c>
      <c r="P3197" s="13">
        <v>120</v>
      </c>
      <c r="Q3197" s="13">
        <v>41</v>
      </c>
      <c r="R3197">
        <v>20</v>
      </c>
      <c r="S3197">
        <v>20</v>
      </c>
      <c r="T3197" s="13">
        <v>14</v>
      </c>
      <c r="U3197" s="13">
        <v>25</v>
      </c>
      <c r="V3197" t="s">
        <v>99</v>
      </c>
      <c r="X3197" s="13">
        <v>120</v>
      </c>
    </row>
    <row r="3198" spans="1:24" x14ac:dyDescent="0.25">
      <c r="A3198" t="s">
        <v>3021</v>
      </c>
      <c r="B3198" t="s">
        <v>65</v>
      </c>
      <c r="C3198" t="s">
        <v>2975</v>
      </c>
      <c r="D3198" t="s">
        <v>2976</v>
      </c>
      <c r="E3198" t="s">
        <v>2977</v>
      </c>
      <c r="F3198" t="s">
        <v>94</v>
      </c>
      <c r="G3198" t="s">
        <v>277</v>
      </c>
      <c r="H3198" s="12">
        <v>7.0168999999999997</v>
      </c>
      <c r="I3198" s="12">
        <v>-76.753600000000006</v>
      </c>
      <c r="J3198" t="s">
        <v>2978</v>
      </c>
      <c r="K3198" t="s">
        <v>97</v>
      </c>
      <c r="L3198" t="s">
        <v>1273</v>
      </c>
      <c r="M3198">
        <v>11</v>
      </c>
      <c r="P3198" s="13">
        <v>112</v>
      </c>
      <c r="Q3198" s="13">
        <v>20</v>
      </c>
      <c r="R3198">
        <v>22</v>
      </c>
      <c r="S3198">
        <v>26</v>
      </c>
      <c r="T3198" s="13">
        <v>21</v>
      </c>
      <c r="U3198" s="13">
        <v>27</v>
      </c>
      <c r="V3198" t="s">
        <v>99</v>
      </c>
      <c r="X3198" s="13">
        <v>112</v>
      </c>
    </row>
    <row r="3199" spans="1:24" x14ac:dyDescent="0.25">
      <c r="A3199" t="s">
        <v>3022</v>
      </c>
      <c r="B3199" t="s">
        <v>65</v>
      </c>
      <c r="C3199" t="s">
        <v>2975</v>
      </c>
      <c r="D3199" t="s">
        <v>2976</v>
      </c>
      <c r="E3199" t="s">
        <v>2977</v>
      </c>
      <c r="F3199" t="s">
        <v>94</v>
      </c>
      <c r="G3199" t="s">
        <v>277</v>
      </c>
      <c r="H3199" s="12">
        <v>7.0168999999999997</v>
      </c>
      <c r="I3199" s="12">
        <v>-76.753600000000006</v>
      </c>
      <c r="J3199" t="s">
        <v>2978</v>
      </c>
      <c r="K3199" t="s">
        <v>97</v>
      </c>
      <c r="L3199" t="s">
        <v>1273</v>
      </c>
      <c r="M3199">
        <v>11</v>
      </c>
      <c r="P3199" s="13">
        <v>105</v>
      </c>
      <c r="Q3199" s="13">
        <v>49</v>
      </c>
      <c r="R3199">
        <v>10</v>
      </c>
      <c r="S3199">
        <v>22</v>
      </c>
      <c r="T3199" s="13">
        <v>10</v>
      </c>
      <c r="U3199" s="13">
        <v>0</v>
      </c>
      <c r="V3199" t="s">
        <v>99</v>
      </c>
      <c r="X3199" s="13">
        <v>105</v>
      </c>
    </row>
    <row r="3200" spans="1:24" x14ac:dyDescent="0.25">
      <c r="A3200" t="s">
        <v>3023</v>
      </c>
      <c r="B3200" t="s">
        <v>65</v>
      </c>
      <c r="C3200" t="s">
        <v>2975</v>
      </c>
      <c r="D3200" t="s">
        <v>2976</v>
      </c>
      <c r="E3200" t="s">
        <v>2977</v>
      </c>
      <c r="F3200" t="s">
        <v>94</v>
      </c>
      <c r="G3200" t="s">
        <v>277</v>
      </c>
      <c r="H3200" s="12">
        <v>7.0168999999999997</v>
      </c>
      <c r="I3200" s="12">
        <v>-76.753600000000006</v>
      </c>
      <c r="J3200" t="s">
        <v>2978</v>
      </c>
      <c r="K3200" t="s">
        <v>97</v>
      </c>
      <c r="L3200" t="s">
        <v>1273</v>
      </c>
      <c r="M3200">
        <v>11</v>
      </c>
      <c r="P3200" s="13">
        <v>71</v>
      </c>
      <c r="Q3200" s="13">
        <v>0</v>
      </c>
      <c r="R3200">
        <v>8</v>
      </c>
      <c r="S3200">
        <v>14</v>
      </c>
      <c r="T3200" s="13">
        <v>22</v>
      </c>
      <c r="U3200" s="13">
        <v>51</v>
      </c>
      <c r="V3200" t="s">
        <v>99</v>
      </c>
      <c r="X3200" s="13">
        <v>71</v>
      </c>
    </row>
    <row r="3201" spans="1:24" x14ac:dyDescent="0.25">
      <c r="A3201" t="s">
        <v>3024</v>
      </c>
      <c r="B3201" t="s">
        <v>65</v>
      </c>
      <c r="C3201" t="s">
        <v>3025</v>
      </c>
      <c r="D3201" t="s">
        <v>3026</v>
      </c>
      <c r="E3201" t="s">
        <v>3027</v>
      </c>
      <c r="F3201" t="s">
        <v>94</v>
      </c>
      <c r="G3201" t="s">
        <v>277</v>
      </c>
      <c r="H3201" s="12">
        <v>7.2432999999999996</v>
      </c>
      <c r="I3201" s="12">
        <v>-76.436099999999996</v>
      </c>
      <c r="J3201" t="s">
        <v>3028</v>
      </c>
      <c r="K3201" t="s">
        <v>97</v>
      </c>
      <c r="L3201" t="s">
        <v>1273</v>
      </c>
      <c r="M3201">
        <v>11</v>
      </c>
      <c r="P3201" s="13">
        <v>244</v>
      </c>
      <c r="Q3201" s="13">
        <v>44</v>
      </c>
      <c r="R3201">
        <v>30</v>
      </c>
      <c r="S3201">
        <v>70</v>
      </c>
      <c r="T3201" s="13">
        <v>43</v>
      </c>
      <c r="U3201" s="13">
        <v>73</v>
      </c>
      <c r="V3201" t="s">
        <v>99</v>
      </c>
      <c r="X3201" s="13">
        <v>244</v>
      </c>
    </row>
    <row r="3202" spans="1:24" x14ac:dyDescent="0.25">
      <c r="A3202" t="s">
        <v>3029</v>
      </c>
      <c r="B3202" t="s">
        <v>65</v>
      </c>
      <c r="C3202" t="s">
        <v>3025</v>
      </c>
      <c r="D3202" t="s">
        <v>3026</v>
      </c>
      <c r="E3202" t="s">
        <v>3027</v>
      </c>
      <c r="F3202" t="s">
        <v>94</v>
      </c>
      <c r="G3202" t="s">
        <v>277</v>
      </c>
      <c r="H3202" s="12">
        <v>7.2432999999999996</v>
      </c>
      <c r="I3202" s="12">
        <v>-76.436099999999996</v>
      </c>
      <c r="J3202" t="s">
        <v>3028</v>
      </c>
      <c r="K3202" t="s">
        <v>97</v>
      </c>
      <c r="L3202" t="s">
        <v>1273</v>
      </c>
      <c r="M3202">
        <v>11</v>
      </c>
      <c r="P3202" s="13">
        <v>242</v>
      </c>
      <c r="Q3202" s="13">
        <v>59</v>
      </c>
      <c r="R3202">
        <v>36</v>
      </c>
      <c r="S3202">
        <v>54</v>
      </c>
      <c r="T3202" s="13">
        <v>45</v>
      </c>
      <c r="U3202" s="13">
        <v>49</v>
      </c>
      <c r="V3202" t="s">
        <v>99</v>
      </c>
      <c r="X3202" s="13">
        <v>242</v>
      </c>
    </row>
    <row r="3203" spans="1:24" x14ac:dyDescent="0.25">
      <c r="A3203" t="s">
        <v>3030</v>
      </c>
      <c r="B3203" t="s">
        <v>65</v>
      </c>
      <c r="C3203" t="s">
        <v>3025</v>
      </c>
      <c r="D3203" t="s">
        <v>3026</v>
      </c>
      <c r="E3203" t="s">
        <v>3027</v>
      </c>
      <c r="F3203" t="s">
        <v>94</v>
      </c>
      <c r="G3203" t="s">
        <v>277</v>
      </c>
      <c r="H3203" s="12">
        <v>7.2432999999999996</v>
      </c>
      <c r="I3203" s="12">
        <v>-76.436099999999996</v>
      </c>
      <c r="J3203" t="s">
        <v>3028</v>
      </c>
      <c r="K3203" t="s">
        <v>97</v>
      </c>
      <c r="L3203" t="s">
        <v>1273</v>
      </c>
      <c r="M3203">
        <v>11</v>
      </c>
      <c r="P3203" s="13">
        <v>236</v>
      </c>
      <c r="Q3203" s="13">
        <v>51</v>
      </c>
      <c r="R3203">
        <v>32</v>
      </c>
      <c r="S3203">
        <v>64</v>
      </c>
      <c r="T3203" s="13">
        <v>41</v>
      </c>
      <c r="U3203" s="13">
        <v>49</v>
      </c>
      <c r="V3203" t="s">
        <v>99</v>
      </c>
      <c r="X3203" s="13">
        <v>236</v>
      </c>
    </row>
    <row r="3204" spans="1:24" x14ac:dyDescent="0.25">
      <c r="A3204" t="s">
        <v>3031</v>
      </c>
      <c r="B3204" t="s">
        <v>65</v>
      </c>
      <c r="C3204" t="s">
        <v>3025</v>
      </c>
      <c r="D3204" t="s">
        <v>3026</v>
      </c>
      <c r="E3204" t="s">
        <v>3027</v>
      </c>
      <c r="F3204" t="s">
        <v>94</v>
      </c>
      <c r="G3204" t="s">
        <v>277</v>
      </c>
      <c r="H3204" s="12">
        <v>7.2432999999999996</v>
      </c>
      <c r="I3204" s="12">
        <v>-76.436099999999996</v>
      </c>
      <c r="J3204" t="s">
        <v>3028</v>
      </c>
      <c r="K3204" t="s">
        <v>97</v>
      </c>
      <c r="L3204" t="s">
        <v>1273</v>
      </c>
      <c r="M3204">
        <v>11</v>
      </c>
      <c r="P3204" s="13">
        <v>229</v>
      </c>
      <c r="Q3204" s="13">
        <v>59</v>
      </c>
      <c r="R3204">
        <v>34</v>
      </c>
      <c r="S3204">
        <v>56</v>
      </c>
      <c r="T3204" s="13">
        <v>34</v>
      </c>
      <c r="U3204" s="13">
        <v>47</v>
      </c>
      <c r="V3204" t="s">
        <v>99</v>
      </c>
      <c r="X3204" s="13">
        <v>229</v>
      </c>
    </row>
    <row r="3205" spans="1:24" x14ac:dyDescent="0.25">
      <c r="A3205" t="s">
        <v>3032</v>
      </c>
      <c r="B3205" t="s">
        <v>65</v>
      </c>
      <c r="C3205" t="s">
        <v>3025</v>
      </c>
      <c r="D3205" t="s">
        <v>3026</v>
      </c>
      <c r="E3205" t="s">
        <v>3027</v>
      </c>
      <c r="F3205" t="s">
        <v>94</v>
      </c>
      <c r="G3205" t="s">
        <v>277</v>
      </c>
      <c r="H3205" s="12">
        <v>7.2432999999999996</v>
      </c>
      <c r="I3205" s="12">
        <v>-76.436099999999996</v>
      </c>
      <c r="J3205" t="s">
        <v>3028</v>
      </c>
      <c r="K3205" t="s">
        <v>97</v>
      </c>
      <c r="L3205" t="s">
        <v>1273</v>
      </c>
      <c r="M3205">
        <v>11</v>
      </c>
      <c r="P3205" s="13">
        <v>227</v>
      </c>
      <c r="Q3205" s="13">
        <v>59</v>
      </c>
      <c r="R3205">
        <v>30</v>
      </c>
      <c r="S3205">
        <v>66</v>
      </c>
      <c r="T3205" s="13">
        <v>28</v>
      </c>
      <c r="U3205" s="13">
        <v>44</v>
      </c>
      <c r="V3205" t="s">
        <v>99</v>
      </c>
      <c r="X3205" s="13">
        <v>227</v>
      </c>
    </row>
    <row r="3206" spans="1:24" x14ac:dyDescent="0.25">
      <c r="A3206" t="s">
        <v>3033</v>
      </c>
      <c r="B3206" t="s">
        <v>65</v>
      </c>
      <c r="C3206" t="s">
        <v>3025</v>
      </c>
      <c r="D3206" t="s">
        <v>3026</v>
      </c>
      <c r="E3206" t="s">
        <v>3027</v>
      </c>
      <c r="F3206" t="s">
        <v>94</v>
      </c>
      <c r="G3206" t="s">
        <v>277</v>
      </c>
      <c r="H3206" s="12">
        <v>7.2432999999999996</v>
      </c>
      <c r="I3206" s="12">
        <v>-76.436099999999996</v>
      </c>
      <c r="J3206" t="s">
        <v>3028</v>
      </c>
      <c r="K3206" t="s">
        <v>97</v>
      </c>
      <c r="L3206" t="s">
        <v>1273</v>
      </c>
      <c r="M3206">
        <v>11</v>
      </c>
      <c r="P3206" s="13">
        <v>225</v>
      </c>
      <c r="Q3206" s="13">
        <v>54</v>
      </c>
      <c r="R3206">
        <v>28</v>
      </c>
      <c r="S3206">
        <v>62</v>
      </c>
      <c r="T3206" s="13">
        <v>41</v>
      </c>
      <c r="U3206" s="13">
        <v>31</v>
      </c>
      <c r="V3206" t="s">
        <v>99</v>
      </c>
      <c r="X3206" s="13">
        <v>225</v>
      </c>
    </row>
    <row r="3207" spans="1:24" x14ac:dyDescent="0.25">
      <c r="A3207" t="s">
        <v>3034</v>
      </c>
      <c r="B3207" t="s">
        <v>65</v>
      </c>
      <c r="C3207" t="s">
        <v>3025</v>
      </c>
      <c r="D3207" t="s">
        <v>3026</v>
      </c>
      <c r="E3207" t="s">
        <v>3027</v>
      </c>
      <c r="F3207" t="s">
        <v>94</v>
      </c>
      <c r="G3207" t="s">
        <v>277</v>
      </c>
      <c r="H3207" s="12">
        <v>7.2432999999999996</v>
      </c>
      <c r="I3207" s="12">
        <v>-76.436099999999996</v>
      </c>
      <c r="J3207" t="s">
        <v>3028</v>
      </c>
      <c r="K3207" t="s">
        <v>97</v>
      </c>
      <c r="L3207" t="s">
        <v>1273</v>
      </c>
      <c r="M3207">
        <v>11</v>
      </c>
      <c r="P3207" s="13">
        <v>224</v>
      </c>
      <c r="Q3207" s="13">
        <v>68</v>
      </c>
      <c r="R3207">
        <v>24</v>
      </c>
      <c r="S3207">
        <v>56</v>
      </c>
      <c r="T3207" s="13">
        <v>31</v>
      </c>
      <c r="U3207" s="13">
        <v>45</v>
      </c>
      <c r="V3207" t="s">
        <v>99</v>
      </c>
      <c r="X3207" s="13">
        <v>224</v>
      </c>
    </row>
    <row r="3208" spans="1:24" x14ac:dyDescent="0.25">
      <c r="A3208" t="s">
        <v>3035</v>
      </c>
      <c r="B3208" t="s">
        <v>65</v>
      </c>
      <c r="C3208" t="s">
        <v>3025</v>
      </c>
      <c r="D3208" t="s">
        <v>3026</v>
      </c>
      <c r="E3208" t="s">
        <v>3027</v>
      </c>
      <c r="F3208" t="s">
        <v>94</v>
      </c>
      <c r="G3208" t="s">
        <v>277</v>
      </c>
      <c r="H3208" s="12">
        <v>7.2432999999999996</v>
      </c>
      <c r="I3208" s="12">
        <v>-76.436099999999996</v>
      </c>
      <c r="J3208" t="s">
        <v>3028</v>
      </c>
      <c r="K3208" t="s">
        <v>97</v>
      </c>
      <c r="L3208" t="s">
        <v>1273</v>
      </c>
      <c r="M3208">
        <v>11</v>
      </c>
      <c r="P3208" s="13">
        <v>223</v>
      </c>
      <c r="Q3208" s="13">
        <v>49</v>
      </c>
      <c r="R3208">
        <v>32</v>
      </c>
      <c r="S3208">
        <v>60</v>
      </c>
      <c r="T3208" s="13">
        <v>31</v>
      </c>
      <c r="U3208" s="13">
        <v>65</v>
      </c>
      <c r="V3208" t="s">
        <v>99</v>
      </c>
      <c r="X3208" s="13">
        <v>223</v>
      </c>
    </row>
    <row r="3209" spans="1:24" x14ac:dyDescent="0.25">
      <c r="A3209" t="s">
        <v>3036</v>
      </c>
      <c r="B3209" t="s">
        <v>65</v>
      </c>
      <c r="C3209" t="s">
        <v>3025</v>
      </c>
      <c r="D3209" t="s">
        <v>3026</v>
      </c>
      <c r="E3209" t="s">
        <v>3027</v>
      </c>
      <c r="F3209" t="s">
        <v>94</v>
      </c>
      <c r="G3209" t="s">
        <v>277</v>
      </c>
      <c r="H3209" s="12">
        <v>7.2432999999999996</v>
      </c>
      <c r="I3209" s="12">
        <v>-76.436099999999996</v>
      </c>
      <c r="J3209" t="s">
        <v>3028</v>
      </c>
      <c r="K3209" t="s">
        <v>97</v>
      </c>
      <c r="L3209" t="s">
        <v>1273</v>
      </c>
      <c r="M3209">
        <v>11</v>
      </c>
      <c r="P3209" s="13">
        <v>223</v>
      </c>
      <c r="Q3209" s="13">
        <v>46</v>
      </c>
      <c r="R3209">
        <v>32</v>
      </c>
      <c r="S3209">
        <v>56</v>
      </c>
      <c r="T3209" s="13">
        <v>29</v>
      </c>
      <c r="U3209" s="13">
        <v>89</v>
      </c>
      <c r="V3209" t="s">
        <v>99</v>
      </c>
      <c r="X3209" s="13">
        <v>223</v>
      </c>
    </row>
    <row r="3210" spans="1:24" x14ac:dyDescent="0.25">
      <c r="A3210" t="s">
        <v>3037</v>
      </c>
      <c r="B3210" t="s">
        <v>65</v>
      </c>
      <c r="C3210" t="s">
        <v>3025</v>
      </c>
      <c r="D3210" t="s">
        <v>3026</v>
      </c>
      <c r="E3210" t="s">
        <v>3027</v>
      </c>
      <c r="F3210" t="s">
        <v>94</v>
      </c>
      <c r="G3210" t="s">
        <v>277</v>
      </c>
      <c r="H3210" s="12">
        <v>7.2432999999999996</v>
      </c>
      <c r="I3210" s="12">
        <v>-76.436099999999996</v>
      </c>
      <c r="J3210" t="s">
        <v>3028</v>
      </c>
      <c r="K3210" t="s">
        <v>97</v>
      </c>
      <c r="L3210" t="s">
        <v>1273</v>
      </c>
      <c r="M3210">
        <v>11</v>
      </c>
      <c r="P3210" s="13">
        <v>220</v>
      </c>
      <c r="Q3210" s="13">
        <v>61</v>
      </c>
      <c r="R3210">
        <v>26</v>
      </c>
      <c r="S3210">
        <v>56</v>
      </c>
      <c r="T3210" s="13">
        <v>29</v>
      </c>
      <c r="U3210" s="13">
        <v>55</v>
      </c>
      <c r="V3210" t="s">
        <v>99</v>
      </c>
      <c r="X3210" s="13">
        <v>220</v>
      </c>
    </row>
    <row r="3211" spans="1:24" x14ac:dyDescent="0.25">
      <c r="A3211" t="s">
        <v>3038</v>
      </c>
      <c r="B3211" t="s">
        <v>65</v>
      </c>
      <c r="C3211" t="s">
        <v>3025</v>
      </c>
      <c r="D3211" t="s">
        <v>3026</v>
      </c>
      <c r="E3211" t="s">
        <v>3027</v>
      </c>
      <c r="F3211" t="s">
        <v>94</v>
      </c>
      <c r="G3211" t="s">
        <v>277</v>
      </c>
      <c r="H3211" s="12">
        <v>7.2432999999999996</v>
      </c>
      <c r="I3211" s="12">
        <v>-76.436099999999996</v>
      </c>
      <c r="J3211" t="s">
        <v>3028</v>
      </c>
      <c r="K3211" t="s">
        <v>97</v>
      </c>
      <c r="L3211" t="s">
        <v>1273</v>
      </c>
      <c r="M3211">
        <v>11</v>
      </c>
      <c r="P3211" s="13">
        <v>220</v>
      </c>
      <c r="Q3211" s="13">
        <v>49</v>
      </c>
      <c r="R3211">
        <v>36</v>
      </c>
      <c r="S3211">
        <v>54</v>
      </c>
      <c r="T3211" s="13">
        <v>33</v>
      </c>
      <c r="U3211" s="13">
        <v>56</v>
      </c>
      <c r="V3211" t="s">
        <v>99</v>
      </c>
      <c r="X3211" s="13">
        <v>220</v>
      </c>
    </row>
    <row r="3212" spans="1:24" x14ac:dyDescent="0.25">
      <c r="A3212" t="s">
        <v>3039</v>
      </c>
      <c r="B3212" t="s">
        <v>65</v>
      </c>
      <c r="C3212" t="s">
        <v>3025</v>
      </c>
      <c r="D3212" t="s">
        <v>3026</v>
      </c>
      <c r="E3212" t="s">
        <v>3027</v>
      </c>
      <c r="F3212" t="s">
        <v>94</v>
      </c>
      <c r="G3212" t="s">
        <v>277</v>
      </c>
      <c r="H3212" s="12">
        <v>7.2432999999999996</v>
      </c>
      <c r="I3212" s="12">
        <v>-76.436099999999996</v>
      </c>
      <c r="J3212" t="s">
        <v>3028</v>
      </c>
      <c r="K3212" t="s">
        <v>97</v>
      </c>
      <c r="L3212" t="s">
        <v>1273</v>
      </c>
      <c r="M3212">
        <v>11</v>
      </c>
      <c r="P3212" s="13">
        <v>218</v>
      </c>
      <c r="Q3212" s="13">
        <v>41</v>
      </c>
      <c r="R3212">
        <v>28</v>
      </c>
      <c r="S3212">
        <v>58</v>
      </c>
      <c r="T3212" s="13">
        <v>43</v>
      </c>
      <c r="U3212" s="13">
        <v>55</v>
      </c>
      <c r="V3212" t="s">
        <v>99</v>
      </c>
      <c r="X3212" s="13">
        <v>218</v>
      </c>
    </row>
    <row r="3213" spans="1:24" x14ac:dyDescent="0.25">
      <c r="A3213" t="s">
        <v>3040</v>
      </c>
      <c r="B3213" t="s">
        <v>65</v>
      </c>
      <c r="C3213" t="s">
        <v>3025</v>
      </c>
      <c r="D3213" t="s">
        <v>3026</v>
      </c>
      <c r="E3213" t="s">
        <v>3027</v>
      </c>
      <c r="F3213" t="s">
        <v>94</v>
      </c>
      <c r="G3213" t="s">
        <v>277</v>
      </c>
      <c r="H3213" s="12">
        <v>7.2432999999999996</v>
      </c>
      <c r="I3213" s="12">
        <v>-76.436099999999996</v>
      </c>
      <c r="J3213" t="s">
        <v>3028</v>
      </c>
      <c r="K3213" t="s">
        <v>97</v>
      </c>
      <c r="L3213" t="s">
        <v>1273</v>
      </c>
      <c r="M3213">
        <v>11</v>
      </c>
      <c r="P3213" s="13">
        <v>209</v>
      </c>
      <c r="Q3213" s="13">
        <v>46</v>
      </c>
      <c r="R3213">
        <v>40</v>
      </c>
      <c r="S3213">
        <v>58</v>
      </c>
      <c r="T3213" s="13">
        <v>19</v>
      </c>
      <c r="U3213" s="13">
        <v>55</v>
      </c>
      <c r="V3213" t="s">
        <v>99</v>
      </c>
      <c r="X3213" s="13">
        <v>209</v>
      </c>
    </row>
    <row r="3214" spans="1:24" x14ac:dyDescent="0.25">
      <c r="A3214" t="s">
        <v>3041</v>
      </c>
      <c r="B3214" t="s">
        <v>65</v>
      </c>
      <c r="C3214" t="s">
        <v>3025</v>
      </c>
      <c r="D3214" t="s">
        <v>3026</v>
      </c>
      <c r="E3214" t="s">
        <v>3027</v>
      </c>
      <c r="F3214" t="s">
        <v>94</v>
      </c>
      <c r="G3214" t="s">
        <v>277</v>
      </c>
      <c r="H3214" s="12">
        <v>7.2432999999999996</v>
      </c>
      <c r="I3214" s="12">
        <v>-76.436099999999996</v>
      </c>
      <c r="J3214" t="s">
        <v>3028</v>
      </c>
      <c r="K3214" t="s">
        <v>97</v>
      </c>
      <c r="L3214" t="s">
        <v>1273</v>
      </c>
      <c r="M3214">
        <v>11</v>
      </c>
      <c r="P3214" s="13">
        <v>209</v>
      </c>
      <c r="Q3214" s="13">
        <v>54</v>
      </c>
      <c r="R3214">
        <v>14</v>
      </c>
      <c r="S3214">
        <v>60</v>
      </c>
      <c r="T3214" s="13">
        <v>36</v>
      </c>
      <c r="U3214" s="13">
        <v>51</v>
      </c>
      <c r="V3214" t="s">
        <v>99</v>
      </c>
      <c r="X3214" s="13">
        <v>209</v>
      </c>
    </row>
    <row r="3215" spans="1:24" x14ac:dyDescent="0.25">
      <c r="A3215" t="s">
        <v>3042</v>
      </c>
      <c r="B3215" t="s">
        <v>65</v>
      </c>
      <c r="C3215" t="s">
        <v>3025</v>
      </c>
      <c r="D3215" t="s">
        <v>3026</v>
      </c>
      <c r="E3215" t="s">
        <v>3027</v>
      </c>
      <c r="F3215" t="s">
        <v>94</v>
      </c>
      <c r="G3215" t="s">
        <v>277</v>
      </c>
      <c r="H3215" s="12">
        <v>7.2432999999999996</v>
      </c>
      <c r="I3215" s="12">
        <v>-76.436099999999996</v>
      </c>
      <c r="J3215" t="s">
        <v>3028</v>
      </c>
      <c r="K3215" t="s">
        <v>97</v>
      </c>
      <c r="L3215" t="s">
        <v>1273</v>
      </c>
      <c r="M3215">
        <v>11</v>
      </c>
      <c r="P3215" s="13">
        <v>206</v>
      </c>
      <c r="Q3215" s="13">
        <v>51</v>
      </c>
      <c r="R3215">
        <v>28</v>
      </c>
      <c r="S3215">
        <v>60</v>
      </c>
      <c r="T3215" s="13">
        <v>28</v>
      </c>
      <c r="U3215" s="13">
        <v>35</v>
      </c>
      <c r="V3215" t="s">
        <v>99</v>
      </c>
      <c r="X3215" s="13">
        <v>206</v>
      </c>
    </row>
    <row r="3216" spans="1:24" x14ac:dyDescent="0.25">
      <c r="A3216" t="s">
        <v>3043</v>
      </c>
      <c r="B3216" t="s">
        <v>65</v>
      </c>
      <c r="C3216" t="s">
        <v>3025</v>
      </c>
      <c r="D3216" t="s">
        <v>3026</v>
      </c>
      <c r="E3216" t="s">
        <v>3027</v>
      </c>
      <c r="F3216" t="s">
        <v>94</v>
      </c>
      <c r="G3216" t="s">
        <v>277</v>
      </c>
      <c r="H3216" s="12">
        <v>7.2432999999999996</v>
      </c>
      <c r="I3216" s="12">
        <v>-76.436099999999996</v>
      </c>
      <c r="J3216" t="s">
        <v>3028</v>
      </c>
      <c r="K3216" t="s">
        <v>97</v>
      </c>
      <c r="L3216" t="s">
        <v>1273</v>
      </c>
      <c r="M3216">
        <v>11</v>
      </c>
      <c r="P3216" s="13">
        <v>205</v>
      </c>
      <c r="Q3216" s="13">
        <v>49</v>
      </c>
      <c r="R3216">
        <v>26</v>
      </c>
      <c r="S3216">
        <v>52</v>
      </c>
      <c r="T3216" s="13">
        <v>40</v>
      </c>
      <c r="U3216" s="13">
        <v>33</v>
      </c>
      <c r="V3216" t="s">
        <v>99</v>
      </c>
      <c r="X3216" s="13">
        <v>205</v>
      </c>
    </row>
    <row r="3217" spans="1:24" x14ac:dyDescent="0.25">
      <c r="A3217" t="s">
        <v>3044</v>
      </c>
      <c r="B3217" t="s">
        <v>65</v>
      </c>
      <c r="C3217" t="s">
        <v>3025</v>
      </c>
      <c r="D3217" t="s">
        <v>3026</v>
      </c>
      <c r="E3217" t="s">
        <v>3027</v>
      </c>
      <c r="F3217" t="s">
        <v>94</v>
      </c>
      <c r="G3217" t="s">
        <v>277</v>
      </c>
      <c r="H3217" s="12">
        <v>7.2432999999999996</v>
      </c>
      <c r="I3217" s="12">
        <v>-76.436099999999996</v>
      </c>
      <c r="J3217" t="s">
        <v>3028</v>
      </c>
      <c r="K3217" t="s">
        <v>97</v>
      </c>
      <c r="L3217" t="s">
        <v>1273</v>
      </c>
      <c r="M3217">
        <v>11</v>
      </c>
      <c r="P3217" s="13">
        <v>204</v>
      </c>
      <c r="Q3217" s="13">
        <v>41</v>
      </c>
      <c r="R3217">
        <v>24</v>
      </c>
      <c r="S3217">
        <v>56</v>
      </c>
      <c r="T3217" s="13">
        <v>45</v>
      </c>
      <c r="U3217" s="13">
        <v>31</v>
      </c>
      <c r="V3217" t="s">
        <v>99</v>
      </c>
      <c r="X3217" s="13">
        <v>204</v>
      </c>
    </row>
    <row r="3218" spans="1:24" x14ac:dyDescent="0.25">
      <c r="A3218" t="s">
        <v>3045</v>
      </c>
      <c r="B3218" t="s">
        <v>65</v>
      </c>
      <c r="C3218" t="s">
        <v>3025</v>
      </c>
      <c r="D3218" t="s">
        <v>3026</v>
      </c>
      <c r="E3218" t="s">
        <v>3027</v>
      </c>
      <c r="F3218" t="s">
        <v>94</v>
      </c>
      <c r="G3218" t="s">
        <v>277</v>
      </c>
      <c r="H3218" s="12">
        <v>7.2432999999999996</v>
      </c>
      <c r="I3218" s="12">
        <v>-76.436099999999996</v>
      </c>
      <c r="J3218" t="s">
        <v>3028</v>
      </c>
      <c r="K3218" t="s">
        <v>97</v>
      </c>
      <c r="L3218" t="s">
        <v>1273</v>
      </c>
      <c r="M3218">
        <v>11</v>
      </c>
      <c r="P3218" s="13">
        <v>203</v>
      </c>
      <c r="Q3218" s="13">
        <v>44</v>
      </c>
      <c r="R3218">
        <v>38</v>
      </c>
      <c r="S3218">
        <v>50</v>
      </c>
      <c r="T3218" s="13">
        <v>31</v>
      </c>
      <c r="U3218" s="13">
        <v>40</v>
      </c>
      <c r="V3218" t="s">
        <v>99</v>
      </c>
      <c r="X3218" s="13">
        <v>203</v>
      </c>
    </row>
    <row r="3219" spans="1:24" x14ac:dyDescent="0.25">
      <c r="A3219" t="s">
        <v>3046</v>
      </c>
      <c r="B3219" t="s">
        <v>65</v>
      </c>
      <c r="C3219" t="s">
        <v>3025</v>
      </c>
      <c r="D3219" t="s">
        <v>3026</v>
      </c>
      <c r="E3219" t="s">
        <v>3027</v>
      </c>
      <c r="F3219" t="s">
        <v>94</v>
      </c>
      <c r="G3219" t="s">
        <v>277</v>
      </c>
      <c r="H3219" s="12">
        <v>7.2432999999999996</v>
      </c>
      <c r="I3219" s="12">
        <v>-76.436099999999996</v>
      </c>
      <c r="J3219" t="s">
        <v>3028</v>
      </c>
      <c r="K3219" t="s">
        <v>97</v>
      </c>
      <c r="L3219" t="s">
        <v>1273</v>
      </c>
      <c r="M3219">
        <v>11</v>
      </c>
      <c r="P3219" s="13">
        <v>199</v>
      </c>
      <c r="Q3219" s="13">
        <v>51</v>
      </c>
      <c r="R3219">
        <v>28</v>
      </c>
      <c r="S3219">
        <v>48</v>
      </c>
      <c r="T3219" s="13">
        <v>33</v>
      </c>
      <c r="U3219" s="13">
        <v>38</v>
      </c>
      <c r="V3219" t="s">
        <v>99</v>
      </c>
      <c r="X3219" s="13">
        <v>199</v>
      </c>
    </row>
    <row r="3220" spans="1:24" x14ac:dyDescent="0.25">
      <c r="A3220" t="s">
        <v>3047</v>
      </c>
      <c r="B3220" t="s">
        <v>65</v>
      </c>
      <c r="C3220" t="s">
        <v>3025</v>
      </c>
      <c r="D3220" t="s">
        <v>3026</v>
      </c>
      <c r="E3220" t="s">
        <v>3027</v>
      </c>
      <c r="F3220" t="s">
        <v>94</v>
      </c>
      <c r="G3220" t="s">
        <v>277</v>
      </c>
      <c r="H3220" s="12">
        <v>7.2432999999999996</v>
      </c>
      <c r="I3220" s="12">
        <v>-76.436099999999996</v>
      </c>
      <c r="J3220" t="s">
        <v>3028</v>
      </c>
      <c r="K3220" t="s">
        <v>97</v>
      </c>
      <c r="L3220" t="s">
        <v>1273</v>
      </c>
      <c r="M3220">
        <v>11</v>
      </c>
      <c r="P3220" s="13">
        <v>192</v>
      </c>
      <c r="Q3220" s="13">
        <v>34</v>
      </c>
      <c r="R3220">
        <v>40</v>
      </c>
      <c r="S3220">
        <v>46</v>
      </c>
      <c r="T3220" s="13">
        <v>33</v>
      </c>
      <c r="U3220" s="13">
        <v>40</v>
      </c>
      <c r="V3220" t="s">
        <v>99</v>
      </c>
      <c r="X3220" s="13">
        <v>192</v>
      </c>
    </row>
    <row r="3221" spans="1:24" x14ac:dyDescent="0.25">
      <c r="A3221" t="s">
        <v>3048</v>
      </c>
      <c r="B3221" t="s">
        <v>65</v>
      </c>
      <c r="C3221" t="s">
        <v>3025</v>
      </c>
      <c r="D3221" t="s">
        <v>3026</v>
      </c>
      <c r="E3221" t="s">
        <v>3027</v>
      </c>
      <c r="F3221" t="s">
        <v>94</v>
      </c>
      <c r="G3221" t="s">
        <v>277</v>
      </c>
      <c r="H3221" s="12">
        <v>7.2432999999999996</v>
      </c>
      <c r="I3221" s="12">
        <v>-76.436099999999996</v>
      </c>
      <c r="J3221" t="s">
        <v>3028</v>
      </c>
      <c r="K3221" t="s">
        <v>97</v>
      </c>
      <c r="L3221" t="s">
        <v>1273</v>
      </c>
      <c r="M3221">
        <v>11</v>
      </c>
      <c r="P3221" s="13">
        <v>191</v>
      </c>
      <c r="Q3221" s="13">
        <v>46</v>
      </c>
      <c r="R3221">
        <v>32</v>
      </c>
      <c r="S3221">
        <v>60</v>
      </c>
      <c r="T3221" s="13">
        <v>17</v>
      </c>
      <c r="U3221" s="13">
        <v>31</v>
      </c>
      <c r="V3221" t="s">
        <v>99</v>
      </c>
      <c r="X3221" s="13">
        <v>191</v>
      </c>
    </row>
    <row r="3222" spans="1:24" x14ac:dyDescent="0.25">
      <c r="A3222" t="s">
        <v>3049</v>
      </c>
      <c r="B3222" t="s">
        <v>65</v>
      </c>
      <c r="C3222" t="s">
        <v>3025</v>
      </c>
      <c r="D3222" t="s">
        <v>3026</v>
      </c>
      <c r="E3222" t="s">
        <v>3027</v>
      </c>
      <c r="F3222" t="s">
        <v>94</v>
      </c>
      <c r="G3222" t="s">
        <v>277</v>
      </c>
      <c r="H3222" s="12">
        <v>7.2432999999999996</v>
      </c>
      <c r="I3222" s="12">
        <v>-76.436099999999996</v>
      </c>
      <c r="J3222" t="s">
        <v>3028</v>
      </c>
      <c r="K3222" t="s">
        <v>97</v>
      </c>
      <c r="L3222" t="s">
        <v>1273</v>
      </c>
      <c r="M3222">
        <v>11</v>
      </c>
      <c r="P3222" s="13">
        <v>184</v>
      </c>
      <c r="Q3222" s="13">
        <v>54</v>
      </c>
      <c r="R3222">
        <v>24</v>
      </c>
      <c r="S3222">
        <v>44</v>
      </c>
      <c r="T3222" s="13">
        <v>26</v>
      </c>
      <c r="U3222" s="13">
        <v>36</v>
      </c>
      <c r="V3222" t="s">
        <v>99</v>
      </c>
      <c r="X3222" s="13">
        <v>184</v>
      </c>
    </row>
    <row r="3223" spans="1:24" x14ac:dyDescent="0.25">
      <c r="A3223" t="s">
        <v>3050</v>
      </c>
      <c r="B3223" t="s">
        <v>65</v>
      </c>
      <c r="C3223" t="s">
        <v>3025</v>
      </c>
      <c r="D3223" t="s">
        <v>3026</v>
      </c>
      <c r="E3223" t="s">
        <v>3027</v>
      </c>
      <c r="F3223" t="s">
        <v>94</v>
      </c>
      <c r="G3223" t="s">
        <v>277</v>
      </c>
      <c r="H3223" s="12">
        <v>7.2432999999999996</v>
      </c>
      <c r="I3223" s="12">
        <v>-76.436099999999996</v>
      </c>
      <c r="J3223" t="s">
        <v>3028</v>
      </c>
      <c r="K3223" t="s">
        <v>97</v>
      </c>
      <c r="L3223" t="s">
        <v>1273</v>
      </c>
      <c r="M3223">
        <v>11</v>
      </c>
      <c r="P3223" s="13">
        <v>184</v>
      </c>
      <c r="Q3223" s="13">
        <v>39</v>
      </c>
      <c r="R3223">
        <v>32</v>
      </c>
      <c r="S3223">
        <v>50</v>
      </c>
      <c r="T3223" s="13">
        <v>21</v>
      </c>
      <c r="U3223" s="13">
        <v>53</v>
      </c>
      <c r="V3223" t="s">
        <v>99</v>
      </c>
      <c r="X3223" s="13">
        <v>184</v>
      </c>
    </row>
    <row r="3224" spans="1:24" x14ac:dyDescent="0.25">
      <c r="A3224" t="s">
        <v>3051</v>
      </c>
      <c r="B3224" t="s">
        <v>65</v>
      </c>
      <c r="C3224" t="s">
        <v>3025</v>
      </c>
      <c r="D3224" t="s">
        <v>3026</v>
      </c>
      <c r="E3224" t="s">
        <v>3027</v>
      </c>
      <c r="F3224" t="s">
        <v>94</v>
      </c>
      <c r="G3224" t="s">
        <v>277</v>
      </c>
      <c r="H3224" s="12">
        <v>7.2432999999999996</v>
      </c>
      <c r="I3224" s="12">
        <v>-76.436099999999996</v>
      </c>
      <c r="J3224" t="s">
        <v>3028</v>
      </c>
      <c r="K3224" t="s">
        <v>97</v>
      </c>
      <c r="L3224" t="s">
        <v>1273</v>
      </c>
      <c r="M3224">
        <v>11</v>
      </c>
      <c r="P3224" s="13">
        <v>176</v>
      </c>
      <c r="Q3224" s="13">
        <v>44</v>
      </c>
      <c r="R3224">
        <v>22</v>
      </c>
      <c r="S3224">
        <v>52</v>
      </c>
      <c r="T3224" s="13">
        <v>22</v>
      </c>
      <c r="U3224" s="13">
        <v>36</v>
      </c>
      <c r="V3224" t="s">
        <v>99</v>
      </c>
      <c r="X3224" s="13">
        <v>176</v>
      </c>
    </row>
    <row r="3225" spans="1:24" x14ac:dyDescent="0.25">
      <c r="A3225" t="s">
        <v>3052</v>
      </c>
      <c r="B3225" t="s">
        <v>65</v>
      </c>
      <c r="C3225" t="s">
        <v>3025</v>
      </c>
      <c r="D3225" t="s">
        <v>3026</v>
      </c>
      <c r="E3225" t="s">
        <v>3027</v>
      </c>
      <c r="F3225" t="s">
        <v>94</v>
      </c>
      <c r="G3225" t="s">
        <v>277</v>
      </c>
      <c r="H3225" s="12">
        <v>7.2432999999999996</v>
      </c>
      <c r="I3225" s="12">
        <v>-76.436099999999996</v>
      </c>
      <c r="J3225" t="s">
        <v>3028</v>
      </c>
      <c r="K3225" t="s">
        <v>97</v>
      </c>
      <c r="L3225" t="s">
        <v>1273</v>
      </c>
      <c r="M3225">
        <v>11</v>
      </c>
      <c r="P3225" s="13">
        <v>176</v>
      </c>
      <c r="Q3225" s="13">
        <v>44</v>
      </c>
      <c r="R3225">
        <v>22</v>
      </c>
      <c r="S3225">
        <v>42</v>
      </c>
      <c r="T3225" s="13">
        <v>31</v>
      </c>
      <c r="U3225" s="13">
        <v>40</v>
      </c>
      <c r="V3225" t="s">
        <v>99</v>
      </c>
      <c r="X3225" s="13">
        <v>176</v>
      </c>
    </row>
    <row r="3226" spans="1:24" x14ac:dyDescent="0.25">
      <c r="A3226" t="s">
        <v>3053</v>
      </c>
      <c r="B3226" t="s">
        <v>65</v>
      </c>
      <c r="C3226" t="s">
        <v>3025</v>
      </c>
      <c r="D3226" t="s">
        <v>3026</v>
      </c>
      <c r="E3226" t="s">
        <v>3027</v>
      </c>
      <c r="F3226" t="s">
        <v>94</v>
      </c>
      <c r="G3226" t="s">
        <v>277</v>
      </c>
      <c r="H3226" s="12">
        <v>7.2432999999999996</v>
      </c>
      <c r="I3226" s="12">
        <v>-76.436099999999996</v>
      </c>
      <c r="J3226" t="s">
        <v>3028</v>
      </c>
      <c r="K3226" t="s">
        <v>97</v>
      </c>
      <c r="L3226" t="s">
        <v>1273</v>
      </c>
      <c r="M3226">
        <v>11</v>
      </c>
      <c r="P3226" s="13">
        <v>174</v>
      </c>
      <c r="Q3226" s="13">
        <v>44</v>
      </c>
      <c r="R3226">
        <v>22</v>
      </c>
      <c r="S3226">
        <v>46</v>
      </c>
      <c r="T3226" s="13">
        <v>28</v>
      </c>
      <c r="U3226" s="13">
        <v>35</v>
      </c>
      <c r="V3226" t="s">
        <v>99</v>
      </c>
      <c r="X3226" s="13">
        <v>174</v>
      </c>
    </row>
    <row r="3227" spans="1:24" x14ac:dyDescent="0.25">
      <c r="A3227" t="s">
        <v>3054</v>
      </c>
      <c r="B3227" t="s">
        <v>65</v>
      </c>
      <c r="C3227" t="s">
        <v>3025</v>
      </c>
      <c r="D3227" t="s">
        <v>3026</v>
      </c>
      <c r="E3227" t="s">
        <v>3027</v>
      </c>
      <c r="F3227" t="s">
        <v>94</v>
      </c>
      <c r="G3227" t="s">
        <v>277</v>
      </c>
      <c r="H3227" s="12">
        <v>7.2432999999999996</v>
      </c>
      <c r="I3227" s="12">
        <v>-76.436099999999996</v>
      </c>
      <c r="J3227" t="s">
        <v>3028</v>
      </c>
      <c r="K3227" t="s">
        <v>97</v>
      </c>
      <c r="L3227" t="s">
        <v>1273</v>
      </c>
      <c r="M3227">
        <v>11</v>
      </c>
      <c r="P3227" s="13">
        <v>174</v>
      </c>
      <c r="Q3227" s="13">
        <v>37</v>
      </c>
      <c r="R3227">
        <v>20</v>
      </c>
      <c r="S3227">
        <v>58</v>
      </c>
      <c r="T3227" s="13">
        <v>26</v>
      </c>
      <c r="U3227" s="13">
        <v>31</v>
      </c>
      <c r="V3227" t="s">
        <v>99</v>
      </c>
      <c r="X3227" s="13">
        <v>174</v>
      </c>
    </row>
    <row r="3228" spans="1:24" x14ac:dyDescent="0.25">
      <c r="A3228" t="s">
        <v>3055</v>
      </c>
      <c r="B3228" t="s">
        <v>65</v>
      </c>
      <c r="C3228" t="s">
        <v>3025</v>
      </c>
      <c r="D3228" t="s">
        <v>3026</v>
      </c>
      <c r="E3228" t="s">
        <v>3027</v>
      </c>
      <c r="F3228" t="s">
        <v>94</v>
      </c>
      <c r="G3228" t="s">
        <v>277</v>
      </c>
      <c r="H3228" s="12">
        <v>7.2432999999999996</v>
      </c>
      <c r="I3228" s="12">
        <v>-76.436099999999996</v>
      </c>
      <c r="J3228" t="s">
        <v>3028</v>
      </c>
      <c r="K3228" t="s">
        <v>97</v>
      </c>
      <c r="L3228" t="s">
        <v>1273</v>
      </c>
      <c r="M3228">
        <v>11</v>
      </c>
      <c r="P3228" s="13">
        <v>168</v>
      </c>
      <c r="Q3228" s="13">
        <v>44</v>
      </c>
      <c r="R3228">
        <v>26</v>
      </c>
      <c r="S3228">
        <v>40</v>
      </c>
      <c r="T3228" s="13">
        <v>24</v>
      </c>
      <c r="U3228" s="13">
        <v>35</v>
      </c>
      <c r="V3228" t="s">
        <v>99</v>
      </c>
      <c r="X3228" s="13">
        <v>168</v>
      </c>
    </row>
    <row r="3229" spans="1:24" x14ac:dyDescent="0.25">
      <c r="A3229" t="s">
        <v>3056</v>
      </c>
      <c r="B3229" t="s">
        <v>65</v>
      </c>
      <c r="C3229" t="s">
        <v>3025</v>
      </c>
      <c r="D3229" t="s">
        <v>3026</v>
      </c>
      <c r="E3229" t="s">
        <v>3027</v>
      </c>
      <c r="F3229" t="s">
        <v>94</v>
      </c>
      <c r="G3229" t="s">
        <v>277</v>
      </c>
      <c r="H3229" s="12">
        <v>7.2432999999999996</v>
      </c>
      <c r="I3229" s="12">
        <v>-76.436099999999996</v>
      </c>
      <c r="J3229" t="s">
        <v>3028</v>
      </c>
      <c r="K3229" t="s">
        <v>97</v>
      </c>
      <c r="L3229" t="s">
        <v>1273</v>
      </c>
      <c r="M3229">
        <v>11</v>
      </c>
      <c r="P3229" s="13">
        <v>167</v>
      </c>
      <c r="Q3229" s="13">
        <v>34</v>
      </c>
      <c r="R3229">
        <v>28</v>
      </c>
      <c r="S3229">
        <v>48</v>
      </c>
      <c r="T3229" s="13">
        <v>21</v>
      </c>
      <c r="U3229" s="13">
        <v>42</v>
      </c>
      <c r="V3229" t="s">
        <v>99</v>
      </c>
      <c r="X3229" s="13">
        <v>167</v>
      </c>
    </row>
    <row r="3230" spans="1:24" x14ac:dyDescent="0.25">
      <c r="A3230" t="s">
        <v>3057</v>
      </c>
      <c r="B3230" t="s">
        <v>65</v>
      </c>
      <c r="C3230" t="s">
        <v>3025</v>
      </c>
      <c r="D3230" t="s">
        <v>3026</v>
      </c>
      <c r="E3230" t="s">
        <v>3027</v>
      </c>
      <c r="F3230" t="s">
        <v>94</v>
      </c>
      <c r="G3230" t="s">
        <v>277</v>
      </c>
      <c r="H3230" s="12">
        <v>7.2432999999999996</v>
      </c>
      <c r="I3230" s="12">
        <v>-76.436099999999996</v>
      </c>
      <c r="J3230" t="s">
        <v>3028</v>
      </c>
      <c r="K3230" t="s">
        <v>97</v>
      </c>
      <c r="L3230" t="s">
        <v>1273</v>
      </c>
      <c r="M3230">
        <v>11</v>
      </c>
      <c r="P3230" s="13">
        <v>165</v>
      </c>
      <c r="Q3230" s="13">
        <v>39</v>
      </c>
      <c r="R3230">
        <v>26</v>
      </c>
      <c r="S3230">
        <v>34</v>
      </c>
      <c r="T3230" s="13">
        <v>31</v>
      </c>
      <c r="U3230" s="13">
        <v>40</v>
      </c>
      <c r="V3230" t="s">
        <v>99</v>
      </c>
      <c r="X3230" s="13">
        <v>165</v>
      </c>
    </row>
    <row r="3231" spans="1:24" x14ac:dyDescent="0.25">
      <c r="A3231" t="s">
        <v>3058</v>
      </c>
      <c r="B3231" t="s">
        <v>65</v>
      </c>
      <c r="C3231" t="s">
        <v>3025</v>
      </c>
      <c r="D3231" t="s">
        <v>3026</v>
      </c>
      <c r="E3231" t="s">
        <v>3027</v>
      </c>
      <c r="F3231" t="s">
        <v>94</v>
      </c>
      <c r="G3231" t="s">
        <v>277</v>
      </c>
      <c r="H3231" s="12">
        <v>7.2432999999999996</v>
      </c>
      <c r="I3231" s="12">
        <v>-76.436099999999996</v>
      </c>
      <c r="J3231" t="s">
        <v>3028</v>
      </c>
      <c r="K3231" t="s">
        <v>97</v>
      </c>
      <c r="L3231" t="s">
        <v>1273</v>
      </c>
      <c r="M3231">
        <v>11</v>
      </c>
      <c r="P3231" s="13">
        <v>164</v>
      </c>
      <c r="Q3231" s="13">
        <v>34</v>
      </c>
      <c r="R3231">
        <v>20</v>
      </c>
      <c r="S3231">
        <v>44</v>
      </c>
      <c r="T3231" s="13">
        <v>31</v>
      </c>
      <c r="U3231" s="13">
        <v>40</v>
      </c>
      <c r="V3231" t="s">
        <v>99</v>
      </c>
      <c r="X3231" s="13">
        <v>164</v>
      </c>
    </row>
    <row r="3232" spans="1:24" x14ac:dyDescent="0.25">
      <c r="A3232" t="s">
        <v>3059</v>
      </c>
      <c r="B3232" t="s">
        <v>65</v>
      </c>
      <c r="C3232" t="s">
        <v>3025</v>
      </c>
      <c r="D3232" t="s">
        <v>3026</v>
      </c>
      <c r="E3232" t="s">
        <v>3027</v>
      </c>
      <c r="F3232" t="s">
        <v>94</v>
      </c>
      <c r="G3232" t="s">
        <v>277</v>
      </c>
      <c r="H3232" s="12">
        <v>7.2432999999999996</v>
      </c>
      <c r="I3232" s="12">
        <v>-76.436099999999996</v>
      </c>
      <c r="J3232" t="s">
        <v>3028</v>
      </c>
      <c r="K3232" t="s">
        <v>97</v>
      </c>
      <c r="L3232" t="s">
        <v>1273</v>
      </c>
      <c r="M3232">
        <v>11</v>
      </c>
      <c r="P3232" s="13">
        <v>164</v>
      </c>
      <c r="Q3232" s="13">
        <v>39</v>
      </c>
      <c r="R3232">
        <v>22</v>
      </c>
      <c r="S3232">
        <v>34</v>
      </c>
      <c r="T3232" s="13">
        <v>34</v>
      </c>
      <c r="U3232" s="13">
        <v>38</v>
      </c>
      <c r="V3232" t="s">
        <v>99</v>
      </c>
      <c r="X3232" s="13">
        <v>164</v>
      </c>
    </row>
    <row r="3233" spans="1:24" x14ac:dyDescent="0.25">
      <c r="A3233" t="s">
        <v>3060</v>
      </c>
      <c r="B3233" t="s">
        <v>65</v>
      </c>
      <c r="C3233" t="s">
        <v>3025</v>
      </c>
      <c r="D3233" t="s">
        <v>3026</v>
      </c>
      <c r="E3233" t="s">
        <v>3027</v>
      </c>
      <c r="F3233" t="s">
        <v>94</v>
      </c>
      <c r="G3233" t="s">
        <v>277</v>
      </c>
      <c r="H3233" s="12">
        <v>7.2432999999999996</v>
      </c>
      <c r="I3233" s="12">
        <v>-76.436099999999996</v>
      </c>
      <c r="J3233" t="s">
        <v>3028</v>
      </c>
      <c r="K3233" t="s">
        <v>97</v>
      </c>
      <c r="L3233" t="s">
        <v>1273</v>
      </c>
      <c r="M3233">
        <v>11</v>
      </c>
      <c r="P3233" s="13">
        <v>159</v>
      </c>
      <c r="Q3233" s="13">
        <v>46</v>
      </c>
      <c r="R3233">
        <v>26</v>
      </c>
      <c r="S3233">
        <v>36</v>
      </c>
      <c r="T3233" s="13">
        <v>19</v>
      </c>
      <c r="U3233" s="13">
        <v>33</v>
      </c>
      <c r="V3233" t="s">
        <v>99</v>
      </c>
      <c r="X3233" s="13">
        <v>159</v>
      </c>
    </row>
    <row r="3234" spans="1:24" x14ac:dyDescent="0.25">
      <c r="A3234" t="s">
        <v>3061</v>
      </c>
      <c r="B3234" t="s">
        <v>65</v>
      </c>
      <c r="C3234" t="s">
        <v>3025</v>
      </c>
      <c r="D3234" t="s">
        <v>3026</v>
      </c>
      <c r="E3234" t="s">
        <v>3027</v>
      </c>
      <c r="F3234" t="s">
        <v>94</v>
      </c>
      <c r="G3234" t="s">
        <v>277</v>
      </c>
      <c r="H3234" s="12">
        <v>7.2432999999999996</v>
      </c>
      <c r="I3234" s="12">
        <v>-76.436099999999996</v>
      </c>
      <c r="J3234" t="s">
        <v>3028</v>
      </c>
      <c r="K3234" t="s">
        <v>97</v>
      </c>
      <c r="L3234" t="s">
        <v>1273</v>
      </c>
      <c r="M3234">
        <v>11</v>
      </c>
      <c r="P3234" s="13">
        <v>158</v>
      </c>
      <c r="Q3234" s="13">
        <v>37</v>
      </c>
      <c r="R3234">
        <v>26</v>
      </c>
      <c r="S3234">
        <v>32</v>
      </c>
      <c r="T3234" s="13">
        <v>29</v>
      </c>
      <c r="U3234" s="13">
        <v>38</v>
      </c>
      <c r="V3234" t="s">
        <v>99</v>
      </c>
      <c r="X3234" s="13">
        <v>158</v>
      </c>
    </row>
    <row r="3235" spans="1:24" x14ac:dyDescent="0.25">
      <c r="A3235" t="s">
        <v>3062</v>
      </c>
      <c r="B3235" t="s">
        <v>65</v>
      </c>
      <c r="C3235" t="s">
        <v>3025</v>
      </c>
      <c r="D3235" t="s">
        <v>3026</v>
      </c>
      <c r="E3235" t="s">
        <v>3027</v>
      </c>
      <c r="F3235" t="s">
        <v>94</v>
      </c>
      <c r="G3235" t="s">
        <v>277</v>
      </c>
      <c r="H3235" s="12">
        <v>7.2432999999999996</v>
      </c>
      <c r="I3235" s="12">
        <v>-76.436099999999996</v>
      </c>
      <c r="J3235" t="s">
        <v>3028</v>
      </c>
      <c r="K3235" t="s">
        <v>97</v>
      </c>
      <c r="L3235" t="s">
        <v>1273</v>
      </c>
      <c r="M3235">
        <v>11</v>
      </c>
      <c r="P3235" s="13">
        <v>156</v>
      </c>
      <c r="Q3235" s="13">
        <v>34</v>
      </c>
      <c r="R3235">
        <v>30</v>
      </c>
      <c r="S3235">
        <v>38</v>
      </c>
      <c r="T3235" s="13">
        <v>22</v>
      </c>
      <c r="U3235" s="13">
        <v>31</v>
      </c>
      <c r="V3235" t="s">
        <v>99</v>
      </c>
      <c r="X3235" s="13">
        <v>156</v>
      </c>
    </row>
    <row r="3236" spans="1:24" x14ac:dyDescent="0.25">
      <c r="A3236" t="s">
        <v>3063</v>
      </c>
      <c r="B3236" t="s">
        <v>65</v>
      </c>
      <c r="C3236" t="s">
        <v>3025</v>
      </c>
      <c r="D3236" t="s">
        <v>3026</v>
      </c>
      <c r="E3236" t="s">
        <v>3027</v>
      </c>
      <c r="F3236" t="s">
        <v>94</v>
      </c>
      <c r="G3236" t="s">
        <v>277</v>
      </c>
      <c r="H3236" s="12">
        <v>7.2432999999999996</v>
      </c>
      <c r="I3236" s="12">
        <v>-76.436099999999996</v>
      </c>
      <c r="J3236" t="s">
        <v>3028</v>
      </c>
      <c r="K3236" t="s">
        <v>97</v>
      </c>
      <c r="L3236" t="s">
        <v>1273</v>
      </c>
      <c r="M3236">
        <v>11</v>
      </c>
      <c r="P3236" s="13">
        <v>155</v>
      </c>
      <c r="Q3236" s="13">
        <v>32</v>
      </c>
      <c r="R3236">
        <v>24</v>
      </c>
      <c r="S3236">
        <v>36</v>
      </c>
      <c r="T3236" s="13">
        <v>34</v>
      </c>
      <c r="U3236" s="13">
        <v>25</v>
      </c>
      <c r="V3236" t="s">
        <v>99</v>
      </c>
      <c r="X3236" s="13">
        <v>155</v>
      </c>
    </row>
    <row r="3237" spans="1:24" x14ac:dyDescent="0.25">
      <c r="A3237" t="s">
        <v>3064</v>
      </c>
      <c r="B3237" t="s">
        <v>65</v>
      </c>
      <c r="C3237" t="s">
        <v>3025</v>
      </c>
      <c r="D3237" t="s">
        <v>3026</v>
      </c>
      <c r="E3237" t="s">
        <v>3027</v>
      </c>
      <c r="F3237" t="s">
        <v>94</v>
      </c>
      <c r="G3237" t="s">
        <v>277</v>
      </c>
      <c r="H3237" s="12">
        <v>7.2432999999999996</v>
      </c>
      <c r="I3237" s="12">
        <v>-76.436099999999996</v>
      </c>
      <c r="J3237" t="s">
        <v>3028</v>
      </c>
      <c r="K3237" t="s">
        <v>97</v>
      </c>
      <c r="L3237" t="s">
        <v>1273</v>
      </c>
      <c r="M3237">
        <v>11</v>
      </c>
      <c r="P3237" s="13">
        <v>153</v>
      </c>
      <c r="Q3237" s="13">
        <v>27</v>
      </c>
      <c r="R3237">
        <v>24</v>
      </c>
      <c r="S3237">
        <v>40</v>
      </c>
      <c r="T3237" s="13">
        <v>31</v>
      </c>
      <c r="U3237" s="13">
        <v>31</v>
      </c>
      <c r="V3237" t="s">
        <v>99</v>
      </c>
      <c r="X3237" s="13">
        <v>153</v>
      </c>
    </row>
    <row r="3238" spans="1:24" x14ac:dyDescent="0.25">
      <c r="A3238" t="s">
        <v>3065</v>
      </c>
      <c r="B3238" t="s">
        <v>65</v>
      </c>
      <c r="C3238" t="s">
        <v>3025</v>
      </c>
      <c r="D3238" t="s">
        <v>3026</v>
      </c>
      <c r="E3238" t="s">
        <v>3027</v>
      </c>
      <c r="F3238" t="s">
        <v>94</v>
      </c>
      <c r="G3238" t="s">
        <v>277</v>
      </c>
      <c r="H3238" s="12">
        <v>7.2432999999999996</v>
      </c>
      <c r="I3238" s="12">
        <v>-76.436099999999996</v>
      </c>
      <c r="J3238" t="s">
        <v>3028</v>
      </c>
      <c r="K3238" t="s">
        <v>97</v>
      </c>
      <c r="L3238" t="s">
        <v>1273</v>
      </c>
      <c r="M3238">
        <v>11</v>
      </c>
      <c r="P3238" s="13">
        <v>152</v>
      </c>
      <c r="Q3238" s="13">
        <v>34</v>
      </c>
      <c r="R3238">
        <v>16</v>
      </c>
      <c r="S3238">
        <v>44</v>
      </c>
      <c r="T3238" s="13">
        <v>24</v>
      </c>
      <c r="U3238" s="13">
        <v>40</v>
      </c>
      <c r="V3238" t="s">
        <v>99</v>
      </c>
      <c r="X3238" s="13">
        <v>152</v>
      </c>
    </row>
    <row r="3239" spans="1:24" x14ac:dyDescent="0.25">
      <c r="A3239" t="s">
        <v>3066</v>
      </c>
      <c r="B3239" t="s">
        <v>65</v>
      </c>
      <c r="C3239" t="s">
        <v>3025</v>
      </c>
      <c r="D3239" t="s">
        <v>3026</v>
      </c>
      <c r="E3239" t="s">
        <v>3027</v>
      </c>
      <c r="F3239" t="s">
        <v>94</v>
      </c>
      <c r="G3239" t="s">
        <v>277</v>
      </c>
      <c r="H3239" s="12">
        <v>7.2432999999999996</v>
      </c>
      <c r="I3239" s="12">
        <v>-76.436099999999996</v>
      </c>
      <c r="J3239" t="s">
        <v>3028</v>
      </c>
      <c r="K3239" t="s">
        <v>97</v>
      </c>
      <c r="L3239" t="s">
        <v>1273</v>
      </c>
      <c r="M3239">
        <v>11</v>
      </c>
      <c r="P3239" s="13">
        <v>151</v>
      </c>
      <c r="Q3239" s="13">
        <v>39</v>
      </c>
      <c r="R3239">
        <v>18</v>
      </c>
      <c r="S3239">
        <v>38</v>
      </c>
      <c r="T3239" s="13">
        <v>24</v>
      </c>
      <c r="U3239" s="13">
        <v>35</v>
      </c>
      <c r="V3239" t="s">
        <v>99</v>
      </c>
      <c r="X3239" s="13">
        <v>151</v>
      </c>
    </row>
    <row r="3240" spans="1:24" x14ac:dyDescent="0.25">
      <c r="A3240" t="s">
        <v>3067</v>
      </c>
      <c r="B3240" t="s">
        <v>65</v>
      </c>
      <c r="C3240" t="s">
        <v>3025</v>
      </c>
      <c r="D3240" t="s">
        <v>3026</v>
      </c>
      <c r="E3240" t="s">
        <v>3027</v>
      </c>
      <c r="F3240" t="s">
        <v>94</v>
      </c>
      <c r="G3240" t="s">
        <v>277</v>
      </c>
      <c r="H3240" s="12">
        <v>7.2432999999999996</v>
      </c>
      <c r="I3240" s="12">
        <v>-76.436099999999996</v>
      </c>
      <c r="J3240" t="s">
        <v>3028</v>
      </c>
      <c r="K3240" t="s">
        <v>97</v>
      </c>
      <c r="L3240" t="s">
        <v>1273</v>
      </c>
      <c r="M3240">
        <v>11</v>
      </c>
      <c r="P3240" s="13">
        <v>148</v>
      </c>
      <c r="Q3240" s="13">
        <v>37</v>
      </c>
      <c r="R3240">
        <v>16</v>
      </c>
      <c r="S3240">
        <v>36</v>
      </c>
      <c r="T3240" s="13">
        <v>26</v>
      </c>
      <c r="U3240" s="13">
        <v>42</v>
      </c>
      <c r="V3240" t="s">
        <v>99</v>
      </c>
      <c r="X3240" s="13">
        <v>148</v>
      </c>
    </row>
    <row r="3241" spans="1:24" x14ac:dyDescent="0.25">
      <c r="A3241" t="s">
        <v>3068</v>
      </c>
      <c r="B3241" t="s">
        <v>65</v>
      </c>
      <c r="C3241" t="s">
        <v>3025</v>
      </c>
      <c r="D3241" t="s">
        <v>3026</v>
      </c>
      <c r="E3241" t="s">
        <v>3027</v>
      </c>
      <c r="F3241" t="s">
        <v>94</v>
      </c>
      <c r="G3241" t="s">
        <v>277</v>
      </c>
      <c r="H3241" s="12">
        <v>7.2432999999999996</v>
      </c>
      <c r="I3241" s="12">
        <v>-76.436099999999996</v>
      </c>
      <c r="J3241" t="s">
        <v>3028</v>
      </c>
      <c r="K3241" t="s">
        <v>97</v>
      </c>
      <c r="L3241" t="s">
        <v>1273</v>
      </c>
      <c r="M3241">
        <v>11</v>
      </c>
      <c r="P3241" s="13">
        <v>148</v>
      </c>
      <c r="Q3241" s="13">
        <v>44</v>
      </c>
      <c r="R3241">
        <v>26</v>
      </c>
      <c r="S3241">
        <v>30</v>
      </c>
      <c r="T3241" s="13">
        <v>16</v>
      </c>
      <c r="U3241" s="13">
        <v>38</v>
      </c>
      <c r="V3241" t="s">
        <v>99</v>
      </c>
      <c r="X3241" s="13">
        <v>148</v>
      </c>
    </row>
    <row r="3242" spans="1:24" x14ac:dyDescent="0.25">
      <c r="A3242" t="s">
        <v>3069</v>
      </c>
      <c r="B3242" t="s">
        <v>65</v>
      </c>
      <c r="C3242" t="s">
        <v>3025</v>
      </c>
      <c r="D3242" t="s">
        <v>3026</v>
      </c>
      <c r="E3242" t="s">
        <v>3027</v>
      </c>
      <c r="F3242" t="s">
        <v>94</v>
      </c>
      <c r="G3242" t="s">
        <v>277</v>
      </c>
      <c r="H3242" s="12">
        <v>7.2432999999999996</v>
      </c>
      <c r="I3242" s="12">
        <v>-76.436099999999996</v>
      </c>
      <c r="J3242" t="s">
        <v>3028</v>
      </c>
      <c r="K3242" t="s">
        <v>97</v>
      </c>
      <c r="L3242" t="s">
        <v>1273</v>
      </c>
      <c r="M3242">
        <v>11</v>
      </c>
      <c r="P3242" s="13">
        <v>147</v>
      </c>
      <c r="Q3242" s="13">
        <v>37</v>
      </c>
      <c r="R3242">
        <v>34</v>
      </c>
      <c r="S3242">
        <v>30</v>
      </c>
      <c r="T3242" s="13">
        <v>16</v>
      </c>
      <c r="U3242" s="13">
        <v>33</v>
      </c>
      <c r="V3242" t="s">
        <v>99</v>
      </c>
      <c r="X3242" s="13">
        <v>147</v>
      </c>
    </row>
    <row r="3243" spans="1:24" x14ac:dyDescent="0.25">
      <c r="A3243" t="s">
        <v>3070</v>
      </c>
      <c r="B3243" t="s">
        <v>65</v>
      </c>
      <c r="C3243" t="s">
        <v>3025</v>
      </c>
      <c r="D3243" t="s">
        <v>3026</v>
      </c>
      <c r="E3243" t="s">
        <v>3027</v>
      </c>
      <c r="F3243" t="s">
        <v>94</v>
      </c>
      <c r="G3243" t="s">
        <v>277</v>
      </c>
      <c r="H3243" s="12">
        <v>7.2432999999999996</v>
      </c>
      <c r="I3243" s="12">
        <v>-76.436099999999996</v>
      </c>
      <c r="J3243" t="s">
        <v>3028</v>
      </c>
      <c r="K3243" t="s">
        <v>97</v>
      </c>
      <c r="L3243" t="s">
        <v>1273</v>
      </c>
      <c r="M3243">
        <v>11</v>
      </c>
      <c r="P3243" s="13">
        <v>146</v>
      </c>
      <c r="Q3243" s="13">
        <v>29</v>
      </c>
      <c r="R3243">
        <v>30</v>
      </c>
      <c r="S3243">
        <v>32</v>
      </c>
      <c r="T3243" s="13">
        <v>22</v>
      </c>
      <c r="U3243" s="13">
        <v>38</v>
      </c>
      <c r="V3243" t="s">
        <v>99</v>
      </c>
      <c r="X3243" s="13">
        <v>146</v>
      </c>
    </row>
    <row r="3244" spans="1:24" x14ac:dyDescent="0.25">
      <c r="A3244" t="s">
        <v>3071</v>
      </c>
      <c r="B3244" t="s">
        <v>65</v>
      </c>
      <c r="C3244" t="s">
        <v>3025</v>
      </c>
      <c r="D3244" t="s">
        <v>3026</v>
      </c>
      <c r="E3244" t="s">
        <v>3027</v>
      </c>
      <c r="F3244" t="s">
        <v>94</v>
      </c>
      <c r="G3244" t="s">
        <v>277</v>
      </c>
      <c r="H3244" s="12">
        <v>7.2432999999999996</v>
      </c>
      <c r="I3244" s="12">
        <v>-76.436099999999996</v>
      </c>
      <c r="J3244" t="s">
        <v>3028</v>
      </c>
      <c r="K3244" t="s">
        <v>97</v>
      </c>
      <c r="L3244" t="s">
        <v>1273</v>
      </c>
      <c r="M3244">
        <v>11</v>
      </c>
      <c r="P3244" s="13">
        <v>144</v>
      </c>
      <c r="Q3244" s="13">
        <v>29</v>
      </c>
      <c r="R3244">
        <v>24</v>
      </c>
      <c r="S3244">
        <v>40</v>
      </c>
      <c r="T3244" s="13">
        <v>21</v>
      </c>
      <c r="U3244" s="13">
        <v>33</v>
      </c>
      <c r="V3244" t="s">
        <v>99</v>
      </c>
      <c r="X3244" s="13">
        <v>144</v>
      </c>
    </row>
    <row r="3245" spans="1:24" x14ac:dyDescent="0.25">
      <c r="A3245" t="s">
        <v>3072</v>
      </c>
      <c r="B3245" t="s">
        <v>65</v>
      </c>
      <c r="C3245" t="s">
        <v>3025</v>
      </c>
      <c r="D3245" t="s">
        <v>3026</v>
      </c>
      <c r="E3245" t="s">
        <v>3027</v>
      </c>
      <c r="F3245" t="s">
        <v>94</v>
      </c>
      <c r="G3245" t="s">
        <v>277</v>
      </c>
      <c r="H3245" s="12">
        <v>7.2432999999999996</v>
      </c>
      <c r="I3245" s="12">
        <v>-76.436099999999996</v>
      </c>
      <c r="J3245" t="s">
        <v>3028</v>
      </c>
      <c r="K3245" t="s">
        <v>97</v>
      </c>
      <c r="L3245" t="s">
        <v>1273</v>
      </c>
      <c r="M3245">
        <v>11</v>
      </c>
      <c r="P3245" s="13">
        <v>142</v>
      </c>
      <c r="Q3245" s="13">
        <v>29</v>
      </c>
      <c r="R3245">
        <v>18</v>
      </c>
      <c r="S3245">
        <v>30</v>
      </c>
      <c r="T3245" s="13">
        <v>34</v>
      </c>
      <c r="U3245" s="13">
        <v>35</v>
      </c>
      <c r="V3245" t="s">
        <v>99</v>
      </c>
      <c r="X3245" s="13">
        <v>142</v>
      </c>
    </row>
    <row r="3246" spans="1:24" x14ac:dyDescent="0.25">
      <c r="A3246" t="s">
        <v>3073</v>
      </c>
      <c r="B3246" t="s">
        <v>65</v>
      </c>
      <c r="C3246" t="s">
        <v>3025</v>
      </c>
      <c r="D3246" t="s">
        <v>3026</v>
      </c>
      <c r="E3246" t="s">
        <v>3027</v>
      </c>
      <c r="F3246" t="s">
        <v>94</v>
      </c>
      <c r="G3246" t="s">
        <v>277</v>
      </c>
      <c r="H3246" s="12">
        <v>7.2432999999999996</v>
      </c>
      <c r="I3246" s="12">
        <v>-76.436099999999996</v>
      </c>
      <c r="J3246" t="s">
        <v>3028</v>
      </c>
      <c r="K3246" t="s">
        <v>97</v>
      </c>
      <c r="L3246" t="s">
        <v>1273</v>
      </c>
      <c r="M3246">
        <v>11</v>
      </c>
      <c r="P3246" s="13">
        <v>140</v>
      </c>
      <c r="Q3246" s="13">
        <v>24</v>
      </c>
      <c r="R3246">
        <v>22</v>
      </c>
      <c r="S3246">
        <v>46</v>
      </c>
      <c r="T3246" s="13">
        <v>21</v>
      </c>
      <c r="U3246" s="13">
        <v>24</v>
      </c>
      <c r="V3246" t="s">
        <v>99</v>
      </c>
      <c r="X3246" s="13">
        <v>140</v>
      </c>
    </row>
    <row r="3247" spans="1:24" x14ac:dyDescent="0.25">
      <c r="A3247" t="s">
        <v>3074</v>
      </c>
      <c r="B3247" t="s">
        <v>65</v>
      </c>
      <c r="C3247" t="s">
        <v>3025</v>
      </c>
      <c r="D3247" t="s">
        <v>3026</v>
      </c>
      <c r="E3247" t="s">
        <v>3027</v>
      </c>
      <c r="F3247" t="s">
        <v>94</v>
      </c>
      <c r="G3247" t="s">
        <v>277</v>
      </c>
      <c r="H3247" s="12">
        <v>7.2432999999999996</v>
      </c>
      <c r="I3247" s="12">
        <v>-76.436099999999996</v>
      </c>
      <c r="J3247" t="s">
        <v>3028</v>
      </c>
      <c r="K3247" t="s">
        <v>97</v>
      </c>
      <c r="L3247" t="s">
        <v>1273</v>
      </c>
      <c r="M3247">
        <v>11</v>
      </c>
      <c r="P3247" s="13">
        <v>138</v>
      </c>
      <c r="Q3247" s="13">
        <v>27</v>
      </c>
      <c r="R3247">
        <v>18</v>
      </c>
      <c r="S3247">
        <v>48</v>
      </c>
      <c r="T3247" s="13">
        <v>16</v>
      </c>
      <c r="U3247" s="13">
        <v>35</v>
      </c>
      <c r="V3247" t="s">
        <v>99</v>
      </c>
      <c r="X3247" s="13">
        <v>138</v>
      </c>
    </row>
    <row r="3248" spans="1:24" x14ac:dyDescent="0.25">
      <c r="A3248" t="s">
        <v>3075</v>
      </c>
      <c r="B3248" t="s">
        <v>65</v>
      </c>
      <c r="C3248" t="s">
        <v>3025</v>
      </c>
      <c r="D3248" t="s">
        <v>3026</v>
      </c>
      <c r="E3248" t="s">
        <v>3027</v>
      </c>
      <c r="F3248" t="s">
        <v>94</v>
      </c>
      <c r="G3248" t="s">
        <v>277</v>
      </c>
      <c r="H3248" s="12">
        <v>7.2432999999999996</v>
      </c>
      <c r="I3248" s="12">
        <v>-76.436099999999996</v>
      </c>
      <c r="J3248" t="s">
        <v>3028</v>
      </c>
      <c r="K3248" t="s">
        <v>97</v>
      </c>
      <c r="L3248" t="s">
        <v>1273</v>
      </c>
      <c r="M3248">
        <v>11</v>
      </c>
      <c r="P3248" s="13">
        <v>137</v>
      </c>
      <c r="Q3248" s="13">
        <v>24</v>
      </c>
      <c r="R3248">
        <v>28</v>
      </c>
      <c r="S3248">
        <v>34</v>
      </c>
      <c r="T3248" s="13">
        <v>17</v>
      </c>
      <c r="U3248" s="13">
        <v>45</v>
      </c>
      <c r="V3248" t="s">
        <v>99</v>
      </c>
      <c r="X3248" s="13">
        <v>137</v>
      </c>
    </row>
    <row r="3249" spans="1:24" x14ac:dyDescent="0.25">
      <c r="A3249" t="s">
        <v>3076</v>
      </c>
      <c r="B3249" t="s">
        <v>65</v>
      </c>
      <c r="C3249" t="s">
        <v>3025</v>
      </c>
      <c r="D3249" t="s">
        <v>3026</v>
      </c>
      <c r="E3249" t="s">
        <v>3027</v>
      </c>
      <c r="F3249" t="s">
        <v>94</v>
      </c>
      <c r="G3249" t="s">
        <v>277</v>
      </c>
      <c r="H3249" s="12">
        <v>7.2432999999999996</v>
      </c>
      <c r="I3249" s="12">
        <v>-76.436099999999996</v>
      </c>
      <c r="J3249" t="s">
        <v>3028</v>
      </c>
      <c r="K3249" t="s">
        <v>97</v>
      </c>
      <c r="L3249" t="s">
        <v>1273</v>
      </c>
      <c r="M3249">
        <v>11</v>
      </c>
      <c r="P3249" s="13">
        <v>135</v>
      </c>
      <c r="Q3249" s="13">
        <v>39</v>
      </c>
      <c r="R3249">
        <v>18</v>
      </c>
      <c r="S3249">
        <v>34</v>
      </c>
      <c r="T3249" s="13">
        <v>16</v>
      </c>
      <c r="U3249" s="13">
        <v>31</v>
      </c>
      <c r="V3249" t="s">
        <v>99</v>
      </c>
      <c r="X3249" s="13">
        <v>135</v>
      </c>
    </row>
    <row r="3250" spans="1:24" x14ac:dyDescent="0.25">
      <c r="A3250" t="s">
        <v>3077</v>
      </c>
      <c r="B3250" t="s">
        <v>65</v>
      </c>
      <c r="C3250" t="s">
        <v>3025</v>
      </c>
      <c r="D3250" t="s">
        <v>3026</v>
      </c>
      <c r="E3250" t="s">
        <v>3027</v>
      </c>
      <c r="F3250" t="s">
        <v>94</v>
      </c>
      <c r="G3250" t="s">
        <v>277</v>
      </c>
      <c r="H3250" s="12">
        <v>7.2432999999999996</v>
      </c>
      <c r="I3250" s="12">
        <v>-76.436099999999996</v>
      </c>
      <c r="J3250" t="s">
        <v>3028</v>
      </c>
      <c r="K3250" t="s">
        <v>97</v>
      </c>
      <c r="L3250" t="s">
        <v>1273</v>
      </c>
      <c r="M3250">
        <v>11</v>
      </c>
      <c r="P3250" s="13">
        <v>127</v>
      </c>
      <c r="Q3250" s="13">
        <v>20</v>
      </c>
      <c r="R3250">
        <v>16</v>
      </c>
      <c r="S3250">
        <v>38</v>
      </c>
      <c r="T3250" s="13">
        <v>31</v>
      </c>
      <c r="U3250" s="13">
        <v>16</v>
      </c>
      <c r="V3250" t="s">
        <v>99</v>
      </c>
      <c r="X3250" s="13">
        <v>127</v>
      </c>
    </row>
    <row r="3251" spans="1:24" x14ac:dyDescent="0.25">
      <c r="A3251" t="s">
        <v>3078</v>
      </c>
      <c r="B3251" t="s">
        <v>65</v>
      </c>
      <c r="C3251" t="s">
        <v>3025</v>
      </c>
      <c r="D3251" t="s">
        <v>3026</v>
      </c>
      <c r="E3251" t="s">
        <v>3027</v>
      </c>
      <c r="F3251" t="s">
        <v>94</v>
      </c>
      <c r="G3251" t="s">
        <v>277</v>
      </c>
      <c r="H3251" s="12">
        <v>7.2432999999999996</v>
      </c>
      <c r="I3251" s="12">
        <v>-76.436099999999996</v>
      </c>
      <c r="J3251" t="s">
        <v>3028</v>
      </c>
      <c r="K3251" t="s">
        <v>97</v>
      </c>
      <c r="L3251" t="s">
        <v>1273</v>
      </c>
      <c r="M3251">
        <v>11</v>
      </c>
      <c r="P3251" s="13">
        <v>119</v>
      </c>
      <c r="Q3251" s="13">
        <v>27</v>
      </c>
      <c r="R3251">
        <v>22</v>
      </c>
      <c r="S3251">
        <v>18</v>
      </c>
      <c r="T3251" s="13">
        <v>24</v>
      </c>
      <c r="U3251" s="13">
        <v>36</v>
      </c>
      <c r="V3251" t="s">
        <v>99</v>
      </c>
      <c r="X3251" s="13">
        <v>119</v>
      </c>
    </row>
    <row r="3252" spans="1:24" x14ac:dyDescent="0.25">
      <c r="A3252" t="s">
        <v>3079</v>
      </c>
      <c r="B3252" t="s">
        <v>65</v>
      </c>
      <c r="C3252" t="s">
        <v>3025</v>
      </c>
      <c r="D3252" t="s">
        <v>3026</v>
      </c>
      <c r="E3252" t="s">
        <v>3027</v>
      </c>
      <c r="F3252" t="s">
        <v>94</v>
      </c>
      <c r="G3252" t="s">
        <v>277</v>
      </c>
      <c r="H3252" s="12">
        <v>7.2432999999999996</v>
      </c>
      <c r="I3252" s="12">
        <v>-76.436099999999996</v>
      </c>
      <c r="J3252" t="s">
        <v>3028</v>
      </c>
      <c r="K3252" t="s">
        <v>97</v>
      </c>
      <c r="L3252" t="s">
        <v>1273</v>
      </c>
      <c r="M3252">
        <v>11</v>
      </c>
      <c r="P3252" s="13">
        <v>119</v>
      </c>
      <c r="Q3252" s="13">
        <v>37</v>
      </c>
      <c r="R3252">
        <v>14</v>
      </c>
      <c r="S3252">
        <v>12</v>
      </c>
      <c r="T3252" s="13">
        <v>29</v>
      </c>
      <c r="U3252" s="13">
        <v>33</v>
      </c>
      <c r="V3252" t="s">
        <v>99</v>
      </c>
      <c r="X3252" s="13">
        <v>119</v>
      </c>
    </row>
    <row r="3253" spans="1:24" x14ac:dyDescent="0.25">
      <c r="A3253" t="s">
        <v>3080</v>
      </c>
      <c r="B3253" t="s">
        <v>65</v>
      </c>
      <c r="C3253" t="s">
        <v>3025</v>
      </c>
      <c r="D3253" t="s">
        <v>3026</v>
      </c>
      <c r="E3253" t="s">
        <v>3027</v>
      </c>
      <c r="F3253" t="s">
        <v>94</v>
      </c>
      <c r="G3253" t="s">
        <v>277</v>
      </c>
      <c r="H3253" s="12">
        <v>7.2432999999999996</v>
      </c>
      <c r="I3253" s="12">
        <v>-76.436099999999996</v>
      </c>
      <c r="J3253" t="s">
        <v>3028</v>
      </c>
      <c r="K3253" t="s">
        <v>97</v>
      </c>
      <c r="L3253" t="s">
        <v>1273</v>
      </c>
      <c r="M3253">
        <v>11</v>
      </c>
      <c r="P3253" s="13">
        <v>116</v>
      </c>
      <c r="Q3253" s="13">
        <v>32</v>
      </c>
      <c r="R3253">
        <v>16</v>
      </c>
      <c r="S3253">
        <v>20</v>
      </c>
      <c r="T3253" s="13">
        <v>17</v>
      </c>
      <c r="U3253" s="13">
        <v>45</v>
      </c>
      <c r="V3253" t="s">
        <v>99</v>
      </c>
      <c r="X3253" s="13">
        <v>116</v>
      </c>
    </row>
    <row r="3254" spans="1:24" x14ac:dyDescent="0.25">
      <c r="A3254" t="s">
        <v>3081</v>
      </c>
      <c r="B3254" t="s">
        <v>65</v>
      </c>
      <c r="C3254" t="s">
        <v>3025</v>
      </c>
      <c r="D3254" t="s">
        <v>3026</v>
      </c>
      <c r="E3254" t="s">
        <v>3027</v>
      </c>
      <c r="F3254" t="s">
        <v>94</v>
      </c>
      <c r="G3254" t="s">
        <v>277</v>
      </c>
      <c r="H3254" s="12">
        <v>7.2432999999999996</v>
      </c>
      <c r="I3254" s="12">
        <v>-76.436099999999996</v>
      </c>
      <c r="J3254" t="s">
        <v>3028</v>
      </c>
      <c r="K3254" t="s">
        <v>97</v>
      </c>
      <c r="L3254" t="s">
        <v>1273</v>
      </c>
      <c r="M3254">
        <v>11</v>
      </c>
      <c r="P3254" s="13">
        <v>98</v>
      </c>
      <c r="Q3254" s="13">
        <v>22</v>
      </c>
      <c r="R3254">
        <v>20</v>
      </c>
      <c r="S3254">
        <v>14</v>
      </c>
      <c r="T3254" s="13">
        <v>19</v>
      </c>
      <c r="U3254" s="13">
        <v>29</v>
      </c>
      <c r="V3254" t="s">
        <v>99</v>
      </c>
      <c r="X3254" s="13">
        <v>98</v>
      </c>
    </row>
    <row r="3255" spans="1:24" x14ac:dyDescent="0.25">
      <c r="A3255" t="s">
        <v>3082</v>
      </c>
      <c r="B3255" t="s">
        <v>65</v>
      </c>
      <c r="C3255" t="s">
        <v>3025</v>
      </c>
      <c r="D3255" t="s">
        <v>3026</v>
      </c>
      <c r="E3255" t="s">
        <v>3027</v>
      </c>
      <c r="F3255" t="s">
        <v>94</v>
      </c>
      <c r="G3255" t="s">
        <v>277</v>
      </c>
      <c r="H3255" s="12">
        <v>7.2432999999999996</v>
      </c>
      <c r="I3255" s="12">
        <v>-76.436099999999996</v>
      </c>
      <c r="J3255" t="s">
        <v>3028</v>
      </c>
      <c r="K3255" t="s">
        <v>97</v>
      </c>
      <c r="L3255" t="s">
        <v>1273</v>
      </c>
      <c r="M3255">
        <v>11</v>
      </c>
      <c r="P3255" s="13">
        <v>90</v>
      </c>
      <c r="Q3255" s="13">
        <v>20</v>
      </c>
      <c r="R3255">
        <v>16</v>
      </c>
      <c r="S3255">
        <v>22</v>
      </c>
      <c r="T3255" s="13">
        <v>7</v>
      </c>
      <c r="U3255" s="13">
        <v>40</v>
      </c>
      <c r="V3255" t="s">
        <v>99</v>
      </c>
      <c r="X3255" s="13">
        <v>90</v>
      </c>
    </row>
    <row r="3256" spans="1:24" x14ac:dyDescent="0.25">
      <c r="A3256" t="s">
        <v>3083</v>
      </c>
      <c r="B3256" t="s">
        <v>65</v>
      </c>
      <c r="C3256" t="s">
        <v>3084</v>
      </c>
      <c r="D3256" t="s">
        <v>3085</v>
      </c>
      <c r="E3256" t="s">
        <v>3086</v>
      </c>
      <c r="F3256" t="s">
        <v>94</v>
      </c>
      <c r="G3256" t="s">
        <v>277</v>
      </c>
      <c r="H3256" s="12">
        <v>6.9786000000000001</v>
      </c>
      <c r="I3256" s="12">
        <v>-75.296099999999996</v>
      </c>
      <c r="J3256" t="s">
        <v>3087</v>
      </c>
      <c r="K3256" t="s">
        <v>97</v>
      </c>
      <c r="L3256" t="s">
        <v>1273</v>
      </c>
      <c r="M3256">
        <v>11</v>
      </c>
      <c r="P3256" s="13">
        <v>262</v>
      </c>
      <c r="Q3256" s="13">
        <v>66</v>
      </c>
      <c r="R3256">
        <v>34</v>
      </c>
      <c r="S3256">
        <v>60</v>
      </c>
      <c r="T3256" s="13">
        <v>38</v>
      </c>
      <c r="U3256" s="13">
        <v>87</v>
      </c>
      <c r="V3256" t="s">
        <v>99</v>
      </c>
      <c r="X3256" s="13">
        <v>262</v>
      </c>
    </row>
    <row r="3257" spans="1:24" x14ac:dyDescent="0.25">
      <c r="A3257" t="s">
        <v>3088</v>
      </c>
      <c r="B3257" t="s">
        <v>65</v>
      </c>
      <c r="C3257" t="s">
        <v>3084</v>
      </c>
      <c r="D3257" t="s">
        <v>3085</v>
      </c>
      <c r="E3257" t="s">
        <v>3086</v>
      </c>
      <c r="F3257" t="s">
        <v>94</v>
      </c>
      <c r="G3257" t="s">
        <v>277</v>
      </c>
      <c r="H3257" s="12">
        <v>6.9786000000000001</v>
      </c>
      <c r="I3257" s="12">
        <v>-75.296099999999996</v>
      </c>
      <c r="J3257" t="s">
        <v>3087</v>
      </c>
      <c r="K3257" t="s">
        <v>97</v>
      </c>
      <c r="L3257" t="s">
        <v>1273</v>
      </c>
      <c r="M3257">
        <v>11</v>
      </c>
      <c r="P3257" s="13">
        <v>220</v>
      </c>
      <c r="Q3257" s="13">
        <v>61</v>
      </c>
      <c r="R3257">
        <v>28</v>
      </c>
      <c r="S3257">
        <v>52</v>
      </c>
      <c r="T3257" s="13">
        <v>31</v>
      </c>
      <c r="U3257" s="13">
        <v>56</v>
      </c>
      <c r="V3257" t="s">
        <v>99</v>
      </c>
      <c r="X3257" s="13">
        <v>220</v>
      </c>
    </row>
    <row r="3258" spans="1:24" x14ac:dyDescent="0.25">
      <c r="A3258" t="s">
        <v>3089</v>
      </c>
      <c r="B3258" t="s">
        <v>65</v>
      </c>
      <c r="C3258" t="s">
        <v>3084</v>
      </c>
      <c r="D3258" t="s">
        <v>3085</v>
      </c>
      <c r="E3258" t="s">
        <v>3086</v>
      </c>
      <c r="F3258" t="s">
        <v>94</v>
      </c>
      <c r="G3258" t="s">
        <v>277</v>
      </c>
      <c r="H3258" s="12">
        <v>6.9786000000000001</v>
      </c>
      <c r="I3258" s="12">
        <v>-75.296099999999996</v>
      </c>
      <c r="J3258" t="s">
        <v>3087</v>
      </c>
      <c r="K3258" t="s">
        <v>97</v>
      </c>
      <c r="L3258" t="s">
        <v>1273</v>
      </c>
      <c r="M3258">
        <v>11</v>
      </c>
      <c r="P3258" s="13">
        <v>211</v>
      </c>
      <c r="Q3258" s="13">
        <v>49</v>
      </c>
      <c r="R3258">
        <v>26</v>
      </c>
      <c r="S3258">
        <v>60</v>
      </c>
      <c r="T3258" s="13">
        <v>28</v>
      </c>
      <c r="U3258" s="13">
        <v>62</v>
      </c>
      <c r="V3258" t="s">
        <v>99</v>
      </c>
      <c r="X3258" s="13">
        <v>211</v>
      </c>
    </row>
    <row r="3259" spans="1:24" x14ac:dyDescent="0.25">
      <c r="A3259" t="s">
        <v>3090</v>
      </c>
      <c r="B3259" t="s">
        <v>65</v>
      </c>
      <c r="C3259" t="s">
        <v>3084</v>
      </c>
      <c r="D3259" t="s">
        <v>3085</v>
      </c>
      <c r="E3259" t="s">
        <v>3086</v>
      </c>
      <c r="F3259" t="s">
        <v>94</v>
      </c>
      <c r="G3259" t="s">
        <v>277</v>
      </c>
      <c r="H3259" s="12">
        <v>6.9786000000000001</v>
      </c>
      <c r="I3259" s="12">
        <v>-75.296099999999996</v>
      </c>
      <c r="J3259" t="s">
        <v>3087</v>
      </c>
      <c r="K3259" t="s">
        <v>97</v>
      </c>
      <c r="L3259" t="s">
        <v>1273</v>
      </c>
      <c r="M3259">
        <v>11</v>
      </c>
      <c r="P3259" s="13">
        <v>200</v>
      </c>
      <c r="Q3259" s="13">
        <v>46</v>
      </c>
      <c r="R3259">
        <v>28</v>
      </c>
      <c r="S3259">
        <v>56</v>
      </c>
      <c r="T3259" s="13">
        <v>29</v>
      </c>
      <c r="U3259" s="13">
        <v>42</v>
      </c>
      <c r="V3259" t="s">
        <v>99</v>
      </c>
      <c r="X3259" s="13">
        <v>200</v>
      </c>
    </row>
    <row r="3260" spans="1:24" x14ac:dyDescent="0.25">
      <c r="A3260" t="s">
        <v>3091</v>
      </c>
      <c r="B3260" t="s">
        <v>65</v>
      </c>
      <c r="C3260" t="s">
        <v>3084</v>
      </c>
      <c r="D3260" t="s">
        <v>3085</v>
      </c>
      <c r="E3260" t="s">
        <v>3086</v>
      </c>
      <c r="F3260" t="s">
        <v>94</v>
      </c>
      <c r="G3260" t="s">
        <v>277</v>
      </c>
      <c r="H3260" s="12">
        <v>6.9786000000000001</v>
      </c>
      <c r="I3260" s="12">
        <v>-75.296099999999996</v>
      </c>
      <c r="J3260" t="s">
        <v>3087</v>
      </c>
      <c r="K3260" t="s">
        <v>97</v>
      </c>
      <c r="L3260" t="s">
        <v>1273</v>
      </c>
      <c r="M3260">
        <v>11</v>
      </c>
      <c r="P3260" s="13">
        <v>200</v>
      </c>
      <c r="Q3260" s="13">
        <v>51</v>
      </c>
      <c r="R3260">
        <v>30</v>
      </c>
      <c r="S3260">
        <v>52</v>
      </c>
      <c r="T3260" s="13">
        <v>28</v>
      </c>
      <c r="U3260" s="13">
        <v>38</v>
      </c>
      <c r="V3260" t="s">
        <v>99</v>
      </c>
      <c r="X3260" s="13">
        <v>200</v>
      </c>
    </row>
    <row r="3261" spans="1:24" x14ac:dyDescent="0.25">
      <c r="A3261" t="s">
        <v>3092</v>
      </c>
      <c r="B3261" t="s">
        <v>65</v>
      </c>
      <c r="C3261" t="s">
        <v>3084</v>
      </c>
      <c r="D3261" t="s">
        <v>3085</v>
      </c>
      <c r="E3261" t="s">
        <v>3086</v>
      </c>
      <c r="F3261" t="s">
        <v>94</v>
      </c>
      <c r="G3261" t="s">
        <v>277</v>
      </c>
      <c r="H3261" s="12">
        <v>6.9786000000000001</v>
      </c>
      <c r="I3261" s="12">
        <v>-75.296099999999996</v>
      </c>
      <c r="J3261" t="s">
        <v>3087</v>
      </c>
      <c r="K3261" t="s">
        <v>97</v>
      </c>
      <c r="L3261" t="s">
        <v>1273</v>
      </c>
      <c r="M3261">
        <v>11</v>
      </c>
      <c r="P3261" s="13">
        <v>197</v>
      </c>
      <c r="Q3261" s="13">
        <v>41</v>
      </c>
      <c r="R3261">
        <v>26</v>
      </c>
      <c r="S3261">
        <v>60</v>
      </c>
      <c r="T3261" s="13">
        <v>24</v>
      </c>
      <c r="U3261" s="13">
        <v>58</v>
      </c>
      <c r="V3261" t="s">
        <v>99</v>
      </c>
      <c r="X3261" s="13">
        <v>197</v>
      </c>
    </row>
    <row r="3262" spans="1:24" x14ac:dyDescent="0.25">
      <c r="A3262" t="s">
        <v>3093</v>
      </c>
      <c r="B3262" t="s">
        <v>65</v>
      </c>
      <c r="C3262" t="s">
        <v>3084</v>
      </c>
      <c r="D3262" t="s">
        <v>3085</v>
      </c>
      <c r="E3262" t="s">
        <v>3086</v>
      </c>
      <c r="F3262" t="s">
        <v>94</v>
      </c>
      <c r="G3262" t="s">
        <v>277</v>
      </c>
      <c r="H3262" s="12">
        <v>6.9786000000000001</v>
      </c>
      <c r="I3262" s="12">
        <v>-75.296099999999996</v>
      </c>
      <c r="J3262" t="s">
        <v>3087</v>
      </c>
      <c r="K3262" t="s">
        <v>97</v>
      </c>
      <c r="L3262" t="s">
        <v>1273</v>
      </c>
      <c r="M3262">
        <v>11</v>
      </c>
      <c r="P3262" s="13">
        <v>193</v>
      </c>
      <c r="Q3262" s="13">
        <v>46</v>
      </c>
      <c r="R3262">
        <v>32</v>
      </c>
      <c r="S3262">
        <v>44</v>
      </c>
      <c r="T3262" s="13">
        <v>33</v>
      </c>
      <c r="U3262" s="13">
        <v>36</v>
      </c>
      <c r="V3262" t="s">
        <v>99</v>
      </c>
      <c r="X3262" s="13">
        <v>193</v>
      </c>
    </row>
    <row r="3263" spans="1:24" x14ac:dyDescent="0.25">
      <c r="A3263" t="s">
        <v>3094</v>
      </c>
      <c r="B3263" t="s">
        <v>65</v>
      </c>
      <c r="C3263" t="s">
        <v>3084</v>
      </c>
      <c r="D3263" t="s">
        <v>3085</v>
      </c>
      <c r="E3263" t="s">
        <v>3086</v>
      </c>
      <c r="F3263" t="s">
        <v>94</v>
      </c>
      <c r="G3263" t="s">
        <v>277</v>
      </c>
      <c r="H3263" s="12">
        <v>6.9786000000000001</v>
      </c>
      <c r="I3263" s="12">
        <v>-75.296099999999996</v>
      </c>
      <c r="J3263" t="s">
        <v>3087</v>
      </c>
      <c r="K3263" t="s">
        <v>97</v>
      </c>
      <c r="L3263" t="s">
        <v>1273</v>
      </c>
      <c r="M3263">
        <v>11</v>
      </c>
      <c r="P3263" s="13">
        <v>192</v>
      </c>
      <c r="Q3263" s="13">
        <v>39</v>
      </c>
      <c r="R3263">
        <v>22</v>
      </c>
      <c r="S3263">
        <v>60</v>
      </c>
      <c r="T3263" s="13">
        <v>24</v>
      </c>
      <c r="U3263" s="13">
        <v>64</v>
      </c>
      <c r="V3263" t="s">
        <v>99</v>
      </c>
      <c r="X3263" s="13">
        <v>192</v>
      </c>
    </row>
    <row r="3264" spans="1:24" x14ac:dyDescent="0.25">
      <c r="A3264" t="s">
        <v>3095</v>
      </c>
      <c r="B3264" t="s">
        <v>65</v>
      </c>
      <c r="C3264" t="s">
        <v>3084</v>
      </c>
      <c r="D3264" t="s">
        <v>3085</v>
      </c>
      <c r="E3264" t="s">
        <v>3086</v>
      </c>
      <c r="F3264" t="s">
        <v>94</v>
      </c>
      <c r="G3264" t="s">
        <v>277</v>
      </c>
      <c r="H3264" s="12">
        <v>6.9786000000000001</v>
      </c>
      <c r="I3264" s="12">
        <v>-75.296099999999996</v>
      </c>
      <c r="J3264" t="s">
        <v>3087</v>
      </c>
      <c r="K3264" t="s">
        <v>97</v>
      </c>
      <c r="L3264" t="s">
        <v>1273</v>
      </c>
      <c r="M3264">
        <v>11</v>
      </c>
      <c r="P3264" s="13">
        <v>186</v>
      </c>
      <c r="Q3264" s="13">
        <v>44</v>
      </c>
      <c r="R3264">
        <v>20</v>
      </c>
      <c r="S3264">
        <v>56</v>
      </c>
      <c r="T3264" s="13">
        <v>24</v>
      </c>
      <c r="U3264" s="13">
        <v>53</v>
      </c>
      <c r="V3264" t="s">
        <v>99</v>
      </c>
      <c r="X3264" s="13">
        <v>186</v>
      </c>
    </row>
    <row r="3265" spans="1:24" x14ac:dyDescent="0.25">
      <c r="A3265" t="s">
        <v>3096</v>
      </c>
      <c r="B3265" t="s">
        <v>65</v>
      </c>
      <c r="C3265" t="s">
        <v>3084</v>
      </c>
      <c r="D3265" t="s">
        <v>3085</v>
      </c>
      <c r="E3265" t="s">
        <v>3086</v>
      </c>
      <c r="F3265" t="s">
        <v>94</v>
      </c>
      <c r="G3265" t="s">
        <v>277</v>
      </c>
      <c r="H3265" s="12">
        <v>6.9786000000000001</v>
      </c>
      <c r="I3265" s="12">
        <v>-75.296099999999996</v>
      </c>
      <c r="J3265" t="s">
        <v>3087</v>
      </c>
      <c r="K3265" t="s">
        <v>97</v>
      </c>
      <c r="L3265" t="s">
        <v>1273</v>
      </c>
      <c r="M3265">
        <v>11</v>
      </c>
      <c r="P3265" s="13">
        <v>186</v>
      </c>
      <c r="Q3265" s="13">
        <v>54</v>
      </c>
      <c r="R3265">
        <v>18</v>
      </c>
      <c r="S3265">
        <v>42</v>
      </c>
      <c r="T3265" s="13">
        <v>24</v>
      </c>
      <c r="U3265" s="13">
        <v>71</v>
      </c>
      <c r="V3265" t="s">
        <v>99</v>
      </c>
      <c r="X3265" s="13">
        <v>186</v>
      </c>
    </row>
    <row r="3266" spans="1:24" x14ac:dyDescent="0.25">
      <c r="A3266" t="s">
        <v>3097</v>
      </c>
      <c r="B3266" t="s">
        <v>65</v>
      </c>
      <c r="C3266" t="s">
        <v>3084</v>
      </c>
      <c r="D3266" t="s">
        <v>3085</v>
      </c>
      <c r="E3266" t="s">
        <v>3086</v>
      </c>
      <c r="F3266" t="s">
        <v>94</v>
      </c>
      <c r="G3266" t="s">
        <v>277</v>
      </c>
      <c r="H3266" s="12">
        <v>6.9786000000000001</v>
      </c>
      <c r="I3266" s="12">
        <v>-75.296099999999996</v>
      </c>
      <c r="J3266" t="s">
        <v>3087</v>
      </c>
      <c r="K3266" t="s">
        <v>97</v>
      </c>
      <c r="L3266" t="s">
        <v>1273</v>
      </c>
      <c r="M3266">
        <v>11</v>
      </c>
      <c r="P3266" s="13">
        <v>181</v>
      </c>
      <c r="Q3266" s="13">
        <v>49</v>
      </c>
      <c r="R3266">
        <v>24</v>
      </c>
      <c r="S3266">
        <v>28</v>
      </c>
      <c r="T3266" s="13">
        <v>41</v>
      </c>
      <c r="U3266" s="13">
        <v>44</v>
      </c>
      <c r="V3266" t="s">
        <v>99</v>
      </c>
      <c r="X3266" s="13">
        <v>181</v>
      </c>
    </row>
    <row r="3267" spans="1:24" x14ac:dyDescent="0.25">
      <c r="A3267" t="s">
        <v>3098</v>
      </c>
      <c r="B3267" t="s">
        <v>65</v>
      </c>
      <c r="C3267" t="s">
        <v>3084</v>
      </c>
      <c r="D3267" t="s">
        <v>3085</v>
      </c>
      <c r="E3267" t="s">
        <v>3086</v>
      </c>
      <c r="F3267" t="s">
        <v>94</v>
      </c>
      <c r="G3267" t="s">
        <v>277</v>
      </c>
      <c r="H3267" s="12">
        <v>6.9786000000000001</v>
      </c>
      <c r="I3267" s="12">
        <v>-75.296099999999996</v>
      </c>
      <c r="J3267" t="s">
        <v>3087</v>
      </c>
      <c r="K3267" t="s">
        <v>97</v>
      </c>
      <c r="L3267" t="s">
        <v>1273</v>
      </c>
      <c r="M3267">
        <v>11</v>
      </c>
      <c r="P3267" s="13">
        <v>179</v>
      </c>
      <c r="Q3267" s="13">
        <v>41</v>
      </c>
      <c r="R3267">
        <v>30</v>
      </c>
      <c r="S3267">
        <v>44</v>
      </c>
      <c r="T3267" s="13">
        <v>28</v>
      </c>
      <c r="U3267" s="13">
        <v>36</v>
      </c>
      <c r="V3267" t="s">
        <v>99</v>
      </c>
      <c r="X3267" s="13">
        <v>179</v>
      </c>
    </row>
    <row r="3268" spans="1:24" x14ac:dyDescent="0.25">
      <c r="A3268" t="s">
        <v>3099</v>
      </c>
      <c r="B3268" t="s">
        <v>65</v>
      </c>
      <c r="C3268" t="s">
        <v>3084</v>
      </c>
      <c r="D3268" t="s">
        <v>3085</v>
      </c>
      <c r="E3268" t="s">
        <v>3086</v>
      </c>
      <c r="F3268" t="s">
        <v>94</v>
      </c>
      <c r="G3268" t="s">
        <v>277</v>
      </c>
      <c r="H3268" s="12">
        <v>6.9786000000000001</v>
      </c>
      <c r="I3268" s="12">
        <v>-75.296099999999996</v>
      </c>
      <c r="J3268" t="s">
        <v>3087</v>
      </c>
      <c r="K3268" t="s">
        <v>97</v>
      </c>
      <c r="L3268" t="s">
        <v>1273</v>
      </c>
      <c r="M3268">
        <v>11</v>
      </c>
      <c r="P3268" s="13">
        <v>177</v>
      </c>
      <c r="Q3268" s="13">
        <v>49</v>
      </c>
      <c r="R3268">
        <v>26</v>
      </c>
      <c r="S3268">
        <v>42</v>
      </c>
      <c r="T3268" s="13">
        <v>22</v>
      </c>
      <c r="U3268" s="13">
        <v>44</v>
      </c>
      <c r="V3268" t="s">
        <v>99</v>
      </c>
      <c r="X3268" s="13">
        <v>177</v>
      </c>
    </row>
    <row r="3269" spans="1:24" x14ac:dyDescent="0.25">
      <c r="A3269" t="s">
        <v>3100</v>
      </c>
      <c r="B3269" t="s">
        <v>65</v>
      </c>
      <c r="C3269" t="s">
        <v>3084</v>
      </c>
      <c r="D3269" t="s">
        <v>3085</v>
      </c>
      <c r="E3269" t="s">
        <v>3086</v>
      </c>
      <c r="F3269" t="s">
        <v>94</v>
      </c>
      <c r="G3269" t="s">
        <v>277</v>
      </c>
      <c r="H3269" s="12">
        <v>6.9786000000000001</v>
      </c>
      <c r="I3269" s="12">
        <v>-75.296099999999996</v>
      </c>
      <c r="J3269" t="s">
        <v>3087</v>
      </c>
      <c r="K3269" t="s">
        <v>97</v>
      </c>
      <c r="L3269" t="s">
        <v>1273</v>
      </c>
      <c r="M3269">
        <v>11</v>
      </c>
      <c r="P3269" s="13">
        <v>175</v>
      </c>
      <c r="Q3269" s="13">
        <v>34</v>
      </c>
      <c r="R3269">
        <v>24</v>
      </c>
      <c r="S3269">
        <v>38</v>
      </c>
      <c r="T3269" s="13">
        <v>33</v>
      </c>
      <c r="U3269" s="13">
        <v>67</v>
      </c>
      <c r="V3269" t="s">
        <v>99</v>
      </c>
      <c r="X3269" s="13">
        <v>175</v>
      </c>
    </row>
    <row r="3270" spans="1:24" x14ac:dyDescent="0.25">
      <c r="A3270" t="s">
        <v>3101</v>
      </c>
      <c r="B3270" t="s">
        <v>65</v>
      </c>
      <c r="C3270" t="s">
        <v>3084</v>
      </c>
      <c r="D3270" t="s">
        <v>3085</v>
      </c>
      <c r="E3270" t="s">
        <v>3086</v>
      </c>
      <c r="F3270" t="s">
        <v>94</v>
      </c>
      <c r="G3270" t="s">
        <v>277</v>
      </c>
      <c r="H3270" s="12">
        <v>6.9786000000000001</v>
      </c>
      <c r="I3270" s="12">
        <v>-75.296099999999996</v>
      </c>
      <c r="J3270" t="s">
        <v>3087</v>
      </c>
      <c r="K3270" t="s">
        <v>97</v>
      </c>
      <c r="L3270" t="s">
        <v>1273</v>
      </c>
      <c r="M3270">
        <v>11</v>
      </c>
      <c r="P3270" s="13">
        <v>169</v>
      </c>
      <c r="Q3270" s="13">
        <v>46</v>
      </c>
      <c r="R3270">
        <v>16</v>
      </c>
      <c r="S3270">
        <v>54</v>
      </c>
      <c r="T3270" s="13">
        <v>10</v>
      </c>
      <c r="U3270" s="13">
        <v>60</v>
      </c>
      <c r="V3270" t="s">
        <v>99</v>
      </c>
      <c r="X3270" s="13">
        <v>169</v>
      </c>
    </row>
    <row r="3271" spans="1:24" x14ac:dyDescent="0.25">
      <c r="A3271" t="s">
        <v>3102</v>
      </c>
      <c r="B3271" t="s">
        <v>65</v>
      </c>
      <c r="C3271" t="s">
        <v>3084</v>
      </c>
      <c r="D3271" t="s">
        <v>3085</v>
      </c>
      <c r="E3271" t="s">
        <v>3086</v>
      </c>
      <c r="F3271" t="s">
        <v>94</v>
      </c>
      <c r="G3271" t="s">
        <v>277</v>
      </c>
      <c r="H3271" s="12">
        <v>6.9786000000000001</v>
      </c>
      <c r="I3271" s="12">
        <v>-75.296099999999996</v>
      </c>
      <c r="J3271" t="s">
        <v>3087</v>
      </c>
      <c r="K3271" t="s">
        <v>97</v>
      </c>
      <c r="L3271" t="s">
        <v>1273</v>
      </c>
      <c r="M3271">
        <v>11</v>
      </c>
      <c r="P3271" s="13">
        <v>166</v>
      </c>
      <c r="Q3271" s="13">
        <v>37</v>
      </c>
      <c r="R3271">
        <v>28</v>
      </c>
      <c r="S3271">
        <v>40</v>
      </c>
      <c r="T3271" s="13">
        <v>28</v>
      </c>
      <c r="U3271" s="13">
        <v>36</v>
      </c>
      <c r="V3271" t="s">
        <v>99</v>
      </c>
      <c r="X3271" s="13">
        <v>166</v>
      </c>
    </row>
    <row r="3272" spans="1:24" x14ac:dyDescent="0.25">
      <c r="A3272" t="s">
        <v>3103</v>
      </c>
      <c r="B3272" t="s">
        <v>65</v>
      </c>
      <c r="C3272" t="s">
        <v>3084</v>
      </c>
      <c r="D3272" t="s">
        <v>3085</v>
      </c>
      <c r="E3272" t="s">
        <v>3086</v>
      </c>
      <c r="F3272" t="s">
        <v>94</v>
      </c>
      <c r="G3272" t="s">
        <v>277</v>
      </c>
      <c r="H3272" s="12">
        <v>6.9786000000000001</v>
      </c>
      <c r="I3272" s="12">
        <v>-75.296099999999996</v>
      </c>
      <c r="J3272" t="s">
        <v>3087</v>
      </c>
      <c r="K3272" t="s">
        <v>97</v>
      </c>
      <c r="L3272" t="s">
        <v>1273</v>
      </c>
      <c r="M3272">
        <v>11</v>
      </c>
      <c r="P3272" s="13">
        <v>166</v>
      </c>
      <c r="Q3272" s="13">
        <v>41</v>
      </c>
      <c r="R3272">
        <v>20</v>
      </c>
      <c r="S3272">
        <v>38</v>
      </c>
      <c r="T3272" s="13">
        <v>28</v>
      </c>
      <c r="U3272" s="13">
        <v>51</v>
      </c>
      <c r="V3272" t="s">
        <v>99</v>
      </c>
      <c r="X3272" s="13">
        <v>166</v>
      </c>
    </row>
    <row r="3273" spans="1:24" x14ac:dyDescent="0.25">
      <c r="A3273" t="s">
        <v>3104</v>
      </c>
      <c r="B3273" t="s">
        <v>65</v>
      </c>
      <c r="C3273" t="s">
        <v>3084</v>
      </c>
      <c r="D3273" t="s">
        <v>3085</v>
      </c>
      <c r="E3273" t="s">
        <v>3086</v>
      </c>
      <c r="F3273" t="s">
        <v>94</v>
      </c>
      <c r="G3273" t="s">
        <v>277</v>
      </c>
      <c r="H3273" s="12">
        <v>6.9786000000000001</v>
      </c>
      <c r="I3273" s="12">
        <v>-75.296099999999996</v>
      </c>
      <c r="J3273" t="s">
        <v>3087</v>
      </c>
      <c r="K3273" t="s">
        <v>97</v>
      </c>
      <c r="L3273" t="s">
        <v>1273</v>
      </c>
      <c r="M3273">
        <v>11</v>
      </c>
      <c r="P3273" s="13">
        <v>166</v>
      </c>
      <c r="Q3273" s="13">
        <v>34</v>
      </c>
      <c r="R3273">
        <v>24</v>
      </c>
      <c r="S3273">
        <v>52</v>
      </c>
      <c r="T3273" s="13">
        <v>22</v>
      </c>
      <c r="U3273" s="13">
        <v>33</v>
      </c>
      <c r="V3273" t="s">
        <v>99</v>
      </c>
      <c r="X3273" s="13">
        <v>166</v>
      </c>
    </row>
    <row r="3274" spans="1:24" x14ac:dyDescent="0.25">
      <c r="A3274" t="s">
        <v>3105</v>
      </c>
      <c r="B3274" t="s">
        <v>65</v>
      </c>
      <c r="C3274" t="s">
        <v>3084</v>
      </c>
      <c r="D3274" t="s">
        <v>3085</v>
      </c>
      <c r="E3274" t="s">
        <v>3086</v>
      </c>
      <c r="F3274" t="s">
        <v>94</v>
      </c>
      <c r="G3274" t="s">
        <v>277</v>
      </c>
      <c r="H3274" s="12">
        <v>6.9786000000000001</v>
      </c>
      <c r="I3274" s="12">
        <v>-75.296099999999996</v>
      </c>
      <c r="J3274" t="s">
        <v>3087</v>
      </c>
      <c r="K3274" t="s">
        <v>97</v>
      </c>
      <c r="L3274" t="s">
        <v>1273</v>
      </c>
      <c r="M3274">
        <v>11</v>
      </c>
      <c r="P3274" s="13">
        <v>160</v>
      </c>
      <c r="Q3274" s="13">
        <v>34</v>
      </c>
      <c r="R3274">
        <v>16</v>
      </c>
      <c r="S3274">
        <v>42</v>
      </c>
      <c r="T3274" s="13">
        <v>29</v>
      </c>
      <c r="U3274" s="13">
        <v>51</v>
      </c>
      <c r="V3274" t="s">
        <v>99</v>
      </c>
      <c r="X3274" s="13">
        <v>160</v>
      </c>
    </row>
    <row r="3275" spans="1:24" x14ac:dyDescent="0.25">
      <c r="A3275" t="s">
        <v>3106</v>
      </c>
      <c r="B3275" t="s">
        <v>65</v>
      </c>
      <c r="C3275" t="s">
        <v>3084</v>
      </c>
      <c r="D3275" t="s">
        <v>3085</v>
      </c>
      <c r="E3275" t="s">
        <v>3086</v>
      </c>
      <c r="F3275" t="s">
        <v>94</v>
      </c>
      <c r="G3275" t="s">
        <v>277</v>
      </c>
      <c r="H3275" s="12">
        <v>6.9786000000000001</v>
      </c>
      <c r="I3275" s="12">
        <v>-75.296099999999996</v>
      </c>
      <c r="J3275" t="s">
        <v>3087</v>
      </c>
      <c r="K3275" t="s">
        <v>97</v>
      </c>
      <c r="L3275" t="s">
        <v>1273</v>
      </c>
      <c r="M3275">
        <v>11</v>
      </c>
      <c r="P3275" s="13">
        <v>146</v>
      </c>
      <c r="Q3275" s="13">
        <v>34</v>
      </c>
      <c r="R3275">
        <v>20</v>
      </c>
      <c r="S3275">
        <v>36</v>
      </c>
      <c r="T3275" s="13">
        <v>22</v>
      </c>
      <c r="U3275" s="13">
        <v>42</v>
      </c>
      <c r="V3275" t="s">
        <v>99</v>
      </c>
      <c r="X3275" s="13">
        <v>146</v>
      </c>
    </row>
    <row r="3276" spans="1:24" x14ac:dyDescent="0.25">
      <c r="A3276" t="s">
        <v>3107</v>
      </c>
      <c r="B3276" t="s">
        <v>65</v>
      </c>
      <c r="C3276" t="s">
        <v>3084</v>
      </c>
      <c r="D3276" t="s">
        <v>3085</v>
      </c>
      <c r="E3276" t="s">
        <v>3086</v>
      </c>
      <c r="F3276" t="s">
        <v>94</v>
      </c>
      <c r="G3276" t="s">
        <v>277</v>
      </c>
      <c r="H3276" s="12">
        <v>6.9786000000000001</v>
      </c>
      <c r="I3276" s="12">
        <v>-75.296099999999996</v>
      </c>
      <c r="J3276" t="s">
        <v>3087</v>
      </c>
      <c r="K3276" t="s">
        <v>97</v>
      </c>
      <c r="L3276" t="s">
        <v>1273</v>
      </c>
      <c r="M3276">
        <v>11</v>
      </c>
      <c r="P3276" s="13">
        <v>145</v>
      </c>
      <c r="Q3276" s="13">
        <v>39</v>
      </c>
      <c r="R3276">
        <v>24</v>
      </c>
      <c r="S3276">
        <v>26</v>
      </c>
      <c r="T3276" s="13">
        <v>29</v>
      </c>
      <c r="U3276" s="13">
        <v>22</v>
      </c>
      <c r="V3276" t="s">
        <v>99</v>
      </c>
      <c r="X3276" s="13">
        <v>145</v>
      </c>
    </row>
    <row r="3277" spans="1:24" x14ac:dyDescent="0.25">
      <c r="A3277" t="s">
        <v>3108</v>
      </c>
      <c r="B3277" t="s">
        <v>65</v>
      </c>
      <c r="C3277" t="s">
        <v>3084</v>
      </c>
      <c r="D3277" t="s">
        <v>3085</v>
      </c>
      <c r="E3277" t="s">
        <v>3086</v>
      </c>
      <c r="F3277" t="s">
        <v>94</v>
      </c>
      <c r="G3277" t="s">
        <v>277</v>
      </c>
      <c r="H3277" s="12">
        <v>6.9786000000000001</v>
      </c>
      <c r="I3277" s="12">
        <v>-75.296099999999996</v>
      </c>
      <c r="J3277" t="s">
        <v>3087</v>
      </c>
      <c r="K3277" t="s">
        <v>97</v>
      </c>
      <c r="L3277" t="s">
        <v>1273</v>
      </c>
      <c r="M3277">
        <v>11</v>
      </c>
      <c r="P3277" s="13">
        <v>141</v>
      </c>
      <c r="Q3277" s="13">
        <v>39</v>
      </c>
      <c r="R3277">
        <v>22</v>
      </c>
      <c r="S3277">
        <v>28</v>
      </c>
      <c r="T3277" s="13">
        <v>24</v>
      </c>
      <c r="U3277" s="13">
        <v>27</v>
      </c>
      <c r="V3277" t="s">
        <v>99</v>
      </c>
      <c r="X3277" s="13">
        <v>141</v>
      </c>
    </row>
    <row r="3278" spans="1:24" x14ac:dyDescent="0.25">
      <c r="A3278" t="s">
        <v>3109</v>
      </c>
      <c r="B3278" t="s">
        <v>65</v>
      </c>
      <c r="C3278" t="s">
        <v>3084</v>
      </c>
      <c r="D3278" t="s">
        <v>3085</v>
      </c>
      <c r="E3278" t="s">
        <v>3086</v>
      </c>
      <c r="F3278" t="s">
        <v>94</v>
      </c>
      <c r="G3278" t="s">
        <v>277</v>
      </c>
      <c r="H3278" s="12">
        <v>6.9786000000000001</v>
      </c>
      <c r="I3278" s="12">
        <v>-75.296099999999996</v>
      </c>
      <c r="J3278" t="s">
        <v>3087</v>
      </c>
      <c r="K3278" t="s">
        <v>97</v>
      </c>
      <c r="L3278" t="s">
        <v>1273</v>
      </c>
      <c r="M3278">
        <v>11</v>
      </c>
      <c r="P3278" s="13">
        <v>140</v>
      </c>
      <c r="Q3278" s="13">
        <v>41</v>
      </c>
      <c r="R3278">
        <v>20</v>
      </c>
      <c r="S3278">
        <v>38</v>
      </c>
      <c r="T3278" s="13">
        <v>14</v>
      </c>
      <c r="U3278" s="13">
        <v>25</v>
      </c>
      <c r="V3278" t="s">
        <v>99</v>
      </c>
      <c r="X3278" s="13">
        <v>140</v>
      </c>
    </row>
    <row r="3279" spans="1:24" x14ac:dyDescent="0.25">
      <c r="A3279" t="s">
        <v>3110</v>
      </c>
      <c r="B3279" t="s">
        <v>65</v>
      </c>
      <c r="C3279" t="s">
        <v>3084</v>
      </c>
      <c r="D3279" t="s">
        <v>3085</v>
      </c>
      <c r="E3279" t="s">
        <v>3086</v>
      </c>
      <c r="F3279" t="s">
        <v>94</v>
      </c>
      <c r="G3279" t="s">
        <v>277</v>
      </c>
      <c r="H3279" s="12">
        <v>6.9786000000000001</v>
      </c>
      <c r="I3279" s="12">
        <v>-75.296099999999996</v>
      </c>
      <c r="J3279" t="s">
        <v>3087</v>
      </c>
      <c r="K3279" t="s">
        <v>97</v>
      </c>
      <c r="L3279" t="s">
        <v>1273</v>
      </c>
      <c r="M3279">
        <v>11</v>
      </c>
      <c r="P3279" s="13">
        <v>127</v>
      </c>
      <c r="Q3279" s="13">
        <v>39</v>
      </c>
      <c r="R3279">
        <v>18</v>
      </c>
      <c r="S3279">
        <v>28</v>
      </c>
      <c r="T3279" s="13">
        <v>17</v>
      </c>
      <c r="U3279" s="13">
        <v>24</v>
      </c>
      <c r="V3279" t="s">
        <v>99</v>
      </c>
      <c r="X3279" s="13">
        <v>127</v>
      </c>
    </row>
    <row r="3280" spans="1:24" x14ac:dyDescent="0.25">
      <c r="A3280" t="s">
        <v>3111</v>
      </c>
      <c r="B3280" t="s">
        <v>65</v>
      </c>
      <c r="C3280" t="s">
        <v>3084</v>
      </c>
      <c r="D3280" t="s">
        <v>3085</v>
      </c>
      <c r="E3280" t="s">
        <v>3086</v>
      </c>
      <c r="F3280" t="s">
        <v>94</v>
      </c>
      <c r="G3280" t="s">
        <v>277</v>
      </c>
      <c r="H3280" s="12">
        <v>6.9786000000000001</v>
      </c>
      <c r="I3280" s="12">
        <v>-75.296099999999996</v>
      </c>
      <c r="J3280" t="s">
        <v>3087</v>
      </c>
      <c r="K3280" t="s">
        <v>97</v>
      </c>
      <c r="L3280" t="s">
        <v>1273</v>
      </c>
      <c r="M3280">
        <v>11</v>
      </c>
      <c r="P3280" s="13">
        <v>121</v>
      </c>
      <c r="Q3280" s="13">
        <v>29</v>
      </c>
      <c r="R3280">
        <v>12</v>
      </c>
      <c r="S3280">
        <v>30</v>
      </c>
      <c r="T3280" s="13">
        <v>21</v>
      </c>
      <c r="U3280" s="13">
        <v>38</v>
      </c>
      <c r="V3280" t="s">
        <v>99</v>
      </c>
      <c r="X3280" s="13">
        <v>121</v>
      </c>
    </row>
    <row r="3281" spans="1:24" x14ac:dyDescent="0.25">
      <c r="A3281" t="s">
        <v>3112</v>
      </c>
      <c r="B3281" t="s">
        <v>65</v>
      </c>
      <c r="C3281" t="s">
        <v>3084</v>
      </c>
      <c r="D3281" t="s">
        <v>3085</v>
      </c>
      <c r="E3281" t="s">
        <v>3086</v>
      </c>
      <c r="F3281" t="s">
        <v>94</v>
      </c>
      <c r="G3281" t="s">
        <v>277</v>
      </c>
      <c r="H3281" s="12">
        <v>6.9786000000000001</v>
      </c>
      <c r="I3281" s="12">
        <v>-75.296099999999996</v>
      </c>
      <c r="J3281" t="s">
        <v>3087</v>
      </c>
      <c r="K3281" t="s">
        <v>97</v>
      </c>
      <c r="L3281" t="s">
        <v>1273</v>
      </c>
      <c r="M3281">
        <v>11</v>
      </c>
      <c r="P3281" s="13">
        <v>87</v>
      </c>
      <c r="Q3281" s="13">
        <v>20</v>
      </c>
      <c r="R3281">
        <v>8</v>
      </c>
      <c r="S3281">
        <v>34</v>
      </c>
      <c r="T3281" s="13">
        <v>14</v>
      </c>
      <c r="U3281" s="13">
        <v>0</v>
      </c>
      <c r="V3281" t="s">
        <v>99</v>
      </c>
      <c r="X3281" s="13">
        <v>87</v>
      </c>
    </row>
    <row r="3282" spans="1:24" x14ac:dyDescent="0.25">
      <c r="A3282" t="s">
        <v>3113</v>
      </c>
      <c r="B3282" t="s">
        <v>65</v>
      </c>
      <c r="C3282" t="s">
        <v>3114</v>
      </c>
      <c r="D3282" t="s">
        <v>3115</v>
      </c>
      <c r="E3282" t="s">
        <v>3116</v>
      </c>
      <c r="F3282" t="s">
        <v>94</v>
      </c>
      <c r="G3282" t="s">
        <v>277</v>
      </c>
      <c r="H3282" s="12">
        <v>5.9625000000000004</v>
      </c>
      <c r="I3282" s="12">
        <v>-75.735799999999998</v>
      </c>
      <c r="J3282" t="s">
        <v>3117</v>
      </c>
      <c r="K3282" t="s">
        <v>97</v>
      </c>
      <c r="L3282" t="s">
        <v>1273</v>
      </c>
      <c r="M3282">
        <v>11</v>
      </c>
      <c r="P3282" s="13">
        <v>232</v>
      </c>
      <c r="Q3282" s="13">
        <v>61</v>
      </c>
      <c r="R3282">
        <v>26</v>
      </c>
      <c r="S3282">
        <v>54</v>
      </c>
      <c r="T3282" s="13">
        <v>33</v>
      </c>
      <c r="U3282" s="13">
        <v>82</v>
      </c>
      <c r="V3282" t="s">
        <v>99</v>
      </c>
      <c r="X3282" s="13">
        <v>232</v>
      </c>
    </row>
    <row r="3283" spans="1:24" x14ac:dyDescent="0.25">
      <c r="A3283" t="s">
        <v>3118</v>
      </c>
      <c r="B3283" t="s">
        <v>65</v>
      </c>
      <c r="C3283" t="s">
        <v>3114</v>
      </c>
      <c r="D3283" t="s">
        <v>3115</v>
      </c>
      <c r="E3283" t="s">
        <v>3116</v>
      </c>
      <c r="F3283" t="s">
        <v>94</v>
      </c>
      <c r="G3283" t="s">
        <v>277</v>
      </c>
      <c r="H3283" s="12">
        <v>5.9625000000000004</v>
      </c>
      <c r="I3283" s="12">
        <v>-75.735799999999998</v>
      </c>
      <c r="J3283" t="s">
        <v>3117</v>
      </c>
      <c r="K3283" t="s">
        <v>97</v>
      </c>
      <c r="L3283" t="s">
        <v>1273</v>
      </c>
      <c r="M3283">
        <v>11</v>
      </c>
      <c r="P3283" s="13">
        <v>227</v>
      </c>
      <c r="Q3283" s="13">
        <v>68</v>
      </c>
      <c r="R3283">
        <v>30</v>
      </c>
      <c r="S3283">
        <v>52</v>
      </c>
      <c r="T3283" s="13">
        <v>34</v>
      </c>
      <c r="U3283" s="13">
        <v>36</v>
      </c>
      <c r="V3283" t="s">
        <v>99</v>
      </c>
      <c r="X3283" s="13">
        <v>227</v>
      </c>
    </row>
    <row r="3284" spans="1:24" x14ac:dyDescent="0.25">
      <c r="A3284" t="s">
        <v>3119</v>
      </c>
      <c r="B3284" t="s">
        <v>65</v>
      </c>
      <c r="C3284" t="s">
        <v>3114</v>
      </c>
      <c r="D3284" t="s">
        <v>3115</v>
      </c>
      <c r="E3284" t="s">
        <v>3116</v>
      </c>
      <c r="F3284" t="s">
        <v>94</v>
      </c>
      <c r="G3284" t="s">
        <v>277</v>
      </c>
      <c r="H3284" s="12">
        <v>5.9625000000000004</v>
      </c>
      <c r="I3284" s="12">
        <v>-75.735799999999998</v>
      </c>
      <c r="J3284" t="s">
        <v>3117</v>
      </c>
      <c r="K3284" t="s">
        <v>97</v>
      </c>
      <c r="L3284" t="s">
        <v>1273</v>
      </c>
      <c r="M3284">
        <v>11</v>
      </c>
      <c r="P3284" s="13">
        <v>225</v>
      </c>
      <c r="Q3284" s="13">
        <v>59</v>
      </c>
      <c r="R3284">
        <v>20</v>
      </c>
      <c r="S3284">
        <v>64</v>
      </c>
      <c r="T3284" s="13">
        <v>34</v>
      </c>
      <c r="U3284" s="13">
        <v>55</v>
      </c>
      <c r="V3284" t="s">
        <v>99</v>
      </c>
      <c r="X3284" s="13">
        <v>225</v>
      </c>
    </row>
    <row r="3285" spans="1:24" x14ac:dyDescent="0.25">
      <c r="A3285" t="s">
        <v>3120</v>
      </c>
      <c r="B3285" t="s">
        <v>65</v>
      </c>
      <c r="C3285" t="s">
        <v>3114</v>
      </c>
      <c r="D3285" t="s">
        <v>3115</v>
      </c>
      <c r="E3285" t="s">
        <v>3116</v>
      </c>
      <c r="F3285" t="s">
        <v>94</v>
      </c>
      <c r="G3285" t="s">
        <v>277</v>
      </c>
      <c r="H3285" s="12">
        <v>5.9625000000000004</v>
      </c>
      <c r="I3285" s="12">
        <v>-75.735799999999998</v>
      </c>
      <c r="J3285" t="s">
        <v>3117</v>
      </c>
      <c r="K3285" t="s">
        <v>97</v>
      </c>
      <c r="L3285" t="s">
        <v>1273</v>
      </c>
      <c r="M3285">
        <v>11</v>
      </c>
      <c r="P3285" s="13">
        <v>205</v>
      </c>
      <c r="Q3285" s="13">
        <v>39</v>
      </c>
      <c r="R3285">
        <v>14</v>
      </c>
      <c r="S3285">
        <v>60</v>
      </c>
      <c r="T3285" s="13">
        <v>45</v>
      </c>
      <c r="U3285" s="13">
        <v>60</v>
      </c>
      <c r="V3285" t="s">
        <v>99</v>
      </c>
      <c r="X3285" s="13">
        <v>205</v>
      </c>
    </row>
    <row r="3286" spans="1:24" x14ac:dyDescent="0.25">
      <c r="A3286" t="s">
        <v>3121</v>
      </c>
      <c r="B3286" t="s">
        <v>65</v>
      </c>
      <c r="C3286" t="s">
        <v>3114</v>
      </c>
      <c r="D3286" t="s">
        <v>3115</v>
      </c>
      <c r="E3286" t="s">
        <v>3116</v>
      </c>
      <c r="F3286" t="s">
        <v>94</v>
      </c>
      <c r="G3286" t="s">
        <v>277</v>
      </c>
      <c r="H3286" s="12">
        <v>5.9625000000000004</v>
      </c>
      <c r="I3286" s="12">
        <v>-75.735799999999998</v>
      </c>
      <c r="J3286" t="s">
        <v>3117</v>
      </c>
      <c r="K3286" t="s">
        <v>97</v>
      </c>
      <c r="L3286" t="s">
        <v>1273</v>
      </c>
      <c r="M3286">
        <v>11</v>
      </c>
      <c r="P3286" s="13">
        <v>185</v>
      </c>
      <c r="Q3286" s="13">
        <v>37</v>
      </c>
      <c r="R3286">
        <v>12</v>
      </c>
      <c r="S3286">
        <v>60</v>
      </c>
      <c r="T3286" s="13">
        <v>38</v>
      </c>
      <c r="U3286" s="13">
        <v>42</v>
      </c>
      <c r="V3286" t="s">
        <v>99</v>
      </c>
      <c r="X3286" s="13">
        <v>185</v>
      </c>
    </row>
    <row r="3287" spans="1:24" x14ac:dyDescent="0.25">
      <c r="A3287" t="s">
        <v>3122</v>
      </c>
      <c r="B3287" t="s">
        <v>65</v>
      </c>
      <c r="C3287" t="s">
        <v>3114</v>
      </c>
      <c r="D3287" t="s">
        <v>3115</v>
      </c>
      <c r="E3287" t="s">
        <v>3116</v>
      </c>
      <c r="F3287" t="s">
        <v>94</v>
      </c>
      <c r="G3287" t="s">
        <v>277</v>
      </c>
      <c r="H3287" s="12">
        <v>5.9625000000000004</v>
      </c>
      <c r="I3287" s="12">
        <v>-75.735799999999998</v>
      </c>
      <c r="J3287" t="s">
        <v>3117</v>
      </c>
      <c r="K3287" t="s">
        <v>97</v>
      </c>
      <c r="L3287" t="s">
        <v>1273</v>
      </c>
      <c r="M3287">
        <v>11</v>
      </c>
      <c r="P3287" s="13">
        <v>184</v>
      </c>
      <c r="Q3287" s="13">
        <v>39</v>
      </c>
      <c r="R3287">
        <v>28</v>
      </c>
      <c r="S3287">
        <v>54</v>
      </c>
      <c r="T3287" s="13">
        <v>22</v>
      </c>
      <c r="U3287" s="13">
        <v>47</v>
      </c>
      <c r="V3287" t="s">
        <v>99</v>
      </c>
      <c r="X3287" s="13">
        <v>184</v>
      </c>
    </row>
    <row r="3288" spans="1:24" x14ac:dyDescent="0.25">
      <c r="A3288" t="s">
        <v>3123</v>
      </c>
      <c r="B3288" t="s">
        <v>65</v>
      </c>
      <c r="C3288" t="s">
        <v>3114</v>
      </c>
      <c r="D3288" t="s">
        <v>3115</v>
      </c>
      <c r="E3288" t="s">
        <v>3116</v>
      </c>
      <c r="F3288" t="s">
        <v>94</v>
      </c>
      <c r="G3288" t="s">
        <v>277</v>
      </c>
      <c r="H3288" s="12">
        <v>5.9625000000000004</v>
      </c>
      <c r="I3288" s="12">
        <v>-75.735799999999998</v>
      </c>
      <c r="J3288" t="s">
        <v>3117</v>
      </c>
      <c r="K3288" t="s">
        <v>97</v>
      </c>
      <c r="L3288" t="s">
        <v>1273</v>
      </c>
      <c r="M3288">
        <v>11</v>
      </c>
      <c r="P3288" s="13">
        <v>177</v>
      </c>
      <c r="Q3288" s="13">
        <v>41</v>
      </c>
      <c r="R3288">
        <v>24</v>
      </c>
      <c r="S3288">
        <v>46</v>
      </c>
      <c r="T3288" s="13">
        <v>31</v>
      </c>
      <c r="U3288" s="13">
        <v>33</v>
      </c>
      <c r="V3288" t="s">
        <v>99</v>
      </c>
      <c r="X3288" s="13">
        <v>177</v>
      </c>
    </row>
    <row r="3289" spans="1:24" x14ac:dyDescent="0.25">
      <c r="A3289" t="s">
        <v>3124</v>
      </c>
      <c r="B3289" t="s">
        <v>65</v>
      </c>
      <c r="C3289" t="s">
        <v>3114</v>
      </c>
      <c r="D3289" t="s">
        <v>3115</v>
      </c>
      <c r="E3289" t="s">
        <v>3116</v>
      </c>
      <c r="F3289" t="s">
        <v>94</v>
      </c>
      <c r="G3289" t="s">
        <v>277</v>
      </c>
      <c r="H3289" s="12">
        <v>5.9625000000000004</v>
      </c>
      <c r="I3289" s="12">
        <v>-75.735799999999998</v>
      </c>
      <c r="J3289" t="s">
        <v>3117</v>
      </c>
      <c r="K3289" t="s">
        <v>97</v>
      </c>
      <c r="L3289" t="s">
        <v>1273</v>
      </c>
      <c r="M3289">
        <v>11</v>
      </c>
      <c r="P3289" s="13">
        <v>177</v>
      </c>
      <c r="Q3289" s="13">
        <v>46</v>
      </c>
      <c r="R3289">
        <v>30</v>
      </c>
      <c r="S3289">
        <v>40</v>
      </c>
      <c r="T3289" s="13">
        <v>26</v>
      </c>
      <c r="U3289" s="13">
        <v>33</v>
      </c>
      <c r="V3289" t="s">
        <v>99</v>
      </c>
      <c r="X3289" s="13">
        <v>177</v>
      </c>
    </row>
    <row r="3290" spans="1:24" x14ac:dyDescent="0.25">
      <c r="A3290" t="s">
        <v>3125</v>
      </c>
      <c r="B3290" t="s">
        <v>65</v>
      </c>
      <c r="C3290" t="s">
        <v>3114</v>
      </c>
      <c r="D3290" t="s">
        <v>3115</v>
      </c>
      <c r="E3290" t="s">
        <v>3116</v>
      </c>
      <c r="F3290" t="s">
        <v>94</v>
      </c>
      <c r="G3290" t="s">
        <v>277</v>
      </c>
      <c r="H3290" s="12">
        <v>5.9625000000000004</v>
      </c>
      <c r="I3290" s="12">
        <v>-75.735799999999998</v>
      </c>
      <c r="J3290" t="s">
        <v>3117</v>
      </c>
      <c r="K3290" t="s">
        <v>97</v>
      </c>
      <c r="L3290" t="s">
        <v>1273</v>
      </c>
      <c r="M3290">
        <v>11</v>
      </c>
      <c r="P3290" s="13">
        <v>175</v>
      </c>
      <c r="Q3290" s="13">
        <v>32</v>
      </c>
      <c r="R3290">
        <v>24</v>
      </c>
      <c r="S3290">
        <v>48</v>
      </c>
      <c r="T3290" s="13">
        <v>38</v>
      </c>
      <c r="U3290" s="13">
        <v>31</v>
      </c>
      <c r="V3290" t="s">
        <v>99</v>
      </c>
      <c r="X3290" s="13">
        <v>175</v>
      </c>
    </row>
    <row r="3291" spans="1:24" x14ac:dyDescent="0.25">
      <c r="A3291" t="s">
        <v>3126</v>
      </c>
      <c r="B3291" t="s">
        <v>65</v>
      </c>
      <c r="C3291" t="s">
        <v>3114</v>
      </c>
      <c r="D3291" t="s">
        <v>3115</v>
      </c>
      <c r="E3291" t="s">
        <v>3116</v>
      </c>
      <c r="F3291" t="s">
        <v>94</v>
      </c>
      <c r="G3291" t="s">
        <v>277</v>
      </c>
      <c r="H3291" s="12">
        <v>5.9625000000000004</v>
      </c>
      <c r="I3291" s="12">
        <v>-75.735799999999998</v>
      </c>
      <c r="J3291" t="s">
        <v>3117</v>
      </c>
      <c r="K3291" t="s">
        <v>97</v>
      </c>
      <c r="L3291" t="s">
        <v>1273</v>
      </c>
      <c r="M3291">
        <v>11</v>
      </c>
      <c r="P3291" s="13">
        <v>174</v>
      </c>
      <c r="Q3291" s="13">
        <v>54</v>
      </c>
      <c r="R3291">
        <v>24</v>
      </c>
      <c r="S3291">
        <v>34</v>
      </c>
      <c r="T3291" s="13">
        <v>22</v>
      </c>
      <c r="U3291" s="13">
        <v>51</v>
      </c>
      <c r="V3291" t="s">
        <v>99</v>
      </c>
      <c r="X3291" s="13">
        <v>174</v>
      </c>
    </row>
    <row r="3292" spans="1:24" x14ac:dyDescent="0.25">
      <c r="A3292" t="s">
        <v>3127</v>
      </c>
      <c r="B3292" t="s">
        <v>65</v>
      </c>
      <c r="C3292" t="s">
        <v>3114</v>
      </c>
      <c r="D3292" t="s">
        <v>3115</v>
      </c>
      <c r="E3292" t="s">
        <v>3116</v>
      </c>
      <c r="F3292" t="s">
        <v>94</v>
      </c>
      <c r="G3292" t="s">
        <v>277</v>
      </c>
      <c r="H3292" s="12">
        <v>5.9625000000000004</v>
      </c>
      <c r="I3292" s="12">
        <v>-75.735799999999998</v>
      </c>
      <c r="J3292" t="s">
        <v>3117</v>
      </c>
      <c r="K3292" t="s">
        <v>97</v>
      </c>
      <c r="L3292" t="s">
        <v>1273</v>
      </c>
      <c r="M3292">
        <v>11</v>
      </c>
      <c r="P3292" s="13">
        <v>168</v>
      </c>
      <c r="Q3292" s="13">
        <v>44</v>
      </c>
      <c r="R3292">
        <v>20</v>
      </c>
      <c r="S3292">
        <v>40</v>
      </c>
      <c r="T3292" s="13">
        <v>28</v>
      </c>
      <c r="U3292" s="13">
        <v>42</v>
      </c>
      <c r="V3292" t="s">
        <v>99</v>
      </c>
      <c r="X3292" s="13">
        <v>168</v>
      </c>
    </row>
    <row r="3293" spans="1:24" x14ac:dyDescent="0.25">
      <c r="A3293" t="s">
        <v>3128</v>
      </c>
      <c r="B3293" t="s">
        <v>65</v>
      </c>
      <c r="C3293" t="s">
        <v>3114</v>
      </c>
      <c r="D3293" t="s">
        <v>3115</v>
      </c>
      <c r="E3293" t="s">
        <v>3116</v>
      </c>
      <c r="F3293" t="s">
        <v>94</v>
      </c>
      <c r="G3293" t="s">
        <v>277</v>
      </c>
      <c r="H3293" s="12">
        <v>5.9625000000000004</v>
      </c>
      <c r="I3293" s="12">
        <v>-75.735799999999998</v>
      </c>
      <c r="J3293" t="s">
        <v>3117</v>
      </c>
      <c r="K3293" t="s">
        <v>97</v>
      </c>
      <c r="L3293" t="s">
        <v>1273</v>
      </c>
      <c r="M3293">
        <v>11</v>
      </c>
      <c r="P3293" s="13">
        <v>165</v>
      </c>
      <c r="Q3293" s="13">
        <v>32</v>
      </c>
      <c r="R3293">
        <v>22</v>
      </c>
      <c r="S3293">
        <v>50</v>
      </c>
      <c r="T3293" s="13">
        <v>26</v>
      </c>
      <c r="U3293" s="13">
        <v>40</v>
      </c>
      <c r="V3293" t="s">
        <v>99</v>
      </c>
      <c r="X3293" s="13">
        <v>165</v>
      </c>
    </row>
    <row r="3294" spans="1:24" x14ac:dyDescent="0.25">
      <c r="A3294" t="s">
        <v>3129</v>
      </c>
      <c r="B3294" t="s">
        <v>65</v>
      </c>
      <c r="C3294" t="s">
        <v>3114</v>
      </c>
      <c r="D3294" t="s">
        <v>3115</v>
      </c>
      <c r="E3294" t="s">
        <v>3116</v>
      </c>
      <c r="F3294" t="s">
        <v>94</v>
      </c>
      <c r="G3294" t="s">
        <v>277</v>
      </c>
      <c r="H3294" s="12">
        <v>5.9625000000000004</v>
      </c>
      <c r="I3294" s="12">
        <v>-75.735799999999998</v>
      </c>
      <c r="J3294" t="s">
        <v>3117</v>
      </c>
      <c r="K3294" t="s">
        <v>97</v>
      </c>
      <c r="L3294" t="s">
        <v>1273</v>
      </c>
      <c r="M3294">
        <v>11</v>
      </c>
      <c r="P3294" s="13">
        <v>164</v>
      </c>
      <c r="Q3294" s="13">
        <v>51</v>
      </c>
      <c r="R3294">
        <v>24</v>
      </c>
      <c r="S3294">
        <v>34</v>
      </c>
      <c r="T3294" s="13">
        <v>22</v>
      </c>
      <c r="U3294" s="13">
        <v>33</v>
      </c>
      <c r="V3294" t="s">
        <v>99</v>
      </c>
      <c r="X3294" s="13">
        <v>164</v>
      </c>
    </row>
    <row r="3295" spans="1:24" x14ac:dyDescent="0.25">
      <c r="A3295" t="s">
        <v>3130</v>
      </c>
      <c r="B3295" t="s">
        <v>65</v>
      </c>
      <c r="C3295" t="s">
        <v>3114</v>
      </c>
      <c r="D3295" t="s">
        <v>3115</v>
      </c>
      <c r="E3295" t="s">
        <v>3116</v>
      </c>
      <c r="F3295" t="s">
        <v>94</v>
      </c>
      <c r="G3295" t="s">
        <v>277</v>
      </c>
      <c r="H3295" s="12">
        <v>5.9625000000000004</v>
      </c>
      <c r="I3295" s="12">
        <v>-75.735799999999998</v>
      </c>
      <c r="J3295" t="s">
        <v>3117</v>
      </c>
      <c r="K3295" t="s">
        <v>97</v>
      </c>
      <c r="L3295" t="s">
        <v>1273</v>
      </c>
      <c r="M3295">
        <v>11</v>
      </c>
      <c r="P3295" s="13">
        <v>161</v>
      </c>
      <c r="Q3295" s="13">
        <v>37</v>
      </c>
      <c r="R3295">
        <v>22</v>
      </c>
      <c r="S3295">
        <v>36</v>
      </c>
      <c r="T3295" s="13">
        <v>34</v>
      </c>
      <c r="U3295" s="13">
        <v>31</v>
      </c>
      <c r="V3295" t="s">
        <v>99</v>
      </c>
      <c r="X3295" s="13">
        <v>161</v>
      </c>
    </row>
    <row r="3296" spans="1:24" x14ac:dyDescent="0.25">
      <c r="A3296" t="s">
        <v>3131</v>
      </c>
      <c r="B3296" t="s">
        <v>65</v>
      </c>
      <c r="C3296" t="s">
        <v>3114</v>
      </c>
      <c r="D3296" t="s">
        <v>3115</v>
      </c>
      <c r="E3296" t="s">
        <v>3116</v>
      </c>
      <c r="F3296" t="s">
        <v>94</v>
      </c>
      <c r="G3296" t="s">
        <v>277</v>
      </c>
      <c r="H3296" s="12">
        <v>5.9625000000000004</v>
      </c>
      <c r="I3296" s="12">
        <v>-75.735799999999998</v>
      </c>
      <c r="J3296" t="s">
        <v>3117</v>
      </c>
      <c r="K3296" t="s">
        <v>97</v>
      </c>
      <c r="L3296" t="s">
        <v>1273</v>
      </c>
      <c r="M3296">
        <v>11</v>
      </c>
      <c r="P3296" s="13">
        <v>151</v>
      </c>
      <c r="Q3296" s="13">
        <v>29</v>
      </c>
      <c r="R3296">
        <v>20</v>
      </c>
      <c r="S3296">
        <v>36</v>
      </c>
      <c r="T3296" s="13">
        <v>34</v>
      </c>
      <c r="U3296" s="13">
        <v>35</v>
      </c>
      <c r="V3296" t="s">
        <v>99</v>
      </c>
      <c r="X3296" s="13">
        <v>151</v>
      </c>
    </row>
    <row r="3297" spans="1:24" x14ac:dyDescent="0.25">
      <c r="A3297" t="s">
        <v>3132</v>
      </c>
      <c r="B3297" t="s">
        <v>65</v>
      </c>
      <c r="C3297" t="s">
        <v>3114</v>
      </c>
      <c r="D3297" t="s">
        <v>3115</v>
      </c>
      <c r="E3297" t="s">
        <v>3116</v>
      </c>
      <c r="F3297" t="s">
        <v>94</v>
      </c>
      <c r="G3297" t="s">
        <v>277</v>
      </c>
      <c r="H3297" s="12">
        <v>5.9625000000000004</v>
      </c>
      <c r="I3297" s="12">
        <v>-75.735799999999998</v>
      </c>
      <c r="J3297" t="s">
        <v>3117</v>
      </c>
      <c r="K3297" t="s">
        <v>97</v>
      </c>
      <c r="L3297" t="s">
        <v>1273</v>
      </c>
      <c r="M3297">
        <v>11</v>
      </c>
      <c r="P3297" s="13">
        <v>147</v>
      </c>
      <c r="Q3297" s="13">
        <v>41</v>
      </c>
      <c r="R3297">
        <v>22</v>
      </c>
      <c r="S3297">
        <v>24</v>
      </c>
      <c r="T3297" s="13">
        <v>28</v>
      </c>
      <c r="U3297" s="13">
        <v>38</v>
      </c>
      <c r="V3297" t="s">
        <v>99</v>
      </c>
      <c r="X3297" s="13">
        <v>147</v>
      </c>
    </row>
    <row r="3298" spans="1:24" x14ac:dyDescent="0.25">
      <c r="A3298" t="s">
        <v>3133</v>
      </c>
      <c r="B3298" t="s">
        <v>65</v>
      </c>
      <c r="C3298" t="s">
        <v>3114</v>
      </c>
      <c r="D3298" t="s">
        <v>3115</v>
      </c>
      <c r="E3298" t="s">
        <v>3116</v>
      </c>
      <c r="F3298" t="s">
        <v>94</v>
      </c>
      <c r="G3298" t="s">
        <v>277</v>
      </c>
      <c r="H3298" s="12">
        <v>5.9625000000000004</v>
      </c>
      <c r="I3298" s="12">
        <v>-75.735799999999998</v>
      </c>
      <c r="J3298" t="s">
        <v>3117</v>
      </c>
      <c r="K3298" t="s">
        <v>97</v>
      </c>
      <c r="L3298" t="s">
        <v>1273</v>
      </c>
      <c r="M3298">
        <v>11</v>
      </c>
      <c r="P3298" s="13">
        <v>143</v>
      </c>
      <c r="Q3298" s="13">
        <v>34</v>
      </c>
      <c r="R3298">
        <v>22</v>
      </c>
      <c r="S3298">
        <v>32</v>
      </c>
      <c r="T3298" s="13">
        <v>24</v>
      </c>
      <c r="U3298" s="13">
        <v>35</v>
      </c>
      <c r="V3298" t="s">
        <v>99</v>
      </c>
      <c r="X3298" s="13">
        <v>143</v>
      </c>
    </row>
    <row r="3299" spans="1:24" x14ac:dyDescent="0.25">
      <c r="A3299" t="s">
        <v>3134</v>
      </c>
      <c r="B3299" t="s">
        <v>65</v>
      </c>
      <c r="C3299" t="s">
        <v>3114</v>
      </c>
      <c r="D3299" t="s">
        <v>3115</v>
      </c>
      <c r="E3299" t="s">
        <v>3116</v>
      </c>
      <c r="F3299" t="s">
        <v>94</v>
      </c>
      <c r="G3299" t="s">
        <v>277</v>
      </c>
      <c r="H3299" s="12">
        <v>5.9625000000000004</v>
      </c>
      <c r="I3299" s="12">
        <v>-75.735799999999998</v>
      </c>
      <c r="J3299" t="s">
        <v>3117</v>
      </c>
      <c r="K3299" t="s">
        <v>97</v>
      </c>
      <c r="L3299" t="s">
        <v>1273</v>
      </c>
      <c r="M3299">
        <v>11</v>
      </c>
      <c r="P3299" s="13">
        <v>138</v>
      </c>
      <c r="Q3299" s="13">
        <v>37</v>
      </c>
      <c r="R3299">
        <v>22</v>
      </c>
      <c r="S3299">
        <v>32</v>
      </c>
      <c r="T3299" s="13">
        <v>19</v>
      </c>
      <c r="U3299" s="13">
        <v>31</v>
      </c>
      <c r="V3299" t="s">
        <v>99</v>
      </c>
      <c r="X3299" s="13">
        <v>138</v>
      </c>
    </row>
    <row r="3300" spans="1:24" x14ac:dyDescent="0.25">
      <c r="A3300" t="s">
        <v>3135</v>
      </c>
      <c r="B3300" t="s">
        <v>65</v>
      </c>
      <c r="C3300" t="s">
        <v>3114</v>
      </c>
      <c r="D3300" t="s">
        <v>3115</v>
      </c>
      <c r="E3300" t="s">
        <v>3116</v>
      </c>
      <c r="F3300" t="s">
        <v>94</v>
      </c>
      <c r="G3300" t="s">
        <v>277</v>
      </c>
      <c r="H3300" s="12">
        <v>5.9625000000000004</v>
      </c>
      <c r="I3300" s="12">
        <v>-75.735799999999998</v>
      </c>
      <c r="J3300" t="s">
        <v>3117</v>
      </c>
      <c r="K3300" t="s">
        <v>97</v>
      </c>
      <c r="L3300" t="s">
        <v>1273</v>
      </c>
      <c r="M3300">
        <v>11</v>
      </c>
      <c r="P3300" s="13">
        <v>113</v>
      </c>
      <c r="Q3300" s="13">
        <v>20</v>
      </c>
      <c r="R3300">
        <v>16</v>
      </c>
      <c r="S3300">
        <v>34</v>
      </c>
      <c r="T3300" s="13">
        <v>19</v>
      </c>
      <c r="U3300" s="13">
        <v>27</v>
      </c>
      <c r="V3300" t="s">
        <v>99</v>
      </c>
      <c r="X3300" s="13">
        <v>113</v>
      </c>
    </row>
    <row r="3301" spans="1:24" x14ac:dyDescent="0.25">
      <c r="A3301" t="s">
        <v>3136</v>
      </c>
      <c r="B3301" t="s">
        <v>65</v>
      </c>
      <c r="C3301" t="s">
        <v>3137</v>
      </c>
      <c r="D3301" t="s">
        <v>3138</v>
      </c>
      <c r="E3301" t="s">
        <v>3139</v>
      </c>
      <c r="F3301" t="s">
        <v>94</v>
      </c>
      <c r="G3301" t="s">
        <v>277</v>
      </c>
      <c r="H3301" s="12">
        <v>6.0328999999999997</v>
      </c>
      <c r="I3301" s="12">
        <v>-75.707999999999998</v>
      </c>
      <c r="J3301" t="s">
        <v>96</v>
      </c>
      <c r="K3301" t="s">
        <v>97</v>
      </c>
      <c r="L3301" t="s">
        <v>1273</v>
      </c>
      <c r="M3301">
        <v>11</v>
      </c>
      <c r="P3301" s="13">
        <v>265</v>
      </c>
      <c r="Q3301" s="13">
        <v>56</v>
      </c>
      <c r="R3301">
        <v>40</v>
      </c>
      <c r="S3301">
        <v>66</v>
      </c>
      <c r="T3301" s="13">
        <v>45</v>
      </c>
      <c r="U3301" s="13">
        <v>69</v>
      </c>
      <c r="V3301" t="s">
        <v>99</v>
      </c>
      <c r="X3301" s="13">
        <v>265</v>
      </c>
    </row>
    <row r="3302" spans="1:24" x14ac:dyDescent="0.25">
      <c r="A3302" t="s">
        <v>3140</v>
      </c>
      <c r="B3302" t="s">
        <v>65</v>
      </c>
      <c r="C3302" t="s">
        <v>3137</v>
      </c>
      <c r="D3302" t="s">
        <v>3138</v>
      </c>
      <c r="E3302" t="s">
        <v>3139</v>
      </c>
      <c r="F3302" t="s">
        <v>94</v>
      </c>
      <c r="G3302" t="s">
        <v>277</v>
      </c>
      <c r="H3302" s="12">
        <v>6.0328999999999997</v>
      </c>
      <c r="I3302" s="12">
        <v>-75.707999999999998</v>
      </c>
      <c r="J3302" t="s">
        <v>96</v>
      </c>
      <c r="K3302" t="s">
        <v>97</v>
      </c>
      <c r="L3302" t="s">
        <v>1273</v>
      </c>
      <c r="M3302">
        <v>11</v>
      </c>
      <c r="P3302" s="13">
        <v>259</v>
      </c>
      <c r="Q3302" s="13">
        <v>68</v>
      </c>
      <c r="R3302">
        <v>32</v>
      </c>
      <c r="S3302">
        <v>72</v>
      </c>
      <c r="T3302" s="13">
        <v>34</v>
      </c>
      <c r="U3302" s="13">
        <v>53</v>
      </c>
      <c r="V3302" t="s">
        <v>99</v>
      </c>
      <c r="X3302" s="13">
        <v>259</v>
      </c>
    </row>
    <row r="3303" spans="1:24" x14ac:dyDescent="0.25">
      <c r="A3303" t="s">
        <v>3141</v>
      </c>
      <c r="B3303" t="s">
        <v>65</v>
      </c>
      <c r="C3303" t="s">
        <v>3137</v>
      </c>
      <c r="D3303" t="s">
        <v>3138</v>
      </c>
      <c r="E3303" t="s">
        <v>3139</v>
      </c>
      <c r="F3303" t="s">
        <v>94</v>
      </c>
      <c r="G3303" t="s">
        <v>277</v>
      </c>
      <c r="H3303" s="12">
        <v>6.0328999999999997</v>
      </c>
      <c r="I3303" s="12">
        <v>-75.707999999999998</v>
      </c>
      <c r="J3303" t="s">
        <v>96</v>
      </c>
      <c r="K3303" t="s">
        <v>97</v>
      </c>
      <c r="L3303" t="s">
        <v>1273</v>
      </c>
      <c r="M3303">
        <v>11</v>
      </c>
      <c r="P3303" s="13">
        <v>244</v>
      </c>
      <c r="Q3303" s="13">
        <v>63</v>
      </c>
      <c r="R3303">
        <v>30</v>
      </c>
      <c r="S3303">
        <v>54</v>
      </c>
      <c r="T3303" s="13">
        <v>47</v>
      </c>
      <c r="U3303" s="13">
        <v>53</v>
      </c>
      <c r="V3303" t="s">
        <v>99</v>
      </c>
      <c r="X3303" s="13">
        <v>244</v>
      </c>
    </row>
    <row r="3304" spans="1:24" x14ac:dyDescent="0.25">
      <c r="A3304" t="s">
        <v>3142</v>
      </c>
      <c r="B3304" t="s">
        <v>65</v>
      </c>
      <c r="C3304" t="s">
        <v>3137</v>
      </c>
      <c r="D3304" t="s">
        <v>3138</v>
      </c>
      <c r="E3304" t="s">
        <v>3139</v>
      </c>
      <c r="F3304" t="s">
        <v>94</v>
      </c>
      <c r="G3304" t="s">
        <v>277</v>
      </c>
      <c r="H3304" s="12">
        <v>6.0328999999999997</v>
      </c>
      <c r="I3304" s="12">
        <v>-75.707999999999998</v>
      </c>
      <c r="J3304" t="s">
        <v>96</v>
      </c>
      <c r="K3304" t="s">
        <v>97</v>
      </c>
      <c r="L3304" t="s">
        <v>1273</v>
      </c>
      <c r="M3304">
        <v>11</v>
      </c>
      <c r="P3304" s="13">
        <v>221</v>
      </c>
      <c r="Q3304" s="13">
        <v>59</v>
      </c>
      <c r="R3304">
        <v>32</v>
      </c>
      <c r="S3304">
        <v>56</v>
      </c>
      <c r="T3304" s="13">
        <v>28</v>
      </c>
      <c r="U3304" s="13">
        <v>53</v>
      </c>
      <c r="V3304" t="s">
        <v>99</v>
      </c>
      <c r="X3304" s="13">
        <v>221</v>
      </c>
    </row>
    <row r="3305" spans="1:24" x14ac:dyDescent="0.25">
      <c r="A3305" t="s">
        <v>3143</v>
      </c>
      <c r="B3305" t="s">
        <v>65</v>
      </c>
      <c r="C3305" t="s">
        <v>3137</v>
      </c>
      <c r="D3305" t="s">
        <v>3138</v>
      </c>
      <c r="E3305" t="s">
        <v>3139</v>
      </c>
      <c r="F3305" t="s">
        <v>94</v>
      </c>
      <c r="G3305" t="s">
        <v>277</v>
      </c>
      <c r="H3305" s="12">
        <v>6.0328999999999997</v>
      </c>
      <c r="I3305" s="12">
        <v>-75.707999999999998</v>
      </c>
      <c r="J3305" t="s">
        <v>96</v>
      </c>
      <c r="K3305" t="s">
        <v>97</v>
      </c>
      <c r="L3305" t="s">
        <v>1273</v>
      </c>
      <c r="M3305">
        <v>11</v>
      </c>
      <c r="P3305" s="13">
        <v>220</v>
      </c>
      <c r="Q3305" s="13">
        <v>54</v>
      </c>
      <c r="R3305">
        <v>30</v>
      </c>
      <c r="S3305">
        <v>60</v>
      </c>
      <c r="T3305" s="13">
        <v>31</v>
      </c>
      <c r="U3305" s="13">
        <v>49</v>
      </c>
      <c r="V3305" t="s">
        <v>99</v>
      </c>
      <c r="X3305" s="13">
        <v>220</v>
      </c>
    </row>
    <row r="3306" spans="1:24" x14ac:dyDescent="0.25">
      <c r="A3306" t="s">
        <v>3144</v>
      </c>
      <c r="B3306" t="s">
        <v>65</v>
      </c>
      <c r="C3306" t="s">
        <v>3137</v>
      </c>
      <c r="D3306" t="s">
        <v>3138</v>
      </c>
      <c r="E3306" t="s">
        <v>3139</v>
      </c>
      <c r="F3306" t="s">
        <v>94</v>
      </c>
      <c r="G3306" t="s">
        <v>277</v>
      </c>
      <c r="H3306" s="12">
        <v>6.0328999999999997</v>
      </c>
      <c r="I3306" s="12">
        <v>-75.707999999999998</v>
      </c>
      <c r="J3306" t="s">
        <v>96</v>
      </c>
      <c r="K3306" t="s">
        <v>97</v>
      </c>
      <c r="L3306" t="s">
        <v>1273</v>
      </c>
      <c r="M3306">
        <v>11</v>
      </c>
      <c r="P3306" s="13">
        <v>219</v>
      </c>
      <c r="Q3306" s="13">
        <v>54</v>
      </c>
      <c r="R3306">
        <v>22</v>
      </c>
      <c r="S3306">
        <v>58</v>
      </c>
      <c r="T3306" s="13">
        <v>34</v>
      </c>
      <c r="U3306" s="13">
        <v>65</v>
      </c>
      <c r="V3306" t="s">
        <v>99</v>
      </c>
      <c r="X3306" s="13">
        <v>219</v>
      </c>
    </row>
    <row r="3307" spans="1:24" x14ac:dyDescent="0.25">
      <c r="A3307" t="s">
        <v>3145</v>
      </c>
      <c r="B3307" t="s">
        <v>65</v>
      </c>
      <c r="C3307" t="s">
        <v>3137</v>
      </c>
      <c r="D3307" t="s">
        <v>3138</v>
      </c>
      <c r="E3307" t="s">
        <v>3139</v>
      </c>
      <c r="F3307" t="s">
        <v>94</v>
      </c>
      <c r="G3307" t="s">
        <v>277</v>
      </c>
      <c r="H3307" s="12">
        <v>6.0328999999999997</v>
      </c>
      <c r="I3307" s="12">
        <v>-75.707999999999998</v>
      </c>
      <c r="J3307" t="s">
        <v>96</v>
      </c>
      <c r="K3307" t="s">
        <v>97</v>
      </c>
      <c r="L3307" t="s">
        <v>1273</v>
      </c>
      <c r="M3307">
        <v>11</v>
      </c>
      <c r="P3307" s="13">
        <v>206</v>
      </c>
      <c r="Q3307" s="13">
        <v>46</v>
      </c>
      <c r="R3307">
        <v>32</v>
      </c>
      <c r="S3307">
        <v>50</v>
      </c>
      <c r="T3307" s="13">
        <v>31</v>
      </c>
      <c r="U3307" s="13">
        <v>56</v>
      </c>
      <c r="V3307" t="s">
        <v>99</v>
      </c>
      <c r="X3307" s="13">
        <v>206</v>
      </c>
    </row>
    <row r="3308" spans="1:24" x14ac:dyDescent="0.25">
      <c r="A3308" t="s">
        <v>3146</v>
      </c>
      <c r="B3308" t="s">
        <v>65</v>
      </c>
      <c r="C3308" t="s">
        <v>3137</v>
      </c>
      <c r="D3308" t="s">
        <v>3138</v>
      </c>
      <c r="E3308" t="s">
        <v>3139</v>
      </c>
      <c r="F3308" t="s">
        <v>94</v>
      </c>
      <c r="G3308" t="s">
        <v>277</v>
      </c>
      <c r="H3308" s="12">
        <v>6.0328999999999997</v>
      </c>
      <c r="I3308" s="12">
        <v>-75.707999999999998</v>
      </c>
      <c r="J3308" t="s">
        <v>96</v>
      </c>
      <c r="K3308" t="s">
        <v>97</v>
      </c>
      <c r="L3308" t="s">
        <v>1273</v>
      </c>
      <c r="M3308">
        <v>11</v>
      </c>
      <c r="P3308" s="13">
        <v>194</v>
      </c>
      <c r="Q3308" s="13">
        <v>61</v>
      </c>
      <c r="R3308">
        <v>26</v>
      </c>
      <c r="S3308">
        <v>46</v>
      </c>
      <c r="T3308" s="13">
        <v>24</v>
      </c>
      <c r="U3308" s="13">
        <v>33</v>
      </c>
      <c r="V3308" t="s">
        <v>99</v>
      </c>
      <c r="X3308" s="13">
        <v>194</v>
      </c>
    </row>
    <row r="3309" spans="1:24" x14ac:dyDescent="0.25">
      <c r="A3309" t="s">
        <v>3147</v>
      </c>
      <c r="B3309" t="s">
        <v>65</v>
      </c>
      <c r="C3309" t="s">
        <v>3137</v>
      </c>
      <c r="D3309" t="s">
        <v>3138</v>
      </c>
      <c r="E3309" t="s">
        <v>3139</v>
      </c>
      <c r="F3309" t="s">
        <v>94</v>
      </c>
      <c r="G3309" t="s">
        <v>277</v>
      </c>
      <c r="H3309" s="12">
        <v>6.0328999999999997</v>
      </c>
      <c r="I3309" s="12">
        <v>-75.707999999999998</v>
      </c>
      <c r="J3309" t="s">
        <v>96</v>
      </c>
      <c r="K3309" t="s">
        <v>97</v>
      </c>
      <c r="L3309" t="s">
        <v>1273</v>
      </c>
      <c r="M3309">
        <v>11</v>
      </c>
      <c r="P3309" s="13">
        <v>190</v>
      </c>
      <c r="Q3309" s="13">
        <v>41</v>
      </c>
      <c r="R3309">
        <v>16</v>
      </c>
      <c r="S3309">
        <v>60</v>
      </c>
      <c r="T3309" s="13">
        <v>31</v>
      </c>
      <c r="U3309" s="13">
        <v>49</v>
      </c>
      <c r="V3309" t="s">
        <v>99</v>
      </c>
      <c r="X3309" s="13">
        <v>190</v>
      </c>
    </row>
    <row r="3310" spans="1:24" x14ac:dyDescent="0.25">
      <c r="A3310" t="s">
        <v>3148</v>
      </c>
      <c r="B3310" t="s">
        <v>65</v>
      </c>
      <c r="C3310" t="s">
        <v>3137</v>
      </c>
      <c r="D3310" t="s">
        <v>3138</v>
      </c>
      <c r="E3310" t="s">
        <v>3139</v>
      </c>
      <c r="F3310" t="s">
        <v>94</v>
      </c>
      <c r="G3310" t="s">
        <v>277</v>
      </c>
      <c r="H3310" s="12">
        <v>6.0328999999999997</v>
      </c>
      <c r="I3310" s="12">
        <v>-75.707999999999998</v>
      </c>
      <c r="J3310" t="s">
        <v>96</v>
      </c>
      <c r="K3310" t="s">
        <v>97</v>
      </c>
      <c r="L3310" t="s">
        <v>1273</v>
      </c>
      <c r="M3310">
        <v>11</v>
      </c>
      <c r="P3310" s="13">
        <v>187</v>
      </c>
      <c r="Q3310" s="13">
        <v>56</v>
      </c>
      <c r="R3310">
        <v>16</v>
      </c>
      <c r="S3310">
        <v>44</v>
      </c>
      <c r="T3310" s="13">
        <v>31</v>
      </c>
      <c r="U3310" s="13">
        <v>44</v>
      </c>
      <c r="V3310" t="s">
        <v>99</v>
      </c>
      <c r="X3310" s="13">
        <v>187</v>
      </c>
    </row>
    <row r="3311" spans="1:24" x14ac:dyDescent="0.25">
      <c r="A3311" t="s">
        <v>3149</v>
      </c>
      <c r="B3311" t="s">
        <v>65</v>
      </c>
      <c r="C3311" t="s">
        <v>3137</v>
      </c>
      <c r="D3311" t="s">
        <v>3138</v>
      </c>
      <c r="E3311" t="s">
        <v>3139</v>
      </c>
      <c r="F3311" t="s">
        <v>94</v>
      </c>
      <c r="G3311" t="s">
        <v>277</v>
      </c>
      <c r="H3311" s="12">
        <v>6.0328999999999997</v>
      </c>
      <c r="I3311" s="12">
        <v>-75.707999999999998</v>
      </c>
      <c r="J3311" t="s">
        <v>96</v>
      </c>
      <c r="K3311" t="s">
        <v>97</v>
      </c>
      <c r="L3311" t="s">
        <v>1273</v>
      </c>
      <c r="M3311">
        <v>11</v>
      </c>
      <c r="P3311" s="13">
        <v>182</v>
      </c>
      <c r="Q3311" s="13">
        <v>44</v>
      </c>
      <c r="R3311">
        <v>22</v>
      </c>
      <c r="S3311">
        <v>54</v>
      </c>
      <c r="T3311" s="13">
        <v>24</v>
      </c>
      <c r="U3311" s="13">
        <v>42</v>
      </c>
      <c r="V3311" t="s">
        <v>99</v>
      </c>
      <c r="X3311" s="13">
        <v>182</v>
      </c>
    </row>
    <row r="3312" spans="1:24" x14ac:dyDescent="0.25">
      <c r="A3312" t="s">
        <v>3150</v>
      </c>
      <c r="B3312" t="s">
        <v>65</v>
      </c>
      <c r="C3312" t="s">
        <v>3137</v>
      </c>
      <c r="D3312" t="s">
        <v>3138</v>
      </c>
      <c r="E3312" t="s">
        <v>3139</v>
      </c>
      <c r="F3312" t="s">
        <v>94</v>
      </c>
      <c r="G3312" t="s">
        <v>277</v>
      </c>
      <c r="H3312" s="12">
        <v>6.0328999999999997</v>
      </c>
      <c r="I3312" s="12">
        <v>-75.707999999999998</v>
      </c>
      <c r="J3312" t="s">
        <v>96</v>
      </c>
      <c r="K3312" t="s">
        <v>97</v>
      </c>
      <c r="L3312" t="s">
        <v>1273</v>
      </c>
      <c r="M3312">
        <v>11</v>
      </c>
      <c r="P3312" s="13">
        <v>177</v>
      </c>
      <c r="Q3312" s="13">
        <v>41</v>
      </c>
      <c r="R3312">
        <v>22</v>
      </c>
      <c r="S3312">
        <v>42</v>
      </c>
      <c r="T3312" s="13">
        <v>31</v>
      </c>
      <c r="U3312" s="13">
        <v>51</v>
      </c>
      <c r="V3312" t="s">
        <v>99</v>
      </c>
      <c r="X3312" s="13">
        <v>177</v>
      </c>
    </row>
    <row r="3313" spans="1:24" x14ac:dyDescent="0.25">
      <c r="A3313" t="s">
        <v>3151</v>
      </c>
      <c r="B3313" t="s">
        <v>65</v>
      </c>
      <c r="C3313" t="s">
        <v>3137</v>
      </c>
      <c r="D3313" t="s">
        <v>3138</v>
      </c>
      <c r="E3313" t="s">
        <v>3139</v>
      </c>
      <c r="F3313" t="s">
        <v>94</v>
      </c>
      <c r="G3313" t="s">
        <v>277</v>
      </c>
      <c r="H3313" s="12">
        <v>6.0328999999999997</v>
      </c>
      <c r="I3313" s="12">
        <v>-75.707999999999998</v>
      </c>
      <c r="J3313" t="s">
        <v>96</v>
      </c>
      <c r="K3313" t="s">
        <v>97</v>
      </c>
      <c r="L3313" t="s">
        <v>1273</v>
      </c>
      <c r="M3313">
        <v>11</v>
      </c>
      <c r="P3313" s="13">
        <v>173</v>
      </c>
      <c r="Q3313" s="13">
        <v>44</v>
      </c>
      <c r="R3313">
        <v>20</v>
      </c>
      <c r="S3313">
        <v>42</v>
      </c>
      <c r="T3313" s="13">
        <v>31</v>
      </c>
      <c r="U3313" s="13">
        <v>40</v>
      </c>
      <c r="V3313" t="s">
        <v>99</v>
      </c>
      <c r="X3313" s="13">
        <v>173</v>
      </c>
    </row>
    <row r="3314" spans="1:24" x14ac:dyDescent="0.25">
      <c r="A3314" t="s">
        <v>3152</v>
      </c>
      <c r="B3314" t="s">
        <v>65</v>
      </c>
      <c r="C3314" t="s">
        <v>3137</v>
      </c>
      <c r="D3314" t="s">
        <v>3138</v>
      </c>
      <c r="E3314" t="s">
        <v>3139</v>
      </c>
      <c r="F3314" t="s">
        <v>94</v>
      </c>
      <c r="G3314" t="s">
        <v>277</v>
      </c>
      <c r="H3314" s="12">
        <v>6.0328999999999997</v>
      </c>
      <c r="I3314" s="12">
        <v>-75.707999999999998</v>
      </c>
      <c r="J3314" t="s">
        <v>96</v>
      </c>
      <c r="K3314" t="s">
        <v>97</v>
      </c>
      <c r="L3314" t="s">
        <v>1273</v>
      </c>
      <c r="M3314">
        <v>11</v>
      </c>
      <c r="P3314" s="13">
        <v>173</v>
      </c>
      <c r="Q3314" s="13">
        <v>46</v>
      </c>
      <c r="R3314">
        <v>30</v>
      </c>
      <c r="S3314">
        <v>46</v>
      </c>
      <c r="T3314" s="13">
        <v>17</v>
      </c>
      <c r="U3314" s="13">
        <v>31</v>
      </c>
      <c r="V3314" t="s">
        <v>99</v>
      </c>
      <c r="X3314" s="13">
        <v>173</v>
      </c>
    </row>
    <row r="3315" spans="1:24" x14ac:dyDescent="0.25">
      <c r="A3315" t="s">
        <v>3153</v>
      </c>
      <c r="B3315" t="s">
        <v>65</v>
      </c>
      <c r="C3315" t="s">
        <v>3137</v>
      </c>
      <c r="D3315" t="s">
        <v>3138</v>
      </c>
      <c r="E3315" t="s">
        <v>3139</v>
      </c>
      <c r="F3315" t="s">
        <v>94</v>
      </c>
      <c r="G3315" t="s">
        <v>277</v>
      </c>
      <c r="H3315" s="12">
        <v>6.0328999999999997</v>
      </c>
      <c r="I3315" s="12">
        <v>-75.707999999999998</v>
      </c>
      <c r="J3315" t="s">
        <v>96</v>
      </c>
      <c r="K3315" t="s">
        <v>97</v>
      </c>
      <c r="L3315" t="s">
        <v>1273</v>
      </c>
      <c r="M3315">
        <v>11</v>
      </c>
      <c r="P3315" s="13">
        <v>165</v>
      </c>
      <c r="Q3315" s="13">
        <v>24</v>
      </c>
      <c r="R3315">
        <v>38</v>
      </c>
      <c r="S3315">
        <v>38</v>
      </c>
      <c r="T3315" s="13">
        <v>29</v>
      </c>
      <c r="U3315" s="13">
        <v>40</v>
      </c>
      <c r="V3315" t="s">
        <v>99</v>
      </c>
      <c r="X3315" s="13">
        <v>165</v>
      </c>
    </row>
    <row r="3316" spans="1:24" x14ac:dyDescent="0.25">
      <c r="A3316" t="s">
        <v>3154</v>
      </c>
      <c r="B3316" t="s">
        <v>65</v>
      </c>
      <c r="C3316" t="s">
        <v>3137</v>
      </c>
      <c r="D3316" t="s">
        <v>3138</v>
      </c>
      <c r="E3316" t="s">
        <v>3139</v>
      </c>
      <c r="F3316" t="s">
        <v>94</v>
      </c>
      <c r="G3316" t="s">
        <v>277</v>
      </c>
      <c r="H3316" s="12">
        <v>6.0328999999999997</v>
      </c>
      <c r="I3316" s="12">
        <v>-75.707999999999998</v>
      </c>
      <c r="J3316" t="s">
        <v>96</v>
      </c>
      <c r="K3316" t="s">
        <v>97</v>
      </c>
      <c r="L3316" t="s">
        <v>1273</v>
      </c>
      <c r="M3316">
        <v>11</v>
      </c>
      <c r="P3316" s="13">
        <v>163</v>
      </c>
      <c r="Q3316" s="13">
        <v>34</v>
      </c>
      <c r="R3316">
        <v>28</v>
      </c>
      <c r="S3316">
        <v>38</v>
      </c>
      <c r="T3316" s="13">
        <v>31</v>
      </c>
      <c r="U3316" s="13">
        <v>31</v>
      </c>
      <c r="V3316" t="s">
        <v>99</v>
      </c>
      <c r="X3316" s="13">
        <v>163</v>
      </c>
    </row>
    <row r="3317" spans="1:24" x14ac:dyDescent="0.25">
      <c r="A3317" t="s">
        <v>3155</v>
      </c>
      <c r="B3317" t="s">
        <v>65</v>
      </c>
      <c r="C3317" t="s">
        <v>3137</v>
      </c>
      <c r="D3317" t="s">
        <v>3138</v>
      </c>
      <c r="E3317" t="s">
        <v>3139</v>
      </c>
      <c r="F3317" t="s">
        <v>94</v>
      </c>
      <c r="G3317" t="s">
        <v>277</v>
      </c>
      <c r="H3317" s="12">
        <v>6.0328999999999997</v>
      </c>
      <c r="I3317" s="12">
        <v>-75.707999999999998</v>
      </c>
      <c r="J3317" t="s">
        <v>96</v>
      </c>
      <c r="K3317" t="s">
        <v>97</v>
      </c>
      <c r="L3317" t="s">
        <v>1273</v>
      </c>
      <c r="M3317">
        <v>11</v>
      </c>
      <c r="P3317" s="13">
        <v>160</v>
      </c>
      <c r="Q3317" s="13">
        <v>29</v>
      </c>
      <c r="R3317">
        <v>26</v>
      </c>
      <c r="S3317">
        <v>38</v>
      </c>
      <c r="T3317" s="13">
        <v>34</v>
      </c>
      <c r="U3317" s="13">
        <v>33</v>
      </c>
      <c r="V3317" t="s">
        <v>99</v>
      </c>
      <c r="X3317" s="13">
        <v>160</v>
      </c>
    </row>
    <row r="3318" spans="1:24" x14ac:dyDescent="0.25">
      <c r="A3318" t="s">
        <v>3156</v>
      </c>
      <c r="B3318" t="s">
        <v>65</v>
      </c>
      <c r="C3318" t="s">
        <v>3137</v>
      </c>
      <c r="D3318" t="s">
        <v>3138</v>
      </c>
      <c r="E3318" t="s">
        <v>3139</v>
      </c>
      <c r="F3318" t="s">
        <v>94</v>
      </c>
      <c r="G3318" t="s">
        <v>277</v>
      </c>
      <c r="H3318" s="12">
        <v>6.0328999999999997</v>
      </c>
      <c r="I3318" s="12">
        <v>-75.707999999999998</v>
      </c>
      <c r="J3318" t="s">
        <v>96</v>
      </c>
      <c r="K3318" t="s">
        <v>97</v>
      </c>
      <c r="L3318" t="s">
        <v>1273</v>
      </c>
      <c r="M3318">
        <v>11</v>
      </c>
      <c r="P3318" s="13">
        <v>159</v>
      </c>
      <c r="Q3318" s="13">
        <v>46</v>
      </c>
      <c r="R3318">
        <v>20</v>
      </c>
      <c r="S3318">
        <v>32</v>
      </c>
      <c r="T3318" s="13">
        <v>28</v>
      </c>
      <c r="U3318" s="13">
        <v>35</v>
      </c>
      <c r="V3318" t="s">
        <v>99</v>
      </c>
      <c r="X3318" s="13">
        <v>159</v>
      </c>
    </row>
    <row r="3319" spans="1:24" x14ac:dyDescent="0.25">
      <c r="A3319" t="s">
        <v>3157</v>
      </c>
      <c r="B3319" t="s">
        <v>65</v>
      </c>
      <c r="C3319" t="s">
        <v>3137</v>
      </c>
      <c r="D3319" t="s">
        <v>3138</v>
      </c>
      <c r="E3319" t="s">
        <v>3139</v>
      </c>
      <c r="F3319" t="s">
        <v>94</v>
      </c>
      <c r="G3319" t="s">
        <v>277</v>
      </c>
      <c r="H3319" s="12">
        <v>6.0328999999999997</v>
      </c>
      <c r="I3319" s="12">
        <v>-75.707999999999998</v>
      </c>
      <c r="J3319" t="s">
        <v>96</v>
      </c>
      <c r="K3319" t="s">
        <v>97</v>
      </c>
      <c r="L3319" t="s">
        <v>1273</v>
      </c>
      <c r="M3319">
        <v>11</v>
      </c>
      <c r="P3319" s="13">
        <v>157</v>
      </c>
      <c r="Q3319" s="13">
        <v>32</v>
      </c>
      <c r="R3319">
        <v>28</v>
      </c>
      <c r="S3319">
        <v>40</v>
      </c>
      <c r="T3319" s="13">
        <v>26</v>
      </c>
      <c r="U3319" s="13">
        <v>31</v>
      </c>
      <c r="V3319" t="s">
        <v>99</v>
      </c>
      <c r="X3319" s="13">
        <v>157</v>
      </c>
    </row>
    <row r="3320" spans="1:24" x14ac:dyDescent="0.25">
      <c r="A3320" t="s">
        <v>3158</v>
      </c>
      <c r="B3320" t="s">
        <v>65</v>
      </c>
      <c r="C3320" t="s">
        <v>3137</v>
      </c>
      <c r="D3320" t="s">
        <v>3138</v>
      </c>
      <c r="E3320" t="s">
        <v>3139</v>
      </c>
      <c r="F3320" t="s">
        <v>94</v>
      </c>
      <c r="G3320" t="s">
        <v>277</v>
      </c>
      <c r="H3320" s="12">
        <v>6.0328999999999997</v>
      </c>
      <c r="I3320" s="12">
        <v>-75.707999999999998</v>
      </c>
      <c r="J3320" t="s">
        <v>96</v>
      </c>
      <c r="K3320" t="s">
        <v>97</v>
      </c>
      <c r="L3320" t="s">
        <v>1273</v>
      </c>
      <c r="M3320">
        <v>11</v>
      </c>
      <c r="P3320" s="13">
        <v>156</v>
      </c>
      <c r="Q3320" s="13">
        <v>37</v>
      </c>
      <c r="R3320">
        <v>24</v>
      </c>
      <c r="S3320">
        <v>40</v>
      </c>
      <c r="T3320" s="13">
        <v>22</v>
      </c>
      <c r="U3320" s="13">
        <v>36</v>
      </c>
      <c r="V3320" t="s">
        <v>99</v>
      </c>
      <c r="X3320" s="13">
        <v>156</v>
      </c>
    </row>
    <row r="3321" spans="1:24" x14ac:dyDescent="0.25">
      <c r="A3321" t="s">
        <v>3159</v>
      </c>
      <c r="B3321" t="s">
        <v>65</v>
      </c>
      <c r="C3321" t="s">
        <v>3137</v>
      </c>
      <c r="D3321" t="s">
        <v>3138</v>
      </c>
      <c r="E3321" t="s">
        <v>3139</v>
      </c>
      <c r="F3321" t="s">
        <v>94</v>
      </c>
      <c r="G3321" t="s">
        <v>277</v>
      </c>
      <c r="H3321" s="12">
        <v>6.0328999999999997</v>
      </c>
      <c r="I3321" s="12">
        <v>-75.707999999999998</v>
      </c>
      <c r="J3321" t="s">
        <v>96</v>
      </c>
      <c r="K3321" t="s">
        <v>97</v>
      </c>
      <c r="L3321" t="s">
        <v>1273</v>
      </c>
      <c r="M3321">
        <v>11</v>
      </c>
      <c r="P3321" s="13">
        <v>155</v>
      </c>
      <c r="Q3321" s="13">
        <v>39</v>
      </c>
      <c r="R3321">
        <v>22</v>
      </c>
      <c r="S3321">
        <v>34</v>
      </c>
      <c r="T3321" s="13">
        <v>29</v>
      </c>
      <c r="U3321" s="13">
        <v>29</v>
      </c>
      <c r="V3321" t="s">
        <v>99</v>
      </c>
      <c r="X3321" s="13">
        <v>155</v>
      </c>
    </row>
    <row r="3322" spans="1:24" x14ac:dyDescent="0.25">
      <c r="A3322" t="s">
        <v>3160</v>
      </c>
      <c r="B3322" t="s">
        <v>65</v>
      </c>
      <c r="C3322" t="s">
        <v>3137</v>
      </c>
      <c r="D3322" t="s">
        <v>3138</v>
      </c>
      <c r="E3322" t="s">
        <v>3139</v>
      </c>
      <c r="F3322" t="s">
        <v>94</v>
      </c>
      <c r="G3322" t="s">
        <v>277</v>
      </c>
      <c r="H3322" s="12">
        <v>6.0328999999999997</v>
      </c>
      <c r="I3322" s="12">
        <v>-75.707999999999998</v>
      </c>
      <c r="J3322" t="s">
        <v>96</v>
      </c>
      <c r="K3322" t="s">
        <v>97</v>
      </c>
      <c r="L3322" t="s">
        <v>1273</v>
      </c>
      <c r="M3322">
        <v>11</v>
      </c>
      <c r="P3322" s="13">
        <v>150</v>
      </c>
      <c r="Q3322" s="13">
        <v>34</v>
      </c>
      <c r="R3322">
        <v>26</v>
      </c>
      <c r="S3322">
        <v>44</v>
      </c>
      <c r="T3322" s="13">
        <v>19</v>
      </c>
      <c r="U3322" s="13">
        <v>22</v>
      </c>
      <c r="V3322" t="s">
        <v>99</v>
      </c>
      <c r="X3322" s="13">
        <v>150</v>
      </c>
    </row>
    <row r="3323" spans="1:24" x14ac:dyDescent="0.25">
      <c r="A3323" t="s">
        <v>3161</v>
      </c>
      <c r="B3323" t="s">
        <v>65</v>
      </c>
      <c r="C3323" t="s">
        <v>3137</v>
      </c>
      <c r="D3323" t="s">
        <v>3138</v>
      </c>
      <c r="E3323" t="s">
        <v>3139</v>
      </c>
      <c r="F3323" t="s">
        <v>94</v>
      </c>
      <c r="G3323" t="s">
        <v>277</v>
      </c>
      <c r="H3323" s="12">
        <v>6.0328999999999997</v>
      </c>
      <c r="I3323" s="12">
        <v>-75.707999999999998</v>
      </c>
      <c r="J3323" t="s">
        <v>96</v>
      </c>
      <c r="K3323" t="s">
        <v>97</v>
      </c>
      <c r="L3323" t="s">
        <v>1273</v>
      </c>
      <c r="M3323">
        <v>11</v>
      </c>
      <c r="P3323" s="13">
        <v>149</v>
      </c>
      <c r="Q3323" s="13">
        <v>34</v>
      </c>
      <c r="R3323">
        <v>26</v>
      </c>
      <c r="S3323">
        <v>32</v>
      </c>
      <c r="T3323" s="13">
        <v>26</v>
      </c>
      <c r="U3323" s="13">
        <v>33</v>
      </c>
      <c r="V3323" t="s">
        <v>99</v>
      </c>
      <c r="X3323" s="13">
        <v>149</v>
      </c>
    </row>
    <row r="3324" spans="1:24" x14ac:dyDescent="0.25">
      <c r="A3324" t="s">
        <v>3162</v>
      </c>
      <c r="B3324" t="s">
        <v>65</v>
      </c>
      <c r="C3324" t="s">
        <v>3137</v>
      </c>
      <c r="D3324" t="s">
        <v>3138</v>
      </c>
      <c r="E3324" t="s">
        <v>3139</v>
      </c>
      <c r="F3324" t="s">
        <v>94</v>
      </c>
      <c r="G3324" t="s">
        <v>277</v>
      </c>
      <c r="H3324" s="12">
        <v>6.0328999999999997</v>
      </c>
      <c r="I3324" s="12">
        <v>-75.707999999999998</v>
      </c>
      <c r="J3324" t="s">
        <v>96</v>
      </c>
      <c r="K3324" t="s">
        <v>97</v>
      </c>
      <c r="L3324" t="s">
        <v>1273</v>
      </c>
      <c r="M3324">
        <v>11</v>
      </c>
      <c r="P3324" s="13">
        <v>149</v>
      </c>
      <c r="Q3324" s="13">
        <v>22</v>
      </c>
      <c r="R3324">
        <v>20</v>
      </c>
      <c r="S3324">
        <v>36</v>
      </c>
      <c r="T3324" s="13">
        <v>36</v>
      </c>
      <c r="U3324" s="13">
        <v>44</v>
      </c>
      <c r="V3324" t="s">
        <v>99</v>
      </c>
      <c r="X3324" s="13">
        <v>149</v>
      </c>
    </row>
    <row r="3325" spans="1:24" x14ac:dyDescent="0.25">
      <c r="A3325" t="s">
        <v>3163</v>
      </c>
      <c r="B3325" t="s">
        <v>65</v>
      </c>
      <c r="C3325" t="s">
        <v>3137</v>
      </c>
      <c r="D3325" t="s">
        <v>3138</v>
      </c>
      <c r="E3325" t="s">
        <v>3139</v>
      </c>
      <c r="F3325" t="s">
        <v>94</v>
      </c>
      <c r="G3325" t="s">
        <v>277</v>
      </c>
      <c r="H3325" s="12">
        <v>6.0328999999999997</v>
      </c>
      <c r="I3325" s="12">
        <v>-75.707999999999998</v>
      </c>
      <c r="J3325" t="s">
        <v>96</v>
      </c>
      <c r="K3325" t="s">
        <v>97</v>
      </c>
      <c r="L3325" t="s">
        <v>1273</v>
      </c>
      <c r="M3325">
        <v>11</v>
      </c>
      <c r="P3325" s="13">
        <v>147</v>
      </c>
      <c r="Q3325" s="13">
        <v>46</v>
      </c>
      <c r="R3325">
        <v>14</v>
      </c>
      <c r="S3325">
        <v>40</v>
      </c>
      <c r="T3325" s="13">
        <v>17</v>
      </c>
      <c r="U3325" s="13">
        <v>29</v>
      </c>
      <c r="V3325" t="s">
        <v>99</v>
      </c>
      <c r="X3325" s="13">
        <v>147</v>
      </c>
    </row>
    <row r="3326" spans="1:24" x14ac:dyDescent="0.25">
      <c r="A3326" t="s">
        <v>3164</v>
      </c>
      <c r="B3326" t="s">
        <v>65</v>
      </c>
      <c r="C3326" t="s">
        <v>3137</v>
      </c>
      <c r="D3326" t="s">
        <v>3138</v>
      </c>
      <c r="E3326" t="s">
        <v>3139</v>
      </c>
      <c r="F3326" t="s">
        <v>94</v>
      </c>
      <c r="G3326" t="s">
        <v>277</v>
      </c>
      <c r="H3326" s="12">
        <v>6.0328999999999997</v>
      </c>
      <c r="I3326" s="12">
        <v>-75.707999999999998</v>
      </c>
      <c r="J3326" t="s">
        <v>96</v>
      </c>
      <c r="K3326" t="s">
        <v>97</v>
      </c>
      <c r="L3326" t="s">
        <v>1273</v>
      </c>
      <c r="M3326">
        <v>11</v>
      </c>
      <c r="P3326" s="13">
        <v>144</v>
      </c>
      <c r="Q3326" s="13">
        <v>27</v>
      </c>
      <c r="R3326">
        <v>40</v>
      </c>
      <c r="S3326">
        <v>20</v>
      </c>
      <c r="T3326" s="13">
        <v>26</v>
      </c>
      <c r="U3326" s="13">
        <v>36</v>
      </c>
      <c r="V3326" t="s">
        <v>99</v>
      </c>
      <c r="X3326" s="13">
        <v>144</v>
      </c>
    </row>
    <row r="3327" spans="1:24" x14ac:dyDescent="0.25">
      <c r="A3327" t="s">
        <v>3165</v>
      </c>
      <c r="B3327" t="s">
        <v>65</v>
      </c>
      <c r="C3327" t="s">
        <v>3137</v>
      </c>
      <c r="D3327" t="s">
        <v>3138</v>
      </c>
      <c r="E3327" t="s">
        <v>3139</v>
      </c>
      <c r="F3327" t="s">
        <v>94</v>
      </c>
      <c r="G3327" t="s">
        <v>277</v>
      </c>
      <c r="H3327" s="12">
        <v>6.0328999999999997</v>
      </c>
      <c r="I3327" s="12">
        <v>-75.707999999999998</v>
      </c>
      <c r="J3327" t="s">
        <v>96</v>
      </c>
      <c r="K3327" t="s">
        <v>97</v>
      </c>
      <c r="L3327" t="s">
        <v>1273</v>
      </c>
      <c r="M3327">
        <v>11</v>
      </c>
      <c r="P3327" s="13">
        <v>139</v>
      </c>
      <c r="Q3327" s="13">
        <v>44</v>
      </c>
      <c r="R3327">
        <v>22</v>
      </c>
      <c r="S3327">
        <v>24</v>
      </c>
      <c r="T3327" s="13">
        <v>22</v>
      </c>
      <c r="U3327" s="13">
        <v>24</v>
      </c>
      <c r="V3327" t="s">
        <v>99</v>
      </c>
      <c r="X3327" s="13">
        <v>139</v>
      </c>
    </row>
    <row r="3328" spans="1:24" x14ac:dyDescent="0.25">
      <c r="A3328" t="s">
        <v>3166</v>
      </c>
      <c r="B3328" t="s">
        <v>65</v>
      </c>
      <c r="C3328" t="s">
        <v>3137</v>
      </c>
      <c r="D3328" t="s">
        <v>3138</v>
      </c>
      <c r="E3328" t="s">
        <v>3139</v>
      </c>
      <c r="F3328" t="s">
        <v>94</v>
      </c>
      <c r="G3328" t="s">
        <v>277</v>
      </c>
      <c r="H3328" s="12">
        <v>6.0328999999999997</v>
      </c>
      <c r="I3328" s="12">
        <v>-75.707999999999998</v>
      </c>
      <c r="J3328" t="s">
        <v>96</v>
      </c>
      <c r="K3328" t="s">
        <v>97</v>
      </c>
      <c r="L3328" t="s">
        <v>1273</v>
      </c>
      <c r="M3328">
        <v>11</v>
      </c>
      <c r="P3328" s="13">
        <v>134</v>
      </c>
      <c r="Q3328" s="13">
        <v>17</v>
      </c>
      <c r="R3328">
        <v>30</v>
      </c>
      <c r="S3328">
        <v>26</v>
      </c>
      <c r="T3328" s="13">
        <v>33</v>
      </c>
      <c r="U3328" s="13">
        <v>31</v>
      </c>
      <c r="V3328" t="s">
        <v>99</v>
      </c>
      <c r="X3328" s="13">
        <v>134</v>
      </c>
    </row>
    <row r="3329" spans="1:24" x14ac:dyDescent="0.25">
      <c r="A3329" t="s">
        <v>3167</v>
      </c>
      <c r="B3329" t="s">
        <v>65</v>
      </c>
      <c r="C3329" t="s">
        <v>3137</v>
      </c>
      <c r="D3329" t="s">
        <v>3138</v>
      </c>
      <c r="E3329" t="s">
        <v>3139</v>
      </c>
      <c r="F3329" t="s">
        <v>94</v>
      </c>
      <c r="G3329" t="s">
        <v>277</v>
      </c>
      <c r="H3329" s="12">
        <v>6.0328999999999997</v>
      </c>
      <c r="I3329" s="12">
        <v>-75.707999999999998</v>
      </c>
      <c r="J3329" t="s">
        <v>96</v>
      </c>
      <c r="K3329" t="s">
        <v>97</v>
      </c>
      <c r="L3329" t="s">
        <v>1273</v>
      </c>
      <c r="M3329">
        <v>11</v>
      </c>
      <c r="P3329" s="13">
        <v>130</v>
      </c>
      <c r="Q3329" s="13">
        <v>34</v>
      </c>
      <c r="R3329">
        <v>20</v>
      </c>
      <c r="S3329">
        <v>36</v>
      </c>
      <c r="T3329" s="13">
        <v>14</v>
      </c>
      <c r="U3329" s="13">
        <v>25</v>
      </c>
      <c r="V3329" t="s">
        <v>99</v>
      </c>
      <c r="X3329" s="13">
        <v>130</v>
      </c>
    </row>
    <row r="3330" spans="1:24" x14ac:dyDescent="0.25">
      <c r="A3330" t="s">
        <v>3168</v>
      </c>
      <c r="B3330" t="s">
        <v>65</v>
      </c>
      <c r="C3330" t="s">
        <v>3137</v>
      </c>
      <c r="D3330" t="s">
        <v>3138</v>
      </c>
      <c r="E3330" t="s">
        <v>3139</v>
      </c>
      <c r="F3330" t="s">
        <v>94</v>
      </c>
      <c r="G3330" t="s">
        <v>277</v>
      </c>
      <c r="H3330" s="12">
        <v>6.0328999999999997</v>
      </c>
      <c r="I3330" s="12">
        <v>-75.707999999999998</v>
      </c>
      <c r="J3330" t="s">
        <v>96</v>
      </c>
      <c r="K3330" t="s">
        <v>97</v>
      </c>
      <c r="L3330" t="s">
        <v>1273</v>
      </c>
      <c r="M3330">
        <v>11</v>
      </c>
      <c r="P3330" s="13">
        <v>116</v>
      </c>
      <c r="Q3330" s="13">
        <v>24</v>
      </c>
      <c r="R3330">
        <v>20</v>
      </c>
      <c r="S3330">
        <v>16</v>
      </c>
      <c r="T3330" s="13">
        <v>22</v>
      </c>
      <c r="U3330" s="13">
        <v>53</v>
      </c>
      <c r="V3330" t="s">
        <v>99</v>
      </c>
      <c r="X3330" s="13">
        <v>116</v>
      </c>
    </row>
    <row r="3331" spans="1:24" x14ac:dyDescent="0.25">
      <c r="A3331" t="s">
        <v>3169</v>
      </c>
      <c r="B3331" t="s">
        <v>65</v>
      </c>
      <c r="C3331" t="s">
        <v>3137</v>
      </c>
      <c r="D3331" t="s">
        <v>3138</v>
      </c>
      <c r="E3331" t="s">
        <v>3139</v>
      </c>
      <c r="F3331" t="s">
        <v>94</v>
      </c>
      <c r="G3331" t="s">
        <v>277</v>
      </c>
      <c r="H3331" s="12">
        <v>6.0328999999999997</v>
      </c>
      <c r="I3331" s="12">
        <v>-75.707999999999998</v>
      </c>
      <c r="J3331" t="s">
        <v>96</v>
      </c>
      <c r="K3331" t="s">
        <v>97</v>
      </c>
      <c r="L3331" t="s">
        <v>1273</v>
      </c>
      <c r="M3331">
        <v>11</v>
      </c>
      <c r="P3331" s="13">
        <v>110</v>
      </c>
      <c r="Q3331" s="13">
        <v>27</v>
      </c>
      <c r="R3331">
        <v>20</v>
      </c>
      <c r="S3331">
        <v>22</v>
      </c>
      <c r="T3331" s="13">
        <v>19</v>
      </c>
      <c r="U3331" s="13">
        <v>22</v>
      </c>
      <c r="V3331" t="s">
        <v>99</v>
      </c>
      <c r="X3331" s="13">
        <v>110</v>
      </c>
    </row>
    <row r="3332" spans="1:24" x14ac:dyDescent="0.25">
      <c r="A3332" t="s">
        <v>3170</v>
      </c>
      <c r="B3332" t="s">
        <v>65</v>
      </c>
      <c r="C3332" t="s">
        <v>3137</v>
      </c>
      <c r="D3332" t="s">
        <v>3138</v>
      </c>
      <c r="E3332" t="s">
        <v>3139</v>
      </c>
      <c r="F3332" t="s">
        <v>94</v>
      </c>
      <c r="G3332" t="s">
        <v>277</v>
      </c>
      <c r="H3332" s="12">
        <v>6.0328999999999997</v>
      </c>
      <c r="I3332" s="12">
        <v>-75.707999999999998</v>
      </c>
      <c r="J3332" t="s">
        <v>96</v>
      </c>
      <c r="K3332" t="s">
        <v>97</v>
      </c>
      <c r="L3332" t="s">
        <v>1273</v>
      </c>
      <c r="M3332">
        <v>11</v>
      </c>
      <c r="P3332" s="13">
        <v>62</v>
      </c>
      <c r="Q3332" s="13">
        <v>0</v>
      </c>
      <c r="R3332">
        <v>6</v>
      </c>
      <c r="S3332">
        <v>22</v>
      </c>
      <c r="T3332" s="13">
        <v>12</v>
      </c>
      <c r="U3332" s="13">
        <v>42</v>
      </c>
      <c r="V3332" t="s">
        <v>99</v>
      </c>
      <c r="X3332" s="13">
        <v>62</v>
      </c>
    </row>
    <row r="3333" spans="1:24" x14ac:dyDescent="0.25">
      <c r="A3333" t="s">
        <v>3171</v>
      </c>
      <c r="B3333" t="s">
        <v>65</v>
      </c>
      <c r="C3333" t="s">
        <v>3172</v>
      </c>
      <c r="D3333" t="s">
        <v>3173</v>
      </c>
      <c r="E3333" t="s">
        <v>3174</v>
      </c>
      <c r="F3333" t="s">
        <v>94</v>
      </c>
      <c r="G3333" t="s">
        <v>277</v>
      </c>
      <c r="H3333" s="12">
        <v>6.6047000000000002</v>
      </c>
      <c r="I3333" s="12">
        <v>-75.666399999999996</v>
      </c>
      <c r="J3333" t="s">
        <v>3175</v>
      </c>
      <c r="K3333" t="s">
        <v>97</v>
      </c>
      <c r="L3333" t="s">
        <v>1273</v>
      </c>
      <c r="M3333">
        <v>11</v>
      </c>
      <c r="P3333" s="13">
        <v>256</v>
      </c>
      <c r="Q3333" s="13">
        <v>54</v>
      </c>
      <c r="R3333">
        <v>38</v>
      </c>
      <c r="S3333">
        <v>68</v>
      </c>
      <c r="T3333" s="13">
        <v>45</v>
      </c>
      <c r="U3333" s="13">
        <v>51</v>
      </c>
      <c r="V3333" t="s">
        <v>99</v>
      </c>
      <c r="X3333" s="13">
        <v>256</v>
      </c>
    </row>
    <row r="3334" spans="1:24" x14ac:dyDescent="0.25">
      <c r="A3334" t="s">
        <v>3176</v>
      </c>
      <c r="B3334" t="s">
        <v>65</v>
      </c>
      <c r="C3334" t="s">
        <v>3172</v>
      </c>
      <c r="D3334" t="s">
        <v>3173</v>
      </c>
      <c r="E3334" t="s">
        <v>3174</v>
      </c>
      <c r="F3334" t="s">
        <v>94</v>
      </c>
      <c r="G3334" t="s">
        <v>277</v>
      </c>
      <c r="H3334" s="12">
        <v>6.6047000000000002</v>
      </c>
      <c r="I3334" s="12">
        <v>-75.666399999999996</v>
      </c>
      <c r="J3334" t="s">
        <v>3175</v>
      </c>
      <c r="K3334" t="s">
        <v>97</v>
      </c>
      <c r="L3334" t="s">
        <v>1273</v>
      </c>
      <c r="M3334">
        <v>11</v>
      </c>
      <c r="P3334" s="13">
        <v>228</v>
      </c>
      <c r="Q3334" s="13">
        <v>54</v>
      </c>
      <c r="R3334">
        <v>30</v>
      </c>
      <c r="S3334">
        <v>54</v>
      </c>
      <c r="T3334" s="13">
        <v>41</v>
      </c>
      <c r="U3334" s="13">
        <v>56</v>
      </c>
      <c r="V3334" t="s">
        <v>99</v>
      </c>
      <c r="X3334" s="13">
        <v>228</v>
      </c>
    </row>
    <row r="3335" spans="1:24" x14ac:dyDescent="0.25">
      <c r="A3335" t="s">
        <v>3177</v>
      </c>
      <c r="B3335" t="s">
        <v>65</v>
      </c>
      <c r="C3335" t="s">
        <v>3172</v>
      </c>
      <c r="D3335" t="s">
        <v>3173</v>
      </c>
      <c r="E3335" t="s">
        <v>3174</v>
      </c>
      <c r="F3335" t="s">
        <v>94</v>
      </c>
      <c r="G3335" t="s">
        <v>277</v>
      </c>
      <c r="H3335" s="12">
        <v>6.6047000000000002</v>
      </c>
      <c r="I3335" s="12">
        <v>-75.666399999999996</v>
      </c>
      <c r="J3335" t="s">
        <v>3175</v>
      </c>
      <c r="K3335" t="s">
        <v>97</v>
      </c>
      <c r="L3335" t="s">
        <v>1273</v>
      </c>
      <c r="M3335">
        <v>11</v>
      </c>
      <c r="P3335" s="13">
        <v>228</v>
      </c>
      <c r="Q3335" s="13">
        <v>63</v>
      </c>
      <c r="R3335">
        <v>28</v>
      </c>
      <c r="S3335">
        <v>54</v>
      </c>
      <c r="T3335" s="13">
        <v>28</v>
      </c>
      <c r="U3335" s="13">
        <v>73</v>
      </c>
      <c r="V3335" t="s">
        <v>99</v>
      </c>
      <c r="X3335" s="13">
        <v>228</v>
      </c>
    </row>
    <row r="3336" spans="1:24" x14ac:dyDescent="0.25">
      <c r="A3336" t="s">
        <v>3178</v>
      </c>
      <c r="B3336" t="s">
        <v>65</v>
      </c>
      <c r="C3336" t="s">
        <v>3172</v>
      </c>
      <c r="D3336" t="s">
        <v>3173</v>
      </c>
      <c r="E3336" t="s">
        <v>3174</v>
      </c>
      <c r="F3336" t="s">
        <v>94</v>
      </c>
      <c r="G3336" t="s">
        <v>277</v>
      </c>
      <c r="H3336" s="12">
        <v>6.6047000000000002</v>
      </c>
      <c r="I3336" s="12">
        <v>-75.666399999999996</v>
      </c>
      <c r="J3336" t="s">
        <v>3175</v>
      </c>
      <c r="K3336" t="s">
        <v>97</v>
      </c>
      <c r="L3336" t="s">
        <v>1273</v>
      </c>
      <c r="M3336">
        <v>11</v>
      </c>
      <c r="P3336" s="13">
        <v>222</v>
      </c>
      <c r="Q3336" s="13">
        <v>66</v>
      </c>
      <c r="R3336">
        <v>26</v>
      </c>
      <c r="S3336">
        <v>52</v>
      </c>
      <c r="T3336" s="13">
        <v>36</v>
      </c>
      <c r="U3336" s="13">
        <v>36</v>
      </c>
      <c r="V3336" t="s">
        <v>99</v>
      </c>
      <c r="X3336" s="13">
        <v>222</v>
      </c>
    </row>
    <row r="3337" spans="1:24" x14ac:dyDescent="0.25">
      <c r="A3337" t="s">
        <v>3179</v>
      </c>
      <c r="B3337" t="s">
        <v>65</v>
      </c>
      <c r="C3337" t="s">
        <v>3172</v>
      </c>
      <c r="D3337" t="s">
        <v>3173</v>
      </c>
      <c r="E3337" t="s">
        <v>3174</v>
      </c>
      <c r="F3337" t="s">
        <v>94</v>
      </c>
      <c r="G3337" t="s">
        <v>277</v>
      </c>
      <c r="H3337" s="12">
        <v>6.6047000000000002</v>
      </c>
      <c r="I3337" s="12">
        <v>-75.666399999999996</v>
      </c>
      <c r="J3337" t="s">
        <v>3175</v>
      </c>
      <c r="K3337" t="s">
        <v>97</v>
      </c>
      <c r="L3337" t="s">
        <v>1273</v>
      </c>
      <c r="M3337">
        <v>11</v>
      </c>
      <c r="P3337" s="13">
        <v>213</v>
      </c>
      <c r="Q3337" s="13">
        <v>61</v>
      </c>
      <c r="R3337">
        <v>26</v>
      </c>
      <c r="S3337">
        <v>54</v>
      </c>
      <c r="T3337" s="13">
        <v>29</v>
      </c>
      <c r="U3337" s="13">
        <v>42</v>
      </c>
      <c r="V3337" t="s">
        <v>99</v>
      </c>
      <c r="X3337" s="13">
        <v>213</v>
      </c>
    </row>
    <row r="3338" spans="1:24" x14ac:dyDescent="0.25">
      <c r="A3338" t="s">
        <v>3180</v>
      </c>
      <c r="B3338" t="s">
        <v>65</v>
      </c>
      <c r="C3338" t="s">
        <v>3172</v>
      </c>
      <c r="D3338" t="s">
        <v>3173</v>
      </c>
      <c r="E3338" t="s">
        <v>3174</v>
      </c>
      <c r="F3338" t="s">
        <v>94</v>
      </c>
      <c r="G3338" t="s">
        <v>277</v>
      </c>
      <c r="H3338" s="12">
        <v>6.6047000000000002</v>
      </c>
      <c r="I3338" s="12">
        <v>-75.666399999999996</v>
      </c>
      <c r="J3338" t="s">
        <v>3175</v>
      </c>
      <c r="K3338" t="s">
        <v>97</v>
      </c>
      <c r="L3338" t="s">
        <v>1273</v>
      </c>
      <c r="M3338">
        <v>11</v>
      </c>
      <c r="P3338" s="13">
        <v>211</v>
      </c>
      <c r="Q3338" s="13">
        <v>49</v>
      </c>
      <c r="R3338">
        <v>30</v>
      </c>
      <c r="S3338">
        <v>56</v>
      </c>
      <c r="T3338" s="13">
        <v>33</v>
      </c>
      <c r="U3338" s="13">
        <v>45</v>
      </c>
      <c r="V3338" t="s">
        <v>99</v>
      </c>
      <c r="X3338" s="13">
        <v>211</v>
      </c>
    </row>
    <row r="3339" spans="1:24" x14ac:dyDescent="0.25">
      <c r="A3339" t="s">
        <v>3181</v>
      </c>
      <c r="B3339" t="s">
        <v>65</v>
      </c>
      <c r="C3339" t="s">
        <v>3172</v>
      </c>
      <c r="D3339" t="s">
        <v>3173</v>
      </c>
      <c r="E3339" t="s">
        <v>3174</v>
      </c>
      <c r="F3339" t="s">
        <v>94</v>
      </c>
      <c r="G3339" t="s">
        <v>277</v>
      </c>
      <c r="H3339" s="12">
        <v>6.6047000000000002</v>
      </c>
      <c r="I3339" s="12">
        <v>-75.666399999999996</v>
      </c>
      <c r="J3339" t="s">
        <v>3175</v>
      </c>
      <c r="K3339" t="s">
        <v>97</v>
      </c>
      <c r="L3339" t="s">
        <v>1273</v>
      </c>
      <c r="M3339">
        <v>11</v>
      </c>
      <c r="P3339" s="13">
        <v>209</v>
      </c>
      <c r="Q3339" s="13">
        <v>46</v>
      </c>
      <c r="R3339">
        <v>32</v>
      </c>
      <c r="S3339">
        <v>54</v>
      </c>
      <c r="T3339" s="13">
        <v>33</v>
      </c>
      <c r="U3339" s="13">
        <v>49</v>
      </c>
      <c r="V3339" t="s">
        <v>99</v>
      </c>
      <c r="X3339" s="13">
        <v>209</v>
      </c>
    </row>
    <row r="3340" spans="1:24" x14ac:dyDescent="0.25">
      <c r="A3340" t="s">
        <v>3182</v>
      </c>
      <c r="B3340" t="s">
        <v>65</v>
      </c>
      <c r="C3340" t="s">
        <v>3172</v>
      </c>
      <c r="D3340" t="s">
        <v>3173</v>
      </c>
      <c r="E3340" t="s">
        <v>3174</v>
      </c>
      <c r="F3340" t="s">
        <v>94</v>
      </c>
      <c r="G3340" t="s">
        <v>277</v>
      </c>
      <c r="H3340" s="12">
        <v>6.6047000000000002</v>
      </c>
      <c r="I3340" s="12">
        <v>-75.666399999999996</v>
      </c>
      <c r="J3340" t="s">
        <v>3175</v>
      </c>
      <c r="K3340" t="s">
        <v>97</v>
      </c>
      <c r="L3340" t="s">
        <v>1273</v>
      </c>
      <c r="M3340">
        <v>11</v>
      </c>
      <c r="P3340" s="13">
        <v>208</v>
      </c>
      <c r="Q3340" s="13">
        <v>51</v>
      </c>
      <c r="R3340">
        <v>28</v>
      </c>
      <c r="S3340">
        <v>50</v>
      </c>
      <c r="T3340" s="13">
        <v>34</v>
      </c>
      <c r="U3340" s="13">
        <v>51</v>
      </c>
      <c r="V3340" t="s">
        <v>99</v>
      </c>
      <c r="X3340" s="13">
        <v>208</v>
      </c>
    </row>
    <row r="3341" spans="1:24" x14ac:dyDescent="0.25">
      <c r="A3341" t="s">
        <v>3183</v>
      </c>
      <c r="B3341" t="s">
        <v>65</v>
      </c>
      <c r="C3341" t="s">
        <v>3172</v>
      </c>
      <c r="D3341" t="s">
        <v>3173</v>
      </c>
      <c r="E3341" t="s">
        <v>3174</v>
      </c>
      <c r="F3341" t="s">
        <v>94</v>
      </c>
      <c r="G3341" t="s">
        <v>277</v>
      </c>
      <c r="H3341" s="12">
        <v>6.6047000000000002</v>
      </c>
      <c r="I3341" s="12">
        <v>-75.666399999999996</v>
      </c>
      <c r="J3341" t="s">
        <v>3175</v>
      </c>
      <c r="K3341" t="s">
        <v>97</v>
      </c>
      <c r="L3341" t="s">
        <v>1273</v>
      </c>
      <c r="M3341">
        <v>11</v>
      </c>
      <c r="P3341" s="13">
        <v>201</v>
      </c>
      <c r="Q3341" s="13">
        <v>44</v>
      </c>
      <c r="R3341">
        <v>26</v>
      </c>
      <c r="S3341">
        <v>48</v>
      </c>
      <c r="T3341" s="13">
        <v>36</v>
      </c>
      <c r="U3341" s="13">
        <v>60</v>
      </c>
      <c r="V3341" t="s">
        <v>99</v>
      </c>
      <c r="X3341" s="13">
        <v>201</v>
      </c>
    </row>
    <row r="3342" spans="1:24" x14ac:dyDescent="0.25">
      <c r="A3342" t="s">
        <v>3184</v>
      </c>
      <c r="B3342" t="s">
        <v>65</v>
      </c>
      <c r="C3342" t="s">
        <v>3172</v>
      </c>
      <c r="D3342" t="s">
        <v>3173</v>
      </c>
      <c r="E3342" t="s">
        <v>3174</v>
      </c>
      <c r="F3342" t="s">
        <v>94</v>
      </c>
      <c r="G3342" t="s">
        <v>277</v>
      </c>
      <c r="H3342" s="12">
        <v>6.6047000000000002</v>
      </c>
      <c r="I3342" s="12">
        <v>-75.666399999999996</v>
      </c>
      <c r="J3342" t="s">
        <v>3175</v>
      </c>
      <c r="K3342" t="s">
        <v>97</v>
      </c>
      <c r="L3342" t="s">
        <v>1273</v>
      </c>
      <c r="M3342">
        <v>11</v>
      </c>
      <c r="P3342" s="13">
        <v>201</v>
      </c>
      <c r="Q3342" s="13">
        <v>46</v>
      </c>
      <c r="R3342">
        <v>18</v>
      </c>
      <c r="S3342">
        <v>56</v>
      </c>
      <c r="T3342" s="13">
        <v>38</v>
      </c>
      <c r="U3342" s="13">
        <v>47</v>
      </c>
      <c r="V3342" t="s">
        <v>99</v>
      </c>
      <c r="X3342" s="13">
        <v>201</v>
      </c>
    </row>
    <row r="3343" spans="1:24" x14ac:dyDescent="0.25">
      <c r="A3343" t="s">
        <v>3185</v>
      </c>
      <c r="B3343" t="s">
        <v>65</v>
      </c>
      <c r="C3343" t="s">
        <v>3172</v>
      </c>
      <c r="D3343" t="s">
        <v>3173</v>
      </c>
      <c r="E3343" t="s">
        <v>3174</v>
      </c>
      <c r="F3343" t="s">
        <v>94</v>
      </c>
      <c r="G3343" t="s">
        <v>277</v>
      </c>
      <c r="H3343" s="12">
        <v>6.6047000000000002</v>
      </c>
      <c r="I3343" s="12">
        <v>-75.666399999999996</v>
      </c>
      <c r="J3343" t="s">
        <v>3175</v>
      </c>
      <c r="K3343" t="s">
        <v>97</v>
      </c>
      <c r="L3343" t="s">
        <v>1273</v>
      </c>
      <c r="M3343">
        <v>11</v>
      </c>
      <c r="P3343" s="13">
        <v>196</v>
      </c>
      <c r="Q3343" s="13">
        <v>41</v>
      </c>
      <c r="R3343">
        <v>30</v>
      </c>
      <c r="S3343">
        <v>56</v>
      </c>
      <c r="T3343" s="13">
        <v>28</v>
      </c>
      <c r="U3343" s="13">
        <v>44</v>
      </c>
      <c r="V3343" t="s">
        <v>99</v>
      </c>
      <c r="X3343" s="13">
        <v>196</v>
      </c>
    </row>
    <row r="3344" spans="1:24" x14ac:dyDescent="0.25">
      <c r="A3344" t="s">
        <v>3186</v>
      </c>
      <c r="B3344" t="s">
        <v>65</v>
      </c>
      <c r="C3344" t="s">
        <v>3172</v>
      </c>
      <c r="D3344" t="s">
        <v>3173</v>
      </c>
      <c r="E3344" t="s">
        <v>3174</v>
      </c>
      <c r="F3344" t="s">
        <v>94</v>
      </c>
      <c r="G3344" t="s">
        <v>277</v>
      </c>
      <c r="H3344" s="12">
        <v>6.6047000000000002</v>
      </c>
      <c r="I3344" s="12">
        <v>-75.666399999999996</v>
      </c>
      <c r="J3344" t="s">
        <v>3175</v>
      </c>
      <c r="K3344" t="s">
        <v>97</v>
      </c>
      <c r="L3344" t="s">
        <v>1273</v>
      </c>
      <c r="M3344">
        <v>11</v>
      </c>
      <c r="P3344" s="13">
        <v>187</v>
      </c>
      <c r="Q3344" s="13">
        <v>49</v>
      </c>
      <c r="R3344">
        <v>26</v>
      </c>
      <c r="S3344">
        <v>48</v>
      </c>
      <c r="T3344" s="13">
        <v>24</v>
      </c>
      <c r="U3344" s="13">
        <v>45</v>
      </c>
      <c r="V3344" t="s">
        <v>99</v>
      </c>
      <c r="X3344" s="13">
        <v>187</v>
      </c>
    </row>
    <row r="3345" spans="1:24" x14ac:dyDescent="0.25">
      <c r="A3345" t="s">
        <v>3187</v>
      </c>
      <c r="B3345" t="s">
        <v>65</v>
      </c>
      <c r="C3345" t="s">
        <v>3172</v>
      </c>
      <c r="D3345" t="s">
        <v>3173</v>
      </c>
      <c r="E3345" t="s">
        <v>3174</v>
      </c>
      <c r="F3345" t="s">
        <v>94</v>
      </c>
      <c r="G3345" t="s">
        <v>277</v>
      </c>
      <c r="H3345" s="12">
        <v>6.6047000000000002</v>
      </c>
      <c r="I3345" s="12">
        <v>-75.666399999999996</v>
      </c>
      <c r="J3345" t="s">
        <v>3175</v>
      </c>
      <c r="K3345" t="s">
        <v>97</v>
      </c>
      <c r="L3345" t="s">
        <v>1273</v>
      </c>
      <c r="M3345">
        <v>11</v>
      </c>
      <c r="P3345" s="13">
        <v>183</v>
      </c>
      <c r="Q3345" s="13">
        <v>37</v>
      </c>
      <c r="R3345">
        <v>18</v>
      </c>
      <c r="S3345">
        <v>50</v>
      </c>
      <c r="T3345" s="13">
        <v>36</v>
      </c>
      <c r="U3345" s="13">
        <v>55</v>
      </c>
      <c r="V3345" t="s">
        <v>99</v>
      </c>
      <c r="X3345" s="13">
        <v>183</v>
      </c>
    </row>
    <row r="3346" spans="1:24" x14ac:dyDescent="0.25">
      <c r="A3346" t="s">
        <v>3188</v>
      </c>
      <c r="B3346" t="s">
        <v>65</v>
      </c>
      <c r="C3346" t="s">
        <v>3172</v>
      </c>
      <c r="D3346" t="s">
        <v>3173</v>
      </c>
      <c r="E3346" t="s">
        <v>3174</v>
      </c>
      <c r="F3346" t="s">
        <v>94</v>
      </c>
      <c r="G3346" t="s">
        <v>277</v>
      </c>
      <c r="H3346" s="12">
        <v>6.6047000000000002</v>
      </c>
      <c r="I3346" s="12">
        <v>-75.666399999999996</v>
      </c>
      <c r="J3346" t="s">
        <v>3175</v>
      </c>
      <c r="K3346" t="s">
        <v>97</v>
      </c>
      <c r="L3346" t="s">
        <v>1273</v>
      </c>
      <c r="M3346">
        <v>11</v>
      </c>
      <c r="P3346" s="13">
        <v>183</v>
      </c>
      <c r="Q3346" s="13">
        <v>39</v>
      </c>
      <c r="R3346">
        <v>22</v>
      </c>
      <c r="S3346">
        <v>48</v>
      </c>
      <c r="T3346" s="13">
        <v>33</v>
      </c>
      <c r="U3346" s="13">
        <v>51</v>
      </c>
      <c r="V3346" t="s">
        <v>99</v>
      </c>
      <c r="X3346" s="13">
        <v>183</v>
      </c>
    </row>
    <row r="3347" spans="1:24" x14ac:dyDescent="0.25">
      <c r="A3347" t="s">
        <v>3189</v>
      </c>
      <c r="B3347" t="s">
        <v>65</v>
      </c>
      <c r="C3347" t="s">
        <v>3172</v>
      </c>
      <c r="D3347" t="s">
        <v>3173</v>
      </c>
      <c r="E3347" t="s">
        <v>3174</v>
      </c>
      <c r="F3347" t="s">
        <v>94</v>
      </c>
      <c r="G3347" t="s">
        <v>277</v>
      </c>
      <c r="H3347" s="12">
        <v>6.6047000000000002</v>
      </c>
      <c r="I3347" s="12">
        <v>-75.666399999999996</v>
      </c>
      <c r="J3347" t="s">
        <v>3175</v>
      </c>
      <c r="K3347" t="s">
        <v>97</v>
      </c>
      <c r="L3347" t="s">
        <v>1273</v>
      </c>
      <c r="M3347">
        <v>11</v>
      </c>
      <c r="P3347" s="13">
        <v>181</v>
      </c>
      <c r="Q3347" s="13">
        <v>49</v>
      </c>
      <c r="R3347">
        <v>22</v>
      </c>
      <c r="S3347">
        <v>36</v>
      </c>
      <c r="T3347" s="13">
        <v>34</v>
      </c>
      <c r="U3347" s="13">
        <v>47</v>
      </c>
      <c r="V3347" t="s">
        <v>99</v>
      </c>
      <c r="X3347" s="13">
        <v>181</v>
      </c>
    </row>
    <row r="3348" spans="1:24" x14ac:dyDescent="0.25">
      <c r="A3348" t="s">
        <v>3190</v>
      </c>
      <c r="B3348" t="s">
        <v>65</v>
      </c>
      <c r="C3348" t="s">
        <v>3172</v>
      </c>
      <c r="D3348" t="s">
        <v>3173</v>
      </c>
      <c r="E3348" t="s">
        <v>3174</v>
      </c>
      <c r="F3348" t="s">
        <v>94</v>
      </c>
      <c r="G3348" t="s">
        <v>277</v>
      </c>
      <c r="H3348" s="12">
        <v>6.6047000000000002</v>
      </c>
      <c r="I3348" s="12">
        <v>-75.666399999999996</v>
      </c>
      <c r="J3348" t="s">
        <v>3175</v>
      </c>
      <c r="K3348" t="s">
        <v>97</v>
      </c>
      <c r="L3348" t="s">
        <v>1273</v>
      </c>
      <c r="M3348">
        <v>11</v>
      </c>
      <c r="P3348" s="13">
        <v>181</v>
      </c>
      <c r="Q3348" s="13">
        <v>41</v>
      </c>
      <c r="R3348">
        <v>26</v>
      </c>
      <c r="S3348">
        <v>42</v>
      </c>
      <c r="T3348" s="13">
        <v>34</v>
      </c>
      <c r="U3348" s="13">
        <v>38</v>
      </c>
      <c r="V3348" t="s">
        <v>99</v>
      </c>
      <c r="X3348" s="13">
        <v>181</v>
      </c>
    </row>
    <row r="3349" spans="1:24" x14ac:dyDescent="0.25">
      <c r="A3349" t="s">
        <v>3191</v>
      </c>
      <c r="B3349" t="s">
        <v>65</v>
      </c>
      <c r="C3349" t="s">
        <v>3172</v>
      </c>
      <c r="D3349" t="s">
        <v>3173</v>
      </c>
      <c r="E3349" t="s">
        <v>3174</v>
      </c>
      <c r="F3349" t="s">
        <v>94</v>
      </c>
      <c r="G3349" t="s">
        <v>277</v>
      </c>
      <c r="H3349" s="12">
        <v>6.6047000000000002</v>
      </c>
      <c r="I3349" s="12">
        <v>-75.666399999999996</v>
      </c>
      <c r="J3349" t="s">
        <v>3175</v>
      </c>
      <c r="K3349" t="s">
        <v>97</v>
      </c>
      <c r="L3349" t="s">
        <v>1273</v>
      </c>
      <c r="M3349">
        <v>11</v>
      </c>
      <c r="P3349" s="13">
        <v>180</v>
      </c>
      <c r="Q3349" s="13">
        <v>41</v>
      </c>
      <c r="R3349">
        <v>22</v>
      </c>
      <c r="S3349">
        <v>54</v>
      </c>
      <c r="T3349" s="13">
        <v>28</v>
      </c>
      <c r="U3349" s="13">
        <v>33</v>
      </c>
      <c r="V3349" t="s">
        <v>99</v>
      </c>
      <c r="X3349" s="13">
        <v>180</v>
      </c>
    </row>
    <row r="3350" spans="1:24" x14ac:dyDescent="0.25">
      <c r="A3350" t="s">
        <v>3192</v>
      </c>
      <c r="B3350" t="s">
        <v>65</v>
      </c>
      <c r="C3350" t="s">
        <v>3172</v>
      </c>
      <c r="D3350" t="s">
        <v>3173</v>
      </c>
      <c r="E3350" t="s">
        <v>3174</v>
      </c>
      <c r="F3350" t="s">
        <v>94</v>
      </c>
      <c r="G3350" t="s">
        <v>277</v>
      </c>
      <c r="H3350" s="12">
        <v>6.6047000000000002</v>
      </c>
      <c r="I3350" s="12">
        <v>-75.666399999999996</v>
      </c>
      <c r="J3350" t="s">
        <v>3175</v>
      </c>
      <c r="K3350" t="s">
        <v>97</v>
      </c>
      <c r="L3350" t="s">
        <v>1273</v>
      </c>
      <c r="M3350">
        <v>11</v>
      </c>
      <c r="P3350" s="13">
        <v>179</v>
      </c>
      <c r="Q3350" s="13">
        <v>51</v>
      </c>
      <c r="R3350">
        <v>18</v>
      </c>
      <c r="S3350">
        <v>46</v>
      </c>
      <c r="T3350" s="13">
        <v>29</v>
      </c>
      <c r="U3350" s="13">
        <v>31</v>
      </c>
      <c r="V3350" t="s">
        <v>99</v>
      </c>
      <c r="X3350" s="13">
        <v>179</v>
      </c>
    </row>
    <row r="3351" spans="1:24" x14ac:dyDescent="0.25">
      <c r="A3351" t="s">
        <v>3193</v>
      </c>
      <c r="B3351" t="s">
        <v>65</v>
      </c>
      <c r="C3351" t="s">
        <v>3172</v>
      </c>
      <c r="D3351" t="s">
        <v>3173</v>
      </c>
      <c r="E3351" t="s">
        <v>3174</v>
      </c>
      <c r="F3351" t="s">
        <v>94</v>
      </c>
      <c r="G3351" t="s">
        <v>277</v>
      </c>
      <c r="H3351" s="12">
        <v>6.6047000000000002</v>
      </c>
      <c r="I3351" s="12">
        <v>-75.666399999999996</v>
      </c>
      <c r="J3351" t="s">
        <v>3175</v>
      </c>
      <c r="K3351" t="s">
        <v>97</v>
      </c>
      <c r="L3351" t="s">
        <v>1273</v>
      </c>
      <c r="M3351">
        <v>11</v>
      </c>
      <c r="P3351" s="13">
        <v>178</v>
      </c>
      <c r="Q3351" s="13">
        <v>41</v>
      </c>
      <c r="R3351">
        <v>24</v>
      </c>
      <c r="S3351">
        <v>50</v>
      </c>
      <c r="T3351" s="13">
        <v>24</v>
      </c>
      <c r="U3351" s="13">
        <v>44</v>
      </c>
      <c r="V3351" t="s">
        <v>99</v>
      </c>
      <c r="X3351" s="13">
        <v>178</v>
      </c>
    </row>
    <row r="3352" spans="1:24" x14ac:dyDescent="0.25">
      <c r="A3352" t="s">
        <v>3194</v>
      </c>
      <c r="B3352" t="s">
        <v>65</v>
      </c>
      <c r="C3352" t="s">
        <v>3172</v>
      </c>
      <c r="D3352" t="s">
        <v>3173</v>
      </c>
      <c r="E3352" t="s">
        <v>3174</v>
      </c>
      <c r="F3352" t="s">
        <v>94</v>
      </c>
      <c r="G3352" t="s">
        <v>277</v>
      </c>
      <c r="H3352" s="12">
        <v>6.6047000000000002</v>
      </c>
      <c r="I3352" s="12">
        <v>-75.666399999999996</v>
      </c>
      <c r="J3352" t="s">
        <v>3175</v>
      </c>
      <c r="K3352" t="s">
        <v>97</v>
      </c>
      <c r="L3352" t="s">
        <v>1273</v>
      </c>
      <c r="M3352">
        <v>11</v>
      </c>
      <c r="P3352" s="13">
        <v>173</v>
      </c>
      <c r="Q3352" s="13">
        <v>37</v>
      </c>
      <c r="R3352">
        <v>36</v>
      </c>
      <c r="S3352">
        <v>34</v>
      </c>
      <c r="T3352" s="13">
        <v>29</v>
      </c>
      <c r="U3352" s="13">
        <v>42</v>
      </c>
      <c r="V3352" t="s">
        <v>99</v>
      </c>
      <c r="X3352" s="13">
        <v>173</v>
      </c>
    </row>
    <row r="3353" spans="1:24" x14ac:dyDescent="0.25">
      <c r="A3353" t="s">
        <v>3195</v>
      </c>
      <c r="B3353" t="s">
        <v>65</v>
      </c>
      <c r="C3353" t="s">
        <v>3172</v>
      </c>
      <c r="D3353" t="s">
        <v>3173</v>
      </c>
      <c r="E3353" t="s">
        <v>3174</v>
      </c>
      <c r="F3353" t="s">
        <v>94</v>
      </c>
      <c r="G3353" t="s">
        <v>277</v>
      </c>
      <c r="H3353" s="12">
        <v>6.6047000000000002</v>
      </c>
      <c r="I3353" s="12">
        <v>-75.666399999999996</v>
      </c>
      <c r="J3353" t="s">
        <v>3175</v>
      </c>
      <c r="K3353" t="s">
        <v>97</v>
      </c>
      <c r="L3353" t="s">
        <v>1273</v>
      </c>
      <c r="M3353">
        <v>11</v>
      </c>
      <c r="P3353" s="13">
        <v>172</v>
      </c>
      <c r="Q3353" s="13">
        <v>24</v>
      </c>
      <c r="R3353">
        <v>42</v>
      </c>
      <c r="S3353">
        <v>44</v>
      </c>
      <c r="T3353" s="13">
        <v>28</v>
      </c>
      <c r="U3353" s="13">
        <v>33</v>
      </c>
      <c r="V3353" t="s">
        <v>99</v>
      </c>
      <c r="X3353" s="13">
        <v>172</v>
      </c>
    </row>
    <row r="3354" spans="1:24" x14ac:dyDescent="0.25">
      <c r="A3354" t="s">
        <v>3196</v>
      </c>
      <c r="B3354" t="s">
        <v>65</v>
      </c>
      <c r="C3354" t="s">
        <v>3172</v>
      </c>
      <c r="D3354" t="s">
        <v>3173</v>
      </c>
      <c r="E3354" t="s">
        <v>3174</v>
      </c>
      <c r="F3354" t="s">
        <v>94</v>
      </c>
      <c r="G3354" t="s">
        <v>277</v>
      </c>
      <c r="H3354" s="12">
        <v>6.6047000000000002</v>
      </c>
      <c r="I3354" s="12">
        <v>-75.666399999999996</v>
      </c>
      <c r="J3354" t="s">
        <v>3175</v>
      </c>
      <c r="K3354" t="s">
        <v>97</v>
      </c>
      <c r="L3354" t="s">
        <v>1273</v>
      </c>
      <c r="M3354">
        <v>11</v>
      </c>
      <c r="P3354" s="13">
        <v>167</v>
      </c>
      <c r="Q3354" s="13">
        <v>49</v>
      </c>
      <c r="R3354">
        <v>24</v>
      </c>
      <c r="S3354">
        <v>44</v>
      </c>
      <c r="T3354" s="13">
        <v>21</v>
      </c>
      <c r="U3354" s="13">
        <v>22</v>
      </c>
      <c r="V3354" t="s">
        <v>99</v>
      </c>
      <c r="X3354" s="13">
        <v>167</v>
      </c>
    </row>
    <row r="3355" spans="1:24" x14ac:dyDescent="0.25">
      <c r="A3355" t="s">
        <v>3197</v>
      </c>
      <c r="B3355" t="s">
        <v>65</v>
      </c>
      <c r="C3355" t="s">
        <v>3172</v>
      </c>
      <c r="D3355" t="s">
        <v>3173</v>
      </c>
      <c r="E3355" t="s">
        <v>3174</v>
      </c>
      <c r="F3355" t="s">
        <v>94</v>
      </c>
      <c r="G3355" t="s">
        <v>277</v>
      </c>
      <c r="H3355" s="12">
        <v>6.6047000000000002</v>
      </c>
      <c r="I3355" s="12">
        <v>-75.666399999999996</v>
      </c>
      <c r="J3355" t="s">
        <v>3175</v>
      </c>
      <c r="K3355" t="s">
        <v>97</v>
      </c>
      <c r="L3355" t="s">
        <v>1273</v>
      </c>
      <c r="M3355">
        <v>11</v>
      </c>
      <c r="P3355" s="13">
        <v>164</v>
      </c>
      <c r="Q3355" s="13">
        <v>29</v>
      </c>
      <c r="R3355">
        <v>26</v>
      </c>
      <c r="S3355">
        <v>38</v>
      </c>
      <c r="T3355" s="13">
        <v>36</v>
      </c>
      <c r="U3355" s="13">
        <v>38</v>
      </c>
      <c r="V3355" t="s">
        <v>99</v>
      </c>
      <c r="X3355" s="13">
        <v>164</v>
      </c>
    </row>
    <row r="3356" spans="1:24" x14ac:dyDescent="0.25">
      <c r="A3356" t="s">
        <v>3198</v>
      </c>
      <c r="B3356" t="s">
        <v>65</v>
      </c>
      <c r="C3356" t="s">
        <v>3172</v>
      </c>
      <c r="D3356" t="s">
        <v>3173</v>
      </c>
      <c r="E3356" t="s">
        <v>3174</v>
      </c>
      <c r="F3356" t="s">
        <v>94</v>
      </c>
      <c r="G3356" t="s">
        <v>277</v>
      </c>
      <c r="H3356" s="12">
        <v>6.6047000000000002</v>
      </c>
      <c r="I3356" s="12">
        <v>-75.666399999999996</v>
      </c>
      <c r="J3356" t="s">
        <v>3175</v>
      </c>
      <c r="K3356" t="s">
        <v>97</v>
      </c>
      <c r="L3356" t="s">
        <v>1273</v>
      </c>
      <c r="M3356">
        <v>11</v>
      </c>
      <c r="P3356" s="13">
        <v>158</v>
      </c>
      <c r="Q3356" s="13">
        <v>37</v>
      </c>
      <c r="R3356">
        <v>20</v>
      </c>
      <c r="S3356">
        <v>42</v>
      </c>
      <c r="T3356" s="13">
        <v>24</v>
      </c>
      <c r="U3356" s="13">
        <v>42</v>
      </c>
      <c r="V3356" t="s">
        <v>99</v>
      </c>
      <c r="X3356" s="13">
        <v>158</v>
      </c>
    </row>
    <row r="3357" spans="1:24" x14ac:dyDescent="0.25">
      <c r="A3357" t="s">
        <v>3199</v>
      </c>
      <c r="B3357" t="s">
        <v>65</v>
      </c>
      <c r="C3357" t="s">
        <v>3172</v>
      </c>
      <c r="D3357" t="s">
        <v>3173</v>
      </c>
      <c r="E3357" t="s">
        <v>3174</v>
      </c>
      <c r="F3357" t="s">
        <v>94</v>
      </c>
      <c r="G3357" t="s">
        <v>277</v>
      </c>
      <c r="H3357" s="12">
        <v>6.6047000000000002</v>
      </c>
      <c r="I3357" s="12">
        <v>-75.666399999999996</v>
      </c>
      <c r="J3357" t="s">
        <v>3175</v>
      </c>
      <c r="K3357" t="s">
        <v>97</v>
      </c>
      <c r="L3357" t="s">
        <v>1273</v>
      </c>
      <c r="M3357">
        <v>11</v>
      </c>
      <c r="P3357" s="13">
        <v>157</v>
      </c>
      <c r="Q3357" s="13">
        <v>39</v>
      </c>
      <c r="R3357">
        <v>24</v>
      </c>
      <c r="S3357">
        <v>26</v>
      </c>
      <c r="T3357" s="13">
        <v>31</v>
      </c>
      <c r="U3357" s="13">
        <v>47</v>
      </c>
      <c r="V3357" t="s">
        <v>99</v>
      </c>
      <c r="X3357" s="13">
        <v>157</v>
      </c>
    </row>
    <row r="3358" spans="1:24" x14ac:dyDescent="0.25">
      <c r="A3358" t="s">
        <v>3200</v>
      </c>
      <c r="B3358" t="s">
        <v>65</v>
      </c>
      <c r="C3358" t="s">
        <v>3172</v>
      </c>
      <c r="D3358" t="s">
        <v>3173</v>
      </c>
      <c r="E3358" t="s">
        <v>3174</v>
      </c>
      <c r="F3358" t="s">
        <v>94</v>
      </c>
      <c r="G3358" t="s">
        <v>277</v>
      </c>
      <c r="H3358" s="12">
        <v>6.6047000000000002</v>
      </c>
      <c r="I3358" s="12">
        <v>-75.666399999999996</v>
      </c>
      <c r="J3358" t="s">
        <v>3175</v>
      </c>
      <c r="K3358" t="s">
        <v>97</v>
      </c>
      <c r="L3358" t="s">
        <v>1273</v>
      </c>
      <c r="M3358">
        <v>11</v>
      </c>
      <c r="P3358" s="13">
        <v>153</v>
      </c>
      <c r="Q3358" s="13">
        <v>32</v>
      </c>
      <c r="R3358">
        <v>26</v>
      </c>
      <c r="S3358">
        <v>36</v>
      </c>
      <c r="T3358" s="13">
        <v>24</v>
      </c>
      <c r="U3358" s="13">
        <v>44</v>
      </c>
      <c r="V3358" t="s">
        <v>99</v>
      </c>
      <c r="X3358" s="13">
        <v>153</v>
      </c>
    </row>
    <row r="3359" spans="1:24" x14ac:dyDescent="0.25">
      <c r="A3359" t="s">
        <v>3201</v>
      </c>
      <c r="B3359" t="s">
        <v>65</v>
      </c>
      <c r="C3359" t="s">
        <v>3172</v>
      </c>
      <c r="D3359" t="s">
        <v>3173</v>
      </c>
      <c r="E3359" t="s">
        <v>3174</v>
      </c>
      <c r="F3359" t="s">
        <v>94</v>
      </c>
      <c r="G3359" t="s">
        <v>277</v>
      </c>
      <c r="H3359" s="12">
        <v>6.6047000000000002</v>
      </c>
      <c r="I3359" s="12">
        <v>-75.666399999999996</v>
      </c>
      <c r="J3359" t="s">
        <v>3175</v>
      </c>
      <c r="K3359" t="s">
        <v>97</v>
      </c>
      <c r="L3359" t="s">
        <v>1273</v>
      </c>
      <c r="M3359">
        <v>11</v>
      </c>
      <c r="P3359" s="13">
        <v>137</v>
      </c>
      <c r="Q3359" s="13">
        <v>39</v>
      </c>
      <c r="R3359">
        <v>22</v>
      </c>
      <c r="S3359">
        <v>28</v>
      </c>
      <c r="T3359" s="13">
        <v>17</v>
      </c>
      <c r="U3359" s="13">
        <v>36</v>
      </c>
      <c r="V3359" t="s">
        <v>99</v>
      </c>
      <c r="X3359" s="13">
        <v>137</v>
      </c>
    </row>
    <row r="3360" spans="1:24" x14ac:dyDescent="0.25">
      <c r="A3360" t="s">
        <v>3202</v>
      </c>
      <c r="B3360" t="s">
        <v>65</v>
      </c>
      <c r="C3360" t="s">
        <v>3172</v>
      </c>
      <c r="D3360" t="s">
        <v>3173</v>
      </c>
      <c r="E3360" t="s">
        <v>3174</v>
      </c>
      <c r="F3360" t="s">
        <v>94</v>
      </c>
      <c r="G3360" t="s">
        <v>277</v>
      </c>
      <c r="H3360" s="12">
        <v>6.6047000000000002</v>
      </c>
      <c r="I3360" s="12">
        <v>-75.666399999999996</v>
      </c>
      <c r="J3360" t="s">
        <v>3175</v>
      </c>
      <c r="K3360" t="s">
        <v>97</v>
      </c>
      <c r="L3360" t="s">
        <v>1273</v>
      </c>
      <c r="M3360">
        <v>11</v>
      </c>
      <c r="P3360" s="13">
        <v>130</v>
      </c>
      <c r="Q3360" s="13">
        <v>32</v>
      </c>
      <c r="R3360">
        <v>22</v>
      </c>
      <c r="S3360">
        <v>26</v>
      </c>
      <c r="T3360" s="13">
        <v>22</v>
      </c>
      <c r="U3360" s="13">
        <v>33</v>
      </c>
      <c r="V3360" t="s">
        <v>99</v>
      </c>
      <c r="X3360" s="13">
        <v>130</v>
      </c>
    </row>
    <row r="3361" spans="1:24" x14ac:dyDescent="0.25">
      <c r="A3361" t="s">
        <v>3203</v>
      </c>
      <c r="B3361" t="s">
        <v>65</v>
      </c>
      <c r="C3361" t="s">
        <v>3204</v>
      </c>
      <c r="D3361" t="s">
        <v>3205</v>
      </c>
      <c r="E3361" t="s">
        <v>3206</v>
      </c>
      <c r="F3361" t="s">
        <v>94</v>
      </c>
      <c r="G3361" t="s">
        <v>277</v>
      </c>
      <c r="H3361" s="12">
        <v>7.1717000000000004</v>
      </c>
      <c r="I3361" s="12">
        <v>-75.733599999999996</v>
      </c>
      <c r="J3361" t="s">
        <v>3207</v>
      </c>
      <c r="K3361" t="s">
        <v>97</v>
      </c>
      <c r="L3361" t="s">
        <v>1273</v>
      </c>
      <c r="M3361">
        <v>11</v>
      </c>
      <c r="P3361" s="13">
        <v>263</v>
      </c>
      <c r="Q3361" s="13">
        <v>63</v>
      </c>
      <c r="R3361">
        <v>28</v>
      </c>
      <c r="S3361">
        <v>72</v>
      </c>
      <c r="T3361" s="13">
        <v>36</v>
      </c>
      <c r="U3361" s="13">
        <v>84</v>
      </c>
      <c r="V3361" t="s">
        <v>99</v>
      </c>
      <c r="X3361" s="13">
        <v>263</v>
      </c>
    </row>
    <row r="3362" spans="1:24" x14ac:dyDescent="0.25">
      <c r="A3362" t="s">
        <v>3208</v>
      </c>
      <c r="B3362" t="s">
        <v>65</v>
      </c>
      <c r="C3362" t="s">
        <v>3204</v>
      </c>
      <c r="D3362" t="s">
        <v>3205</v>
      </c>
      <c r="E3362" t="s">
        <v>3206</v>
      </c>
      <c r="F3362" t="s">
        <v>94</v>
      </c>
      <c r="G3362" t="s">
        <v>277</v>
      </c>
      <c r="H3362" s="12">
        <v>7.1717000000000004</v>
      </c>
      <c r="I3362" s="12">
        <v>-75.733599999999996</v>
      </c>
      <c r="J3362" t="s">
        <v>3207</v>
      </c>
      <c r="K3362" t="s">
        <v>97</v>
      </c>
      <c r="L3362" t="s">
        <v>1273</v>
      </c>
      <c r="M3362">
        <v>11</v>
      </c>
      <c r="P3362" s="13">
        <v>244</v>
      </c>
      <c r="Q3362" s="13">
        <v>68</v>
      </c>
      <c r="R3362">
        <v>34</v>
      </c>
      <c r="S3362">
        <v>62</v>
      </c>
      <c r="T3362" s="13">
        <v>31</v>
      </c>
      <c r="U3362" s="13">
        <v>47</v>
      </c>
      <c r="V3362" t="s">
        <v>99</v>
      </c>
      <c r="X3362" s="13">
        <v>244</v>
      </c>
    </row>
    <row r="3363" spans="1:24" x14ac:dyDescent="0.25">
      <c r="A3363" t="s">
        <v>3209</v>
      </c>
      <c r="B3363" t="s">
        <v>65</v>
      </c>
      <c r="C3363" t="s">
        <v>3204</v>
      </c>
      <c r="D3363" t="s">
        <v>3205</v>
      </c>
      <c r="E3363" t="s">
        <v>3206</v>
      </c>
      <c r="F3363" t="s">
        <v>94</v>
      </c>
      <c r="G3363" t="s">
        <v>277</v>
      </c>
      <c r="H3363" s="12">
        <v>7.1717000000000004</v>
      </c>
      <c r="I3363" s="12">
        <v>-75.733599999999996</v>
      </c>
      <c r="J3363" t="s">
        <v>3207</v>
      </c>
      <c r="K3363" t="s">
        <v>97</v>
      </c>
      <c r="L3363" t="s">
        <v>1273</v>
      </c>
      <c r="M3363">
        <v>11</v>
      </c>
      <c r="P3363" s="13">
        <v>205</v>
      </c>
      <c r="Q3363" s="13">
        <v>44</v>
      </c>
      <c r="R3363">
        <v>34</v>
      </c>
      <c r="S3363">
        <v>48</v>
      </c>
      <c r="T3363" s="13">
        <v>34</v>
      </c>
      <c r="U3363" s="13">
        <v>53</v>
      </c>
      <c r="V3363" t="s">
        <v>99</v>
      </c>
      <c r="X3363" s="13">
        <v>205</v>
      </c>
    </row>
    <row r="3364" spans="1:24" x14ac:dyDescent="0.25">
      <c r="A3364" t="s">
        <v>3210</v>
      </c>
      <c r="B3364" t="s">
        <v>65</v>
      </c>
      <c r="C3364" t="s">
        <v>3204</v>
      </c>
      <c r="D3364" t="s">
        <v>3205</v>
      </c>
      <c r="E3364" t="s">
        <v>3206</v>
      </c>
      <c r="F3364" t="s">
        <v>94</v>
      </c>
      <c r="G3364" t="s">
        <v>277</v>
      </c>
      <c r="H3364" s="12">
        <v>7.1717000000000004</v>
      </c>
      <c r="I3364" s="12">
        <v>-75.733599999999996</v>
      </c>
      <c r="J3364" t="s">
        <v>3207</v>
      </c>
      <c r="K3364" t="s">
        <v>97</v>
      </c>
      <c r="L3364" t="s">
        <v>1273</v>
      </c>
      <c r="M3364">
        <v>11</v>
      </c>
      <c r="P3364" s="13">
        <v>204</v>
      </c>
      <c r="Q3364" s="13">
        <v>61</v>
      </c>
      <c r="R3364">
        <v>22</v>
      </c>
      <c r="S3364">
        <v>58</v>
      </c>
      <c r="T3364" s="13">
        <v>16</v>
      </c>
      <c r="U3364" s="13">
        <v>62</v>
      </c>
      <c r="V3364" t="s">
        <v>99</v>
      </c>
      <c r="X3364" s="13">
        <v>204</v>
      </c>
    </row>
    <row r="3365" spans="1:24" x14ac:dyDescent="0.25">
      <c r="A3365" t="s">
        <v>3211</v>
      </c>
      <c r="B3365" t="s">
        <v>65</v>
      </c>
      <c r="C3365" t="s">
        <v>3204</v>
      </c>
      <c r="D3365" t="s">
        <v>3205</v>
      </c>
      <c r="E3365" t="s">
        <v>3206</v>
      </c>
      <c r="F3365" t="s">
        <v>94</v>
      </c>
      <c r="G3365" t="s">
        <v>277</v>
      </c>
      <c r="H3365" s="12">
        <v>7.1717000000000004</v>
      </c>
      <c r="I3365" s="12">
        <v>-75.733599999999996</v>
      </c>
      <c r="J3365" t="s">
        <v>3207</v>
      </c>
      <c r="K3365" t="s">
        <v>97</v>
      </c>
      <c r="L3365" t="s">
        <v>1273</v>
      </c>
      <c r="M3365">
        <v>11</v>
      </c>
      <c r="P3365" s="13">
        <v>202</v>
      </c>
      <c r="Q3365" s="13">
        <v>49</v>
      </c>
      <c r="R3365">
        <v>28</v>
      </c>
      <c r="S3365">
        <v>52</v>
      </c>
      <c r="T3365" s="13">
        <v>33</v>
      </c>
      <c r="U3365" s="13">
        <v>42</v>
      </c>
      <c r="V3365" t="s">
        <v>99</v>
      </c>
      <c r="X3365" s="13">
        <v>202</v>
      </c>
    </row>
    <row r="3366" spans="1:24" x14ac:dyDescent="0.25">
      <c r="A3366" t="s">
        <v>3212</v>
      </c>
      <c r="B3366" t="s">
        <v>65</v>
      </c>
      <c r="C3366" t="s">
        <v>3204</v>
      </c>
      <c r="D3366" t="s">
        <v>3205</v>
      </c>
      <c r="E3366" t="s">
        <v>3206</v>
      </c>
      <c r="F3366" t="s">
        <v>94</v>
      </c>
      <c r="G3366" t="s">
        <v>277</v>
      </c>
      <c r="H3366" s="12">
        <v>7.1717000000000004</v>
      </c>
      <c r="I3366" s="12">
        <v>-75.733599999999996</v>
      </c>
      <c r="J3366" t="s">
        <v>3207</v>
      </c>
      <c r="K3366" t="s">
        <v>97</v>
      </c>
      <c r="L3366" t="s">
        <v>1273</v>
      </c>
      <c r="M3366">
        <v>11</v>
      </c>
      <c r="P3366" s="13">
        <v>202</v>
      </c>
      <c r="Q3366" s="13">
        <v>51</v>
      </c>
      <c r="R3366">
        <v>32</v>
      </c>
      <c r="S3366">
        <v>50</v>
      </c>
      <c r="T3366" s="13">
        <v>28</v>
      </c>
      <c r="U3366" s="13">
        <v>42</v>
      </c>
      <c r="V3366" t="s">
        <v>99</v>
      </c>
      <c r="X3366" s="13">
        <v>202</v>
      </c>
    </row>
    <row r="3367" spans="1:24" x14ac:dyDescent="0.25">
      <c r="A3367" t="s">
        <v>3213</v>
      </c>
      <c r="B3367" t="s">
        <v>65</v>
      </c>
      <c r="C3367" t="s">
        <v>3204</v>
      </c>
      <c r="D3367" t="s">
        <v>3205</v>
      </c>
      <c r="E3367" t="s">
        <v>3206</v>
      </c>
      <c r="F3367" t="s">
        <v>94</v>
      </c>
      <c r="G3367" t="s">
        <v>277</v>
      </c>
      <c r="H3367" s="12">
        <v>7.1717000000000004</v>
      </c>
      <c r="I3367" s="12">
        <v>-75.733599999999996</v>
      </c>
      <c r="J3367" t="s">
        <v>3207</v>
      </c>
      <c r="K3367" t="s">
        <v>97</v>
      </c>
      <c r="L3367" t="s">
        <v>1273</v>
      </c>
      <c r="M3367">
        <v>11</v>
      </c>
      <c r="P3367" s="13">
        <v>193</v>
      </c>
      <c r="Q3367" s="13">
        <v>46</v>
      </c>
      <c r="R3367">
        <v>36</v>
      </c>
      <c r="S3367">
        <v>46</v>
      </c>
      <c r="T3367" s="13">
        <v>26</v>
      </c>
      <c r="U3367" s="13">
        <v>40</v>
      </c>
      <c r="V3367" t="s">
        <v>99</v>
      </c>
      <c r="X3367" s="13">
        <v>193</v>
      </c>
    </row>
    <row r="3368" spans="1:24" x14ac:dyDescent="0.25">
      <c r="A3368" t="s">
        <v>3214</v>
      </c>
      <c r="B3368" t="s">
        <v>65</v>
      </c>
      <c r="C3368" t="s">
        <v>3204</v>
      </c>
      <c r="D3368" t="s">
        <v>3205</v>
      </c>
      <c r="E3368" t="s">
        <v>3206</v>
      </c>
      <c r="F3368" t="s">
        <v>94</v>
      </c>
      <c r="G3368" t="s">
        <v>277</v>
      </c>
      <c r="H3368" s="12">
        <v>7.1717000000000004</v>
      </c>
      <c r="I3368" s="12">
        <v>-75.733599999999996</v>
      </c>
      <c r="J3368" t="s">
        <v>3207</v>
      </c>
      <c r="K3368" t="s">
        <v>97</v>
      </c>
      <c r="L3368" t="s">
        <v>1273</v>
      </c>
      <c r="M3368">
        <v>11</v>
      </c>
      <c r="P3368" s="13">
        <v>189</v>
      </c>
      <c r="Q3368" s="13">
        <v>49</v>
      </c>
      <c r="R3368">
        <v>14</v>
      </c>
      <c r="S3368">
        <v>46</v>
      </c>
      <c r="T3368" s="13">
        <v>41</v>
      </c>
      <c r="U3368" s="13">
        <v>42</v>
      </c>
      <c r="V3368" t="s">
        <v>99</v>
      </c>
      <c r="X3368" s="13">
        <v>189</v>
      </c>
    </row>
    <row r="3369" spans="1:24" x14ac:dyDescent="0.25">
      <c r="A3369" t="s">
        <v>3215</v>
      </c>
      <c r="B3369" t="s">
        <v>65</v>
      </c>
      <c r="C3369" t="s">
        <v>3204</v>
      </c>
      <c r="D3369" t="s">
        <v>3205</v>
      </c>
      <c r="E3369" t="s">
        <v>3206</v>
      </c>
      <c r="F3369" t="s">
        <v>94</v>
      </c>
      <c r="G3369" t="s">
        <v>277</v>
      </c>
      <c r="H3369" s="12">
        <v>7.1717000000000004</v>
      </c>
      <c r="I3369" s="12">
        <v>-75.733599999999996</v>
      </c>
      <c r="J3369" t="s">
        <v>3207</v>
      </c>
      <c r="K3369" t="s">
        <v>97</v>
      </c>
      <c r="L3369" t="s">
        <v>1273</v>
      </c>
      <c r="M3369">
        <v>11</v>
      </c>
      <c r="P3369" s="13">
        <v>183</v>
      </c>
      <c r="Q3369" s="13">
        <v>37</v>
      </c>
      <c r="R3369">
        <v>32</v>
      </c>
      <c r="S3369">
        <v>50</v>
      </c>
      <c r="T3369" s="13">
        <v>28</v>
      </c>
      <c r="U3369" s="13">
        <v>38</v>
      </c>
      <c r="V3369" t="s">
        <v>99</v>
      </c>
      <c r="X3369" s="13">
        <v>183</v>
      </c>
    </row>
    <row r="3370" spans="1:24" x14ac:dyDescent="0.25">
      <c r="A3370" t="s">
        <v>3216</v>
      </c>
      <c r="B3370" t="s">
        <v>65</v>
      </c>
      <c r="C3370" t="s">
        <v>3204</v>
      </c>
      <c r="D3370" t="s">
        <v>3205</v>
      </c>
      <c r="E3370" t="s">
        <v>3206</v>
      </c>
      <c r="F3370" t="s">
        <v>94</v>
      </c>
      <c r="G3370" t="s">
        <v>277</v>
      </c>
      <c r="H3370" s="12">
        <v>7.1717000000000004</v>
      </c>
      <c r="I3370" s="12">
        <v>-75.733599999999996</v>
      </c>
      <c r="J3370" t="s">
        <v>3207</v>
      </c>
      <c r="K3370" t="s">
        <v>97</v>
      </c>
      <c r="L3370" t="s">
        <v>1273</v>
      </c>
      <c r="M3370">
        <v>11</v>
      </c>
      <c r="P3370" s="13">
        <v>174</v>
      </c>
      <c r="Q3370" s="13">
        <v>46</v>
      </c>
      <c r="R3370">
        <v>26</v>
      </c>
      <c r="S3370">
        <v>44</v>
      </c>
      <c r="T3370" s="13">
        <v>24</v>
      </c>
      <c r="U3370" s="13">
        <v>31</v>
      </c>
      <c r="V3370" t="s">
        <v>99</v>
      </c>
      <c r="X3370" s="13">
        <v>174</v>
      </c>
    </row>
    <row r="3371" spans="1:24" x14ac:dyDescent="0.25">
      <c r="A3371" t="s">
        <v>3217</v>
      </c>
      <c r="B3371" t="s">
        <v>65</v>
      </c>
      <c r="C3371" t="s">
        <v>3204</v>
      </c>
      <c r="D3371" t="s">
        <v>3205</v>
      </c>
      <c r="E3371" t="s">
        <v>3206</v>
      </c>
      <c r="F3371" t="s">
        <v>94</v>
      </c>
      <c r="G3371" t="s">
        <v>277</v>
      </c>
      <c r="H3371" s="12">
        <v>7.1717000000000004</v>
      </c>
      <c r="I3371" s="12">
        <v>-75.733599999999996</v>
      </c>
      <c r="J3371" t="s">
        <v>3207</v>
      </c>
      <c r="K3371" t="s">
        <v>97</v>
      </c>
      <c r="L3371" t="s">
        <v>1273</v>
      </c>
      <c r="M3371">
        <v>11</v>
      </c>
      <c r="P3371" s="13">
        <v>173</v>
      </c>
      <c r="Q3371" s="13">
        <v>37</v>
      </c>
      <c r="R3371">
        <v>22</v>
      </c>
      <c r="S3371">
        <v>56</v>
      </c>
      <c r="T3371" s="13">
        <v>26</v>
      </c>
      <c r="U3371" s="13">
        <v>29</v>
      </c>
      <c r="V3371" t="s">
        <v>99</v>
      </c>
      <c r="X3371" s="13">
        <v>173</v>
      </c>
    </row>
    <row r="3372" spans="1:24" x14ac:dyDescent="0.25">
      <c r="A3372" t="s">
        <v>3218</v>
      </c>
      <c r="B3372" t="s">
        <v>65</v>
      </c>
      <c r="C3372" t="s">
        <v>3204</v>
      </c>
      <c r="D3372" t="s">
        <v>3205</v>
      </c>
      <c r="E3372" t="s">
        <v>3206</v>
      </c>
      <c r="F3372" t="s">
        <v>94</v>
      </c>
      <c r="G3372" t="s">
        <v>277</v>
      </c>
      <c r="H3372" s="12">
        <v>7.1717000000000004</v>
      </c>
      <c r="I3372" s="12">
        <v>-75.733599999999996</v>
      </c>
      <c r="J3372" t="s">
        <v>3207</v>
      </c>
      <c r="K3372" t="s">
        <v>97</v>
      </c>
      <c r="L3372" t="s">
        <v>1273</v>
      </c>
      <c r="M3372">
        <v>11</v>
      </c>
      <c r="P3372" s="13">
        <v>170</v>
      </c>
      <c r="Q3372" s="13">
        <v>24</v>
      </c>
      <c r="R3372">
        <v>28</v>
      </c>
      <c r="S3372">
        <v>44</v>
      </c>
      <c r="T3372" s="13">
        <v>41</v>
      </c>
      <c r="U3372" s="13">
        <v>29</v>
      </c>
      <c r="V3372" t="s">
        <v>99</v>
      </c>
      <c r="X3372" s="13">
        <v>170</v>
      </c>
    </row>
    <row r="3373" spans="1:24" x14ac:dyDescent="0.25">
      <c r="A3373" t="s">
        <v>3219</v>
      </c>
      <c r="B3373" t="s">
        <v>65</v>
      </c>
      <c r="C3373" t="s">
        <v>3204</v>
      </c>
      <c r="D3373" t="s">
        <v>3205</v>
      </c>
      <c r="E3373" t="s">
        <v>3206</v>
      </c>
      <c r="F3373" t="s">
        <v>94</v>
      </c>
      <c r="G3373" t="s">
        <v>277</v>
      </c>
      <c r="H3373" s="12">
        <v>7.1717000000000004</v>
      </c>
      <c r="I3373" s="12">
        <v>-75.733599999999996</v>
      </c>
      <c r="J3373" t="s">
        <v>3207</v>
      </c>
      <c r="K3373" t="s">
        <v>97</v>
      </c>
      <c r="L3373" t="s">
        <v>1273</v>
      </c>
      <c r="M3373">
        <v>11</v>
      </c>
      <c r="P3373" s="13">
        <v>169</v>
      </c>
      <c r="Q3373" s="13">
        <v>39</v>
      </c>
      <c r="R3373">
        <v>26</v>
      </c>
      <c r="S3373">
        <v>34</v>
      </c>
      <c r="T3373" s="13">
        <v>36</v>
      </c>
      <c r="U3373" s="13">
        <v>35</v>
      </c>
      <c r="V3373" t="s">
        <v>99</v>
      </c>
      <c r="X3373" s="13">
        <v>169</v>
      </c>
    </row>
    <row r="3374" spans="1:24" x14ac:dyDescent="0.25">
      <c r="A3374" t="s">
        <v>3220</v>
      </c>
      <c r="B3374" t="s">
        <v>65</v>
      </c>
      <c r="C3374" t="s">
        <v>3204</v>
      </c>
      <c r="D3374" t="s">
        <v>3205</v>
      </c>
      <c r="E3374" t="s">
        <v>3206</v>
      </c>
      <c r="F3374" t="s">
        <v>94</v>
      </c>
      <c r="G3374" t="s">
        <v>277</v>
      </c>
      <c r="H3374" s="12">
        <v>7.1717000000000004</v>
      </c>
      <c r="I3374" s="12">
        <v>-75.733599999999996</v>
      </c>
      <c r="J3374" t="s">
        <v>3207</v>
      </c>
      <c r="K3374" t="s">
        <v>97</v>
      </c>
      <c r="L3374" t="s">
        <v>1273</v>
      </c>
      <c r="M3374">
        <v>11</v>
      </c>
      <c r="P3374" s="13">
        <v>168</v>
      </c>
      <c r="Q3374" s="13">
        <v>32</v>
      </c>
      <c r="R3374">
        <v>28</v>
      </c>
      <c r="S3374">
        <v>36</v>
      </c>
      <c r="T3374" s="13">
        <v>33</v>
      </c>
      <c r="U3374" s="13">
        <v>51</v>
      </c>
      <c r="V3374" t="s">
        <v>99</v>
      </c>
      <c r="X3374" s="13">
        <v>168</v>
      </c>
    </row>
    <row r="3375" spans="1:24" x14ac:dyDescent="0.25">
      <c r="A3375" t="s">
        <v>3221</v>
      </c>
      <c r="B3375" t="s">
        <v>65</v>
      </c>
      <c r="C3375" t="s">
        <v>3204</v>
      </c>
      <c r="D3375" t="s">
        <v>3205</v>
      </c>
      <c r="E3375" t="s">
        <v>3206</v>
      </c>
      <c r="F3375" t="s">
        <v>94</v>
      </c>
      <c r="G3375" t="s">
        <v>277</v>
      </c>
      <c r="H3375" s="12">
        <v>7.1717000000000004</v>
      </c>
      <c r="I3375" s="12">
        <v>-75.733599999999996</v>
      </c>
      <c r="J3375" t="s">
        <v>3207</v>
      </c>
      <c r="K3375" t="s">
        <v>97</v>
      </c>
      <c r="L3375" t="s">
        <v>1273</v>
      </c>
      <c r="M3375">
        <v>11</v>
      </c>
      <c r="P3375" s="13">
        <v>165</v>
      </c>
      <c r="Q3375" s="13">
        <v>37</v>
      </c>
      <c r="R3375">
        <v>28</v>
      </c>
      <c r="S3375">
        <v>40</v>
      </c>
      <c r="T3375" s="13">
        <v>26</v>
      </c>
      <c r="U3375" s="13">
        <v>38</v>
      </c>
      <c r="V3375" t="s">
        <v>99</v>
      </c>
      <c r="X3375" s="13">
        <v>165</v>
      </c>
    </row>
    <row r="3376" spans="1:24" x14ac:dyDescent="0.25">
      <c r="A3376" t="s">
        <v>3222</v>
      </c>
      <c r="B3376" t="s">
        <v>65</v>
      </c>
      <c r="C3376" t="s">
        <v>3204</v>
      </c>
      <c r="D3376" t="s">
        <v>3205</v>
      </c>
      <c r="E3376" t="s">
        <v>3206</v>
      </c>
      <c r="F3376" t="s">
        <v>94</v>
      </c>
      <c r="G3376" t="s">
        <v>277</v>
      </c>
      <c r="H3376" s="12">
        <v>7.1717000000000004</v>
      </c>
      <c r="I3376" s="12">
        <v>-75.733599999999996</v>
      </c>
      <c r="J3376" t="s">
        <v>3207</v>
      </c>
      <c r="K3376" t="s">
        <v>97</v>
      </c>
      <c r="L3376" t="s">
        <v>1273</v>
      </c>
      <c r="M3376">
        <v>11</v>
      </c>
      <c r="P3376" s="13">
        <v>162</v>
      </c>
      <c r="Q3376" s="13">
        <v>44</v>
      </c>
      <c r="R3376">
        <v>24</v>
      </c>
      <c r="S3376">
        <v>40</v>
      </c>
      <c r="T3376" s="13">
        <v>22</v>
      </c>
      <c r="U3376" s="13">
        <v>31</v>
      </c>
      <c r="V3376" t="s">
        <v>99</v>
      </c>
      <c r="X3376" s="13">
        <v>162</v>
      </c>
    </row>
    <row r="3377" spans="1:24" x14ac:dyDescent="0.25">
      <c r="A3377" t="s">
        <v>3223</v>
      </c>
      <c r="B3377" t="s">
        <v>65</v>
      </c>
      <c r="C3377" t="s">
        <v>3204</v>
      </c>
      <c r="D3377" t="s">
        <v>3205</v>
      </c>
      <c r="E3377" t="s">
        <v>3206</v>
      </c>
      <c r="F3377" t="s">
        <v>94</v>
      </c>
      <c r="G3377" t="s">
        <v>277</v>
      </c>
      <c r="H3377" s="12">
        <v>7.1717000000000004</v>
      </c>
      <c r="I3377" s="12">
        <v>-75.733599999999996</v>
      </c>
      <c r="J3377" t="s">
        <v>3207</v>
      </c>
      <c r="K3377" t="s">
        <v>97</v>
      </c>
      <c r="L3377" t="s">
        <v>1273</v>
      </c>
      <c r="M3377">
        <v>11</v>
      </c>
      <c r="P3377" s="13">
        <v>153</v>
      </c>
      <c r="Q3377" s="13">
        <v>51</v>
      </c>
      <c r="R3377">
        <v>18</v>
      </c>
      <c r="S3377">
        <v>32</v>
      </c>
      <c r="T3377" s="13">
        <v>19</v>
      </c>
      <c r="U3377" s="13">
        <v>36</v>
      </c>
      <c r="V3377" t="s">
        <v>99</v>
      </c>
      <c r="X3377" s="13">
        <v>153</v>
      </c>
    </row>
    <row r="3378" spans="1:24" x14ac:dyDescent="0.25">
      <c r="A3378" t="s">
        <v>3224</v>
      </c>
      <c r="B3378" t="s">
        <v>65</v>
      </c>
      <c r="C3378" t="s">
        <v>3204</v>
      </c>
      <c r="D3378" t="s">
        <v>3205</v>
      </c>
      <c r="E3378" t="s">
        <v>3206</v>
      </c>
      <c r="F3378" t="s">
        <v>94</v>
      </c>
      <c r="G3378" t="s">
        <v>277</v>
      </c>
      <c r="H3378" s="12">
        <v>7.1717000000000004</v>
      </c>
      <c r="I3378" s="12">
        <v>-75.733599999999996</v>
      </c>
      <c r="J3378" t="s">
        <v>3207</v>
      </c>
      <c r="K3378" t="s">
        <v>97</v>
      </c>
      <c r="L3378" t="s">
        <v>1273</v>
      </c>
      <c r="M3378">
        <v>11</v>
      </c>
      <c r="P3378" s="13">
        <v>150</v>
      </c>
      <c r="Q3378" s="13">
        <v>29</v>
      </c>
      <c r="R3378">
        <v>28</v>
      </c>
      <c r="S3378">
        <v>42</v>
      </c>
      <c r="T3378" s="13">
        <v>21</v>
      </c>
      <c r="U3378" s="13">
        <v>29</v>
      </c>
      <c r="V3378" t="s">
        <v>99</v>
      </c>
      <c r="X3378" s="13">
        <v>150</v>
      </c>
    </row>
    <row r="3379" spans="1:24" x14ac:dyDescent="0.25">
      <c r="A3379" t="s">
        <v>3225</v>
      </c>
      <c r="B3379" t="s">
        <v>65</v>
      </c>
      <c r="C3379" t="s">
        <v>3204</v>
      </c>
      <c r="D3379" t="s">
        <v>3205</v>
      </c>
      <c r="E3379" t="s">
        <v>3206</v>
      </c>
      <c r="F3379" t="s">
        <v>94</v>
      </c>
      <c r="G3379" t="s">
        <v>277</v>
      </c>
      <c r="H3379" s="12">
        <v>7.1717000000000004</v>
      </c>
      <c r="I3379" s="12">
        <v>-75.733599999999996</v>
      </c>
      <c r="J3379" t="s">
        <v>3207</v>
      </c>
      <c r="K3379" t="s">
        <v>97</v>
      </c>
      <c r="L3379" t="s">
        <v>1273</v>
      </c>
      <c r="M3379">
        <v>11</v>
      </c>
      <c r="P3379" s="13">
        <v>140</v>
      </c>
      <c r="Q3379" s="13">
        <v>29</v>
      </c>
      <c r="R3379">
        <v>22</v>
      </c>
      <c r="S3379">
        <v>36</v>
      </c>
      <c r="T3379" s="13">
        <v>24</v>
      </c>
      <c r="U3379" s="13">
        <v>29</v>
      </c>
      <c r="V3379" t="s">
        <v>99</v>
      </c>
      <c r="X3379" s="13">
        <v>140</v>
      </c>
    </row>
    <row r="3380" spans="1:24" x14ac:dyDescent="0.25">
      <c r="A3380" t="s">
        <v>3226</v>
      </c>
      <c r="B3380" t="s">
        <v>65</v>
      </c>
      <c r="C3380" t="s">
        <v>3204</v>
      </c>
      <c r="D3380" t="s">
        <v>3205</v>
      </c>
      <c r="E3380" t="s">
        <v>3206</v>
      </c>
      <c r="F3380" t="s">
        <v>94</v>
      </c>
      <c r="G3380" t="s">
        <v>277</v>
      </c>
      <c r="H3380" s="12">
        <v>7.1717000000000004</v>
      </c>
      <c r="I3380" s="12">
        <v>-75.733599999999996</v>
      </c>
      <c r="J3380" t="s">
        <v>3207</v>
      </c>
      <c r="K3380" t="s">
        <v>97</v>
      </c>
      <c r="L3380" t="s">
        <v>1273</v>
      </c>
      <c r="M3380">
        <v>11</v>
      </c>
      <c r="P3380" s="13">
        <v>134</v>
      </c>
      <c r="Q3380" s="13">
        <v>29</v>
      </c>
      <c r="R3380">
        <v>34</v>
      </c>
      <c r="S3380">
        <v>22</v>
      </c>
      <c r="T3380" s="13">
        <v>21</v>
      </c>
      <c r="U3380" s="13">
        <v>31</v>
      </c>
      <c r="V3380" t="s">
        <v>99</v>
      </c>
      <c r="X3380" s="13">
        <v>134</v>
      </c>
    </row>
    <row r="3381" spans="1:24" x14ac:dyDescent="0.25">
      <c r="A3381" t="s">
        <v>3227</v>
      </c>
      <c r="B3381" t="s">
        <v>65</v>
      </c>
      <c r="C3381" t="s">
        <v>3204</v>
      </c>
      <c r="D3381" t="s">
        <v>3205</v>
      </c>
      <c r="E3381" t="s">
        <v>3206</v>
      </c>
      <c r="F3381" t="s">
        <v>94</v>
      </c>
      <c r="G3381" t="s">
        <v>277</v>
      </c>
      <c r="H3381" s="12">
        <v>7.1717000000000004</v>
      </c>
      <c r="I3381" s="12">
        <v>-75.733599999999996</v>
      </c>
      <c r="J3381" t="s">
        <v>3207</v>
      </c>
      <c r="K3381" t="s">
        <v>97</v>
      </c>
      <c r="L3381" t="s">
        <v>1273</v>
      </c>
      <c r="M3381">
        <v>11</v>
      </c>
      <c r="P3381" s="13">
        <v>132</v>
      </c>
      <c r="Q3381" s="13">
        <v>39</v>
      </c>
      <c r="R3381">
        <v>12</v>
      </c>
      <c r="S3381">
        <v>28</v>
      </c>
      <c r="T3381" s="13">
        <v>19</v>
      </c>
      <c r="U3381" s="13">
        <v>49</v>
      </c>
      <c r="V3381" t="s">
        <v>99</v>
      </c>
      <c r="X3381" s="13">
        <v>132</v>
      </c>
    </row>
    <row r="3382" spans="1:24" x14ac:dyDescent="0.25">
      <c r="A3382" t="s">
        <v>3228</v>
      </c>
      <c r="B3382" t="s">
        <v>65</v>
      </c>
      <c r="C3382" t="s">
        <v>3204</v>
      </c>
      <c r="D3382" t="s">
        <v>3205</v>
      </c>
      <c r="E3382" t="s">
        <v>3206</v>
      </c>
      <c r="F3382" t="s">
        <v>94</v>
      </c>
      <c r="G3382" t="s">
        <v>277</v>
      </c>
      <c r="H3382" s="12">
        <v>7.1717000000000004</v>
      </c>
      <c r="I3382" s="12">
        <v>-75.733599999999996</v>
      </c>
      <c r="J3382" t="s">
        <v>3207</v>
      </c>
      <c r="K3382" t="s">
        <v>97</v>
      </c>
      <c r="L3382" t="s">
        <v>1273</v>
      </c>
      <c r="M3382">
        <v>11</v>
      </c>
      <c r="P3382" s="13">
        <v>127</v>
      </c>
      <c r="Q3382" s="13">
        <v>27</v>
      </c>
      <c r="R3382">
        <v>18</v>
      </c>
      <c r="S3382">
        <v>24</v>
      </c>
      <c r="T3382" s="13">
        <v>29</v>
      </c>
      <c r="U3382" s="13">
        <v>36</v>
      </c>
      <c r="V3382" t="s">
        <v>99</v>
      </c>
      <c r="X3382" s="13">
        <v>127</v>
      </c>
    </row>
    <row r="3383" spans="1:24" x14ac:dyDescent="0.25">
      <c r="A3383" t="s">
        <v>3229</v>
      </c>
      <c r="B3383" t="s">
        <v>65</v>
      </c>
      <c r="C3383" t="s">
        <v>3204</v>
      </c>
      <c r="D3383" t="s">
        <v>3205</v>
      </c>
      <c r="E3383" t="s">
        <v>3206</v>
      </c>
      <c r="F3383" t="s">
        <v>94</v>
      </c>
      <c r="G3383" t="s">
        <v>277</v>
      </c>
      <c r="H3383" s="12">
        <v>7.1717000000000004</v>
      </c>
      <c r="I3383" s="12">
        <v>-75.733599999999996</v>
      </c>
      <c r="J3383" t="s">
        <v>3207</v>
      </c>
      <c r="K3383" t="s">
        <v>97</v>
      </c>
      <c r="L3383" t="s">
        <v>1273</v>
      </c>
      <c r="M3383">
        <v>11</v>
      </c>
      <c r="P3383" s="13">
        <v>127</v>
      </c>
      <c r="Q3383" s="13">
        <v>24</v>
      </c>
      <c r="R3383">
        <v>22</v>
      </c>
      <c r="S3383">
        <v>22</v>
      </c>
      <c r="T3383" s="13">
        <v>33</v>
      </c>
      <c r="U3383" s="13">
        <v>27</v>
      </c>
      <c r="V3383" t="s">
        <v>99</v>
      </c>
      <c r="X3383" s="13">
        <v>127</v>
      </c>
    </row>
    <row r="3384" spans="1:24" x14ac:dyDescent="0.25">
      <c r="A3384" t="s">
        <v>3230</v>
      </c>
      <c r="B3384" t="s">
        <v>65</v>
      </c>
      <c r="C3384" t="s">
        <v>3204</v>
      </c>
      <c r="D3384" t="s">
        <v>3205</v>
      </c>
      <c r="E3384" t="s">
        <v>3206</v>
      </c>
      <c r="F3384" t="s">
        <v>94</v>
      </c>
      <c r="G3384" t="s">
        <v>277</v>
      </c>
      <c r="H3384" s="12">
        <v>7.1717000000000004</v>
      </c>
      <c r="I3384" s="12">
        <v>-75.733599999999996</v>
      </c>
      <c r="J3384" t="s">
        <v>3207</v>
      </c>
      <c r="K3384" t="s">
        <v>97</v>
      </c>
      <c r="L3384" t="s">
        <v>1273</v>
      </c>
      <c r="M3384">
        <v>11</v>
      </c>
      <c r="P3384" s="13">
        <v>119</v>
      </c>
      <c r="Q3384" s="13">
        <v>27</v>
      </c>
      <c r="R3384">
        <v>20</v>
      </c>
      <c r="S3384">
        <v>32</v>
      </c>
      <c r="T3384" s="13">
        <v>14</v>
      </c>
      <c r="U3384" s="13">
        <v>33</v>
      </c>
      <c r="V3384" t="s">
        <v>99</v>
      </c>
      <c r="X3384" s="13">
        <v>119</v>
      </c>
    </row>
    <row r="3385" spans="1:24" x14ac:dyDescent="0.25">
      <c r="A3385" t="s">
        <v>3231</v>
      </c>
      <c r="B3385" t="s">
        <v>65</v>
      </c>
      <c r="C3385" t="s">
        <v>3232</v>
      </c>
      <c r="D3385" t="s">
        <v>3233</v>
      </c>
      <c r="E3385" t="s">
        <v>2240</v>
      </c>
      <c r="F3385" t="s">
        <v>94</v>
      </c>
      <c r="G3385" t="s">
        <v>277</v>
      </c>
      <c r="H3385" s="12">
        <v>7.5758000000000001</v>
      </c>
      <c r="I3385" s="12">
        <v>-75.348600000000005</v>
      </c>
      <c r="J3385" t="s">
        <v>3234</v>
      </c>
      <c r="K3385" t="s">
        <v>97</v>
      </c>
      <c r="L3385" t="s">
        <v>1273</v>
      </c>
      <c r="M3385">
        <v>11</v>
      </c>
      <c r="P3385" s="13">
        <v>194</v>
      </c>
      <c r="Q3385" s="13">
        <v>56</v>
      </c>
      <c r="R3385">
        <v>22</v>
      </c>
      <c r="S3385">
        <v>46</v>
      </c>
      <c r="T3385" s="13">
        <v>33</v>
      </c>
      <c r="U3385" s="13">
        <v>33</v>
      </c>
      <c r="V3385" t="s">
        <v>99</v>
      </c>
      <c r="X3385" s="13">
        <v>194</v>
      </c>
    </row>
    <row r="3386" spans="1:24" x14ac:dyDescent="0.25">
      <c r="A3386" t="s">
        <v>3235</v>
      </c>
      <c r="B3386" t="s">
        <v>65</v>
      </c>
      <c r="C3386" t="s">
        <v>3232</v>
      </c>
      <c r="D3386" t="s">
        <v>3233</v>
      </c>
      <c r="E3386" t="s">
        <v>2240</v>
      </c>
      <c r="F3386" t="s">
        <v>94</v>
      </c>
      <c r="G3386" t="s">
        <v>277</v>
      </c>
      <c r="H3386" s="12">
        <v>7.5758000000000001</v>
      </c>
      <c r="I3386" s="12">
        <v>-75.348600000000005</v>
      </c>
      <c r="J3386" t="s">
        <v>3234</v>
      </c>
      <c r="K3386" t="s">
        <v>97</v>
      </c>
      <c r="L3386" t="s">
        <v>1273</v>
      </c>
      <c r="M3386">
        <v>11</v>
      </c>
      <c r="P3386" s="13">
        <v>185</v>
      </c>
      <c r="Q3386" s="13">
        <v>39</v>
      </c>
      <c r="R3386">
        <v>36</v>
      </c>
      <c r="S3386">
        <v>44</v>
      </c>
      <c r="T3386" s="13">
        <v>33</v>
      </c>
      <c r="U3386" s="13">
        <v>25</v>
      </c>
      <c r="V3386" t="s">
        <v>99</v>
      </c>
      <c r="X3386" s="13">
        <v>185</v>
      </c>
    </row>
    <row r="3387" spans="1:24" x14ac:dyDescent="0.25">
      <c r="A3387" t="s">
        <v>3236</v>
      </c>
      <c r="B3387" t="s">
        <v>65</v>
      </c>
      <c r="C3387" t="s">
        <v>3232</v>
      </c>
      <c r="D3387" t="s">
        <v>3233</v>
      </c>
      <c r="E3387" t="s">
        <v>2240</v>
      </c>
      <c r="F3387" t="s">
        <v>94</v>
      </c>
      <c r="G3387" t="s">
        <v>277</v>
      </c>
      <c r="H3387" s="12">
        <v>7.5758000000000001</v>
      </c>
      <c r="I3387" s="12">
        <v>-75.348600000000005</v>
      </c>
      <c r="J3387" t="s">
        <v>3234</v>
      </c>
      <c r="K3387" t="s">
        <v>97</v>
      </c>
      <c r="L3387" t="s">
        <v>1273</v>
      </c>
      <c r="M3387">
        <v>11</v>
      </c>
      <c r="P3387" s="13">
        <v>181</v>
      </c>
      <c r="Q3387" s="13">
        <v>49</v>
      </c>
      <c r="R3387">
        <v>14</v>
      </c>
      <c r="S3387">
        <v>42</v>
      </c>
      <c r="T3387" s="13">
        <v>38</v>
      </c>
      <c r="U3387" s="13">
        <v>42</v>
      </c>
      <c r="V3387" t="s">
        <v>99</v>
      </c>
      <c r="X3387" s="13">
        <v>181</v>
      </c>
    </row>
    <row r="3388" spans="1:24" x14ac:dyDescent="0.25">
      <c r="A3388" t="s">
        <v>3237</v>
      </c>
      <c r="B3388" t="s">
        <v>65</v>
      </c>
      <c r="C3388" t="s">
        <v>3232</v>
      </c>
      <c r="D3388" t="s">
        <v>3233</v>
      </c>
      <c r="E3388" t="s">
        <v>2240</v>
      </c>
      <c r="F3388" t="s">
        <v>94</v>
      </c>
      <c r="G3388" t="s">
        <v>277</v>
      </c>
      <c r="H3388" s="12">
        <v>7.5758000000000001</v>
      </c>
      <c r="I3388" s="12">
        <v>-75.348600000000005</v>
      </c>
      <c r="J3388" t="s">
        <v>3234</v>
      </c>
      <c r="K3388" t="s">
        <v>97</v>
      </c>
      <c r="L3388" t="s">
        <v>1273</v>
      </c>
      <c r="M3388">
        <v>11</v>
      </c>
      <c r="P3388" s="13">
        <v>177</v>
      </c>
      <c r="Q3388" s="13">
        <v>46</v>
      </c>
      <c r="R3388">
        <v>24</v>
      </c>
      <c r="S3388">
        <v>42</v>
      </c>
      <c r="T3388" s="13">
        <v>26</v>
      </c>
      <c r="U3388" s="13">
        <v>45</v>
      </c>
      <c r="V3388" t="s">
        <v>99</v>
      </c>
      <c r="X3388" s="13">
        <v>177</v>
      </c>
    </row>
    <row r="3389" spans="1:24" x14ac:dyDescent="0.25">
      <c r="A3389" t="s">
        <v>3238</v>
      </c>
      <c r="B3389" t="s">
        <v>65</v>
      </c>
      <c r="C3389" t="s">
        <v>3232</v>
      </c>
      <c r="D3389" t="s">
        <v>3233</v>
      </c>
      <c r="E3389" t="s">
        <v>2240</v>
      </c>
      <c r="F3389" t="s">
        <v>94</v>
      </c>
      <c r="G3389" t="s">
        <v>277</v>
      </c>
      <c r="H3389" s="12">
        <v>7.5758000000000001</v>
      </c>
      <c r="I3389" s="12">
        <v>-75.348600000000005</v>
      </c>
      <c r="J3389" t="s">
        <v>3234</v>
      </c>
      <c r="K3389" t="s">
        <v>97</v>
      </c>
      <c r="L3389" t="s">
        <v>1273</v>
      </c>
      <c r="M3389">
        <v>11</v>
      </c>
      <c r="P3389" s="13">
        <v>174</v>
      </c>
      <c r="Q3389" s="13">
        <v>41</v>
      </c>
      <c r="R3389">
        <v>24</v>
      </c>
      <c r="S3389">
        <v>38</v>
      </c>
      <c r="T3389" s="13">
        <v>38</v>
      </c>
      <c r="U3389" s="13">
        <v>29</v>
      </c>
      <c r="V3389" t="s">
        <v>99</v>
      </c>
      <c r="X3389" s="13">
        <v>174</v>
      </c>
    </row>
    <row r="3390" spans="1:24" x14ac:dyDescent="0.25">
      <c r="A3390" t="s">
        <v>3239</v>
      </c>
      <c r="B3390" t="s">
        <v>65</v>
      </c>
      <c r="C3390" t="s">
        <v>3232</v>
      </c>
      <c r="D3390" t="s">
        <v>3233</v>
      </c>
      <c r="E3390" t="s">
        <v>2240</v>
      </c>
      <c r="F3390" t="s">
        <v>94</v>
      </c>
      <c r="G3390" t="s">
        <v>277</v>
      </c>
      <c r="H3390" s="12">
        <v>7.5758000000000001</v>
      </c>
      <c r="I3390" s="12">
        <v>-75.348600000000005</v>
      </c>
      <c r="J3390" t="s">
        <v>3234</v>
      </c>
      <c r="K3390" t="s">
        <v>97</v>
      </c>
      <c r="L3390" t="s">
        <v>1273</v>
      </c>
      <c r="M3390">
        <v>11</v>
      </c>
      <c r="P3390" s="13">
        <v>174</v>
      </c>
      <c r="Q3390" s="13">
        <v>34</v>
      </c>
      <c r="R3390">
        <v>30</v>
      </c>
      <c r="S3390">
        <v>42</v>
      </c>
      <c r="T3390" s="13">
        <v>33</v>
      </c>
      <c r="U3390" s="13">
        <v>35</v>
      </c>
      <c r="V3390" t="s">
        <v>99</v>
      </c>
      <c r="X3390" s="13">
        <v>174</v>
      </c>
    </row>
    <row r="3391" spans="1:24" x14ac:dyDescent="0.25">
      <c r="A3391" t="s">
        <v>3240</v>
      </c>
      <c r="B3391" t="s">
        <v>65</v>
      </c>
      <c r="C3391" t="s">
        <v>3232</v>
      </c>
      <c r="D3391" t="s">
        <v>3233</v>
      </c>
      <c r="E3391" t="s">
        <v>2240</v>
      </c>
      <c r="F3391" t="s">
        <v>94</v>
      </c>
      <c r="G3391" t="s">
        <v>277</v>
      </c>
      <c r="H3391" s="12">
        <v>7.5758000000000001</v>
      </c>
      <c r="I3391" s="12">
        <v>-75.348600000000005</v>
      </c>
      <c r="J3391" t="s">
        <v>3234</v>
      </c>
      <c r="K3391" t="s">
        <v>97</v>
      </c>
      <c r="L3391" t="s">
        <v>1273</v>
      </c>
      <c r="M3391">
        <v>11</v>
      </c>
      <c r="P3391" s="13">
        <v>169</v>
      </c>
      <c r="Q3391" s="13">
        <v>44</v>
      </c>
      <c r="R3391">
        <v>16</v>
      </c>
      <c r="S3391">
        <v>50</v>
      </c>
      <c r="T3391" s="13">
        <v>26</v>
      </c>
      <c r="U3391" s="13">
        <v>33</v>
      </c>
      <c r="V3391" t="s">
        <v>99</v>
      </c>
      <c r="X3391" s="13">
        <v>169</v>
      </c>
    </row>
    <row r="3392" spans="1:24" x14ac:dyDescent="0.25">
      <c r="A3392" t="s">
        <v>3241</v>
      </c>
      <c r="B3392" t="s">
        <v>65</v>
      </c>
      <c r="C3392" t="s">
        <v>3232</v>
      </c>
      <c r="D3392" t="s">
        <v>3233</v>
      </c>
      <c r="E3392" t="s">
        <v>2240</v>
      </c>
      <c r="F3392" t="s">
        <v>94</v>
      </c>
      <c r="G3392" t="s">
        <v>277</v>
      </c>
      <c r="H3392" s="12">
        <v>7.5758000000000001</v>
      </c>
      <c r="I3392" s="12">
        <v>-75.348600000000005</v>
      </c>
      <c r="J3392" t="s">
        <v>3234</v>
      </c>
      <c r="K3392" t="s">
        <v>97</v>
      </c>
      <c r="L3392" t="s">
        <v>1273</v>
      </c>
      <c r="M3392">
        <v>11</v>
      </c>
      <c r="P3392" s="13">
        <v>169</v>
      </c>
      <c r="Q3392" s="13">
        <v>39</v>
      </c>
      <c r="R3392">
        <v>32</v>
      </c>
      <c r="S3392">
        <v>34</v>
      </c>
      <c r="T3392" s="13">
        <v>31</v>
      </c>
      <c r="U3392" s="13">
        <v>31</v>
      </c>
      <c r="V3392" t="s">
        <v>99</v>
      </c>
      <c r="X3392" s="13">
        <v>169</v>
      </c>
    </row>
    <row r="3393" spans="1:24" x14ac:dyDescent="0.25">
      <c r="A3393" t="s">
        <v>3242</v>
      </c>
      <c r="B3393" t="s">
        <v>65</v>
      </c>
      <c r="C3393" t="s">
        <v>3232</v>
      </c>
      <c r="D3393" t="s">
        <v>3233</v>
      </c>
      <c r="E3393" t="s">
        <v>2240</v>
      </c>
      <c r="F3393" t="s">
        <v>94</v>
      </c>
      <c r="G3393" t="s">
        <v>277</v>
      </c>
      <c r="H3393" s="12">
        <v>7.5758000000000001</v>
      </c>
      <c r="I3393" s="12">
        <v>-75.348600000000005</v>
      </c>
      <c r="J3393" t="s">
        <v>3234</v>
      </c>
      <c r="K3393" t="s">
        <v>97</v>
      </c>
      <c r="L3393" t="s">
        <v>1273</v>
      </c>
      <c r="M3393">
        <v>11</v>
      </c>
      <c r="P3393" s="13">
        <v>162</v>
      </c>
      <c r="Q3393" s="13">
        <v>34</v>
      </c>
      <c r="R3393">
        <v>20</v>
      </c>
      <c r="S3393">
        <v>48</v>
      </c>
      <c r="T3393" s="13">
        <v>24</v>
      </c>
      <c r="U3393" s="13">
        <v>44</v>
      </c>
      <c r="V3393" t="s">
        <v>99</v>
      </c>
      <c r="X3393" s="13">
        <v>162</v>
      </c>
    </row>
    <row r="3394" spans="1:24" x14ac:dyDescent="0.25">
      <c r="A3394" t="s">
        <v>3243</v>
      </c>
      <c r="B3394" t="s">
        <v>65</v>
      </c>
      <c r="C3394" t="s">
        <v>3232</v>
      </c>
      <c r="D3394" t="s">
        <v>3233</v>
      </c>
      <c r="E3394" t="s">
        <v>2240</v>
      </c>
      <c r="F3394" t="s">
        <v>94</v>
      </c>
      <c r="G3394" t="s">
        <v>277</v>
      </c>
      <c r="H3394" s="12">
        <v>7.5758000000000001</v>
      </c>
      <c r="I3394" s="12">
        <v>-75.348600000000005</v>
      </c>
      <c r="J3394" t="s">
        <v>3234</v>
      </c>
      <c r="K3394" t="s">
        <v>97</v>
      </c>
      <c r="L3394" t="s">
        <v>1273</v>
      </c>
      <c r="M3394">
        <v>11</v>
      </c>
      <c r="P3394" s="13">
        <v>156</v>
      </c>
      <c r="Q3394" s="13">
        <v>39</v>
      </c>
      <c r="R3394">
        <v>24</v>
      </c>
      <c r="S3394">
        <v>36</v>
      </c>
      <c r="T3394" s="13">
        <v>22</v>
      </c>
      <c r="U3394" s="13">
        <v>42</v>
      </c>
      <c r="V3394" t="s">
        <v>99</v>
      </c>
      <c r="X3394" s="13">
        <v>156</v>
      </c>
    </row>
    <row r="3395" spans="1:24" x14ac:dyDescent="0.25">
      <c r="A3395" t="s">
        <v>3244</v>
      </c>
      <c r="B3395" t="s">
        <v>65</v>
      </c>
      <c r="C3395" t="s">
        <v>3232</v>
      </c>
      <c r="D3395" t="s">
        <v>3233</v>
      </c>
      <c r="E3395" t="s">
        <v>2240</v>
      </c>
      <c r="F3395" t="s">
        <v>94</v>
      </c>
      <c r="G3395" t="s">
        <v>277</v>
      </c>
      <c r="H3395" s="12">
        <v>7.5758000000000001</v>
      </c>
      <c r="I3395" s="12">
        <v>-75.348600000000005</v>
      </c>
      <c r="J3395" t="s">
        <v>3234</v>
      </c>
      <c r="K3395" t="s">
        <v>97</v>
      </c>
      <c r="L3395" t="s">
        <v>1273</v>
      </c>
      <c r="M3395">
        <v>11</v>
      </c>
      <c r="P3395" s="13">
        <v>148</v>
      </c>
      <c r="Q3395" s="13">
        <v>34</v>
      </c>
      <c r="R3395">
        <v>24</v>
      </c>
      <c r="S3395">
        <v>30</v>
      </c>
      <c r="T3395" s="13">
        <v>28</v>
      </c>
      <c r="U3395" s="13">
        <v>38</v>
      </c>
      <c r="V3395" t="s">
        <v>99</v>
      </c>
      <c r="X3395" s="13">
        <v>148</v>
      </c>
    </row>
    <row r="3396" spans="1:24" x14ac:dyDescent="0.25">
      <c r="A3396" t="s">
        <v>3245</v>
      </c>
      <c r="B3396" t="s">
        <v>65</v>
      </c>
      <c r="C3396" t="s">
        <v>3232</v>
      </c>
      <c r="D3396" t="s">
        <v>3233</v>
      </c>
      <c r="E3396" t="s">
        <v>2240</v>
      </c>
      <c r="F3396" t="s">
        <v>94</v>
      </c>
      <c r="G3396" t="s">
        <v>277</v>
      </c>
      <c r="H3396" s="12">
        <v>7.5758000000000001</v>
      </c>
      <c r="I3396" s="12">
        <v>-75.348600000000005</v>
      </c>
      <c r="J3396" t="s">
        <v>3234</v>
      </c>
      <c r="K3396" t="s">
        <v>97</v>
      </c>
      <c r="L3396" t="s">
        <v>1273</v>
      </c>
      <c r="M3396">
        <v>11</v>
      </c>
      <c r="P3396" s="13">
        <v>148</v>
      </c>
      <c r="Q3396" s="13">
        <v>37</v>
      </c>
      <c r="R3396">
        <v>24</v>
      </c>
      <c r="S3396">
        <v>34</v>
      </c>
      <c r="T3396" s="13">
        <v>22</v>
      </c>
      <c r="U3396" s="13">
        <v>33</v>
      </c>
      <c r="V3396" t="s">
        <v>99</v>
      </c>
      <c r="X3396" s="13">
        <v>148</v>
      </c>
    </row>
    <row r="3397" spans="1:24" x14ac:dyDescent="0.25">
      <c r="A3397" t="s">
        <v>3246</v>
      </c>
      <c r="B3397" t="s">
        <v>65</v>
      </c>
      <c r="C3397" t="s">
        <v>3232</v>
      </c>
      <c r="D3397" t="s">
        <v>3233</v>
      </c>
      <c r="E3397" t="s">
        <v>2240</v>
      </c>
      <c r="F3397" t="s">
        <v>94</v>
      </c>
      <c r="G3397" t="s">
        <v>277</v>
      </c>
      <c r="H3397" s="12">
        <v>7.5758000000000001</v>
      </c>
      <c r="I3397" s="12">
        <v>-75.348600000000005</v>
      </c>
      <c r="J3397" t="s">
        <v>3234</v>
      </c>
      <c r="K3397" t="s">
        <v>97</v>
      </c>
      <c r="L3397" t="s">
        <v>1273</v>
      </c>
      <c r="M3397">
        <v>11</v>
      </c>
      <c r="P3397" s="13">
        <v>146</v>
      </c>
      <c r="Q3397" s="13">
        <v>29</v>
      </c>
      <c r="R3397">
        <v>24</v>
      </c>
      <c r="S3397">
        <v>38</v>
      </c>
      <c r="T3397" s="13">
        <v>24</v>
      </c>
      <c r="U3397" s="13">
        <v>35</v>
      </c>
      <c r="V3397" t="s">
        <v>99</v>
      </c>
      <c r="X3397" s="13">
        <v>146</v>
      </c>
    </row>
    <row r="3398" spans="1:24" x14ac:dyDescent="0.25">
      <c r="A3398" t="s">
        <v>3247</v>
      </c>
      <c r="B3398" t="s">
        <v>65</v>
      </c>
      <c r="C3398" t="s">
        <v>3232</v>
      </c>
      <c r="D3398" t="s">
        <v>3233</v>
      </c>
      <c r="E3398" t="s">
        <v>2240</v>
      </c>
      <c r="F3398" t="s">
        <v>94</v>
      </c>
      <c r="G3398" t="s">
        <v>277</v>
      </c>
      <c r="H3398" s="12">
        <v>7.5758000000000001</v>
      </c>
      <c r="I3398" s="12">
        <v>-75.348600000000005</v>
      </c>
      <c r="J3398" t="s">
        <v>3234</v>
      </c>
      <c r="K3398" t="s">
        <v>97</v>
      </c>
      <c r="L3398" t="s">
        <v>1273</v>
      </c>
      <c r="M3398">
        <v>11</v>
      </c>
      <c r="P3398" s="13">
        <v>141</v>
      </c>
      <c r="Q3398" s="13">
        <v>34</v>
      </c>
      <c r="R3398">
        <v>32</v>
      </c>
      <c r="S3398">
        <v>32</v>
      </c>
      <c r="T3398" s="13">
        <v>19</v>
      </c>
      <c r="U3398" s="13">
        <v>16</v>
      </c>
      <c r="V3398" t="s">
        <v>99</v>
      </c>
      <c r="X3398" s="13">
        <v>141</v>
      </c>
    </row>
    <row r="3399" spans="1:24" x14ac:dyDescent="0.25">
      <c r="A3399" t="s">
        <v>3248</v>
      </c>
      <c r="B3399" t="s">
        <v>65</v>
      </c>
      <c r="C3399" t="s">
        <v>3232</v>
      </c>
      <c r="D3399" t="s">
        <v>3233</v>
      </c>
      <c r="E3399" t="s">
        <v>2240</v>
      </c>
      <c r="F3399" t="s">
        <v>94</v>
      </c>
      <c r="G3399" t="s">
        <v>277</v>
      </c>
      <c r="H3399" s="12">
        <v>7.5758000000000001</v>
      </c>
      <c r="I3399" s="12">
        <v>-75.348600000000005</v>
      </c>
      <c r="J3399" t="s">
        <v>3234</v>
      </c>
      <c r="K3399" t="s">
        <v>97</v>
      </c>
      <c r="L3399" t="s">
        <v>1273</v>
      </c>
      <c r="M3399">
        <v>11</v>
      </c>
      <c r="P3399" s="13">
        <v>136</v>
      </c>
      <c r="Q3399" s="13">
        <v>34</v>
      </c>
      <c r="R3399">
        <v>24</v>
      </c>
      <c r="S3399">
        <v>18</v>
      </c>
      <c r="T3399" s="13">
        <v>31</v>
      </c>
      <c r="U3399" s="13">
        <v>31</v>
      </c>
      <c r="V3399" t="s">
        <v>99</v>
      </c>
      <c r="X3399" s="13">
        <v>136</v>
      </c>
    </row>
    <row r="3400" spans="1:24" x14ac:dyDescent="0.25">
      <c r="A3400" t="s">
        <v>3249</v>
      </c>
      <c r="B3400" t="s">
        <v>65</v>
      </c>
      <c r="C3400" t="s">
        <v>3232</v>
      </c>
      <c r="D3400" t="s">
        <v>3233</v>
      </c>
      <c r="E3400" t="s">
        <v>2240</v>
      </c>
      <c r="F3400" t="s">
        <v>94</v>
      </c>
      <c r="G3400" t="s">
        <v>277</v>
      </c>
      <c r="H3400" s="12">
        <v>7.5758000000000001</v>
      </c>
      <c r="I3400" s="12">
        <v>-75.348600000000005</v>
      </c>
      <c r="J3400" t="s">
        <v>3234</v>
      </c>
      <c r="K3400" t="s">
        <v>97</v>
      </c>
      <c r="L3400" t="s">
        <v>1273</v>
      </c>
      <c r="M3400">
        <v>11</v>
      </c>
      <c r="P3400" s="13">
        <v>125</v>
      </c>
      <c r="Q3400" s="13">
        <v>29</v>
      </c>
      <c r="R3400">
        <v>26</v>
      </c>
      <c r="S3400">
        <v>24</v>
      </c>
      <c r="T3400" s="13">
        <v>17</v>
      </c>
      <c r="U3400" s="13">
        <v>35</v>
      </c>
      <c r="V3400" t="s">
        <v>99</v>
      </c>
      <c r="X3400" s="13">
        <v>125</v>
      </c>
    </row>
    <row r="3401" spans="1:24" x14ac:dyDescent="0.25">
      <c r="A3401" t="s">
        <v>3250</v>
      </c>
      <c r="B3401" t="s">
        <v>65</v>
      </c>
      <c r="C3401" t="s">
        <v>3232</v>
      </c>
      <c r="D3401" t="s">
        <v>3233</v>
      </c>
      <c r="E3401" t="s">
        <v>2240</v>
      </c>
      <c r="F3401" t="s">
        <v>94</v>
      </c>
      <c r="G3401" t="s">
        <v>277</v>
      </c>
      <c r="H3401" s="12">
        <v>7.5758000000000001</v>
      </c>
      <c r="I3401" s="12">
        <v>-75.348600000000005</v>
      </c>
      <c r="J3401" t="s">
        <v>3234</v>
      </c>
      <c r="K3401" t="s">
        <v>97</v>
      </c>
      <c r="L3401" t="s">
        <v>1273</v>
      </c>
      <c r="M3401">
        <v>11</v>
      </c>
      <c r="P3401" s="13">
        <v>119</v>
      </c>
      <c r="Q3401" s="13">
        <v>22</v>
      </c>
      <c r="R3401">
        <v>14</v>
      </c>
      <c r="S3401">
        <v>24</v>
      </c>
      <c r="T3401" s="13">
        <v>36</v>
      </c>
      <c r="U3401" s="13">
        <v>20</v>
      </c>
      <c r="V3401" t="s">
        <v>99</v>
      </c>
      <c r="X3401" s="13">
        <v>119</v>
      </c>
    </row>
    <row r="3402" spans="1:24" x14ac:dyDescent="0.25">
      <c r="A3402" t="s">
        <v>3251</v>
      </c>
      <c r="B3402" t="s">
        <v>65</v>
      </c>
      <c r="C3402" t="s">
        <v>3232</v>
      </c>
      <c r="D3402" t="s">
        <v>3233</v>
      </c>
      <c r="E3402" t="s">
        <v>2240</v>
      </c>
      <c r="F3402" t="s">
        <v>94</v>
      </c>
      <c r="G3402" t="s">
        <v>277</v>
      </c>
      <c r="H3402" s="12">
        <v>7.5758000000000001</v>
      </c>
      <c r="I3402" s="12">
        <v>-75.348600000000005</v>
      </c>
      <c r="J3402" t="s">
        <v>3234</v>
      </c>
      <c r="K3402" t="s">
        <v>97</v>
      </c>
      <c r="L3402" t="s">
        <v>1273</v>
      </c>
      <c r="M3402">
        <v>11</v>
      </c>
      <c r="P3402" s="13">
        <v>118</v>
      </c>
      <c r="Q3402" s="13">
        <v>27</v>
      </c>
      <c r="R3402">
        <v>20</v>
      </c>
      <c r="S3402">
        <v>22</v>
      </c>
      <c r="T3402" s="13">
        <v>22</v>
      </c>
      <c r="U3402" s="13">
        <v>33</v>
      </c>
      <c r="V3402" t="s">
        <v>99</v>
      </c>
      <c r="X3402" s="13">
        <v>118</v>
      </c>
    </row>
    <row r="3403" spans="1:24" x14ac:dyDescent="0.25">
      <c r="A3403" t="s">
        <v>3252</v>
      </c>
      <c r="B3403" t="s">
        <v>65</v>
      </c>
      <c r="C3403" t="s">
        <v>3232</v>
      </c>
      <c r="D3403" t="s">
        <v>3233</v>
      </c>
      <c r="E3403" t="s">
        <v>2240</v>
      </c>
      <c r="F3403" t="s">
        <v>94</v>
      </c>
      <c r="G3403" t="s">
        <v>277</v>
      </c>
      <c r="H3403" s="12">
        <v>7.5758000000000001</v>
      </c>
      <c r="I3403" s="12">
        <v>-75.348600000000005</v>
      </c>
      <c r="J3403" t="s">
        <v>3234</v>
      </c>
      <c r="K3403" t="s">
        <v>97</v>
      </c>
      <c r="L3403" t="s">
        <v>1273</v>
      </c>
      <c r="M3403">
        <v>11</v>
      </c>
      <c r="P3403" s="13">
        <v>114</v>
      </c>
      <c r="Q3403" s="13">
        <v>20</v>
      </c>
      <c r="R3403">
        <v>26</v>
      </c>
      <c r="S3403">
        <v>26</v>
      </c>
      <c r="T3403" s="13">
        <v>21</v>
      </c>
      <c r="U3403" s="13">
        <v>20</v>
      </c>
      <c r="V3403" t="s">
        <v>99</v>
      </c>
      <c r="X3403" s="13">
        <v>114</v>
      </c>
    </row>
    <row r="3404" spans="1:24" x14ac:dyDescent="0.25">
      <c r="A3404" t="s">
        <v>3253</v>
      </c>
      <c r="B3404" t="s">
        <v>65</v>
      </c>
      <c r="C3404" t="s">
        <v>3232</v>
      </c>
      <c r="D3404" t="s">
        <v>3233</v>
      </c>
      <c r="E3404" t="s">
        <v>2240</v>
      </c>
      <c r="F3404" t="s">
        <v>94</v>
      </c>
      <c r="G3404" t="s">
        <v>277</v>
      </c>
      <c r="H3404" s="12">
        <v>7.5758000000000001</v>
      </c>
      <c r="I3404" s="12">
        <v>-75.348600000000005</v>
      </c>
      <c r="J3404" t="s">
        <v>3234</v>
      </c>
      <c r="K3404" t="s">
        <v>97</v>
      </c>
      <c r="L3404" t="s">
        <v>1273</v>
      </c>
      <c r="M3404">
        <v>11</v>
      </c>
      <c r="P3404" s="13">
        <v>110</v>
      </c>
      <c r="Q3404" s="13">
        <v>22</v>
      </c>
      <c r="R3404">
        <v>24</v>
      </c>
      <c r="S3404">
        <v>24</v>
      </c>
      <c r="T3404" s="13">
        <v>16</v>
      </c>
      <c r="U3404" s="13">
        <v>29</v>
      </c>
      <c r="V3404" t="s">
        <v>99</v>
      </c>
      <c r="X3404" s="13">
        <v>110</v>
      </c>
    </row>
    <row r="3405" spans="1:24" x14ac:dyDescent="0.25">
      <c r="A3405" t="s">
        <v>3254</v>
      </c>
      <c r="B3405" t="s">
        <v>65</v>
      </c>
      <c r="C3405" t="s">
        <v>3255</v>
      </c>
      <c r="D3405" t="s">
        <v>3256</v>
      </c>
      <c r="E3405" t="s">
        <v>3257</v>
      </c>
      <c r="F3405" t="s">
        <v>94</v>
      </c>
      <c r="G3405" t="s">
        <v>277</v>
      </c>
      <c r="H3405" s="12">
        <v>6.9778000000000002</v>
      </c>
      <c r="I3405" s="12">
        <v>-74.981200000000001</v>
      </c>
      <c r="J3405" t="s">
        <v>129</v>
      </c>
      <c r="K3405" t="s">
        <v>97</v>
      </c>
      <c r="L3405" t="s">
        <v>1273</v>
      </c>
      <c r="M3405">
        <v>11</v>
      </c>
      <c r="P3405" s="13">
        <v>266</v>
      </c>
      <c r="Q3405" s="13">
        <v>59</v>
      </c>
      <c r="R3405">
        <v>46</v>
      </c>
      <c r="S3405">
        <v>58</v>
      </c>
      <c r="T3405" s="13">
        <v>38</v>
      </c>
      <c r="U3405" s="13">
        <v>89</v>
      </c>
      <c r="V3405" t="s">
        <v>99</v>
      </c>
      <c r="X3405" s="13">
        <v>266</v>
      </c>
    </row>
    <row r="3406" spans="1:24" x14ac:dyDescent="0.25">
      <c r="A3406" t="s">
        <v>3258</v>
      </c>
      <c r="B3406" t="s">
        <v>65</v>
      </c>
      <c r="C3406" t="s">
        <v>3255</v>
      </c>
      <c r="D3406" t="s">
        <v>3256</v>
      </c>
      <c r="E3406" t="s">
        <v>3257</v>
      </c>
      <c r="F3406" t="s">
        <v>94</v>
      </c>
      <c r="G3406" t="s">
        <v>277</v>
      </c>
      <c r="H3406" s="12">
        <v>6.9778000000000002</v>
      </c>
      <c r="I3406" s="12">
        <v>-74.981200000000001</v>
      </c>
      <c r="J3406" t="s">
        <v>129</v>
      </c>
      <c r="K3406" t="s">
        <v>97</v>
      </c>
      <c r="L3406" t="s">
        <v>1273</v>
      </c>
      <c r="M3406">
        <v>11</v>
      </c>
      <c r="P3406" s="13">
        <v>263</v>
      </c>
      <c r="Q3406" s="13">
        <v>78</v>
      </c>
      <c r="R3406">
        <v>30</v>
      </c>
      <c r="S3406">
        <v>58</v>
      </c>
      <c r="T3406" s="13">
        <v>38</v>
      </c>
      <c r="U3406" s="13">
        <v>71</v>
      </c>
      <c r="V3406" t="s">
        <v>99</v>
      </c>
      <c r="X3406" s="13">
        <v>263</v>
      </c>
    </row>
    <row r="3407" spans="1:24" x14ac:dyDescent="0.25">
      <c r="A3407" t="s">
        <v>3259</v>
      </c>
      <c r="B3407" t="s">
        <v>65</v>
      </c>
      <c r="C3407" t="s">
        <v>3255</v>
      </c>
      <c r="D3407" t="s">
        <v>3256</v>
      </c>
      <c r="E3407" t="s">
        <v>3257</v>
      </c>
      <c r="F3407" t="s">
        <v>94</v>
      </c>
      <c r="G3407" t="s">
        <v>277</v>
      </c>
      <c r="H3407" s="12">
        <v>6.9778000000000002</v>
      </c>
      <c r="I3407" s="12">
        <v>-74.981200000000001</v>
      </c>
      <c r="J3407" t="s">
        <v>129</v>
      </c>
      <c r="K3407" t="s">
        <v>97</v>
      </c>
      <c r="L3407" t="s">
        <v>1273</v>
      </c>
      <c r="M3407">
        <v>11</v>
      </c>
      <c r="P3407" s="13">
        <v>242</v>
      </c>
      <c r="Q3407" s="13">
        <v>68</v>
      </c>
      <c r="R3407">
        <v>40</v>
      </c>
      <c r="S3407">
        <v>34</v>
      </c>
      <c r="T3407" s="13">
        <v>48</v>
      </c>
      <c r="U3407" s="13">
        <v>56</v>
      </c>
      <c r="V3407" t="s">
        <v>99</v>
      </c>
      <c r="X3407" s="13">
        <v>242</v>
      </c>
    </row>
    <row r="3408" spans="1:24" x14ac:dyDescent="0.25">
      <c r="A3408" t="s">
        <v>3260</v>
      </c>
      <c r="B3408" t="s">
        <v>65</v>
      </c>
      <c r="C3408" t="s">
        <v>3255</v>
      </c>
      <c r="D3408" t="s">
        <v>3256</v>
      </c>
      <c r="E3408" t="s">
        <v>3257</v>
      </c>
      <c r="F3408" t="s">
        <v>94</v>
      </c>
      <c r="G3408" t="s">
        <v>277</v>
      </c>
      <c r="H3408" s="12">
        <v>6.9778000000000002</v>
      </c>
      <c r="I3408" s="12">
        <v>-74.981200000000001</v>
      </c>
      <c r="J3408" t="s">
        <v>129</v>
      </c>
      <c r="K3408" t="s">
        <v>97</v>
      </c>
      <c r="L3408" t="s">
        <v>1273</v>
      </c>
      <c r="M3408">
        <v>11</v>
      </c>
      <c r="P3408" s="13">
        <v>241</v>
      </c>
      <c r="Q3408" s="13">
        <v>54</v>
      </c>
      <c r="R3408">
        <v>44</v>
      </c>
      <c r="S3408">
        <v>46</v>
      </c>
      <c r="T3408" s="13">
        <v>41</v>
      </c>
      <c r="U3408" s="13">
        <v>73</v>
      </c>
      <c r="V3408" t="s">
        <v>99</v>
      </c>
      <c r="X3408" s="13">
        <v>241</v>
      </c>
    </row>
    <row r="3409" spans="1:24" x14ac:dyDescent="0.25">
      <c r="A3409" t="s">
        <v>3261</v>
      </c>
      <c r="B3409" t="s">
        <v>65</v>
      </c>
      <c r="C3409" t="s">
        <v>3255</v>
      </c>
      <c r="D3409" t="s">
        <v>3256</v>
      </c>
      <c r="E3409" t="s">
        <v>3257</v>
      </c>
      <c r="F3409" t="s">
        <v>94</v>
      </c>
      <c r="G3409" t="s">
        <v>277</v>
      </c>
      <c r="H3409" s="12">
        <v>6.9778000000000002</v>
      </c>
      <c r="I3409" s="12">
        <v>-74.981200000000001</v>
      </c>
      <c r="J3409" t="s">
        <v>129</v>
      </c>
      <c r="K3409" t="s">
        <v>97</v>
      </c>
      <c r="L3409" t="s">
        <v>1273</v>
      </c>
      <c r="M3409">
        <v>11</v>
      </c>
      <c r="P3409" s="13">
        <v>238</v>
      </c>
      <c r="Q3409" s="13">
        <v>63</v>
      </c>
      <c r="R3409">
        <v>26</v>
      </c>
      <c r="S3409">
        <v>56</v>
      </c>
      <c r="T3409" s="13">
        <v>45</v>
      </c>
      <c r="U3409" s="13">
        <v>49</v>
      </c>
      <c r="V3409" t="s">
        <v>99</v>
      </c>
      <c r="X3409" s="13">
        <v>238</v>
      </c>
    </row>
    <row r="3410" spans="1:24" x14ac:dyDescent="0.25">
      <c r="A3410" t="s">
        <v>3262</v>
      </c>
      <c r="B3410" t="s">
        <v>65</v>
      </c>
      <c r="C3410" t="s">
        <v>3255</v>
      </c>
      <c r="D3410" t="s">
        <v>3256</v>
      </c>
      <c r="E3410" t="s">
        <v>3257</v>
      </c>
      <c r="F3410" t="s">
        <v>94</v>
      </c>
      <c r="G3410" t="s">
        <v>277</v>
      </c>
      <c r="H3410" s="12">
        <v>6.9778000000000002</v>
      </c>
      <c r="I3410" s="12">
        <v>-74.981200000000001</v>
      </c>
      <c r="J3410" t="s">
        <v>129</v>
      </c>
      <c r="K3410" t="s">
        <v>97</v>
      </c>
      <c r="L3410" t="s">
        <v>1273</v>
      </c>
      <c r="M3410">
        <v>11</v>
      </c>
      <c r="P3410" s="13">
        <v>231</v>
      </c>
      <c r="Q3410" s="13">
        <v>61</v>
      </c>
      <c r="R3410">
        <v>28</v>
      </c>
      <c r="S3410">
        <v>60</v>
      </c>
      <c r="T3410" s="13">
        <v>31</v>
      </c>
      <c r="U3410" s="13">
        <v>62</v>
      </c>
      <c r="V3410" t="s">
        <v>99</v>
      </c>
      <c r="X3410" s="13">
        <v>231</v>
      </c>
    </row>
    <row r="3411" spans="1:24" x14ac:dyDescent="0.25">
      <c r="A3411" t="s">
        <v>3263</v>
      </c>
      <c r="B3411" t="s">
        <v>65</v>
      </c>
      <c r="C3411" t="s">
        <v>3255</v>
      </c>
      <c r="D3411" t="s">
        <v>3256</v>
      </c>
      <c r="E3411" t="s">
        <v>3257</v>
      </c>
      <c r="F3411" t="s">
        <v>94</v>
      </c>
      <c r="G3411" t="s">
        <v>277</v>
      </c>
      <c r="H3411" s="12">
        <v>6.9778000000000002</v>
      </c>
      <c r="I3411" s="12">
        <v>-74.981200000000001</v>
      </c>
      <c r="J3411" t="s">
        <v>129</v>
      </c>
      <c r="K3411" t="s">
        <v>97</v>
      </c>
      <c r="L3411" t="s">
        <v>1273</v>
      </c>
      <c r="M3411">
        <v>11</v>
      </c>
      <c r="P3411" s="13">
        <v>228</v>
      </c>
      <c r="Q3411" s="13">
        <v>61</v>
      </c>
      <c r="R3411">
        <v>46</v>
      </c>
      <c r="S3411">
        <v>44</v>
      </c>
      <c r="T3411" s="13">
        <v>22</v>
      </c>
      <c r="U3411" s="13">
        <v>73</v>
      </c>
      <c r="V3411" t="s">
        <v>99</v>
      </c>
      <c r="X3411" s="13">
        <v>228</v>
      </c>
    </row>
    <row r="3412" spans="1:24" x14ac:dyDescent="0.25">
      <c r="A3412" t="s">
        <v>3264</v>
      </c>
      <c r="B3412" t="s">
        <v>65</v>
      </c>
      <c r="C3412" t="s">
        <v>3255</v>
      </c>
      <c r="D3412" t="s">
        <v>3256</v>
      </c>
      <c r="E3412" t="s">
        <v>3257</v>
      </c>
      <c r="F3412" t="s">
        <v>94</v>
      </c>
      <c r="G3412" t="s">
        <v>277</v>
      </c>
      <c r="H3412" s="12">
        <v>6.9778000000000002</v>
      </c>
      <c r="I3412" s="12">
        <v>-74.981200000000001</v>
      </c>
      <c r="J3412" t="s">
        <v>129</v>
      </c>
      <c r="K3412" t="s">
        <v>97</v>
      </c>
      <c r="L3412" t="s">
        <v>1273</v>
      </c>
      <c r="M3412">
        <v>11</v>
      </c>
      <c r="P3412" s="13">
        <v>226</v>
      </c>
      <c r="Q3412" s="13">
        <v>54</v>
      </c>
      <c r="R3412">
        <v>26</v>
      </c>
      <c r="S3412">
        <v>68</v>
      </c>
      <c r="T3412" s="13">
        <v>34</v>
      </c>
      <c r="U3412" s="13">
        <v>42</v>
      </c>
      <c r="V3412" t="s">
        <v>99</v>
      </c>
      <c r="X3412" s="13">
        <v>226</v>
      </c>
    </row>
    <row r="3413" spans="1:24" x14ac:dyDescent="0.25">
      <c r="A3413" t="s">
        <v>3265</v>
      </c>
      <c r="B3413" t="s">
        <v>65</v>
      </c>
      <c r="C3413" t="s">
        <v>3255</v>
      </c>
      <c r="D3413" t="s">
        <v>3256</v>
      </c>
      <c r="E3413" t="s">
        <v>3257</v>
      </c>
      <c r="F3413" t="s">
        <v>94</v>
      </c>
      <c r="G3413" t="s">
        <v>277</v>
      </c>
      <c r="H3413" s="12">
        <v>6.9778000000000002</v>
      </c>
      <c r="I3413" s="12">
        <v>-74.981200000000001</v>
      </c>
      <c r="J3413" t="s">
        <v>129</v>
      </c>
      <c r="K3413" t="s">
        <v>97</v>
      </c>
      <c r="L3413" t="s">
        <v>1273</v>
      </c>
      <c r="M3413">
        <v>11</v>
      </c>
      <c r="P3413" s="13">
        <v>220</v>
      </c>
      <c r="Q3413" s="13">
        <v>49</v>
      </c>
      <c r="R3413">
        <v>34</v>
      </c>
      <c r="S3413">
        <v>58</v>
      </c>
      <c r="T3413" s="13">
        <v>31</v>
      </c>
      <c r="U3413" s="13">
        <v>56</v>
      </c>
      <c r="V3413" t="s">
        <v>99</v>
      </c>
      <c r="X3413" s="13">
        <v>220</v>
      </c>
    </row>
    <row r="3414" spans="1:24" x14ac:dyDescent="0.25">
      <c r="A3414" t="s">
        <v>3266</v>
      </c>
      <c r="B3414" t="s">
        <v>65</v>
      </c>
      <c r="C3414" t="s">
        <v>3255</v>
      </c>
      <c r="D3414" t="s">
        <v>3256</v>
      </c>
      <c r="E3414" t="s">
        <v>3257</v>
      </c>
      <c r="F3414" t="s">
        <v>94</v>
      </c>
      <c r="G3414" t="s">
        <v>277</v>
      </c>
      <c r="H3414" s="12">
        <v>6.9778000000000002</v>
      </c>
      <c r="I3414" s="12">
        <v>-74.981200000000001</v>
      </c>
      <c r="J3414" t="s">
        <v>129</v>
      </c>
      <c r="K3414" t="s">
        <v>97</v>
      </c>
      <c r="L3414" t="s">
        <v>1273</v>
      </c>
      <c r="M3414">
        <v>11</v>
      </c>
      <c r="P3414" s="13">
        <v>220</v>
      </c>
      <c r="Q3414" s="13">
        <v>56</v>
      </c>
      <c r="R3414">
        <v>26</v>
      </c>
      <c r="S3414">
        <v>58</v>
      </c>
      <c r="T3414" s="13">
        <v>31</v>
      </c>
      <c r="U3414" s="13">
        <v>58</v>
      </c>
      <c r="V3414" t="s">
        <v>99</v>
      </c>
      <c r="X3414" s="13">
        <v>220</v>
      </c>
    </row>
    <row r="3415" spans="1:24" x14ac:dyDescent="0.25">
      <c r="A3415" t="s">
        <v>3267</v>
      </c>
      <c r="B3415" t="s">
        <v>65</v>
      </c>
      <c r="C3415" t="s">
        <v>3255</v>
      </c>
      <c r="D3415" t="s">
        <v>3256</v>
      </c>
      <c r="E3415" t="s">
        <v>3257</v>
      </c>
      <c r="F3415" t="s">
        <v>94</v>
      </c>
      <c r="G3415" t="s">
        <v>277</v>
      </c>
      <c r="H3415" s="12">
        <v>6.9778000000000002</v>
      </c>
      <c r="I3415" s="12">
        <v>-74.981200000000001</v>
      </c>
      <c r="J3415" t="s">
        <v>129</v>
      </c>
      <c r="K3415" t="s">
        <v>97</v>
      </c>
      <c r="L3415" t="s">
        <v>1273</v>
      </c>
      <c r="M3415">
        <v>11</v>
      </c>
      <c r="P3415" s="13">
        <v>219</v>
      </c>
      <c r="Q3415" s="13">
        <v>34</v>
      </c>
      <c r="R3415">
        <v>36</v>
      </c>
      <c r="S3415">
        <v>66</v>
      </c>
      <c r="T3415" s="13">
        <v>31</v>
      </c>
      <c r="U3415" s="13">
        <v>69</v>
      </c>
      <c r="V3415" t="s">
        <v>99</v>
      </c>
      <c r="X3415" s="13">
        <v>219</v>
      </c>
    </row>
    <row r="3416" spans="1:24" x14ac:dyDescent="0.25">
      <c r="A3416" t="s">
        <v>3268</v>
      </c>
      <c r="B3416" t="s">
        <v>65</v>
      </c>
      <c r="C3416" t="s">
        <v>3255</v>
      </c>
      <c r="D3416" t="s">
        <v>3256</v>
      </c>
      <c r="E3416" t="s">
        <v>3257</v>
      </c>
      <c r="F3416" t="s">
        <v>94</v>
      </c>
      <c r="G3416" t="s">
        <v>277</v>
      </c>
      <c r="H3416" s="12">
        <v>6.9778000000000002</v>
      </c>
      <c r="I3416" s="12">
        <v>-74.981200000000001</v>
      </c>
      <c r="J3416" t="s">
        <v>129</v>
      </c>
      <c r="K3416" t="s">
        <v>97</v>
      </c>
      <c r="L3416" t="s">
        <v>1273</v>
      </c>
      <c r="M3416">
        <v>11</v>
      </c>
      <c r="P3416" s="13">
        <v>219</v>
      </c>
      <c r="Q3416" s="13">
        <v>49</v>
      </c>
      <c r="R3416">
        <v>36</v>
      </c>
      <c r="S3416">
        <v>42</v>
      </c>
      <c r="T3416" s="13">
        <v>43</v>
      </c>
      <c r="U3416" s="13">
        <v>60</v>
      </c>
      <c r="V3416" t="s">
        <v>99</v>
      </c>
      <c r="X3416" s="13">
        <v>219</v>
      </c>
    </row>
    <row r="3417" spans="1:24" x14ac:dyDescent="0.25">
      <c r="A3417" t="s">
        <v>3269</v>
      </c>
      <c r="B3417" t="s">
        <v>65</v>
      </c>
      <c r="C3417" t="s">
        <v>3255</v>
      </c>
      <c r="D3417" t="s">
        <v>3256</v>
      </c>
      <c r="E3417" t="s">
        <v>3257</v>
      </c>
      <c r="F3417" t="s">
        <v>94</v>
      </c>
      <c r="G3417" t="s">
        <v>277</v>
      </c>
      <c r="H3417" s="12">
        <v>6.9778000000000002</v>
      </c>
      <c r="I3417" s="12">
        <v>-74.981200000000001</v>
      </c>
      <c r="J3417" t="s">
        <v>129</v>
      </c>
      <c r="K3417" t="s">
        <v>97</v>
      </c>
      <c r="L3417" t="s">
        <v>1273</v>
      </c>
      <c r="M3417">
        <v>11</v>
      </c>
      <c r="P3417" s="13">
        <v>217</v>
      </c>
      <c r="Q3417" s="13">
        <v>37</v>
      </c>
      <c r="R3417">
        <v>46</v>
      </c>
      <c r="S3417">
        <v>50</v>
      </c>
      <c r="T3417" s="13">
        <v>33</v>
      </c>
      <c r="U3417" s="13">
        <v>67</v>
      </c>
      <c r="V3417" t="s">
        <v>99</v>
      </c>
      <c r="X3417" s="13">
        <v>217</v>
      </c>
    </row>
    <row r="3418" spans="1:24" x14ac:dyDescent="0.25">
      <c r="A3418" t="s">
        <v>3270</v>
      </c>
      <c r="B3418" t="s">
        <v>65</v>
      </c>
      <c r="C3418" t="s">
        <v>3255</v>
      </c>
      <c r="D3418" t="s">
        <v>3256</v>
      </c>
      <c r="E3418" t="s">
        <v>3257</v>
      </c>
      <c r="F3418" t="s">
        <v>94</v>
      </c>
      <c r="G3418" t="s">
        <v>277</v>
      </c>
      <c r="H3418" s="12">
        <v>6.9778000000000002</v>
      </c>
      <c r="I3418" s="12">
        <v>-74.981200000000001</v>
      </c>
      <c r="J3418" t="s">
        <v>129</v>
      </c>
      <c r="K3418" t="s">
        <v>97</v>
      </c>
      <c r="L3418" t="s">
        <v>1273</v>
      </c>
      <c r="M3418">
        <v>11</v>
      </c>
      <c r="P3418" s="13">
        <v>216</v>
      </c>
      <c r="Q3418" s="13">
        <v>51</v>
      </c>
      <c r="R3418">
        <v>28</v>
      </c>
      <c r="S3418">
        <v>48</v>
      </c>
      <c r="T3418" s="13">
        <v>38</v>
      </c>
      <c r="U3418" s="13">
        <v>67</v>
      </c>
      <c r="V3418" t="s">
        <v>99</v>
      </c>
      <c r="X3418" s="13">
        <v>216</v>
      </c>
    </row>
    <row r="3419" spans="1:24" x14ac:dyDescent="0.25">
      <c r="A3419" t="s">
        <v>3271</v>
      </c>
      <c r="B3419" t="s">
        <v>65</v>
      </c>
      <c r="C3419" t="s">
        <v>3255</v>
      </c>
      <c r="D3419" t="s">
        <v>3256</v>
      </c>
      <c r="E3419" t="s">
        <v>3257</v>
      </c>
      <c r="F3419" t="s">
        <v>94</v>
      </c>
      <c r="G3419" t="s">
        <v>277</v>
      </c>
      <c r="H3419" s="12">
        <v>6.9778000000000002</v>
      </c>
      <c r="I3419" s="12">
        <v>-74.981200000000001</v>
      </c>
      <c r="J3419" t="s">
        <v>129</v>
      </c>
      <c r="K3419" t="s">
        <v>97</v>
      </c>
      <c r="L3419" t="s">
        <v>1273</v>
      </c>
      <c r="M3419">
        <v>11</v>
      </c>
      <c r="P3419" s="13">
        <v>216</v>
      </c>
      <c r="Q3419" s="13">
        <v>41</v>
      </c>
      <c r="R3419">
        <v>40</v>
      </c>
      <c r="S3419">
        <v>50</v>
      </c>
      <c r="T3419" s="13">
        <v>38</v>
      </c>
      <c r="U3419" s="13">
        <v>53</v>
      </c>
      <c r="V3419" t="s">
        <v>99</v>
      </c>
      <c r="X3419" s="13">
        <v>216</v>
      </c>
    </row>
    <row r="3420" spans="1:24" x14ac:dyDescent="0.25">
      <c r="A3420" t="s">
        <v>3272</v>
      </c>
      <c r="B3420" t="s">
        <v>65</v>
      </c>
      <c r="C3420" t="s">
        <v>3255</v>
      </c>
      <c r="D3420" t="s">
        <v>3256</v>
      </c>
      <c r="E3420" t="s">
        <v>3257</v>
      </c>
      <c r="F3420" t="s">
        <v>94</v>
      </c>
      <c r="G3420" t="s">
        <v>277</v>
      </c>
      <c r="H3420" s="12">
        <v>6.9778000000000002</v>
      </c>
      <c r="I3420" s="12">
        <v>-74.981200000000001</v>
      </c>
      <c r="J3420" t="s">
        <v>129</v>
      </c>
      <c r="K3420" t="s">
        <v>97</v>
      </c>
      <c r="L3420" t="s">
        <v>1273</v>
      </c>
      <c r="M3420">
        <v>11</v>
      </c>
      <c r="P3420" s="13">
        <v>215</v>
      </c>
      <c r="Q3420" s="13">
        <v>41</v>
      </c>
      <c r="R3420">
        <v>46</v>
      </c>
      <c r="S3420">
        <v>52</v>
      </c>
      <c r="T3420" s="13">
        <v>29</v>
      </c>
      <c r="U3420" s="13">
        <v>53</v>
      </c>
      <c r="V3420" t="s">
        <v>99</v>
      </c>
      <c r="X3420" s="13">
        <v>215</v>
      </c>
    </row>
    <row r="3421" spans="1:24" x14ac:dyDescent="0.25">
      <c r="A3421" t="s">
        <v>3273</v>
      </c>
      <c r="B3421" t="s">
        <v>65</v>
      </c>
      <c r="C3421" t="s">
        <v>3255</v>
      </c>
      <c r="D3421" t="s">
        <v>3256</v>
      </c>
      <c r="E3421" t="s">
        <v>3257</v>
      </c>
      <c r="F3421" t="s">
        <v>94</v>
      </c>
      <c r="G3421" t="s">
        <v>277</v>
      </c>
      <c r="H3421" s="12">
        <v>6.9778000000000002</v>
      </c>
      <c r="I3421" s="12">
        <v>-74.981200000000001</v>
      </c>
      <c r="J3421" t="s">
        <v>129</v>
      </c>
      <c r="K3421" t="s">
        <v>97</v>
      </c>
      <c r="L3421" t="s">
        <v>1273</v>
      </c>
      <c r="M3421">
        <v>11</v>
      </c>
      <c r="P3421" s="13">
        <v>214</v>
      </c>
      <c r="Q3421" s="13">
        <v>56</v>
      </c>
      <c r="R3421">
        <v>32</v>
      </c>
      <c r="S3421">
        <v>52</v>
      </c>
      <c r="T3421" s="13">
        <v>29</v>
      </c>
      <c r="U3421" s="13">
        <v>47</v>
      </c>
      <c r="V3421" t="s">
        <v>99</v>
      </c>
      <c r="X3421" s="13">
        <v>214</v>
      </c>
    </row>
    <row r="3422" spans="1:24" x14ac:dyDescent="0.25">
      <c r="A3422" t="s">
        <v>3274</v>
      </c>
      <c r="B3422" t="s">
        <v>65</v>
      </c>
      <c r="C3422" t="s">
        <v>3255</v>
      </c>
      <c r="D3422" t="s">
        <v>3256</v>
      </c>
      <c r="E3422" t="s">
        <v>3257</v>
      </c>
      <c r="F3422" t="s">
        <v>94</v>
      </c>
      <c r="G3422" t="s">
        <v>277</v>
      </c>
      <c r="H3422" s="12">
        <v>6.9778000000000002</v>
      </c>
      <c r="I3422" s="12">
        <v>-74.981200000000001</v>
      </c>
      <c r="J3422" t="s">
        <v>129</v>
      </c>
      <c r="K3422" t="s">
        <v>97</v>
      </c>
      <c r="L3422" t="s">
        <v>1273</v>
      </c>
      <c r="M3422">
        <v>11</v>
      </c>
      <c r="P3422" s="13">
        <v>213</v>
      </c>
      <c r="Q3422" s="13">
        <v>44</v>
      </c>
      <c r="R3422">
        <v>38</v>
      </c>
      <c r="S3422">
        <v>54</v>
      </c>
      <c r="T3422" s="13">
        <v>33</v>
      </c>
      <c r="U3422" s="13">
        <v>49</v>
      </c>
      <c r="V3422" t="s">
        <v>99</v>
      </c>
      <c r="X3422" s="13">
        <v>213</v>
      </c>
    </row>
    <row r="3423" spans="1:24" x14ac:dyDescent="0.25">
      <c r="A3423" t="s">
        <v>3275</v>
      </c>
      <c r="B3423" t="s">
        <v>65</v>
      </c>
      <c r="C3423" t="s">
        <v>3255</v>
      </c>
      <c r="D3423" t="s">
        <v>3256</v>
      </c>
      <c r="E3423" t="s">
        <v>3257</v>
      </c>
      <c r="F3423" t="s">
        <v>94</v>
      </c>
      <c r="G3423" t="s">
        <v>277</v>
      </c>
      <c r="H3423" s="12">
        <v>6.9778000000000002</v>
      </c>
      <c r="I3423" s="12">
        <v>-74.981200000000001</v>
      </c>
      <c r="J3423" t="s">
        <v>129</v>
      </c>
      <c r="K3423" t="s">
        <v>97</v>
      </c>
      <c r="L3423" t="s">
        <v>1273</v>
      </c>
      <c r="M3423">
        <v>11</v>
      </c>
      <c r="P3423" s="13">
        <v>212</v>
      </c>
      <c r="Q3423" s="13">
        <v>46</v>
      </c>
      <c r="R3423">
        <v>36</v>
      </c>
      <c r="S3423">
        <v>42</v>
      </c>
      <c r="T3423" s="13">
        <v>43</v>
      </c>
      <c r="U3423" s="13">
        <v>49</v>
      </c>
      <c r="V3423" t="s">
        <v>99</v>
      </c>
      <c r="X3423" s="13">
        <v>212</v>
      </c>
    </row>
    <row r="3424" spans="1:24" x14ac:dyDescent="0.25">
      <c r="A3424" t="s">
        <v>3276</v>
      </c>
      <c r="B3424" t="s">
        <v>65</v>
      </c>
      <c r="C3424" t="s">
        <v>3255</v>
      </c>
      <c r="D3424" t="s">
        <v>3256</v>
      </c>
      <c r="E3424" t="s">
        <v>3257</v>
      </c>
      <c r="F3424" t="s">
        <v>94</v>
      </c>
      <c r="G3424" t="s">
        <v>277</v>
      </c>
      <c r="H3424" s="12">
        <v>6.9778000000000002</v>
      </c>
      <c r="I3424" s="12">
        <v>-74.981200000000001</v>
      </c>
      <c r="J3424" t="s">
        <v>129</v>
      </c>
      <c r="K3424" t="s">
        <v>97</v>
      </c>
      <c r="L3424" t="s">
        <v>1273</v>
      </c>
      <c r="M3424">
        <v>11</v>
      </c>
      <c r="P3424" s="13">
        <v>212</v>
      </c>
      <c r="Q3424" s="13">
        <v>39</v>
      </c>
      <c r="R3424">
        <v>42</v>
      </c>
      <c r="S3424">
        <v>50</v>
      </c>
      <c r="T3424" s="13">
        <v>34</v>
      </c>
      <c r="U3424" s="13">
        <v>55</v>
      </c>
      <c r="V3424" t="s">
        <v>99</v>
      </c>
      <c r="X3424" s="13">
        <v>212</v>
      </c>
    </row>
    <row r="3425" spans="1:24" x14ac:dyDescent="0.25">
      <c r="A3425" t="s">
        <v>3277</v>
      </c>
      <c r="B3425" t="s">
        <v>65</v>
      </c>
      <c r="C3425" t="s">
        <v>3255</v>
      </c>
      <c r="D3425" t="s">
        <v>3256</v>
      </c>
      <c r="E3425" t="s">
        <v>3257</v>
      </c>
      <c r="F3425" t="s">
        <v>94</v>
      </c>
      <c r="G3425" t="s">
        <v>277</v>
      </c>
      <c r="H3425" s="12">
        <v>6.9778000000000002</v>
      </c>
      <c r="I3425" s="12">
        <v>-74.981200000000001</v>
      </c>
      <c r="J3425" t="s">
        <v>129</v>
      </c>
      <c r="K3425" t="s">
        <v>97</v>
      </c>
      <c r="L3425" t="s">
        <v>1273</v>
      </c>
      <c r="M3425">
        <v>11</v>
      </c>
      <c r="P3425" s="13">
        <v>206</v>
      </c>
      <c r="Q3425" s="13">
        <v>41</v>
      </c>
      <c r="R3425">
        <v>38</v>
      </c>
      <c r="S3425">
        <v>40</v>
      </c>
      <c r="T3425" s="13">
        <v>36</v>
      </c>
      <c r="U3425" s="13">
        <v>69</v>
      </c>
      <c r="V3425" t="s">
        <v>99</v>
      </c>
      <c r="X3425" s="13">
        <v>206</v>
      </c>
    </row>
    <row r="3426" spans="1:24" x14ac:dyDescent="0.25">
      <c r="A3426" t="s">
        <v>3278</v>
      </c>
      <c r="B3426" t="s">
        <v>65</v>
      </c>
      <c r="C3426" t="s">
        <v>3255</v>
      </c>
      <c r="D3426" t="s">
        <v>3256</v>
      </c>
      <c r="E3426" t="s">
        <v>3257</v>
      </c>
      <c r="F3426" t="s">
        <v>94</v>
      </c>
      <c r="G3426" t="s">
        <v>277</v>
      </c>
      <c r="H3426" s="12">
        <v>6.9778000000000002</v>
      </c>
      <c r="I3426" s="12">
        <v>-74.981200000000001</v>
      </c>
      <c r="J3426" t="s">
        <v>129</v>
      </c>
      <c r="K3426" t="s">
        <v>97</v>
      </c>
      <c r="L3426" t="s">
        <v>1273</v>
      </c>
      <c r="M3426">
        <v>11</v>
      </c>
      <c r="P3426" s="13">
        <v>205</v>
      </c>
      <c r="Q3426" s="13">
        <v>51</v>
      </c>
      <c r="R3426">
        <v>32</v>
      </c>
      <c r="S3426">
        <v>36</v>
      </c>
      <c r="T3426" s="13">
        <v>33</v>
      </c>
      <c r="U3426" s="13">
        <v>76</v>
      </c>
      <c r="V3426" t="s">
        <v>99</v>
      </c>
      <c r="X3426" s="13">
        <v>205</v>
      </c>
    </row>
    <row r="3427" spans="1:24" x14ac:dyDescent="0.25">
      <c r="A3427" t="s">
        <v>3279</v>
      </c>
      <c r="B3427" t="s">
        <v>65</v>
      </c>
      <c r="C3427" t="s">
        <v>3255</v>
      </c>
      <c r="D3427" t="s">
        <v>3256</v>
      </c>
      <c r="E3427" t="s">
        <v>3257</v>
      </c>
      <c r="F3427" t="s">
        <v>94</v>
      </c>
      <c r="G3427" t="s">
        <v>277</v>
      </c>
      <c r="H3427" s="12">
        <v>6.9778000000000002</v>
      </c>
      <c r="I3427" s="12">
        <v>-74.981200000000001</v>
      </c>
      <c r="J3427" t="s">
        <v>129</v>
      </c>
      <c r="K3427" t="s">
        <v>97</v>
      </c>
      <c r="L3427" t="s">
        <v>1273</v>
      </c>
      <c r="M3427">
        <v>11</v>
      </c>
      <c r="P3427" s="13">
        <v>204</v>
      </c>
      <c r="Q3427" s="13">
        <v>46</v>
      </c>
      <c r="R3427">
        <v>28</v>
      </c>
      <c r="S3427">
        <v>50</v>
      </c>
      <c r="T3427" s="13">
        <v>31</v>
      </c>
      <c r="U3427" s="13">
        <v>64</v>
      </c>
      <c r="V3427" t="s">
        <v>99</v>
      </c>
      <c r="X3427" s="13">
        <v>204</v>
      </c>
    </row>
    <row r="3428" spans="1:24" x14ac:dyDescent="0.25">
      <c r="A3428" t="s">
        <v>3280</v>
      </c>
      <c r="B3428" t="s">
        <v>65</v>
      </c>
      <c r="C3428" t="s">
        <v>3255</v>
      </c>
      <c r="D3428" t="s">
        <v>3256</v>
      </c>
      <c r="E3428" t="s">
        <v>3257</v>
      </c>
      <c r="F3428" t="s">
        <v>94</v>
      </c>
      <c r="G3428" t="s">
        <v>277</v>
      </c>
      <c r="H3428" s="12">
        <v>6.9778000000000002</v>
      </c>
      <c r="I3428" s="12">
        <v>-74.981200000000001</v>
      </c>
      <c r="J3428" t="s">
        <v>129</v>
      </c>
      <c r="K3428" t="s">
        <v>97</v>
      </c>
      <c r="L3428" t="s">
        <v>1273</v>
      </c>
      <c r="M3428">
        <v>11</v>
      </c>
      <c r="P3428" s="13">
        <v>201</v>
      </c>
      <c r="Q3428" s="13">
        <v>37</v>
      </c>
      <c r="R3428">
        <v>32</v>
      </c>
      <c r="S3428">
        <v>50</v>
      </c>
      <c r="T3428" s="13">
        <v>41</v>
      </c>
      <c r="U3428" s="13">
        <v>44</v>
      </c>
      <c r="V3428" t="s">
        <v>99</v>
      </c>
      <c r="X3428" s="13">
        <v>201</v>
      </c>
    </row>
    <row r="3429" spans="1:24" x14ac:dyDescent="0.25">
      <c r="A3429" t="s">
        <v>3281</v>
      </c>
      <c r="B3429" t="s">
        <v>65</v>
      </c>
      <c r="C3429" t="s">
        <v>3255</v>
      </c>
      <c r="D3429" t="s">
        <v>3256</v>
      </c>
      <c r="E3429" t="s">
        <v>3257</v>
      </c>
      <c r="F3429" t="s">
        <v>94</v>
      </c>
      <c r="G3429" t="s">
        <v>277</v>
      </c>
      <c r="H3429" s="12">
        <v>6.9778000000000002</v>
      </c>
      <c r="I3429" s="12">
        <v>-74.981200000000001</v>
      </c>
      <c r="J3429" t="s">
        <v>129</v>
      </c>
      <c r="K3429" t="s">
        <v>97</v>
      </c>
      <c r="L3429" t="s">
        <v>1273</v>
      </c>
      <c r="M3429">
        <v>11</v>
      </c>
      <c r="P3429" s="13">
        <v>201</v>
      </c>
      <c r="Q3429" s="13">
        <v>46</v>
      </c>
      <c r="R3429">
        <v>38</v>
      </c>
      <c r="S3429">
        <v>38</v>
      </c>
      <c r="T3429" s="13">
        <v>36</v>
      </c>
      <c r="U3429" s="13">
        <v>47</v>
      </c>
      <c r="V3429" t="s">
        <v>99</v>
      </c>
      <c r="X3429" s="13">
        <v>201</v>
      </c>
    </row>
    <row r="3430" spans="1:24" x14ac:dyDescent="0.25">
      <c r="A3430" t="s">
        <v>3282</v>
      </c>
      <c r="B3430" t="s">
        <v>65</v>
      </c>
      <c r="C3430" t="s">
        <v>3255</v>
      </c>
      <c r="D3430" t="s">
        <v>3256</v>
      </c>
      <c r="E3430" t="s">
        <v>3257</v>
      </c>
      <c r="F3430" t="s">
        <v>94</v>
      </c>
      <c r="G3430" t="s">
        <v>277</v>
      </c>
      <c r="H3430" s="12">
        <v>6.9778000000000002</v>
      </c>
      <c r="I3430" s="12">
        <v>-74.981200000000001</v>
      </c>
      <c r="J3430" t="s">
        <v>129</v>
      </c>
      <c r="K3430" t="s">
        <v>97</v>
      </c>
      <c r="L3430" t="s">
        <v>1273</v>
      </c>
      <c r="M3430">
        <v>11</v>
      </c>
      <c r="P3430" s="13">
        <v>201</v>
      </c>
      <c r="Q3430" s="13">
        <v>37</v>
      </c>
      <c r="R3430">
        <v>30</v>
      </c>
      <c r="S3430">
        <v>56</v>
      </c>
      <c r="T3430" s="13">
        <v>34</v>
      </c>
      <c r="U3430" s="13">
        <v>51</v>
      </c>
      <c r="V3430" t="s">
        <v>99</v>
      </c>
      <c r="X3430" s="13">
        <v>201</v>
      </c>
    </row>
    <row r="3431" spans="1:24" x14ac:dyDescent="0.25">
      <c r="A3431" t="s">
        <v>3283</v>
      </c>
      <c r="B3431" t="s">
        <v>65</v>
      </c>
      <c r="C3431" t="s">
        <v>3255</v>
      </c>
      <c r="D3431" t="s">
        <v>3256</v>
      </c>
      <c r="E3431" t="s">
        <v>3257</v>
      </c>
      <c r="F3431" t="s">
        <v>94</v>
      </c>
      <c r="G3431" t="s">
        <v>277</v>
      </c>
      <c r="H3431" s="12">
        <v>6.9778000000000002</v>
      </c>
      <c r="I3431" s="12">
        <v>-74.981200000000001</v>
      </c>
      <c r="J3431" t="s">
        <v>129</v>
      </c>
      <c r="K3431" t="s">
        <v>97</v>
      </c>
      <c r="L3431" t="s">
        <v>1273</v>
      </c>
      <c r="M3431">
        <v>11</v>
      </c>
      <c r="P3431" s="13">
        <v>200</v>
      </c>
      <c r="Q3431" s="13">
        <v>46</v>
      </c>
      <c r="R3431">
        <v>22</v>
      </c>
      <c r="S3431">
        <v>48</v>
      </c>
      <c r="T3431" s="13">
        <v>40</v>
      </c>
      <c r="U3431" s="13">
        <v>51</v>
      </c>
      <c r="V3431" t="s">
        <v>99</v>
      </c>
      <c r="X3431" s="13">
        <v>200</v>
      </c>
    </row>
    <row r="3432" spans="1:24" x14ac:dyDescent="0.25">
      <c r="A3432" t="s">
        <v>3284</v>
      </c>
      <c r="B3432" t="s">
        <v>65</v>
      </c>
      <c r="C3432" t="s">
        <v>3255</v>
      </c>
      <c r="D3432" t="s">
        <v>3256</v>
      </c>
      <c r="E3432" t="s">
        <v>3257</v>
      </c>
      <c r="F3432" t="s">
        <v>94</v>
      </c>
      <c r="G3432" t="s">
        <v>277</v>
      </c>
      <c r="H3432" s="12">
        <v>6.9778000000000002</v>
      </c>
      <c r="I3432" s="12">
        <v>-74.981200000000001</v>
      </c>
      <c r="J3432" t="s">
        <v>129</v>
      </c>
      <c r="K3432" t="s">
        <v>97</v>
      </c>
      <c r="L3432" t="s">
        <v>1273</v>
      </c>
      <c r="M3432">
        <v>11</v>
      </c>
      <c r="P3432" s="13">
        <v>199</v>
      </c>
      <c r="Q3432" s="13">
        <v>49</v>
      </c>
      <c r="R3432">
        <v>42</v>
      </c>
      <c r="S3432">
        <v>20</v>
      </c>
      <c r="T3432" s="13">
        <v>41</v>
      </c>
      <c r="U3432" s="13">
        <v>60</v>
      </c>
      <c r="V3432" t="s">
        <v>99</v>
      </c>
      <c r="X3432" s="13">
        <v>199</v>
      </c>
    </row>
    <row r="3433" spans="1:24" x14ac:dyDescent="0.25">
      <c r="A3433" t="s">
        <v>3285</v>
      </c>
      <c r="B3433" t="s">
        <v>65</v>
      </c>
      <c r="C3433" t="s">
        <v>3255</v>
      </c>
      <c r="D3433" t="s">
        <v>3256</v>
      </c>
      <c r="E3433" t="s">
        <v>3257</v>
      </c>
      <c r="F3433" t="s">
        <v>94</v>
      </c>
      <c r="G3433" t="s">
        <v>277</v>
      </c>
      <c r="H3433" s="12">
        <v>6.9778000000000002</v>
      </c>
      <c r="I3433" s="12">
        <v>-74.981200000000001</v>
      </c>
      <c r="J3433" t="s">
        <v>129</v>
      </c>
      <c r="K3433" t="s">
        <v>97</v>
      </c>
      <c r="L3433" t="s">
        <v>1273</v>
      </c>
      <c r="M3433">
        <v>11</v>
      </c>
      <c r="P3433" s="13">
        <v>194</v>
      </c>
      <c r="Q3433" s="13">
        <v>44</v>
      </c>
      <c r="R3433">
        <v>38</v>
      </c>
      <c r="S3433">
        <v>38</v>
      </c>
      <c r="T3433" s="13">
        <v>36</v>
      </c>
      <c r="U3433" s="13">
        <v>36</v>
      </c>
      <c r="V3433" t="s">
        <v>99</v>
      </c>
      <c r="X3433" s="13">
        <v>194</v>
      </c>
    </row>
    <row r="3434" spans="1:24" x14ac:dyDescent="0.25">
      <c r="A3434" t="s">
        <v>3286</v>
      </c>
      <c r="B3434" t="s">
        <v>65</v>
      </c>
      <c r="C3434" t="s">
        <v>3255</v>
      </c>
      <c r="D3434" t="s">
        <v>3256</v>
      </c>
      <c r="E3434" t="s">
        <v>3257</v>
      </c>
      <c r="F3434" t="s">
        <v>94</v>
      </c>
      <c r="G3434" t="s">
        <v>277</v>
      </c>
      <c r="H3434" s="12">
        <v>6.9778000000000002</v>
      </c>
      <c r="I3434" s="12">
        <v>-74.981200000000001</v>
      </c>
      <c r="J3434" t="s">
        <v>129</v>
      </c>
      <c r="K3434" t="s">
        <v>97</v>
      </c>
      <c r="L3434" t="s">
        <v>1273</v>
      </c>
      <c r="M3434">
        <v>11</v>
      </c>
      <c r="P3434" s="13">
        <v>190</v>
      </c>
      <c r="Q3434" s="13">
        <v>39</v>
      </c>
      <c r="R3434">
        <v>40</v>
      </c>
      <c r="S3434">
        <v>32</v>
      </c>
      <c r="T3434" s="13">
        <v>34</v>
      </c>
      <c r="U3434" s="13">
        <v>58</v>
      </c>
      <c r="V3434" t="s">
        <v>99</v>
      </c>
      <c r="X3434" s="13">
        <v>190</v>
      </c>
    </row>
    <row r="3435" spans="1:24" x14ac:dyDescent="0.25">
      <c r="A3435" t="s">
        <v>3287</v>
      </c>
      <c r="B3435" t="s">
        <v>65</v>
      </c>
      <c r="C3435" t="s">
        <v>3255</v>
      </c>
      <c r="D3435" t="s">
        <v>3256</v>
      </c>
      <c r="E3435" t="s">
        <v>3257</v>
      </c>
      <c r="F3435" t="s">
        <v>94</v>
      </c>
      <c r="G3435" t="s">
        <v>277</v>
      </c>
      <c r="H3435" s="12">
        <v>6.9778000000000002</v>
      </c>
      <c r="I3435" s="12">
        <v>-74.981200000000001</v>
      </c>
      <c r="J3435" t="s">
        <v>129</v>
      </c>
      <c r="K3435" t="s">
        <v>97</v>
      </c>
      <c r="L3435" t="s">
        <v>1273</v>
      </c>
      <c r="M3435">
        <v>11</v>
      </c>
      <c r="P3435" s="13">
        <v>189</v>
      </c>
      <c r="Q3435" s="13">
        <v>39</v>
      </c>
      <c r="R3435">
        <v>34</v>
      </c>
      <c r="S3435">
        <v>40</v>
      </c>
      <c r="T3435" s="13">
        <v>34</v>
      </c>
      <c r="U3435" s="13">
        <v>49</v>
      </c>
      <c r="V3435" t="s">
        <v>99</v>
      </c>
      <c r="X3435" s="13">
        <v>189</v>
      </c>
    </row>
    <row r="3436" spans="1:24" x14ac:dyDescent="0.25">
      <c r="A3436" t="s">
        <v>3288</v>
      </c>
      <c r="B3436" t="s">
        <v>65</v>
      </c>
      <c r="C3436" t="s">
        <v>3255</v>
      </c>
      <c r="D3436" t="s">
        <v>3256</v>
      </c>
      <c r="E3436" t="s">
        <v>3257</v>
      </c>
      <c r="F3436" t="s">
        <v>94</v>
      </c>
      <c r="G3436" t="s">
        <v>277</v>
      </c>
      <c r="H3436" s="12">
        <v>6.9778000000000002</v>
      </c>
      <c r="I3436" s="12">
        <v>-74.981200000000001</v>
      </c>
      <c r="J3436" t="s">
        <v>129</v>
      </c>
      <c r="K3436" t="s">
        <v>97</v>
      </c>
      <c r="L3436" t="s">
        <v>1273</v>
      </c>
      <c r="M3436">
        <v>11</v>
      </c>
      <c r="P3436" s="13">
        <v>189</v>
      </c>
      <c r="Q3436" s="13">
        <v>44</v>
      </c>
      <c r="R3436">
        <v>32</v>
      </c>
      <c r="S3436">
        <v>32</v>
      </c>
      <c r="T3436" s="13">
        <v>36</v>
      </c>
      <c r="U3436" s="13">
        <v>58</v>
      </c>
      <c r="V3436" t="s">
        <v>99</v>
      </c>
      <c r="X3436" s="13">
        <v>189</v>
      </c>
    </row>
    <row r="3437" spans="1:24" x14ac:dyDescent="0.25">
      <c r="A3437" t="s">
        <v>3289</v>
      </c>
      <c r="B3437" t="s">
        <v>65</v>
      </c>
      <c r="C3437" t="s">
        <v>3255</v>
      </c>
      <c r="D3437" t="s">
        <v>3256</v>
      </c>
      <c r="E3437" t="s">
        <v>3257</v>
      </c>
      <c r="F3437" t="s">
        <v>94</v>
      </c>
      <c r="G3437" t="s">
        <v>277</v>
      </c>
      <c r="H3437" s="12">
        <v>6.9778000000000002</v>
      </c>
      <c r="I3437" s="12">
        <v>-74.981200000000001</v>
      </c>
      <c r="J3437" t="s">
        <v>129</v>
      </c>
      <c r="K3437" t="s">
        <v>97</v>
      </c>
      <c r="L3437" t="s">
        <v>1273</v>
      </c>
      <c r="M3437">
        <v>11</v>
      </c>
      <c r="P3437" s="13">
        <v>188</v>
      </c>
      <c r="Q3437" s="13">
        <v>51</v>
      </c>
      <c r="R3437">
        <v>22</v>
      </c>
      <c r="S3437">
        <v>50</v>
      </c>
      <c r="T3437" s="13">
        <v>28</v>
      </c>
      <c r="U3437" s="13">
        <v>36</v>
      </c>
      <c r="V3437" t="s">
        <v>99</v>
      </c>
      <c r="X3437" s="13">
        <v>188</v>
      </c>
    </row>
    <row r="3438" spans="1:24" x14ac:dyDescent="0.25">
      <c r="A3438" t="s">
        <v>3290</v>
      </c>
      <c r="B3438" t="s">
        <v>65</v>
      </c>
      <c r="C3438" t="s">
        <v>3255</v>
      </c>
      <c r="D3438" t="s">
        <v>3256</v>
      </c>
      <c r="E3438" t="s">
        <v>3257</v>
      </c>
      <c r="F3438" t="s">
        <v>94</v>
      </c>
      <c r="G3438" t="s">
        <v>277</v>
      </c>
      <c r="H3438" s="12">
        <v>6.9778000000000002</v>
      </c>
      <c r="I3438" s="12">
        <v>-74.981200000000001</v>
      </c>
      <c r="J3438" t="s">
        <v>129</v>
      </c>
      <c r="K3438" t="s">
        <v>97</v>
      </c>
      <c r="L3438" t="s">
        <v>1273</v>
      </c>
      <c r="M3438">
        <v>11</v>
      </c>
      <c r="P3438" s="13">
        <v>185</v>
      </c>
      <c r="Q3438" s="13">
        <v>51</v>
      </c>
      <c r="R3438">
        <v>26</v>
      </c>
      <c r="S3438">
        <v>46</v>
      </c>
      <c r="T3438" s="13">
        <v>22</v>
      </c>
      <c r="U3438" s="13">
        <v>44</v>
      </c>
      <c r="V3438" t="s">
        <v>99</v>
      </c>
      <c r="X3438" s="13">
        <v>185</v>
      </c>
    </row>
    <row r="3439" spans="1:24" x14ac:dyDescent="0.25">
      <c r="A3439" t="s">
        <v>3291</v>
      </c>
      <c r="B3439" t="s">
        <v>65</v>
      </c>
      <c r="C3439" t="s">
        <v>3255</v>
      </c>
      <c r="D3439" t="s">
        <v>3256</v>
      </c>
      <c r="E3439" t="s">
        <v>3257</v>
      </c>
      <c r="F3439" t="s">
        <v>94</v>
      </c>
      <c r="G3439" t="s">
        <v>277</v>
      </c>
      <c r="H3439" s="12">
        <v>6.9778000000000002</v>
      </c>
      <c r="I3439" s="12">
        <v>-74.981200000000001</v>
      </c>
      <c r="J3439" t="s">
        <v>129</v>
      </c>
      <c r="K3439" t="s">
        <v>97</v>
      </c>
      <c r="L3439" t="s">
        <v>1273</v>
      </c>
      <c r="M3439">
        <v>11</v>
      </c>
      <c r="P3439" s="13">
        <v>184</v>
      </c>
      <c r="Q3439" s="13">
        <v>34</v>
      </c>
      <c r="R3439">
        <v>38</v>
      </c>
      <c r="S3439">
        <v>52</v>
      </c>
      <c r="T3439" s="13">
        <v>24</v>
      </c>
      <c r="U3439" s="13">
        <v>35</v>
      </c>
      <c r="V3439" t="s">
        <v>99</v>
      </c>
      <c r="X3439" s="13">
        <v>184</v>
      </c>
    </row>
    <row r="3440" spans="1:24" x14ac:dyDescent="0.25">
      <c r="A3440" t="s">
        <v>3292</v>
      </c>
      <c r="B3440" t="s">
        <v>65</v>
      </c>
      <c r="C3440" t="s">
        <v>3255</v>
      </c>
      <c r="D3440" t="s">
        <v>3256</v>
      </c>
      <c r="E3440" t="s">
        <v>3257</v>
      </c>
      <c r="F3440" t="s">
        <v>94</v>
      </c>
      <c r="G3440" t="s">
        <v>277</v>
      </c>
      <c r="H3440" s="12">
        <v>6.9778000000000002</v>
      </c>
      <c r="I3440" s="12">
        <v>-74.981200000000001</v>
      </c>
      <c r="J3440" t="s">
        <v>129</v>
      </c>
      <c r="K3440" t="s">
        <v>97</v>
      </c>
      <c r="L3440" t="s">
        <v>1273</v>
      </c>
      <c r="M3440">
        <v>11</v>
      </c>
      <c r="P3440" s="13">
        <v>183</v>
      </c>
      <c r="Q3440" s="13">
        <v>44</v>
      </c>
      <c r="R3440">
        <v>30</v>
      </c>
      <c r="S3440">
        <v>40</v>
      </c>
      <c r="T3440" s="13">
        <v>31</v>
      </c>
      <c r="U3440" s="13">
        <v>40</v>
      </c>
      <c r="V3440" t="s">
        <v>99</v>
      </c>
      <c r="X3440" s="13">
        <v>183</v>
      </c>
    </row>
    <row r="3441" spans="1:24" x14ac:dyDescent="0.25">
      <c r="A3441" t="s">
        <v>3293</v>
      </c>
      <c r="B3441" t="s">
        <v>65</v>
      </c>
      <c r="C3441" t="s">
        <v>3255</v>
      </c>
      <c r="D3441" t="s">
        <v>3256</v>
      </c>
      <c r="E3441" t="s">
        <v>3257</v>
      </c>
      <c r="F3441" t="s">
        <v>94</v>
      </c>
      <c r="G3441" t="s">
        <v>277</v>
      </c>
      <c r="H3441" s="12">
        <v>6.9778000000000002</v>
      </c>
      <c r="I3441" s="12">
        <v>-74.981200000000001</v>
      </c>
      <c r="J3441" t="s">
        <v>129</v>
      </c>
      <c r="K3441" t="s">
        <v>97</v>
      </c>
      <c r="L3441" t="s">
        <v>1273</v>
      </c>
      <c r="M3441">
        <v>11</v>
      </c>
      <c r="P3441" s="13">
        <v>182</v>
      </c>
      <c r="Q3441" s="13">
        <v>32</v>
      </c>
      <c r="R3441">
        <v>32</v>
      </c>
      <c r="S3441">
        <v>42</v>
      </c>
      <c r="T3441" s="13">
        <v>33</v>
      </c>
      <c r="U3441" s="13">
        <v>58</v>
      </c>
      <c r="V3441" t="s">
        <v>99</v>
      </c>
      <c r="X3441" s="13">
        <v>182</v>
      </c>
    </row>
    <row r="3442" spans="1:24" x14ac:dyDescent="0.25">
      <c r="A3442" t="s">
        <v>3294</v>
      </c>
      <c r="B3442" t="s">
        <v>65</v>
      </c>
      <c r="C3442" t="s">
        <v>3255</v>
      </c>
      <c r="D3442" t="s">
        <v>3256</v>
      </c>
      <c r="E3442" t="s">
        <v>3257</v>
      </c>
      <c r="F3442" t="s">
        <v>94</v>
      </c>
      <c r="G3442" t="s">
        <v>277</v>
      </c>
      <c r="H3442" s="12">
        <v>6.9778000000000002</v>
      </c>
      <c r="I3442" s="12">
        <v>-74.981200000000001</v>
      </c>
      <c r="J3442" t="s">
        <v>129</v>
      </c>
      <c r="K3442" t="s">
        <v>97</v>
      </c>
      <c r="L3442" t="s">
        <v>1273</v>
      </c>
      <c r="M3442">
        <v>11</v>
      </c>
      <c r="P3442" s="13">
        <v>181</v>
      </c>
      <c r="Q3442" s="13">
        <v>32</v>
      </c>
      <c r="R3442">
        <v>34</v>
      </c>
      <c r="S3442">
        <v>52</v>
      </c>
      <c r="T3442" s="13">
        <v>24</v>
      </c>
      <c r="U3442" s="13">
        <v>45</v>
      </c>
      <c r="V3442" t="s">
        <v>99</v>
      </c>
      <c r="X3442" s="13">
        <v>181</v>
      </c>
    </row>
    <row r="3443" spans="1:24" x14ac:dyDescent="0.25">
      <c r="A3443" t="s">
        <v>3295</v>
      </c>
      <c r="B3443" t="s">
        <v>65</v>
      </c>
      <c r="C3443" t="s">
        <v>3255</v>
      </c>
      <c r="D3443" t="s">
        <v>3256</v>
      </c>
      <c r="E3443" t="s">
        <v>3257</v>
      </c>
      <c r="F3443" t="s">
        <v>94</v>
      </c>
      <c r="G3443" t="s">
        <v>277</v>
      </c>
      <c r="H3443" s="12">
        <v>6.9778000000000002</v>
      </c>
      <c r="I3443" s="12">
        <v>-74.981200000000001</v>
      </c>
      <c r="J3443" t="s">
        <v>129</v>
      </c>
      <c r="K3443" t="s">
        <v>97</v>
      </c>
      <c r="L3443" t="s">
        <v>1273</v>
      </c>
      <c r="M3443">
        <v>11</v>
      </c>
      <c r="P3443" s="13">
        <v>176</v>
      </c>
      <c r="Q3443" s="13">
        <v>34</v>
      </c>
      <c r="R3443">
        <v>30</v>
      </c>
      <c r="S3443">
        <v>40</v>
      </c>
      <c r="T3443" s="13">
        <v>29</v>
      </c>
      <c r="U3443" s="13">
        <v>58</v>
      </c>
      <c r="V3443" t="s">
        <v>99</v>
      </c>
      <c r="X3443" s="13">
        <v>176</v>
      </c>
    </row>
    <row r="3444" spans="1:24" x14ac:dyDescent="0.25">
      <c r="A3444" t="s">
        <v>3296</v>
      </c>
      <c r="B3444" t="s">
        <v>65</v>
      </c>
      <c r="C3444" t="s">
        <v>3255</v>
      </c>
      <c r="D3444" t="s">
        <v>3256</v>
      </c>
      <c r="E3444" t="s">
        <v>3257</v>
      </c>
      <c r="F3444" t="s">
        <v>94</v>
      </c>
      <c r="G3444" t="s">
        <v>277</v>
      </c>
      <c r="H3444" s="12">
        <v>6.9778000000000002</v>
      </c>
      <c r="I3444" s="12">
        <v>-74.981200000000001</v>
      </c>
      <c r="J3444" t="s">
        <v>129</v>
      </c>
      <c r="K3444" t="s">
        <v>97</v>
      </c>
      <c r="L3444" t="s">
        <v>1273</v>
      </c>
      <c r="M3444">
        <v>11</v>
      </c>
      <c r="P3444" s="13">
        <v>176</v>
      </c>
      <c r="Q3444" s="13">
        <v>49</v>
      </c>
      <c r="R3444">
        <v>18</v>
      </c>
      <c r="S3444">
        <v>40</v>
      </c>
      <c r="T3444" s="13">
        <v>31</v>
      </c>
      <c r="U3444" s="13">
        <v>44</v>
      </c>
      <c r="V3444" t="s">
        <v>99</v>
      </c>
      <c r="X3444" s="13">
        <v>176</v>
      </c>
    </row>
    <row r="3445" spans="1:24" x14ac:dyDescent="0.25">
      <c r="A3445" t="s">
        <v>3297</v>
      </c>
      <c r="B3445" t="s">
        <v>65</v>
      </c>
      <c r="C3445" t="s">
        <v>3255</v>
      </c>
      <c r="D3445" t="s">
        <v>3256</v>
      </c>
      <c r="E3445" t="s">
        <v>3257</v>
      </c>
      <c r="F3445" t="s">
        <v>94</v>
      </c>
      <c r="G3445" t="s">
        <v>277</v>
      </c>
      <c r="H3445" s="12">
        <v>6.9778000000000002</v>
      </c>
      <c r="I3445" s="12">
        <v>-74.981200000000001</v>
      </c>
      <c r="J3445" t="s">
        <v>129</v>
      </c>
      <c r="K3445" t="s">
        <v>97</v>
      </c>
      <c r="L3445" t="s">
        <v>1273</v>
      </c>
      <c r="M3445">
        <v>11</v>
      </c>
      <c r="P3445" s="13">
        <v>175</v>
      </c>
      <c r="Q3445" s="13">
        <v>29</v>
      </c>
      <c r="R3445">
        <v>36</v>
      </c>
      <c r="S3445">
        <v>32</v>
      </c>
      <c r="T3445" s="13">
        <v>29</v>
      </c>
      <c r="U3445" s="13">
        <v>76</v>
      </c>
      <c r="V3445" t="s">
        <v>99</v>
      </c>
      <c r="X3445" s="13">
        <v>175</v>
      </c>
    </row>
    <row r="3446" spans="1:24" x14ac:dyDescent="0.25">
      <c r="A3446" t="s">
        <v>3298</v>
      </c>
      <c r="B3446" t="s">
        <v>65</v>
      </c>
      <c r="C3446" t="s">
        <v>3255</v>
      </c>
      <c r="D3446" t="s">
        <v>3256</v>
      </c>
      <c r="E3446" t="s">
        <v>3257</v>
      </c>
      <c r="F3446" t="s">
        <v>94</v>
      </c>
      <c r="G3446" t="s">
        <v>277</v>
      </c>
      <c r="H3446" s="12">
        <v>6.9778000000000002</v>
      </c>
      <c r="I3446" s="12">
        <v>-74.981200000000001</v>
      </c>
      <c r="J3446" t="s">
        <v>129</v>
      </c>
      <c r="K3446" t="s">
        <v>97</v>
      </c>
      <c r="L3446" t="s">
        <v>1273</v>
      </c>
      <c r="M3446">
        <v>11</v>
      </c>
      <c r="P3446" s="13">
        <v>175</v>
      </c>
      <c r="Q3446" s="13">
        <v>41</v>
      </c>
      <c r="R3446">
        <v>26</v>
      </c>
      <c r="S3446">
        <v>42</v>
      </c>
      <c r="T3446" s="13">
        <v>29</v>
      </c>
      <c r="U3446" s="13">
        <v>38</v>
      </c>
      <c r="V3446" t="s">
        <v>99</v>
      </c>
      <c r="X3446" s="13">
        <v>175</v>
      </c>
    </row>
    <row r="3447" spans="1:24" x14ac:dyDescent="0.25">
      <c r="A3447" t="s">
        <v>3299</v>
      </c>
      <c r="B3447" t="s">
        <v>65</v>
      </c>
      <c r="C3447" t="s">
        <v>3255</v>
      </c>
      <c r="D3447" t="s">
        <v>3256</v>
      </c>
      <c r="E3447" t="s">
        <v>3257</v>
      </c>
      <c r="F3447" t="s">
        <v>94</v>
      </c>
      <c r="G3447" t="s">
        <v>277</v>
      </c>
      <c r="H3447" s="12">
        <v>6.9778000000000002</v>
      </c>
      <c r="I3447" s="12">
        <v>-74.981200000000001</v>
      </c>
      <c r="J3447" t="s">
        <v>129</v>
      </c>
      <c r="K3447" t="s">
        <v>97</v>
      </c>
      <c r="L3447" t="s">
        <v>1273</v>
      </c>
      <c r="M3447">
        <v>11</v>
      </c>
      <c r="P3447" s="13">
        <v>174</v>
      </c>
      <c r="Q3447" s="13">
        <v>49</v>
      </c>
      <c r="R3447">
        <v>12</v>
      </c>
      <c r="S3447">
        <v>48</v>
      </c>
      <c r="T3447" s="13">
        <v>22</v>
      </c>
      <c r="U3447" s="13">
        <v>60</v>
      </c>
      <c r="V3447" t="s">
        <v>99</v>
      </c>
      <c r="X3447" s="13">
        <v>174</v>
      </c>
    </row>
    <row r="3448" spans="1:24" x14ac:dyDescent="0.25">
      <c r="A3448" t="s">
        <v>3300</v>
      </c>
      <c r="B3448" t="s">
        <v>65</v>
      </c>
      <c r="C3448" t="s">
        <v>3255</v>
      </c>
      <c r="D3448" t="s">
        <v>3256</v>
      </c>
      <c r="E3448" t="s">
        <v>3257</v>
      </c>
      <c r="F3448" t="s">
        <v>94</v>
      </c>
      <c r="G3448" t="s">
        <v>277</v>
      </c>
      <c r="H3448" s="12">
        <v>6.9778000000000002</v>
      </c>
      <c r="I3448" s="12">
        <v>-74.981200000000001</v>
      </c>
      <c r="J3448" t="s">
        <v>129</v>
      </c>
      <c r="K3448" t="s">
        <v>97</v>
      </c>
      <c r="L3448" t="s">
        <v>1273</v>
      </c>
      <c r="M3448">
        <v>11</v>
      </c>
      <c r="P3448" s="13">
        <v>174</v>
      </c>
      <c r="Q3448" s="13">
        <v>20</v>
      </c>
      <c r="R3448">
        <v>34</v>
      </c>
      <c r="S3448">
        <v>42</v>
      </c>
      <c r="T3448" s="13">
        <v>31</v>
      </c>
      <c r="U3448" s="13">
        <v>73</v>
      </c>
      <c r="V3448" t="s">
        <v>99</v>
      </c>
      <c r="X3448" s="13">
        <v>174</v>
      </c>
    </row>
    <row r="3449" spans="1:24" x14ac:dyDescent="0.25">
      <c r="A3449" t="s">
        <v>3301</v>
      </c>
      <c r="B3449" t="s">
        <v>65</v>
      </c>
      <c r="C3449" t="s">
        <v>3255</v>
      </c>
      <c r="D3449" t="s">
        <v>3256</v>
      </c>
      <c r="E3449" t="s">
        <v>3257</v>
      </c>
      <c r="F3449" t="s">
        <v>94</v>
      </c>
      <c r="G3449" t="s">
        <v>277</v>
      </c>
      <c r="H3449" s="12">
        <v>6.9778000000000002</v>
      </c>
      <c r="I3449" s="12">
        <v>-74.981200000000001</v>
      </c>
      <c r="J3449" t="s">
        <v>129</v>
      </c>
      <c r="K3449" t="s">
        <v>97</v>
      </c>
      <c r="L3449" t="s">
        <v>1273</v>
      </c>
      <c r="M3449">
        <v>11</v>
      </c>
      <c r="P3449" s="13">
        <v>173</v>
      </c>
      <c r="Q3449" s="13">
        <v>54</v>
      </c>
      <c r="R3449">
        <v>26</v>
      </c>
      <c r="S3449">
        <v>30</v>
      </c>
      <c r="T3449" s="13">
        <v>24</v>
      </c>
      <c r="U3449" s="13">
        <v>47</v>
      </c>
      <c r="V3449" t="s">
        <v>99</v>
      </c>
      <c r="X3449" s="13">
        <v>173</v>
      </c>
    </row>
    <row r="3450" spans="1:24" x14ac:dyDescent="0.25">
      <c r="A3450" t="s">
        <v>3302</v>
      </c>
      <c r="B3450" t="s">
        <v>65</v>
      </c>
      <c r="C3450" t="s">
        <v>3255</v>
      </c>
      <c r="D3450" t="s">
        <v>3256</v>
      </c>
      <c r="E3450" t="s">
        <v>3257</v>
      </c>
      <c r="F3450" t="s">
        <v>94</v>
      </c>
      <c r="G3450" t="s">
        <v>277</v>
      </c>
      <c r="H3450" s="12">
        <v>6.9778000000000002</v>
      </c>
      <c r="I3450" s="12">
        <v>-74.981200000000001</v>
      </c>
      <c r="J3450" t="s">
        <v>129</v>
      </c>
      <c r="K3450" t="s">
        <v>97</v>
      </c>
      <c r="L3450" t="s">
        <v>1273</v>
      </c>
      <c r="M3450">
        <v>11</v>
      </c>
      <c r="P3450" s="13">
        <v>170</v>
      </c>
      <c r="Q3450" s="13">
        <v>37</v>
      </c>
      <c r="R3450">
        <v>28</v>
      </c>
      <c r="S3450">
        <v>40</v>
      </c>
      <c r="T3450" s="13">
        <v>31</v>
      </c>
      <c r="U3450" s="13">
        <v>35</v>
      </c>
      <c r="V3450" t="s">
        <v>99</v>
      </c>
      <c r="X3450" s="13">
        <v>170</v>
      </c>
    </row>
    <row r="3451" spans="1:24" x14ac:dyDescent="0.25">
      <c r="A3451" t="s">
        <v>3303</v>
      </c>
      <c r="B3451" t="s">
        <v>65</v>
      </c>
      <c r="C3451" t="s">
        <v>3255</v>
      </c>
      <c r="D3451" t="s">
        <v>3256</v>
      </c>
      <c r="E3451" t="s">
        <v>3257</v>
      </c>
      <c r="F3451" t="s">
        <v>94</v>
      </c>
      <c r="G3451" t="s">
        <v>277</v>
      </c>
      <c r="H3451" s="12">
        <v>6.9778000000000002</v>
      </c>
      <c r="I3451" s="12">
        <v>-74.981200000000001</v>
      </c>
      <c r="J3451" t="s">
        <v>129</v>
      </c>
      <c r="K3451" t="s">
        <v>97</v>
      </c>
      <c r="L3451" t="s">
        <v>1273</v>
      </c>
      <c r="M3451">
        <v>11</v>
      </c>
      <c r="P3451" s="13">
        <v>167</v>
      </c>
      <c r="Q3451" s="13">
        <v>44</v>
      </c>
      <c r="R3451">
        <v>28</v>
      </c>
      <c r="S3451">
        <v>40</v>
      </c>
      <c r="T3451" s="13">
        <v>22</v>
      </c>
      <c r="U3451" s="13">
        <v>31</v>
      </c>
      <c r="V3451" t="s">
        <v>99</v>
      </c>
      <c r="X3451" s="13">
        <v>167</v>
      </c>
    </row>
    <row r="3452" spans="1:24" x14ac:dyDescent="0.25">
      <c r="A3452" t="s">
        <v>3304</v>
      </c>
      <c r="B3452" t="s">
        <v>65</v>
      </c>
      <c r="C3452" t="s">
        <v>3255</v>
      </c>
      <c r="D3452" t="s">
        <v>3256</v>
      </c>
      <c r="E3452" t="s">
        <v>3257</v>
      </c>
      <c r="F3452" t="s">
        <v>94</v>
      </c>
      <c r="G3452" t="s">
        <v>277</v>
      </c>
      <c r="H3452" s="12">
        <v>6.9778000000000002</v>
      </c>
      <c r="I3452" s="12">
        <v>-74.981200000000001</v>
      </c>
      <c r="J3452" t="s">
        <v>129</v>
      </c>
      <c r="K3452" t="s">
        <v>97</v>
      </c>
      <c r="L3452" t="s">
        <v>1273</v>
      </c>
      <c r="M3452">
        <v>11</v>
      </c>
      <c r="P3452" s="13">
        <v>165</v>
      </c>
      <c r="Q3452" s="13">
        <v>22</v>
      </c>
      <c r="R3452">
        <v>28</v>
      </c>
      <c r="S3452">
        <v>38</v>
      </c>
      <c r="T3452" s="13">
        <v>34</v>
      </c>
      <c r="U3452" s="13">
        <v>62</v>
      </c>
      <c r="V3452" t="s">
        <v>99</v>
      </c>
      <c r="X3452" s="13">
        <v>165</v>
      </c>
    </row>
    <row r="3453" spans="1:24" x14ac:dyDescent="0.25">
      <c r="A3453" t="s">
        <v>3305</v>
      </c>
      <c r="B3453" t="s">
        <v>65</v>
      </c>
      <c r="C3453" t="s">
        <v>3255</v>
      </c>
      <c r="D3453" t="s">
        <v>3256</v>
      </c>
      <c r="E3453" t="s">
        <v>3257</v>
      </c>
      <c r="F3453" t="s">
        <v>94</v>
      </c>
      <c r="G3453" t="s">
        <v>277</v>
      </c>
      <c r="H3453" s="12">
        <v>6.9778000000000002</v>
      </c>
      <c r="I3453" s="12">
        <v>-74.981200000000001</v>
      </c>
      <c r="J3453" t="s">
        <v>129</v>
      </c>
      <c r="K3453" t="s">
        <v>97</v>
      </c>
      <c r="L3453" t="s">
        <v>1273</v>
      </c>
      <c r="M3453">
        <v>11</v>
      </c>
      <c r="P3453" s="13">
        <v>165</v>
      </c>
      <c r="Q3453" s="13">
        <v>44</v>
      </c>
      <c r="R3453">
        <v>30</v>
      </c>
      <c r="S3453">
        <v>36</v>
      </c>
      <c r="T3453" s="13">
        <v>28</v>
      </c>
      <c r="U3453" s="13">
        <v>16</v>
      </c>
      <c r="V3453" t="s">
        <v>99</v>
      </c>
      <c r="X3453" s="13">
        <v>165</v>
      </c>
    </row>
    <row r="3454" spans="1:24" x14ac:dyDescent="0.25">
      <c r="A3454" t="s">
        <v>3306</v>
      </c>
      <c r="B3454" t="s">
        <v>65</v>
      </c>
      <c r="C3454" t="s">
        <v>3255</v>
      </c>
      <c r="D3454" t="s">
        <v>3256</v>
      </c>
      <c r="E3454" t="s">
        <v>3257</v>
      </c>
      <c r="F3454" t="s">
        <v>94</v>
      </c>
      <c r="G3454" t="s">
        <v>277</v>
      </c>
      <c r="H3454" s="12">
        <v>6.9778000000000002</v>
      </c>
      <c r="I3454" s="12">
        <v>-74.981200000000001</v>
      </c>
      <c r="J3454" t="s">
        <v>129</v>
      </c>
      <c r="K3454" t="s">
        <v>97</v>
      </c>
      <c r="L3454" t="s">
        <v>1273</v>
      </c>
      <c r="M3454">
        <v>11</v>
      </c>
      <c r="P3454" s="13">
        <v>164</v>
      </c>
      <c r="Q3454" s="13">
        <v>41</v>
      </c>
      <c r="R3454">
        <v>20</v>
      </c>
      <c r="S3454">
        <v>40</v>
      </c>
      <c r="T3454" s="13">
        <v>28</v>
      </c>
      <c r="U3454" s="13">
        <v>38</v>
      </c>
      <c r="V3454" t="s">
        <v>99</v>
      </c>
      <c r="X3454" s="13">
        <v>164</v>
      </c>
    </row>
    <row r="3455" spans="1:24" x14ac:dyDescent="0.25">
      <c r="A3455" t="s">
        <v>3307</v>
      </c>
      <c r="B3455" t="s">
        <v>65</v>
      </c>
      <c r="C3455" t="s">
        <v>3255</v>
      </c>
      <c r="D3455" t="s">
        <v>3256</v>
      </c>
      <c r="E3455" t="s">
        <v>3257</v>
      </c>
      <c r="F3455" t="s">
        <v>94</v>
      </c>
      <c r="G3455" t="s">
        <v>277</v>
      </c>
      <c r="H3455" s="12">
        <v>6.9778000000000002</v>
      </c>
      <c r="I3455" s="12">
        <v>-74.981200000000001</v>
      </c>
      <c r="J3455" t="s">
        <v>129</v>
      </c>
      <c r="K3455" t="s">
        <v>97</v>
      </c>
      <c r="L3455" t="s">
        <v>1273</v>
      </c>
      <c r="M3455">
        <v>11</v>
      </c>
      <c r="P3455" s="13">
        <v>163</v>
      </c>
      <c r="Q3455" s="13">
        <v>39</v>
      </c>
      <c r="R3455">
        <v>18</v>
      </c>
      <c r="S3455">
        <v>46</v>
      </c>
      <c r="T3455" s="13">
        <v>26</v>
      </c>
      <c r="U3455" s="13">
        <v>38</v>
      </c>
      <c r="V3455" t="s">
        <v>99</v>
      </c>
      <c r="X3455" s="13">
        <v>163</v>
      </c>
    </row>
    <row r="3456" spans="1:24" x14ac:dyDescent="0.25">
      <c r="A3456" t="s">
        <v>3308</v>
      </c>
      <c r="B3456" t="s">
        <v>65</v>
      </c>
      <c r="C3456" t="s">
        <v>3255</v>
      </c>
      <c r="D3456" t="s">
        <v>3256</v>
      </c>
      <c r="E3456" t="s">
        <v>3257</v>
      </c>
      <c r="F3456" t="s">
        <v>94</v>
      </c>
      <c r="G3456" t="s">
        <v>277</v>
      </c>
      <c r="H3456" s="12">
        <v>6.9778000000000002</v>
      </c>
      <c r="I3456" s="12">
        <v>-74.981200000000001</v>
      </c>
      <c r="J3456" t="s">
        <v>129</v>
      </c>
      <c r="K3456" t="s">
        <v>97</v>
      </c>
      <c r="L3456" t="s">
        <v>1273</v>
      </c>
      <c r="M3456">
        <v>11</v>
      </c>
      <c r="P3456" s="13">
        <v>162</v>
      </c>
      <c r="Q3456" s="13">
        <v>22</v>
      </c>
      <c r="R3456">
        <v>28</v>
      </c>
      <c r="S3456">
        <v>36</v>
      </c>
      <c r="T3456" s="13">
        <v>31</v>
      </c>
      <c r="U3456" s="13">
        <v>69</v>
      </c>
      <c r="V3456" t="s">
        <v>99</v>
      </c>
      <c r="X3456" s="13">
        <v>162</v>
      </c>
    </row>
    <row r="3457" spans="1:24" x14ac:dyDescent="0.25">
      <c r="A3457" t="s">
        <v>3309</v>
      </c>
      <c r="B3457" t="s">
        <v>65</v>
      </c>
      <c r="C3457" t="s">
        <v>3255</v>
      </c>
      <c r="D3457" t="s">
        <v>3256</v>
      </c>
      <c r="E3457" t="s">
        <v>3257</v>
      </c>
      <c r="F3457" t="s">
        <v>94</v>
      </c>
      <c r="G3457" t="s">
        <v>277</v>
      </c>
      <c r="H3457" s="12">
        <v>6.9778000000000002</v>
      </c>
      <c r="I3457" s="12">
        <v>-74.981200000000001</v>
      </c>
      <c r="J3457" t="s">
        <v>129</v>
      </c>
      <c r="K3457" t="s">
        <v>97</v>
      </c>
      <c r="L3457" t="s">
        <v>1273</v>
      </c>
      <c r="M3457">
        <v>11</v>
      </c>
      <c r="P3457" s="13">
        <v>159</v>
      </c>
      <c r="Q3457" s="13">
        <v>49</v>
      </c>
      <c r="R3457">
        <v>22</v>
      </c>
      <c r="S3457">
        <v>30</v>
      </c>
      <c r="T3457" s="13">
        <v>28</v>
      </c>
      <c r="U3457" s="13">
        <v>29</v>
      </c>
      <c r="V3457" t="s">
        <v>99</v>
      </c>
      <c r="X3457" s="13">
        <v>159</v>
      </c>
    </row>
    <row r="3458" spans="1:24" x14ac:dyDescent="0.25">
      <c r="A3458" t="s">
        <v>3310</v>
      </c>
      <c r="B3458" t="s">
        <v>65</v>
      </c>
      <c r="C3458" t="s">
        <v>3255</v>
      </c>
      <c r="D3458" t="s">
        <v>3256</v>
      </c>
      <c r="E3458" t="s">
        <v>3257</v>
      </c>
      <c r="F3458" t="s">
        <v>94</v>
      </c>
      <c r="G3458" t="s">
        <v>277</v>
      </c>
      <c r="H3458" s="12">
        <v>6.9778000000000002</v>
      </c>
      <c r="I3458" s="12">
        <v>-74.981200000000001</v>
      </c>
      <c r="J3458" t="s">
        <v>129</v>
      </c>
      <c r="K3458" t="s">
        <v>97</v>
      </c>
      <c r="L3458" t="s">
        <v>1273</v>
      </c>
      <c r="M3458">
        <v>11</v>
      </c>
      <c r="P3458" s="13">
        <v>145</v>
      </c>
      <c r="Q3458" s="13">
        <v>29</v>
      </c>
      <c r="R3458">
        <v>20</v>
      </c>
      <c r="S3458">
        <v>44</v>
      </c>
      <c r="T3458" s="13">
        <v>19</v>
      </c>
      <c r="U3458" s="13">
        <v>40</v>
      </c>
      <c r="V3458" t="s">
        <v>99</v>
      </c>
      <c r="X3458" s="13">
        <v>145</v>
      </c>
    </row>
    <row r="3459" spans="1:24" x14ac:dyDescent="0.25">
      <c r="A3459" t="s">
        <v>3311</v>
      </c>
      <c r="B3459" t="s">
        <v>65</v>
      </c>
      <c r="C3459" t="s">
        <v>3255</v>
      </c>
      <c r="D3459" t="s">
        <v>3256</v>
      </c>
      <c r="E3459" t="s">
        <v>3257</v>
      </c>
      <c r="F3459" t="s">
        <v>94</v>
      </c>
      <c r="G3459" t="s">
        <v>277</v>
      </c>
      <c r="H3459" s="12">
        <v>6.9778000000000002</v>
      </c>
      <c r="I3459" s="12">
        <v>-74.981200000000001</v>
      </c>
      <c r="J3459" t="s">
        <v>129</v>
      </c>
      <c r="K3459" t="s">
        <v>97</v>
      </c>
      <c r="L3459" t="s">
        <v>1273</v>
      </c>
      <c r="M3459">
        <v>11</v>
      </c>
      <c r="P3459" s="13">
        <v>135</v>
      </c>
      <c r="Q3459" s="13">
        <v>32</v>
      </c>
      <c r="R3459">
        <v>26</v>
      </c>
      <c r="S3459">
        <v>22</v>
      </c>
      <c r="T3459" s="13">
        <v>24</v>
      </c>
      <c r="U3459" s="13">
        <v>38</v>
      </c>
      <c r="V3459" t="s">
        <v>99</v>
      </c>
      <c r="X3459" s="13">
        <v>135</v>
      </c>
    </row>
    <row r="3460" spans="1:24" x14ac:dyDescent="0.25">
      <c r="A3460" t="s">
        <v>3312</v>
      </c>
      <c r="B3460" t="s">
        <v>65</v>
      </c>
      <c r="C3460" t="s">
        <v>3255</v>
      </c>
      <c r="D3460" t="s">
        <v>3256</v>
      </c>
      <c r="E3460" t="s">
        <v>3257</v>
      </c>
      <c r="F3460" t="s">
        <v>94</v>
      </c>
      <c r="G3460" t="s">
        <v>277</v>
      </c>
      <c r="H3460" s="12">
        <v>6.9778000000000002</v>
      </c>
      <c r="I3460" s="12">
        <v>-74.981200000000001</v>
      </c>
      <c r="J3460" t="s">
        <v>129</v>
      </c>
      <c r="K3460" t="s">
        <v>97</v>
      </c>
      <c r="L3460" t="s">
        <v>1273</v>
      </c>
      <c r="M3460">
        <v>11</v>
      </c>
      <c r="P3460" s="13">
        <v>130</v>
      </c>
      <c r="Q3460" s="13">
        <v>56</v>
      </c>
      <c r="R3460">
        <v>18</v>
      </c>
      <c r="S3460">
        <v>20</v>
      </c>
      <c r="T3460" s="13">
        <v>19</v>
      </c>
      <c r="U3460" s="13">
        <v>0</v>
      </c>
      <c r="V3460" t="s">
        <v>99</v>
      </c>
      <c r="X3460" s="13">
        <v>130</v>
      </c>
    </row>
    <row r="3461" spans="1:24" x14ac:dyDescent="0.25">
      <c r="A3461" t="s">
        <v>3313</v>
      </c>
      <c r="B3461" t="s">
        <v>65</v>
      </c>
      <c r="C3461" t="s">
        <v>3255</v>
      </c>
      <c r="D3461" t="s">
        <v>3256</v>
      </c>
      <c r="E3461" t="s">
        <v>3257</v>
      </c>
      <c r="F3461" t="s">
        <v>94</v>
      </c>
      <c r="G3461" t="s">
        <v>277</v>
      </c>
      <c r="H3461" s="12">
        <v>6.9778000000000002</v>
      </c>
      <c r="I3461" s="12">
        <v>-74.981200000000001</v>
      </c>
      <c r="J3461" t="s">
        <v>129</v>
      </c>
      <c r="K3461" t="s">
        <v>97</v>
      </c>
      <c r="L3461" t="s">
        <v>1273</v>
      </c>
      <c r="M3461">
        <v>11</v>
      </c>
      <c r="P3461" s="13">
        <v>104</v>
      </c>
      <c r="Q3461" s="13">
        <v>20</v>
      </c>
      <c r="R3461">
        <v>18</v>
      </c>
      <c r="S3461">
        <v>18</v>
      </c>
      <c r="T3461" s="13">
        <v>31</v>
      </c>
      <c r="U3461" s="13">
        <v>11</v>
      </c>
      <c r="V3461" t="s">
        <v>99</v>
      </c>
      <c r="X3461" s="13">
        <v>104</v>
      </c>
    </row>
    <row r="3462" spans="1:24" x14ac:dyDescent="0.25">
      <c r="A3462" t="s">
        <v>3314</v>
      </c>
      <c r="B3462" t="s">
        <v>65</v>
      </c>
      <c r="C3462" t="s">
        <v>3315</v>
      </c>
      <c r="D3462" t="s">
        <v>3316</v>
      </c>
      <c r="E3462" t="s">
        <v>3317</v>
      </c>
      <c r="F3462" t="s">
        <v>94</v>
      </c>
      <c r="G3462" t="s">
        <v>277</v>
      </c>
      <c r="H3462" s="12">
        <v>6.3952999999999998</v>
      </c>
      <c r="I3462" s="12">
        <v>-75.257499999999993</v>
      </c>
      <c r="J3462" t="s">
        <v>3318</v>
      </c>
      <c r="K3462" t="s">
        <v>97</v>
      </c>
      <c r="L3462" t="s">
        <v>1273</v>
      </c>
      <c r="M3462">
        <v>11</v>
      </c>
      <c r="P3462" s="13">
        <v>283</v>
      </c>
      <c r="Q3462" s="13">
        <v>83</v>
      </c>
      <c r="R3462">
        <v>28</v>
      </c>
      <c r="S3462">
        <v>68</v>
      </c>
      <c r="T3462" s="13">
        <v>38</v>
      </c>
      <c r="U3462" s="13">
        <v>85</v>
      </c>
      <c r="V3462" t="s">
        <v>99</v>
      </c>
      <c r="X3462" s="13">
        <v>283</v>
      </c>
    </row>
    <row r="3463" spans="1:24" x14ac:dyDescent="0.25">
      <c r="A3463" t="s">
        <v>3319</v>
      </c>
      <c r="B3463" t="s">
        <v>65</v>
      </c>
      <c r="C3463" t="s">
        <v>3315</v>
      </c>
      <c r="D3463" t="s">
        <v>3316</v>
      </c>
      <c r="E3463" t="s">
        <v>3317</v>
      </c>
      <c r="F3463" t="s">
        <v>94</v>
      </c>
      <c r="G3463" t="s">
        <v>277</v>
      </c>
      <c r="H3463" s="12">
        <v>6.3952999999999998</v>
      </c>
      <c r="I3463" s="12">
        <v>-75.257499999999993</v>
      </c>
      <c r="J3463" t="s">
        <v>3318</v>
      </c>
      <c r="K3463" t="s">
        <v>97</v>
      </c>
      <c r="L3463" t="s">
        <v>1273</v>
      </c>
      <c r="M3463">
        <v>11</v>
      </c>
      <c r="P3463" s="13">
        <v>264</v>
      </c>
      <c r="Q3463" s="13">
        <v>59</v>
      </c>
      <c r="R3463">
        <v>34</v>
      </c>
      <c r="S3463">
        <v>68</v>
      </c>
      <c r="T3463" s="13">
        <v>40</v>
      </c>
      <c r="U3463" s="13">
        <v>85</v>
      </c>
      <c r="V3463" t="s">
        <v>99</v>
      </c>
      <c r="X3463" s="13">
        <v>264</v>
      </c>
    </row>
    <row r="3464" spans="1:24" x14ac:dyDescent="0.25">
      <c r="A3464" t="s">
        <v>3320</v>
      </c>
      <c r="B3464" t="s">
        <v>65</v>
      </c>
      <c r="C3464" t="s">
        <v>3315</v>
      </c>
      <c r="D3464" t="s">
        <v>3316</v>
      </c>
      <c r="E3464" t="s">
        <v>3317</v>
      </c>
      <c r="F3464" t="s">
        <v>94</v>
      </c>
      <c r="G3464" t="s">
        <v>277</v>
      </c>
      <c r="H3464" s="12">
        <v>6.3952999999999998</v>
      </c>
      <c r="I3464" s="12">
        <v>-75.257499999999993</v>
      </c>
      <c r="J3464" t="s">
        <v>3318</v>
      </c>
      <c r="K3464" t="s">
        <v>97</v>
      </c>
      <c r="L3464" t="s">
        <v>1273</v>
      </c>
      <c r="M3464">
        <v>11</v>
      </c>
      <c r="P3464" s="13">
        <v>246</v>
      </c>
      <c r="Q3464" s="13">
        <v>63</v>
      </c>
      <c r="R3464">
        <v>24</v>
      </c>
      <c r="S3464">
        <v>64</v>
      </c>
      <c r="T3464" s="13">
        <v>41</v>
      </c>
      <c r="U3464" s="13">
        <v>60</v>
      </c>
      <c r="V3464" t="s">
        <v>99</v>
      </c>
      <c r="X3464" s="13">
        <v>246</v>
      </c>
    </row>
    <row r="3465" spans="1:24" x14ac:dyDescent="0.25">
      <c r="A3465" t="s">
        <v>3321</v>
      </c>
      <c r="B3465" t="s">
        <v>65</v>
      </c>
      <c r="C3465" t="s">
        <v>3315</v>
      </c>
      <c r="D3465" t="s">
        <v>3316</v>
      </c>
      <c r="E3465" t="s">
        <v>3317</v>
      </c>
      <c r="F3465" t="s">
        <v>94</v>
      </c>
      <c r="G3465" t="s">
        <v>277</v>
      </c>
      <c r="H3465" s="12">
        <v>6.3952999999999998</v>
      </c>
      <c r="I3465" s="12">
        <v>-75.257499999999993</v>
      </c>
      <c r="J3465" t="s">
        <v>3318</v>
      </c>
      <c r="K3465" t="s">
        <v>97</v>
      </c>
      <c r="L3465" t="s">
        <v>1273</v>
      </c>
      <c r="M3465">
        <v>11</v>
      </c>
      <c r="P3465" s="13">
        <v>236</v>
      </c>
      <c r="Q3465" s="13">
        <v>49</v>
      </c>
      <c r="R3465">
        <v>26</v>
      </c>
      <c r="S3465">
        <v>68</v>
      </c>
      <c r="T3465" s="13">
        <v>34</v>
      </c>
      <c r="U3465" s="13">
        <v>82</v>
      </c>
      <c r="V3465" t="s">
        <v>99</v>
      </c>
      <c r="X3465" s="13">
        <v>236</v>
      </c>
    </row>
    <row r="3466" spans="1:24" x14ac:dyDescent="0.25">
      <c r="A3466" t="s">
        <v>3322</v>
      </c>
      <c r="B3466" t="s">
        <v>65</v>
      </c>
      <c r="C3466" t="s">
        <v>3315</v>
      </c>
      <c r="D3466" t="s">
        <v>3316</v>
      </c>
      <c r="E3466" t="s">
        <v>3317</v>
      </c>
      <c r="F3466" t="s">
        <v>94</v>
      </c>
      <c r="G3466" t="s">
        <v>277</v>
      </c>
      <c r="H3466" s="12">
        <v>6.3952999999999998</v>
      </c>
      <c r="I3466" s="12">
        <v>-75.257499999999993</v>
      </c>
      <c r="J3466" t="s">
        <v>3318</v>
      </c>
      <c r="K3466" t="s">
        <v>97</v>
      </c>
      <c r="L3466" t="s">
        <v>1273</v>
      </c>
      <c r="M3466">
        <v>11</v>
      </c>
      <c r="P3466" s="13">
        <v>231</v>
      </c>
      <c r="Q3466" s="13">
        <v>54</v>
      </c>
      <c r="R3466">
        <v>36</v>
      </c>
      <c r="S3466">
        <v>54</v>
      </c>
      <c r="T3466" s="13">
        <v>29</v>
      </c>
      <c r="U3466" s="13">
        <v>82</v>
      </c>
      <c r="V3466" t="s">
        <v>99</v>
      </c>
      <c r="X3466" s="13">
        <v>231</v>
      </c>
    </row>
    <row r="3467" spans="1:24" x14ac:dyDescent="0.25">
      <c r="A3467" t="s">
        <v>3323</v>
      </c>
      <c r="B3467" t="s">
        <v>65</v>
      </c>
      <c r="C3467" t="s">
        <v>3315</v>
      </c>
      <c r="D3467" t="s">
        <v>3316</v>
      </c>
      <c r="E3467" t="s">
        <v>3317</v>
      </c>
      <c r="F3467" t="s">
        <v>94</v>
      </c>
      <c r="G3467" t="s">
        <v>277</v>
      </c>
      <c r="H3467" s="12">
        <v>6.3952999999999998</v>
      </c>
      <c r="I3467" s="12">
        <v>-75.257499999999993</v>
      </c>
      <c r="J3467" t="s">
        <v>3318</v>
      </c>
      <c r="K3467" t="s">
        <v>97</v>
      </c>
      <c r="L3467" t="s">
        <v>1273</v>
      </c>
      <c r="M3467">
        <v>11</v>
      </c>
      <c r="P3467" s="13">
        <v>221</v>
      </c>
      <c r="Q3467" s="13">
        <v>54</v>
      </c>
      <c r="R3467">
        <v>36</v>
      </c>
      <c r="S3467">
        <v>44</v>
      </c>
      <c r="T3467" s="13">
        <v>41</v>
      </c>
      <c r="U3467" s="13">
        <v>49</v>
      </c>
      <c r="V3467" t="s">
        <v>99</v>
      </c>
      <c r="X3467" s="13">
        <v>221</v>
      </c>
    </row>
    <row r="3468" spans="1:24" x14ac:dyDescent="0.25">
      <c r="A3468" t="s">
        <v>3324</v>
      </c>
      <c r="B3468" t="s">
        <v>65</v>
      </c>
      <c r="C3468" t="s">
        <v>3315</v>
      </c>
      <c r="D3468" t="s">
        <v>3316</v>
      </c>
      <c r="E3468" t="s">
        <v>3317</v>
      </c>
      <c r="F3468" t="s">
        <v>94</v>
      </c>
      <c r="G3468" t="s">
        <v>277</v>
      </c>
      <c r="H3468" s="12">
        <v>6.3952999999999998</v>
      </c>
      <c r="I3468" s="12">
        <v>-75.257499999999993</v>
      </c>
      <c r="J3468" t="s">
        <v>3318</v>
      </c>
      <c r="K3468" t="s">
        <v>97</v>
      </c>
      <c r="L3468" t="s">
        <v>1273</v>
      </c>
      <c r="M3468">
        <v>11</v>
      </c>
      <c r="P3468" s="13">
        <v>212</v>
      </c>
      <c r="Q3468" s="13">
        <v>51</v>
      </c>
      <c r="R3468">
        <v>26</v>
      </c>
      <c r="S3468">
        <v>48</v>
      </c>
      <c r="T3468" s="13">
        <v>34</v>
      </c>
      <c r="U3468" s="13">
        <v>71</v>
      </c>
      <c r="V3468" t="s">
        <v>99</v>
      </c>
      <c r="X3468" s="13">
        <v>212</v>
      </c>
    </row>
    <row r="3469" spans="1:24" x14ac:dyDescent="0.25">
      <c r="A3469" t="s">
        <v>3325</v>
      </c>
      <c r="B3469" t="s">
        <v>65</v>
      </c>
      <c r="C3469" t="s">
        <v>3315</v>
      </c>
      <c r="D3469" t="s">
        <v>3316</v>
      </c>
      <c r="E3469" t="s">
        <v>3317</v>
      </c>
      <c r="F3469" t="s">
        <v>94</v>
      </c>
      <c r="G3469" t="s">
        <v>277</v>
      </c>
      <c r="H3469" s="12">
        <v>6.3952999999999998</v>
      </c>
      <c r="I3469" s="12">
        <v>-75.257499999999993</v>
      </c>
      <c r="J3469" t="s">
        <v>3318</v>
      </c>
      <c r="K3469" t="s">
        <v>97</v>
      </c>
      <c r="L3469" t="s">
        <v>1273</v>
      </c>
      <c r="M3469">
        <v>11</v>
      </c>
      <c r="P3469" s="13">
        <v>209</v>
      </c>
      <c r="Q3469" s="13">
        <v>41</v>
      </c>
      <c r="R3469">
        <v>38</v>
      </c>
      <c r="S3469">
        <v>52</v>
      </c>
      <c r="T3469" s="13">
        <v>33</v>
      </c>
      <c r="U3469" s="13">
        <v>51</v>
      </c>
      <c r="V3469" t="s">
        <v>99</v>
      </c>
      <c r="X3469" s="13">
        <v>209</v>
      </c>
    </row>
    <row r="3470" spans="1:24" x14ac:dyDescent="0.25">
      <c r="A3470" t="s">
        <v>3326</v>
      </c>
      <c r="B3470" t="s">
        <v>65</v>
      </c>
      <c r="C3470" t="s">
        <v>3315</v>
      </c>
      <c r="D3470" t="s">
        <v>3316</v>
      </c>
      <c r="E3470" t="s">
        <v>3317</v>
      </c>
      <c r="F3470" t="s">
        <v>94</v>
      </c>
      <c r="G3470" t="s">
        <v>277</v>
      </c>
      <c r="H3470" s="12">
        <v>6.3952999999999998</v>
      </c>
      <c r="I3470" s="12">
        <v>-75.257499999999993</v>
      </c>
      <c r="J3470" t="s">
        <v>3318</v>
      </c>
      <c r="K3470" t="s">
        <v>97</v>
      </c>
      <c r="L3470" t="s">
        <v>1273</v>
      </c>
      <c r="M3470">
        <v>11</v>
      </c>
      <c r="P3470" s="13">
        <v>199</v>
      </c>
      <c r="Q3470" s="13">
        <v>46</v>
      </c>
      <c r="R3470">
        <v>26</v>
      </c>
      <c r="S3470">
        <v>54</v>
      </c>
      <c r="T3470" s="13">
        <v>31</v>
      </c>
      <c r="U3470" s="13">
        <v>45</v>
      </c>
      <c r="V3470" t="s">
        <v>99</v>
      </c>
      <c r="X3470" s="13">
        <v>199</v>
      </c>
    </row>
    <row r="3471" spans="1:24" x14ac:dyDescent="0.25">
      <c r="A3471" t="s">
        <v>3327</v>
      </c>
      <c r="B3471" t="s">
        <v>65</v>
      </c>
      <c r="C3471" t="s">
        <v>3315</v>
      </c>
      <c r="D3471" t="s">
        <v>3316</v>
      </c>
      <c r="E3471" t="s">
        <v>3317</v>
      </c>
      <c r="F3471" t="s">
        <v>94</v>
      </c>
      <c r="G3471" t="s">
        <v>277</v>
      </c>
      <c r="H3471" s="12">
        <v>6.3952999999999998</v>
      </c>
      <c r="I3471" s="12">
        <v>-75.257499999999993</v>
      </c>
      <c r="J3471" t="s">
        <v>3318</v>
      </c>
      <c r="K3471" t="s">
        <v>97</v>
      </c>
      <c r="L3471" t="s">
        <v>1273</v>
      </c>
      <c r="M3471">
        <v>11</v>
      </c>
      <c r="P3471" s="13">
        <v>195</v>
      </c>
      <c r="Q3471" s="13">
        <v>46</v>
      </c>
      <c r="R3471">
        <v>34</v>
      </c>
      <c r="S3471">
        <v>44</v>
      </c>
      <c r="T3471" s="13">
        <v>31</v>
      </c>
      <c r="U3471" s="13">
        <v>42</v>
      </c>
      <c r="V3471" t="s">
        <v>99</v>
      </c>
      <c r="X3471" s="13">
        <v>195</v>
      </c>
    </row>
    <row r="3472" spans="1:24" x14ac:dyDescent="0.25">
      <c r="A3472" t="s">
        <v>3328</v>
      </c>
      <c r="B3472" t="s">
        <v>65</v>
      </c>
      <c r="C3472" t="s">
        <v>3315</v>
      </c>
      <c r="D3472" t="s">
        <v>3316</v>
      </c>
      <c r="E3472" t="s">
        <v>3317</v>
      </c>
      <c r="F3472" t="s">
        <v>94</v>
      </c>
      <c r="G3472" t="s">
        <v>277</v>
      </c>
      <c r="H3472" s="12">
        <v>6.3952999999999998</v>
      </c>
      <c r="I3472" s="12">
        <v>-75.257499999999993</v>
      </c>
      <c r="J3472" t="s">
        <v>3318</v>
      </c>
      <c r="K3472" t="s">
        <v>97</v>
      </c>
      <c r="L3472" t="s">
        <v>1273</v>
      </c>
      <c r="M3472">
        <v>11</v>
      </c>
      <c r="P3472" s="13">
        <v>190</v>
      </c>
      <c r="Q3472" s="13">
        <v>51</v>
      </c>
      <c r="R3472">
        <v>28</v>
      </c>
      <c r="S3472">
        <v>42</v>
      </c>
      <c r="T3472" s="13">
        <v>26</v>
      </c>
      <c r="U3472" s="13">
        <v>53</v>
      </c>
      <c r="V3472" t="s">
        <v>99</v>
      </c>
      <c r="X3472" s="13">
        <v>190</v>
      </c>
    </row>
    <row r="3473" spans="1:24" x14ac:dyDescent="0.25">
      <c r="A3473" t="s">
        <v>3329</v>
      </c>
      <c r="B3473" t="s">
        <v>65</v>
      </c>
      <c r="C3473" t="s">
        <v>3315</v>
      </c>
      <c r="D3473" t="s">
        <v>3316</v>
      </c>
      <c r="E3473" t="s">
        <v>3317</v>
      </c>
      <c r="F3473" t="s">
        <v>94</v>
      </c>
      <c r="G3473" t="s">
        <v>277</v>
      </c>
      <c r="H3473" s="12">
        <v>6.3952999999999998</v>
      </c>
      <c r="I3473" s="12">
        <v>-75.257499999999993</v>
      </c>
      <c r="J3473" t="s">
        <v>3318</v>
      </c>
      <c r="K3473" t="s">
        <v>97</v>
      </c>
      <c r="L3473" t="s">
        <v>1273</v>
      </c>
      <c r="M3473">
        <v>11</v>
      </c>
      <c r="P3473" s="13">
        <v>189</v>
      </c>
      <c r="Q3473" s="13">
        <v>44</v>
      </c>
      <c r="R3473">
        <v>36</v>
      </c>
      <c r="S3473">
        <v>36</v>
      </c>
      <c r="T3473" s="13">
        <v>26</v>
      </c>
      <c r="U3473" s="13">
        <v>67</v>
      </c>
      <c r="V3473" t="s">
        <v>99</v>
      </c>
      <c r="X3473" s="13">
        <v>189</v>
      </c>
    </row>
    <row r="3474" spans="1:24" x14ac:dyDescent="0.25">
      <c r="A3474" t="s">
        <v>3330</v>
      </c>
      <c r="B3474" t="s">
        <v>65</v>
      </c>
      <c r="C3474" t="s">
        <v>3315</v>
      </c>
      <c r="D3474" t="s">
        <v>3316</v>
      </c>
      <c r="E3474" t="s">
        <v>3317</v>
      </c>
      <c r="F3474" t="s">
        <v>94</v>
      </c>
      <c r="G3474" t="s">
        <v>277</v>
      </c>
      <c r="H3474" s="12">
        <v>6.3952999999999998</v>
      </c>
      <c r="I3474" s="12">
        <v>-75.257499999999993</v>
      </c>
      <c r="J3474" t="s">
        <v>3318</v>
      </c>
      <c r="K3474" t="s">
        <v>97</v>
      </c>
      <c r="L3474" t="s">
        <v>1273</v>
      </c>
      <c r="M3474">
        <v>11</v>
      </c>
      <c r="P3474" s="13">
        <v>183</v>
      </c>
      <c r="Q3474" s="13">
        <v>56</v>
      </c>
      <c r="R3474">
        <v>26</v>
      </c>
      <c r="S3474">
        <v>30</v>
      </c>
      <c r="T3474" s="13">
        <v>33</v>
      </c>
      <c r="U3474" s="13">
        <v>42</v>
      </c>
      <c r="V3474" t="s">
        <v>99</v>
      </c>
      <c r="X3474" s="13">
        <v>183</v>
      </c>
    </row>
    <row r="3475" spans="1:24" x14ac:dyDescent="0.25">
      <c r="A3475" t="s">
        <v>3331</v>
      </c>
      <c r="B3475" t="s">
        <v>65</v>
      </c>
      <c r="C3475" t="s">
        <v>3315</v>
      </c>
      <c r="D3475" t="s">
        <v>3316</v>
      </c>
      <c r="E3475" t="s">
        <v>3317</v>
      </c>
      <c r="F3475" t="s">
        <v>94</v>
      </c>
      <c r="G3475" t="s">
        <v>277</v>
      </c>
      <c r="H3475" s="12">
        <v>6.3952999999999998</v>
      </c>
      <c r="I3475" s="12">
        <v>-75.257499999999993</v>
      </c>
      <c r="J3475" t="s">
        <v>3318</v>
      </c>
      <c r="K3475" t="s">
        <v>97</v>
      </c>
      <c r="L3475" t="s">
        <v>1273</v>
      </c>
      <c r="M3475">
        <v>11</v>
      </c>
      <c r="P3475" s="13">
        <v>179</v>
      </c>
      <c r="Q3475" s="13">
        <v>41</v>
      </c>
      <c r="R3475">
        <v>34</v>
      </c>
      <c r="S3475">
        <v>44</v>
      </c>
      <c r="T3475" s="13">
        <v>28</v>
      </c>
      <c r="U3475" s="13">
        <v>25</v>
      </c>
      <c r="V3475" t="s">
        <v>99</v>
      </c>
      <c r="X3475" s="13">
        <v>179</v>
      </c>
    </row>
    <row r="3476" spans="1:24" x14ac:dyDescent="0.25">
      <c r="A3476" t="s">
        <v>3332</v>
      </c>
      <c r="B3476" t="s">
        <v>65</v>
      </c>
      <c r="C3476" t="s">
        <v>3315</v>
      </c>
      <c r="D3476" t="s">
        <v>3316</v>
      </c>
      <c r="E3476" t="s">
        <v>3317</v>
      </c>
      <c r="F3476" t="s">
        <v>94</v>
      </c>
      <c r="G3476" t="s">
        <v>277</v>
      </c>
      <c r="H3476" s="12">
        <v>6.3952999999999998</v>
      </c>
      <c r="I3476" s="12">
        <v>-75.257499999999993</v>
      </c>
      <c r="J3476" t="s">
        <v>3318</v>
      </c>
      <c r="K3476" t="s">
        <v>97</v>
      </c>
      <c r="L3476" t="s">
        <v>1273</v>
      </c>
      <c r="M3476">
        <v>11</v>
      </c>
      <c r="P3476" s="13">
        <v>178</v>
      </c>
      <c r="Q3476" s="13">
        <v>51</v>
      </c>
      <c r="R3476">
        <v>16</v>
      </c>
      <c r="S3476">
        <v>44</v>
      </c>
      <c r="T3476" s="13">
        <v>36</v>
      </c>
      <c r="U3476" s="13">
        <v>20</v>
      </c>
      <c r="V3476" t="s">
        <v>99</v>
      </c>
      <c r="X3476" s="13">
        <v>178</v>
      </c>
    </row>
    <row r="3477" spans="1:24" x14ac:dyDescent="0.25">
      <c r="A3477" t="s">
        <v>3333</v>
      </c>
      <c r="B3477" t="s">
        <v>65</v>
      </c>
      <c r="C3477" t="s">
        <v>3315</v>
      </c>
      <c r="D3477" t="s">
        <v>3316</v>
      </c>
      <c r="E3477" t="s">
        <v>3317</v>
      </c>
      <c r="F3477" t="s">
        <v>94</v>
      </c>
      <c r="G3477" t="s">
        <v>277</v>
      </c>
      <c r="H3477" s="12">
        <v>6.3952999999999998</v>
      </c>
      <c r="I3477" s="12">
        <v>-75.257499999999993</v>
      </c>
      <c r="J3477" t="s">
        <v>3318</v>
      </c>
      <c r="K3477" t="s">
        <v>97</v>
      </c>
      <c r="L3477" t="s">
        <v>1273</v>
      </c>
      <c r="M3477">
        <v>11</v>
      </c>
      <c r="P3477" s="13">
        <v>169</v>
      </c>
      <c r="Q3477" s="13">
        <v>46</v>
      </c>
      <c r="R3477">
        <v>22</v>
      </c>
      <c r="S3477">
        <v>42</v>
      </c>
      <c r="T3477" s="13">
        <v>26</v>
      </c>
      <c r="U3477" s="13">
        <v>31</v>
      </c>
      <c r="V3477" t="s">
        <v>99</v>
      </c>
      <c r="X3477" s="13">
        <v>169</v>
      </c>
    </row>
    <row r="3478" spans="1:24" x14ac:dyDescent="0.25">
      <c r="A3478" t="s">
        <v>3334</v>
      </c>
      <c r="B3478" t="s">
        <v>65</v>
      </c>
      <c r="C3478" t="s">
        <v>3315</v>
      </c>
      <c r="D3478" t="s">
        <v>3316</v>
      </c>
      <c r="E3478" t="s">
        <v>3317</v>
      </c>
      <c r="F3478" t="s">
        <v>94</v>
      </c>
      <c r="G3478" t="s">
        <v>277</v>
      </c>
      <c r="H3478" s="12">
        <v>6.3952999999999998</v>
      </c>
      <c r="I3478" s="12">
        <v>-75.257499999999993</v>
      </c>
      <c r="J3478" t="s">
        <v>3318</v>
      </c>
      <c r="K3478" t="s">
        <v>97</v>
      </c>
      <c r="L3478" t="s">
        <v>1273</v>
      </c>
      <c r="M3478">
        <v>11</v>
      </c>
      <c r="P3478" s="13">
        <v>168</v>
      </c>
      <c r="Q3478" s="13">
        <v>39</v>
      </c>
      <c r="R3478">
        <v>24</v>
      </c>
      <c r="S3478">
        <v>44</v>
      </c>
      <c r="T3478" s="13">
        <v>28</v>
      </c>
      <c r="U3478" s="13">
        <v>33</v>
      </c>
      <c r="V3478" t="s">
        <v>99</v>
      </c>
      <c r="X3478" s="13">
        <v>168</v>
      </c>
    </row>
    <row r="3479" spans="1:24" x14ac:dyDescent="0.25">
      <c r="A3479" t="s">
        <v>3335</v>
      </c>
      <c r="B3479" t="s">
        <v>65</v>
      </c>
      <c r="C3479" t="s">
        <v>3315</v>
      </c>
      <c r="D3479" t="s">
        <v>3316</v>
      </c>
      <c r="E3479" t="s">
        <v>3317</v>
      </c>
      <c r="F3479" t="s">
        <v>94</v>
      </c>
      <c r="G3479" t="s">
        <v>277</v>
      </c>
      <c r="H3479" s="12">
        <v>6.3952999999999998</v>
      </c>
      <c r="I3479" s="12">
        <v>-75.257499999999993</v>
      </c>
      <c r="J3479" t="s">
        <v>3318</v>
      </c>
      <c r="K3479" t="s">
        <v>97</v>
      </c>
      <c r="L3479" t="s">
        <v>1273</v>
      </c>
      <c r="M3479">
        <v>11</v>
      </c>
      <c r="P3479" s="13">
        <v>163</v>
      </c>
      <c r="Q3479" s="13">
        <v>39</v>
      </c>
      <c r="R3479">
        <v>20</v>
      </c>
      <c r="S3479">
        <v>56</v>
      </c>
      <c r="T3479" s="13">
        <v>16</v>
      </c>
      <c r="U3479" s="13">
        <v>31</v>
      </c>
      <c r="V3479" t="s">
        <v>99</v>
      </c>
      <c r="X3479" s="13">
        <v>163</v>
      </c>
    </row>
    <row r="3480" spans="1:24" x14ac:dyDescent="0.25">
      <c r="A3480" t="s">
        <v>3336</v>
      </c>
      <c r="B3480" t="s">
        <v>65</v>
      </c>
      <c r="C3480" t="s">
        <v>3315</v>
      </c>
      <c r="D3480" t="s">
        <v>3316</v>
      </c>
      <c r="E3480" t="s">
        <v>3317</v>
      </c>
      <c r="F3480" t="s">
        <v>94</v>
      </c>
      <c r="G3480" t="s">
        <v>277</v>
      </c>
      <c r="H3480" s="12">
        <v>6.3952999999999998</v>
      </c>
      <c r="I3480" s="12">
        <v>-75.257499999999993</v>
      </c>
      <c r="J3480" t="s">
        <v>3318</v>
      </c>
      <c r="K3480" t="s">
        <v>97</v>
      </c>
      <c r="L3480" t="s">
        <v>1273</v>
      </c>
      <c r="M3480">
        <v>11</v>
      </c>
      <c r="P3480" s="13">
        <v>160</v>
      </c>
      <c r="Q3480" s="13">
        <v>24</v>
      </c>
      <c r="R3480">
        <v>28</v>
      </c>
      <c r="S3480">
        <v>40</v>
      </c>
      <c r="T3480" s="13">
        <v>34</v>
      </c>
      <c r="U3480" s="13">
        <v>36</v>
      </c>
      <c r="V3480" t="s">
        <v>99</v>
      </c>
      <c r="X3480" s="13">
        <v>160</v>
      </c>
    </row>
    <row r="3481" spans="1:24" x14ac:dyDescent="0.25">
      <c r="A3481" t="s">
        <v>3337</v>
      </c>
      <c r="B3481" t="s">
        <v>65</v>
      </c>
      <c r="C3481" t="s">
        <v>3315</v>
      </c>
      <c r="D3481" t="s">
        <v>3316</v>
      </c>
      <c r="E3481" t="s">
        <v>3317</v>
      </c>
      <c r="F3481" t="s">
        <v>94</v>
      </c>
      <c r="G3481" t="s">
        <v>277</v>
      </c>
      <c r="H3481" s="12">
        <v>6.3952999999999998</v>
      </c>
      <c r="I3481" s="12">
        <v>-75.257499999999993</v>
      </c>
      <c r="J3481" t="s">
        <v>3318</v>
      </c>
      <c r="K3481" t="s">
        <v>97</v>
      </c>
      <c r="L3481" t="s">
        <v>1273</v>
      </c>
      <c r="M3481">
        <v>11</v>
      </c>
      <c r="P3481" s="13">
        <v>154</v>
      </c>
      <c r="Q3481" s="13">
        <v>29</v>
      </c>
      <c r="R3481">
        <v>28</v>
      </c>
      <c r="S3481">
        <v>40</v>
      </c>
      <c r="T3481" s="13">
        <v>26</v>
      </c>
      <c r="U3481" s="13">
        <v>31</v>
      </c>
      <c r="V3481" t="s">
        <v>99</v>
      </c>
      <c r="X3481" s="13">
        <v>154</v>
      </c>
    </row>
    <row r="3482" spans="1:24" x14ac:dyDescent="0.25">
      <c r="A3482" t="s">
        <v>3338</v>
      </c>
      <c r="B3482" t="s">
        <v>65</v>
      </c>
      <c r="C3482" t="s">
        <v>3315</v>
      </c>
      <c r="D3482" t="s">
        <v>3316</v>
      </c>
      <c r="E3482" t="s">
        <v>3317</v>
      </c>
      <c r="F3482" t="s">
        <v>94</v>
      </c>
      <c r="G3482" t="s">
        <v>277</v>
      </c>
      <c r="H3482" s="12">
        <v>6.3952999999999998</v>
      </c>
      <c r="I3482" s="12">
        <v>-75.257499999999993</v>
      </c>
      <c r="J3482" t="s">
        <v>3318</v>
      </c>
      <c r="K3482" t="s">
        <v>97</v>
      </c>
      <c r="L3482" t="s">
        <v>1273</v>
      </c>
      <c r="M3482">
        <v>11</v>
      </c>
      <c r="P3482" s="13">
        <v>153</v>
      </c>
      <c r="Q3482" s="13">
        <v>37</v>
      </c>
      <c r="R3482">
        <v>14</v>
      </c>
      <c r="S3482">
        <v>46</v>
      </c>
      <c r="T3482" s="13">
        <v>22</v>
      </c>
      <c r="U3482" s="13">
        <v>40</v>
      </c>
      <c r="V3482" t="s">
        <v>99</v>
      </c>
      <c r="X3482" s="13">
        <v>153</v>
      </c>
    </row>
    <row r="3483" spans="1:24" x14ac:dyDescent="0.25">
      <c r="A3483" t="s">
        <v>3339</v>
      </c>
      <c r="B3483" t="s">
        <v>65</v>
      </c>
      <c r="C3483" t="s">
        <v>3315</v>
      </c>
      <c r="D3483" t="s">
        <v>3316</v>
      </c>
      <c r="E3483" t="s">
        <v>3317</v>
      </c>
      <c r="F3483" t="s">
        <v>94</v>
      </c>
      <c r="G3483" t="s">
        <v>277</v>
      </c>
      <c r="H3483" s="12">
        <v>6.3952999999999998</v>
      </c>
      <c r="I3483" s="12">
        <v>-75.257499999999993</v>
      </c>
      <c r="J3483" t="s">
        <v>3318</v>
      </c>
      <c r="K3483" t="s">
        <v>97</v>
      </c>
      <c r="L3483" t="s">
        <v>1273</v>
      </c>
      <c r="M3483">
        <v>11</v>
      </c>
      <c r="P3483" s="13">
        <v>150</v>
      </c>
      <c r="Q3483" s="13">
        <v>29</v>
      </c>
      <c r="R3483">
        <v>32</v>
      </c>
      <c r="S3483">
        <v>36</v>
      </c>
      <c r="T3483" s="13">
        <v>26</v>
      </c>
      <c r="U3483" s="13">
        <v>22</v>
      </c>
      <c r="V3483" t="s">
        <v>99</v>
      </c>
      <c r="X3483" s="13">
        <v>150</v>
      </c>
    </row>
    <row r="3484" spans="1:24" x14ac:dyDescent="0.25">
      <c r="A3484" t="s">
        <v>3340</v>
      </c>
      <c r="B3484" t="s">
        <v>65</v>
      </c>
      <c r="C3484" t="s">
        <v>3315</v>
      </c>
      <c r="D3484" t="s">
        <v>3316</v>
      </c>
      <c r="E3484" t="s">
        <v>3317</v>
      </c>
      <c r="F3484" t="s">
        <v>94</v>
      </c>
      <c r="G3484" t="s">
        <v>277</v>
      </c>
      <c r="H3484" s="12">
        <v>6.3952999999999998</v>
      </c>
      <c r="I3484" s="12">
        <v>-75.257499999999993</v>
      </c>
      <c r="J3484" t="s">
        <v>3318</v>
      </c>
      <c r="K3484" t="s">
        <v>97</v>
      </c>
      <c r="L3484" t="s">
        <v>1273</v>
      </c>
      <c r="M3484">
        <v>11</v>
      </c>
      <c r="P3484" s="13">
        <v>150</v>
      </c>
      <c r="Q3484" s="13">
        <v>41</v>
      </c>
      <c r="R3484">
        <v>26</v>
      </c>
      <c r="S3484">
        <v>18</v>
      </c>
      <c r="T3484" s="13">
        <v>34</v>
      </c>
      <c r="U3484" s="13">
        <v>31</v>
      </c>
      <c r="V3484" t="s">
        <v>99</v>
      </c>
      <c r="X3484" s="13">
        <v>150</v>
      </c>
    </row>
    <row r="3485" spans="1:24" x14ac:dyDescent="0.25">
      <c r="A3485" t="s">
        <v>3341</v>
      </c>
      <c r="B3485" t="s">
        <v>65</v>
      </c>
      <c r="C3485" t="s">
        <v>3315</v>
      </c>
      <c r="D3485" t="s">
        <v>3316</v>
      </c>
      <c r="E3485" t="s">
        <v>3317</v>
      </c>
      <c r="F3485" t="s">
        <v>94</v>
      </c>
      <c r="G3485" t="s">
        <v>277</v>
      </c>
      <c r="H3485" s="12">
        <v>6.3952999999999998</v>
      </c>
      <c r="I3485" s="12">
        <v>-75.257499999999993</v>
      </c>
      <c r="J3485" t="s">
        <v>3318</v>
      </c>
      <c r="K3485" t="s">
        <v>97</v>
      </c>
      <c r="L3485" t="s">
        <v>1273</v>
      </c>
      <c r="M3485">
        <v>11</v>
      </c>
      <c r="P3485" s="13">
        <v>149</v>
      </c>
      <c r="Q3485" s="13">
        <v>32</v>
      </c>
      <c r="R3485">
        <v>26</v>
      </c>
      <c r="S3485">
        <v>38</v>
      </c>
      <c r="T3485" s="13">
        <v>22</v>
      </c>
      <c r="U3485" s="13">
        <v>33</v>
      </c>
      <c r="V3485" t="s">
        <v>99</v>
      </c>
      <c r="X3485" s="13">
        <v>149</v>
      </c>
    </row>
    <row r="3486" spans="1:24" x14ac:dyDescent="0.25">
      <c r="A3486" t="s">
        <v>3342</v>
      </c>
      <c r="B3486" t="s">
        <v>65</v>
      </c>
      <c r="C3486" t="s">
        <v>3315</v>
      </c>
      <c r="D3486" t="s">
        <v>3316</v>
      </c>
      <c r="E3486" t="s">
        <v>3317</v>
      </c>
      <c r="F3486" t="s">
        <v>94</v>
      </c>
      <c r="G3486" t="s">
        <v>277</v>
      </c>
      <c r="H3486" s="12">
        <v>6.3952999999999998</v>
      </c>
      <c r="I3486" s="12">
        <v>-75.257499999999993</v>
      </c>
      <c r="J3486" t="s">
        <v>3318</v>
      </c>
      <c r="K3486" t="s">
        <v>97</v>
      </c>
      <c r="L3486" t="s">
        <v>1273</v>
      </c>
      <c r="M3486">
        <v>11</v>
      </c>
      <c r="P3486" s="13">
        <v>148</v>
      </c>
      <c r="Q3486" s="13">
        <v>41</v>
      </c>
      <c r="R3486">
        <v>20</v>
      </c>
      <c r="S3486">
        <v>26</v>
      </c>
      <c r="T3486" s="13">
        <v>24</v>
      </c>
      <c r="U3486" s="13">
        <v>51</v>
      </c>
      <c r="V3486" t="s">
        <v>99</v>
      </c>
      <c r="X3486" s="13">
        <v>148</v>
      </c>
    </row>
    <row r="3487" spans="1:24" x14ac:dyDescent="0.25">
      <c r="A3487" t="s">
        <v>3343</v>
      </c>
      <c r="B3487" t="s">
        <v>65</v>
      </c>
      <c r="C3487" t="s">
        <v>3315</v>
      </c>
      <c r="D3487" t="s">
        <v>3316</v>
      </c>
      <c r="E3487" t="s">
        <v>3317</v>
      </c>
      <c r="F3487" t="s">
        <v>94</v>
      </c>
      <c r="G3487" t="s">
        <v>277</v>
      </c>
      <c r="H3487" s="12">
        <v>6.3952999999999998</v>
      </c>
      <c r="I3487" s="12">
        <v>-75.257499999999993</v>
      </c>
      <c r="J3487" t="s">
        <v>3318</v>
      </c>
      <c r="K3487" t="s">
        <v>97</v>
      </c>
      <c r="L3487" t="s">
        <v>1273</v>
      </c>
      <c r="M3487">
        <v>11</v>
      </c>
      <c r="P3487" s="13">
        <v>145</v>
      </c>
      <c r="Q3487" s="13">
        <v>29</v>
      </c>
      <c r="R3487">
        <v>34</v>
      </c>
      <c r="S3487">
        <v>42</v>
      </c>
      <c r="T3487" s="13">
        <v>12</v>
      </c>
      <c r="U3487" s="13">
        <v>25</v>
      </c>
      <c r="V3487" t="s">
        <v>99</v>
      </c>
      <c r="X3487" s="13">
        <v>145</v>
      </c>
    </row>
    <row r="3488" spans="1:24" x14ac:dyDescent="0.25">
      <c r="A3488" t="s">
        <v>3344</v>
      </c>
      <c r="B3488" t="s">
        <v>65</v>
      </c>
      <c r="C3488" t="s">
        <v>3315</v>
      </c>
      <c r="D3488" t="s">
        <v>3316</v>
      </c>
      <c r="E3488" t="s">
        <v>3317</v>
      </c>
      <c r="F3488" t="s">
        <v>94</v>
      </c>
      <c r="G3488" t="s">
        <v>277</v>
      </c>
      <c r="H3488" s="12">
        <v>6.3952999999999998</v>
      </c>
      <c r="I3488" s="12">
        <v>-75.257499999999993</v>
      </c>
      <c r="J3488" t="s">
        <v>3318</v>
      </c>
      <c r="K3488" t="s">
        <v>97</v>
      </c>
      <c r="L3488" t="s">
        <v>1273</v>
      </c>
      <c r="M3488">
        <v>11</v>
      </c>
      <c r="P3488" s="13">
        <v>138</v>
      </c>
      <c r="Q3488" s="13">
        <v>22</v>
      </c>
      <c r="R3488">
        <v>22</v>
      </c>
      <c r="S3488">
        <v>24</v>
      </c>
      <c r="T3488" s="13">
        <v>38</v>
      </c>
      <c r="U3488" s="13">
        <v>42</v>
      </c>
      <c r="V3488" t="s">
        <v>99</v>
      </c>
      <c r="X3488" s="13">
        <v>138</v>
      </c>
    </row>
    <row r="3489" spans="1:24" x14ac:dyDescent="0.25">
      <c r="A3489" t="s">
        <v>3345</v>
      </c>
      <c r="B3489" t="s">
        <v>65</v>
      </c>
      <c r="C3489" t="s">
        <v>3315</v>
      </c>
      <c r="D3489" t="s">
        <v>3316</v>
      </c>
      <c r="E3489" t="s">
        <v>3317</v>
      </c>
      <c r="F3489" t="s">
        <v>94</v>
      </c>
      <c r="G3489" t="s">
        <v>277</v>
      </c>
      <c r="H3489" s="12">
        <v>6.3952999999999998</v>
      </c>
      <c r="I3489" s="12">
        <v>-75.257499999999993</v>
      </c>
      <c r="J3489" t="s">
        <v>3318</v>
      </c>
      <c r="K3489" t="s">
        <v>97</v>
      </c>
      <c r="L3489" t="s">
        <v>1273</v>
      </c>
      <c r="M3489">
        <v>11</v>
      </c>
      <c r="P3489" s="13">
        <v>134</v>
      </c>
      <c r="Q3489" s="13">
        <v>27</v>
      </c>
      <c r="R3489">
        <v>22</v>
      </c>
      <c r="S3489">
        <v>36</v>
      </c>
      <c r="T3489" s="13">
        <v>22</v>
      </c>
      <c r="U3489" s="13">
        <v>27</v>
      </c>
      <c r="V3489" t="s">
        <v>99</v>
      </c>
      <c r="X3489" s="13">
        <v>134</v>
      </c>
    </row>
    <row r="3490" spans="1:24" x14ac:dyDescent="0.25">
      <c r="A3490" t="s">
        <v>3346</v>
      </c>
      <c r="B3490" t="s">
        <v>65</v>
      </c>
      <c r="C3490" t="s">
        <v>3315</v>
      </c>
      <c r="D3490" t="s">
        <v>3316</v>
      </c>
      <c r="E3490" t="s">
        <v>3317</v>
      </c>
      <c r="F3490" t="s">
        <v>94</v>
      </c>
      <c r="G3490" t="s">
        <v>277</v>
      </c>
      <c r="H3490" s="12">
        <v>6.3952999999999998</v>
      </c>
      <c r="I3490" s="12">
        <v>-75.257499999999993</v>
      </c>
      <c r="J3490" t="s">
        <v>3318</v>
      </c>
      <c r="K3490" t="s">
        <v>97</v>
      </c>
      <c r="L3490" t="s">
        <v>1273</v>
      </c>
      <c r="M3490">
        <v>11</v>
      </c>
      <c r="P3490" s="13">
        <v>132</v>
      </c>
      <c r="Q3490" s="13">
        <v>34</v>
      </c>
      <c r="R3490">
        <v>22</v>
      </c>
      <c r="S3490">
        <v>26</v>
      </c>
      <c r="T3490" s="13">
        <v>24</v>
      </c>
      <c r="U3490" s="13">
        <v>24</v>
      </c>
      <c r="V3490" t="s">
        <v>99</v>
      </c>
      <c r="X3490" s="13">
        <v>132</v>
      </c>
    </row>
    <row r="3491" spans="1:24" x14ac:dyDescent="0.25">
      <c r="A3491" t="s">
        <v>3347</v>
      </c>
      <c r="B3491" t="s">
        <v>65</v>
      </c>
      <c r="C3491" t="s">
        <v>3348</v>
      </c>
      <c r="D3491" t="s">
        <v>3349</v>
      </c>
      <c r="E3491" t="s">
        <v>3257</v>
      </c>
      <c r="F3491" t="s">
        <v>94</v>
      </c>
      <c r="G3491" t="s">
        <v>277</v>
      </c>
      <c r="H3491" s="12">
        <v>6.9778000000000002</v>
      </c>
      <c r="I3491" s="12">
        <v>-74.981200000000001</v>
      </c>
      <c r="J3491" t="s">
        <v>1666</v>
      </c>
      <c r="K3491" t="s">
        <v>97</v>
      </c>
      <c r="L3491" t="s">
        <v>1273</v>
      </c>
      <c r="M3491">
        <v>11</v>
      </c>
      <c r="P3491" s="13">
        <v>230</v>
      </c>
      <c r="Q3491" s="13">
        <v>61</v>
      </c>
      <c r="R3491">
        <v>24</v>
      </c>
      <c r="S3491">
        <v>60</v>
      </c>
      <c r="T3491" s="13">
        <v>36</v>
      </c>
      <c r="U3491" s="13">
        <v>55</v>
      </c>
      <c r="V3491" t="s">
        <v>99</v>
      </c>
      <c r="X3491" s="13">
        <v>230</v>
      </c>
    </row>
    <row r="3492" spans="1:24" x14ac:dyDescent="0.25">
      <c r="A3492" t="s">
        <v>3350</v>
      </c>
      <c r="B3492" t="s">
        <v>65</v>
      </c>
      <c r="C3492" t="s">
        <v>3348</v>
      </c>
      <c r="D3492" t="s">
        <v>3349</v>
      </c>
      <c r="E3492" t="s">
        <v>3257</v>
      </c>
      <c r="F3492" t="s">
        <v>94</v>
      </c>
      <c r="G3492" t="s">
        <v>277</v>
      </c>
      <c r="H3492" s="12">
        <v>6.9778000000000002</v>
      </c>
      <c r="I3492" s="12">
        <v>-74.981200000000001</v>
      </c>
      <c r="J3492" t="s">
        <v>1666</v>
      </c>
      <c r="K3492" t="s">
        <v>97</v>
      </c>
      <c r="L3492" t="s">
        <v>1273</v>
      </c>
      <c r="M3492">
        <v>11</v>
      </c>
      <c r="P3492" s="13">
        <v>214</v>
      </c>
      <c r="Q3492" s="13">
        <v>34</v>
      </c>
      <c r="R3492">
        <v>36</v>
      </c>
      <c r="S3492">
        <v>60</v>
      </c>
      <c r="T3492" s="13">
        <v>40</v>
      </c>
      <c r="U3492" s="13">
        <v>47</v>
      </c>
      <c r="V3492" t="s">
        <v>99</v>
      </c>
      <c r="X3492" s="13">
        <v>214</v>
      </c>
    </row>
    <row r="3493" spans="1:24" x14ac:dyDescent="0.25">
      <c r="A3493" t="s">
        <v>3351</v>
      </c>
      <c r="B3493" t="s">
        <v>65</v>
      </c>
      <c r="C3493" t="s">
        <v>3348</v>
      </c>
      <c r="D3493" t="s">
        <v>3349</v>
      </c>
      <c r="E3493" t="s">
        <v>3257</v>
      </c>
      <c r="F3493" t="s">
        <v>94</v>
      </c>
      <c r="G3493" t="s">
        <v>277</v>
      </c>
      <c r="H3493" s="12">
        <v>6.9778000000000002</v>
      </c>
      <c r="I3493" s="12">
        <v>-74.981200000000001</v>
      </c>
      <c r="J3493" t="s">
        <v>1666</v>
      </c>
      <c r="K3493" t="s">
        <v>97</v>
      </c>
      <c r="L3493" t="s">
        <v>1273</v>
      </c>
      <c r="M3493">
        <v>11</v>
      </c>
      <c r="P3493" s="13">
        <v>206</v>
      </c>
      <c r="Q3493" s="13">
        <v>46</v>
      </c>
      <c r="R3493">
        <v>26</v>
      </c>
      <c r="S3493">
        <v>60</v>
      </c>
      <c r="T3493" s="13">
        <v>33</v>
      </c>
      <c r="U3493" s="13">
        <v>40</v>
      </c>
      <c r="V3493" t="s">
        <v>99</v>
      </c>
      <c r="X3493" s="13">
        <v>206</v>
      </c>
    </row>
    <row r="3494" spans="1:24" x14ac:dyDescent="0.25">
      <c r="A3494" t="s">
        <v>3352</v>
      </c>
      <c r="B3494" t="s">
        <v>65</v>
      </c>
      <c r="C3494" t="s">
        <v>3348</v>
      </c>
      <c r="D3494" t="s">
        <v>3349</v>
      </c>
      <c r="E3494" t="s">
        <v>3257</v>
      </c>
      <c r="F3494" t="s">
        <v>94</v>
      </c>
      <c r="G3494" t="s">
        <v>277</v>
      </c>
      <c r="H3494" s="12">
        <v>6.9778000000000002</v>
      </c>
      <c r="I3494" s="12">
        <v>-74.981200000000001</v>
      </c>
      <c r="J3494" t="s">
        <v>1666</v>
      </c>
      <c r="K3494" t="s">
        <v>97</v>
      </c>
      <c r="L3494" t="s">
        <v>1273</v>
      </c>
      <c r="M3494">
        <v>11</v>
      </c>
      <c r="P3494" s="13">
        <v>200</v>
      </c>
      <c r="Q3494" s="13">
        <v>41</v>
      </c>
      <c r="R3494">
        <v>28</v>
      </c>
      <c r="S3494">
        <v>50</v>
      </c>
      <c r="T3494" s="13">
        <v>29</v>
      </c>
      <c r="U3494" s="13">
        <v>73</v>
      </c>
      <c r="V3494" t="s">
        <v>99</v>
      </c>
      <c r="X3494" s="13">
        <v>200</v>
      </c>
    </row>
    <row r="3495" spans="1:24" x14ac:dyDescent="0.25">
      <c r="A3495" t="s">
        <v>3353</v>
      </c>
      <c r="B3495" t="s">
        <v>65</v>
      </c>
      <c r="C3495" t="s">
        <v>3348</v>
      </c>
      <c r="D3495" t="s">
        <v>3349</v>
      </c>
      <c r="E3495" t="s">
        <v>3257</v>
      </c>
      <c r="F3495" t="s">
        <v>94</v>
      </c>
      <c r="G3495" t="s">
        <v>277</v>
      </c>
      <c r="H3495" s="12">
        <v>6.9778000000000002</v>
      </c>
      <c r="I3495" s="12">
        <v>-74.981200000000001</v>
      </c>
      <c r="J3495" t="s">
        <v>1666</v>
      </c>
      <c r="K3495" t="s">
        <v>97</v>
      </c>
      <c r="L3495" t="s">
        <v>1273</v>
      </c>
      <c r="M3495">
        <v>11</v>
      </c>
      <c r="P3495" s="13">
        <v>199</v>
      </c>
      <c r="Q3495" s="13">
        <v>51</v>
      </c>
      <c r="R3495">
        <v>28</v>
      </c>
      <c r="S3495">
        <v>32</v>
      </c>
      <c r="T3495" s="13">
        <v>43</v>
      </c>
      <c r="U3495" s="13">
        <v>55</v>
      </c>
      <c r="V3495" t="s">
        <v>99</v>
      </c>
      <c r="X3495" s="13">
        <v>199</v>
      </c>
    </row>
    <row r="3496" spans="1:24" x14ac:dyDescent="0.25">
      <c r="A3496" t="s">
        <v>3354</v>
      </c>
      <c r="B3496" t="s">
        <v>65</v>
      </c>
      <c r="C3496" t="s">
        <v>3348</v>
      </c>
      <c r="D3496" t="s">
        <v>3349</v>
      </c>
      <c r="E3496" t="s">
        <v>3257</v>
      </c>
      <c r="F3496" t="s">
        <v>94</v>
      </c>
      <c r="G3496" t="s">
        <v>277</v>
      </c>
      <c r="H3496" s="12">
        <v>6.9778000000000002</v>
      </c>
      <c r="I3496" s="12">
        <v>-74.981200000000001</v>
      </c>
      <c r="J3496" t="s">
        <v>1666</v>
      </c>
      <c r="K3496" t="s">
        <v>97</v>
      </c>
      <c r="L3496" t="s">
        <v>1273</v>
      </c>
      <c r="M3496">
        <v>11</v>
      </c>
      <c r="P3496" s="13">
        <v>196</v>
      </c>
      <c r="Q3496" s="13">
        <v>51</v>
      </c>
      <c r="R3496">
        <v>34</v>
      </c>
      <c r="S3496">
        <v>42</v>
      </c>
      <c r="T3496" s="13">
        <v>28</v>
      </c>
      <c r="U3496" s="13">
        <v>45</v>
      </c>
      <c r="V3496" t="s">
        <v>99</v>
      </c>
      <c r="X3496" s="13">
        <v>196</v>
      </c>
    </row>
    <row r="3497" spans="1:24" x14ac:dyDescent="0.25">
      <c r="A3497" t="s">
        <v>3355</v>
      </c>
      <c r="B3497" t="s">
        <v>65</v>
      </c>
      <c r="C3497" t="s">
        <v>3348</v>
      </c>
      <c r="D3497" t="s">
        <v>3349</v>
      </c>
      <c r="E3497" t="s">
        <v>3257</v>
      </c>
      <c r="F3497" t="s">
        <v>94</v>
      </c>
      <c r="G3497" t="s">
        <v>277</v>
      </c>
      <c r="H3497" s="12">
        <v>6.9778000000000002</v>
      </c>
      <c r="I3497" s="12">
        <v>-74.981200000000001</v>
      </c>
      <c r="J3497" t="s">
        <v>1666</v>
      </c>
      <c r="K3497" t="s">
        <v>97</v>
      </c>
      <c r="L3497" t="s">
        <v>1273</v>
      </c>
      <c r="M3497">
        <v>11</v>
      </c>
      <c r="P3497" s="13">
        <v>194</v>
      </c>
      <c r="Q3497" s="13">
        <v>41</v>
      </c>
      <c r="R3497">
        <v>32</v>
      </c>
      <c r="S3497">
        <v>50</v>
      </c>
      <c r="T3497" s="13">
        <v>33</v>
      </c>
      <c r="U3497" s="13">
        <v>36</v>
      </c>
      <c r="V3497" t="s">
        <v>99</v>
      </c>
      <c r="X3497" s="13">
        <v>194</v>
      </c>
    </row>
    <row r="3498" spans="1:24" x14ac:dyDescent="0.25">
      <c r="A3498" t="s">
        <v>3356</v>
      </c>
      <c r="B3498" t="s">
        <v>65</v>
      </c>
      <c r="C3498" t="s">
        <v>3348</v>
      </c>
      <c r="D3498" t="s">
        <v>3349</v>
      </c>
      <c r="E3498" t="s">
        <v>3257</v>
      </c>
      <c r="F3498" t="s">
        <v>94</v>
      </c>
      <c r="G3498" t="s">
        <v>277</v>
      </c>
      <c r="H3498" s="12">
        <v>6.9778000000000002</v>
      </c>
      <c r="I3498" s="12">
        <v>-74.981200000000001</v>
      </c>
      <c r="J3498" t="s">
        <v>1666</v>
      </c>
      <c r="K3498" t="s">
        <v>97</v>
      </c>
      <c r="L3498" t="s">
        <v>1273</v>
      </c>
      <c r="M3498">
        <v>11</v>
      </c>
      <c r="P3498" s="13">
        <v>190</v>
      </c>
      <c r="Q3498" s="13">
        <v>44</v>
      </c>
      <c r="R3498">
        <v>24</v>
      </c>
      <c r="S3498">
        <v>52</v>
      </c>
      <c r="T3498" s="13">
        <v>31</v>
      </c>
      <c r="U3498" s="13">
        <v>42</v>
      </c>
      <c r="V3498" t="s">
        <v>99</v>
      </c>
      <c r="X3498" s="13">
        <v>190</v>
      </c>
    </row>
    <row r="3499" spans="1:24" x14ac:dyDescent="0.25">
      <c r="A3499" t="s">
        <v>3357</v>
      </c>
      <c r="B3499" t="s">
        <v>65</v>
      </c>
      <c r="C3499" t="s">
        <v>3348</v>
      </c>
      <c r="D3499" t="s">
        <v>3349</v>
      </c>
      <c r="E3499" t="s">
        <v>3257</v>
      </c>
      <c r="F3499" t="s">
        <v>94</v>
      </c>
      <c r="G3499" t="s">
        <v>277</v>
      </c>
      <c r="H3499" s="12">
        <v>6.9778000000000002</v>
      </c>
      <c r="I3499" s="12">
        <v>-74.981200000000001</v>
      </c>
      <c r="J3499" t="s">
        <v>1666</v>
      </c>
      <c r="K3499" t="s">
        <v>97</v>
      </c>
      <c r="L3499" t="s">
        <v>1273</v>
      </c>
      <c r="M3499">
        <v>11</v>
      </c>
      <c r="P3499" s="13">
        <v>183</v>
      </c>
      <c r="Q3499" s="13">
        <v>46</v>
      </c>
      <c r="R3499">
        <v>30</v>
      </c>
      <c r="S3499">
        <v>44</v>
      </c>
      <c r="T3499" s="13">
        <v>28</v>
      </c>
      <c r="U3499" s="13">
        <v>33</v>
      </c>
      <c r="V3499" t="s">
        <v>99</v>
      </c>
      <c r="X3499" s="13">
        <v>183</v>
      </c>
    </row>
    <row r="3500" spans="1:24" x14ac:dyDescent="0.25">
      <c r="A3500" t="s">
        <v>3358</v>
      </c>
      <c r="B3500" t="s">
        <v>65</v>
      </c>
      <c r="C3500" t="s">
        <v>3348</v>
      </c>
      <c r="D3500" t="s">
        <v>3349</v>
      </c>
      <c r="E3500" t="s">
        <v>3257</v>
      </c>
      <c r="F3500" t="s">
        <v>94</v>
      </c>
      <c r="G3500" t="s">
        <v>277</v>
      </c>
      <c r="H3500" s="12">
        <v>6.9778000000000002</v>
      </c>
      <c r="I3500" s="12">
        <v>-74.981200000000001</v>
      </c>
      <c r="J3500" t="s">
        <v>1666</v>
      </c>
      <c r="K3500" t="s">
        <v>97</v>
      </c>
      <c r="L3500" t="s">
        <v>1273</v>
      </c>
      <c r="M3500">
        <v>11</v>
      </c>
      <c r="P3500" s="13">
        <v>182</v>
      </c>
      <c r="Q3500" s="13">
        <v>39</v>
      </c>
      <c r="R3500">
        <v>34</v>
      </c>
      <c r="S3500">
        <v>46</v>
      </c>
      <c r="T3500" s="13">
        <v>26</v>
      </c>
      <c r="U3500" s="13">
        <v>38</v>
      </c>
      <c r="V3500" t="s">
        <v>99</v>
      </c>
      <c r="X3500" s="13">
        <v>182</v>
      </c>
    </row>
    <row r="3501" spans="1:24" x14ac:dyDescent="0.25">
      <c r="A3501" t="s">
        <v>3359</v>
      </c>
      <c r="B3501" t="s">
        <v>65</v>
      </c>
      <c r="C3501" t="s">
        <v>3348</v>
      </c>
      <c r="D3501" t="s">
        <v>3349</v>
      </c>
      <c r="E3501" t="s">
        <v>3257</v>
      </c>
      <c r="F3501" t="s">
        <v>94</v>
      </c>
      <c r="G3501" t="s">
        <v>277</v>
      </c>
      <c r="H3501" s="12">
        <v>6.9778000000000002</v>
      </c>
      <c r="I3501" s="12">
        <v>-74.981200000000001</v>
      </c>
      <c r="J3501" t="s">
        <v>1666</v>
      </c>
      <c r="K3501" t="s">
        <v>97</v>
      </c>
      <c r="L3501" t="s">
        <v>1273</v>
      </c>
      <c r="M3501">
        <v>11</v>
      </c>
      <c r="P3501" s="13">
        <v>182</v>
      </c>
      <c r="Q3501" s="13">
        <v>44</v>
      </c>
      <c r="R3501">
        <v>22</v>
      </c>
      <c r="S3501">
        <v>50</v>
      </c>
      <c r="T3501" s="13">
        <v>26</v>
      </c>
      <c r="U3501" s="13">
        <v>47</v>
      </c>
      <c r="V3501" t="s">
        <v>99</v>
      </c>
      <c r="X3501" s="13">
        <v>182</v>
      </c>
    </row>
    <row r="3502" spans="1:24" x14ac:dyDescent="0.25">
      <c r="A3502" t="s">
        <v>3360</v>
      </c>
      <c r="B3502" t="s">
        <v>65</v>
      </c>
      <c r="C3502" t="s">
        <v>3348</v>
      </c>
      <c r="D3502" t="s">
        <v>3349</v>
      </c>
      <c r="E3502" t="s">
        <v>3257</v>
      </c>
      <c r="F3502" t="s">
        <v>94</v>
      </c>
      <c r="G3502" t="s">
        <v>277</v>
      </c>
      <c r="H3502" s="12">
        <v>6.9778000000000002</v>
      </c>
      <c r="I3502" s="12">
        <v>-74.981200000000001</v>
      </c>
      <c r="J3502" t="s">
        <v>1666</v>
      </c>
      <c r="K3502" t="s">
        <v>97</v>
      </c>
      <c r="L3502" t="s">
        <v>1273</v>
      </c>
      <c r="M3502">
        <v>11</v>
      </c>
      <c r="P3502" s="13">
        <v>182</v>
      </c>
      <c r="Q3502" s="13">
        <v>54</v>
      </c>
      <c r="R3502">
        <v>32</v>
      </c>
      <c r="S3502">
        <v>36</v>
      </c>
      <c r="T3502" s="13">
        <v>22</v>
      </c>
      <c r="U3502" s="13">
        <v>40</v>
      </c>
      <c r="V3502" t="s">
        <v>99</v>
      </c>
      <c r="X3502" s="13">
        <v>182</v>
      </c>
    </row>
    <row r="3503" spans="1:24" x14ac:dyDescent="0.25">
      <c r="A3503" t="s">
        <v>3361</v>
      </c>
      <c r="B3503" t="s">
        <v>65</v>
      </c>
      <c r="C3503" t="s">
        <v>3348</v>
      </c>
      <c r="D3503" t="s">
        <v>3349</v>
      </c>
      <c r="E3503" t="s">
        <v>3257</v>
      </c>
      <c r="F3503" t="s">
        <v>94</v>
      </c>
      <c r="G3503" t="s">
        <v>277</v>
      </c>
      <c r="H3503" s="12">
        <v>6.9778000000000002</v>
      </c>
      <c r="I3503" s="12">
        <v>-74.981200000000001</v>
      </c>
      <c r="J3503" t="s">
        <v>1666</v>
      </c>
      <c r="K3503" t="s">
        <v>97</v>
      </c>
      <c r="L3503" t="s">
        <v>1273</v>
      </c>
      <c r="M3503">
        <v>11</v>
      </c>
      <c r="P3503" s="13">
        <v>180</v>
      </c>
      <c r="Q3503" s="13">
        <v>54</v>
      </c>
      <c r="R3503">
        <v>12</v>
      </c>
      <c r="S3503">
        <v>48</v>
      </c>
      <c r="T3503" s="13">
        <v>31</v>
      </c>
      <c r="U3503" s="13">
        <v>35</v>
      </c>
      <c r="V3503" t="s">
        <v>99</v>
      </c>
      <c r="X3503" s="13">
        <v>180</v>
      </c>
    </row>
    <row r="3504" spans="1:24" x14ac:dyDescent="0.25">
      <c r="A3504" t="s">
        <v>3362</v>
      </c>
      <c r="B3504" t="s">
        <v>65</v>
      </c>
      <c r="C3504" t="s">
        <v>3348</v>
      </c>
      <c r="D3504" t="s">
        <v>3349</v>
      </c>
      <c r="E3504" t="s">
        <v>3257</v>
      </c>
      <c r="F3504" t="s">
        <v>94</v>
      </c>
      <c r="G3504" t="s">
        <v>277</v>
      </c>
      <c r="H3504" s="12">
        <v>6.9778000000000002</v>
      </c>
      <c r="I3504" s="12">
        <v>-74.981200000000001</v>
      </c>
      <c r="J3504" t="s">
        <v>1666</v>
      </c>
      <c r="K3504" t="s">
        <v>97</v>
      </c>
      <c r="L3504" t="s">
        <v>1273</v>
      </c>
      <c r="M3504">
        <v>11</v>
      </c>
      <c r="P3504" s="13">
        <v>179</v>
      </c>
      <c r="Q3504" s="13">
        <v>44</v>
      </c>
      <c r="R3504">
        <v>34</v>
      </c>
      <c r="S3504">
        <v>48</v>
      </c>
      <c r="T3504" s="13">
        <v>12</v>
      </c>
      <c r="U3504" s="13">
        <v>53</v>
      </c>
      <c r="V3504" t="s">
        <v>99</v>
      </c>
      <c r="X3504" s="13">
        <v>179</v>
      </c>
    </row>
    <row r="3505" spans="1:24" x14ac:dyDescent="0.25">
      <c r="A3505" t="s">
        <v>3363</v>
      </c>
      <c r="B3505" t="s">
        <v>65</v>
      </c>
      <c r="C3505" t="s">
        <v>3348</v>
      </c>
      <c r="D3505" t="s">
        <v>3349</v>
      </c>
      <c r="E3505" t="s">
        <v>3257</v>
      </c>
      <c r="F3505" t="s">
        <v>94</v>
      </c>
      <c r="G3505" t="s">
        <v>277</v>
      </c>
      <c r="H3505" s="12">
        <v>6.9778000000000002</v>
      </c>
      <c r="I3505" s="12">
        <v>-74.981200000000001</v>
      </c>
      <c r="J3505" t="s">
        <v>1666</v>
      </c>
      <c r="K3505" t="s">
        <v>97</v>
      </c>
      <c r="L3505" t="s">
        <v>1273</v>
      </c>
      <c r="M3505">
        <v>11</v>
      </c>
      <c r="P3505" s="13">
        <v>178</v>
      </c>
      <c r="Q3505" s="13">
        <v>46</v>
      </c>
      <c r="R3505">
        <v>28</v>
      </c>
      <c r="S3505">
        <v>32</v>
      </c>
      <c r="T3505" s="13">
        <v>28</v>
      </c>
      <c r="U3505" s="13">
        <v>60</v>
      </c>
      <c r="V3505" t="s">
        <v>99</v>
      </c>
      <c r="X3505" s="13">
        <v>178</v>
      </c>
    </row>
    <row r="3506" spans="1:24" x14ac:dyDescent="0.25">
      <c r="A3506" t="s">
        <v>3364</v>
      </c>
      <c r="B3506" t="s">
        <v>65</v>
      </c>
      <c r="C3506" t="s">
        <v>3348</v>
      </c>
      <c r="D3506" t="s">
        <v>3349</v>
      </c>
      <c r="E3506" t="s">
        <v>3257</v>
      </c>
      <c r="F3506" t="s">
        <v>94</v>
      </c>
      <c r="G3506" t="s">
        <v>277</v>
      </c>
      <c r="H3506" s="12">
        <v>6.9778000000000002</v>
      </c>
      <c r="I3506" s="12">
        <v>-74.981200000000001</v>
      </c>
      <c r="J3506" t="s">
        <v>1666</v>
      </c>
      <c r="K3506" t="s">
        <v>97</v>
      </c>
      <c r="L3506" t="s">
        <v>1273</v>
      </c>
      <c r="M3506">
        <v>11</v>
      </c>
      <c r="P3506" s="13">
        <v>174</v>
      </c>
      <c r="Q3506" s="13">
        <v>34</v>
      </c>
      <c r="R3506">
        <v>36</v>
      </c>
      <c r="S3506">
        <v>38</v>
      </c>
      <c r="T3506" s="13">
        <v>24</v>
      </c>
      <c r="U3506" s="13">
        <v>55</v>
      </c>
      <c r="V3506" t="s">
        <v>99</v>
      </c>
      <c r="X3506" s="13">
        <v>174</v>
      </c>
    </row>
    <row r="3507" spans="1:24" x14ac:dyDescent="0.25">
      <c r="A3507" t="s">
        <v>3365</v>
      </c>
      <c r="B3507" t="s">
        <v>65</v>
      </c>
      <c r="C3507" t="s">
        <v>3348</v>
      </c>
      <c r="D3507" t="s">
        <v>3349</v>
      </c>
      <c r="E3507" t="s">
        <v>3257</v>
      </c>
      <c r="F3507" t="s">
        <v>94</v>
      </c>
      <c r="G3507" t="s">
        <v>277</v>
      </c>
      <c r="H3507" s="12">
        <v>6.9778000000000002</v>
      </c>
      <c r="I3507" s="12">
        <v>-74.981200000000001</v>
      </c>
      <c r="J3507" t="s">
        <v>1666</v>
      </c>
      <c r="K3507" t="s">
        <v>97</v>
      </c>
      <c r="L3507" t="s">
        <v>1273</v>
      </c>
      <c r="M3507">
        <v>11</v>
      </c>
      <c r="P3507" s="13">
        <v>171</v>
      </c>
      <c r="Q3507" s="13">
        <v>34</v>
      </c>
      <c r="R3507">
        <v>20</v>
      </c>
      <c r="S3507">
        <v>40</v>
      </c>
      <c r="T3507" s="13">
        <v>36</v>
      </c>
      <c r="U3507" s="13">
        <v>53</v>
      </c>
      <c r="V3507" t="s">
        <v>99</v>
      </c>
      <c r="X3507" s="13">
        <v>171</v>
      </c>
    </row>
    <row r="3508" spans="1:24" x14ac:dyDescent="0.25">
      <c r="A3508" t="s">
        <v>3366</v>
      </c>
      <c r="B3508" t="s">
        <v>65</v>
      </c>
      <c r="C3508" t="s">
        <v>3348</v>
      </c>
      <c r="D3508" t="s">
        <v>3349</v>
      </c>
      <c r="E3508" t="s">
        <v>3257</v>
      </c>
      <c r="F3508" t="s">
        <v>94</v>
      </c>
      <c r="G3508" t="s">
        <v>277</v>
      </c>
      <c r="H3508" s="12">
        <v>6.9778000000000002</v>
      </c>
      <c r="I3508" s="12">
        <v>-74.981200000000001</v>
      </c>
      <c r="J3508" t="s">
        <v>1666</v>
      </c>
      <c r="K3508" t="s">
        <v>97</v>
      </c>
      <c r="L3508" t="s">
        <v>1273</v>
      </c>
      <c r="M3508">
        <v>11</v>
      </c>
      <c r="P3508" s="13">
        <v>170</v>
      </c>
      <c r="Q3508" s="13">
        <v>37</v>
      </c>
      <c r="R3508">
        <v>30</v>
      </c>
      <c r="S3508">
        <v>34</v>
      </c>
      <c r="T3508" s="13">
        <v>34</v>
      </c>
      <c r="U3508" s="13">
        <v>36</v>
      </c>
      <c r="V3508" t="s">
        <v>99</v>
      </c>
      <c r="X3508" s="13">
        <v>170</v>
      </c>
    </row>
    <row r="3509" spans="1:24" x14ac:dyDescent="0.25">
      <c r="A3509" t="s">
        <v>3367</v>
      </c>
      <c r="B3509" t="s">
        <v>65</v>
      </c>
      <c r="C3509" t="s">
        <v>3348</v>
      </c>
      <c r="D3509" t="s">
        <v>3349</v>
      </c>
      <c r="E3509" t="s">
        <v>3257</v>
      </c>
      <c r="F3509" t="s">
        <v>94</v>
      </c>
      <c r="G3509" t="s">
        <v>277</v>
      </c>
      <c r="H3509" s="12">
        <v>6.9778000000000002</v>
      </c>
      <c r="I3509" s="12">
        <v>-74.981200000000001</v>
      </c>
      <c r="J3509" t="s">
        <v>1666</v>
      </c>
      <c r="K3509" t="s">
        <v>97</v>
      </c>
      <c r="L3509" t="s">
        <v>1273</v>
      </c>
      <c r="M3509">
        <v>11</v>
      </c>
      <c r="P3509" s="13">
        <v>166</v>
      </c>
      <c r="Q3509" s="13">
        <v>20</v>
      </c>
      <c r="R3509">
        <v>26</v>
      </c>
      <c r="S3509">
        <v>52</v>
      </c>
      <c r="T3509" s="13">
        <v>33</v>
      </c>
      <c r="U3509" s="13">
        <v>42</v>
      </c>
      <c r="V3509" t="s">
        <v>99</v>
      </c>
      <c r="X3509" s="13">
        <v>166</v>
      </c>
    </row>
    <row r="3510" spans="1:24" x14ac:dyDescent="0.25">
      <c r="A3510" t="s">
        <v>3368</v>
      </c>
      <c r="B3510" t="s">
        <v>65</v>
      </c>
      <c r="C3510" t="s">
        <v>3348</v>
      </c>
      <c r="D3510" t="s">
        <v>3349</v>
      </c>
      <c r="E3510" t="s">
        <v>3257</v>
      </c>
      <c r="F3510" t="s">
        <v>94</v>
      </c>
      <c r="G3510" t="s">
        <v>277</v>
      </c>
      <c r="H3510" s="12">
        <v>6.9778000000000002</v>
      </c>
      <c r="I3510" s="12">
        <v>-74.981200000000001</v>
      </c>
      <c r="J3510" t="s">
        <v>1666</v>
      </c>
      <c r="K3510" t="s">
        <v>97</v>
      </c>
      <c r="L3510" t="s">
        <v>1273</v>
      </c>
      <c r="M3510">
        <v>11</v>
      </c>
      <c r="P3510" s="13">
        <v>165</v>
      </c>
      <c r="Q3510" s="13">
        <v>29</v>
      </c>
      <c r="R3510">
        <v>28</v>
      </c>
      <c r="S3510">
        <v>44</v>
      </c>
      <c r="T3510" s="13">
        <v>28</v>
      </c>
      <c r="U3510" s="13">
        <v>44</v>
      </c>
      <c r="V3510" t="s">
        <v>99</v>
      </c>
      <c r="X3510" s="13">
        <v>165</v>
      </c>
    </row>
    <row r="3511" spans="1:24" x14ac:dyDescent="0.25">
      <c r="A3511" t="s">
        <v>3369</v>
      </c>
      <c r="B3511" t="s">
        <v>65</v>
      </c>
      <c r="C3511" t="s">
        <v>3348</v>
      </c>
      <c r="D3511" t="s">
        <v>3349</v>
      </c>
      <c r="E3511" t="s">
        <v>3257</v>
      </c>
      <c r="F3511" t="s">
        <v>94</v>
      </c>
      <c r="G3511" t="s">
        <v>277</v>
      </c>
      <c r="H3511" s="12">
        <v>6.9778000000000002</v>
      </c>
      <c r="I3511" s="12">
        <v>-74.981200000000001</v>
      </c>
      <c r="J3511" t="s">
        <v>1666</v>
      </c>
      <c r="K3511" t="s">
        <v>97</v>
      </c>
      <c r="L3511" t="s">
        <v>1273</v>
      </c>
      <c r="M3511">
        <v>11</v>
      </c>
      <c r="P3511" s="13">
        <v>165</v>
      </c>
      <c r="Q3511" s="13">
        <v>37</v>
      </c>
      <c r="R3511">
        <v>28</v>
      </c>
      <c r="S3511">
        <v>40</v>
      </c>
      <c r="T3511" s="13">
        <v>28</v>
      </c>
      <c r="U3511" s="13">
        <v>33</v>
      </c>
      <c r="V3511" t="s">
        <v>99</v>
      </c>
      <c r="X3511" s="13">
        <v>165</v>
      </c>
    </row>
    <row r="3512" spans="1:24" x14ac:dyDescent="0.25">
      <c r="A3512" t="s">
        <v>3370</v>
      </c>
      <c r="B3512" t="s">
        <v>65</v>
      </c>
      <c r="C3512" t="s">
        <v>3348</v>
      </c>
      <c r="D3512" t="s">
        <v>3349</v>
      </c>
      <c r="E3512" t="s">
        <v>3257</v>
      </c>
      <c r="F3512" t="s">
        <v>94</v>
      </c>
      <c r="G3512" t="s">
        <v>277</v>
      </c>
      <c r="H3512" s="12">
        <v>6.9778000000000002</v>
      </c>
      <c r="I3512" s="12">
        <v>-74.981200000000001</v>
      </c>
      <c r="J3512" t="s">
        <v>1666</v>
      </c>
      <c r="K3512" t="s">
        <v>97</v>
      </c>
      <c r="L3512" t="s">
        <v>1273</v>
      </c>
      <c r="M3512">
        <v>11</v>
      </c>
      <c r="P3512" s="13">
        <v>159</v>
      </c>
      <c r="Q3512" s="13">
        <v>41</v>
      </c>
      <c r="R3512">
        <v>18</v>
      </c>
      <c r="S3512">
        <v>36</v>
      </c>
      <c r="T3512" s="13">
        <v>31</v>
      </c>
      <c r="U3512" s="13">
        <v>35</v>
      </c>
      <c r="V3512" t="s">
        <v>99</v>
      </c>
      <c r="X3512" s="13">
        <v>159</v>
      </c>
    </row>
    <row r="3513" spans="1:24" x14ac:dyDescent="0.25">
      <c r="A3513" t="s">
        <v>3371</v>
      </c>
      <c r="B3513" t="s">
        <v>65</v>
      </c>
      <c r="C3513" t="s">
        <v>3348</v>
      </c>
      <c r="D3513" t="s">
        <v>3349</v>
      </c>
      <c r="E3513" t="s">
        <v>3257</v>
      </c>
      <c r="F3513" t="s">
        <v>94</v>
      </c>
      <c r="G3513" t="s">
        <v>277</v>
      </c>
      <c r="H3513" s="12">
        <v>6.9778000000000002</v>
      </c>
      <c r="I3513" s="12">
        <v>-74.981200000000001</v>
      </c>
      <c r="J3513" t="s">
        <v>1666</v>
      </c>
      <c r="K3513" t="s">
        <v>97</v>
      </c>
      <c r="L3513" t="s">
        <v>1273</v>
      </c>
      <c r="M3513">
        <v>11</v>
      </c>
      <c r="P3513" s="13">
        <v>159</v>
      </c>
      <c r="Q3513" s="13">
        <v>46</v>
      </c>
      <c r="R3513">
        <v>18</v>
      </c>
      <c r="S3513">
        <v>32</v>
      </c>
      <c r="T3513" s="13">
        <v>26</v>
      </c>
      <c r="U3513" s="13">
        <v>47</v>
      </c>
      <c r="V3513" t="s">
        <v>99</v>
      </c>
      <c r="X3513" s="13">
        <v>159</v>
      </c>
    </row>
    <row r="3514" spans="1:24" x14ac:dyDescent="0.25">
      <c r="A3514" t="s">
        <v>3372</v>
      </c>
      <c r="B3514" t="s">
        <v>65</v>
      </c>
      <c r="C3514" t="s">
        <v>3348</v>
      </c>
      <c r="D3514" t="s">
        <v>3349</v>
      </c>
      <c r="E3514" t="s">
        <v>3257</v>
      </c>
      <c r="F3514" t="s">
        <v>94</v>
      </c>
      <c r="G3514" t="s">
        <v>277</v>
      </c>
      <c r="H3514" s="12">
        <v>6.9778000000000002</v>
      </c>
      <c r="I3514" s="12">
        <v>-74.981200000000001</v>
      </c>
      <c r="J3514" t="s">
        <v>1666</v>
      </c>
      <c r="K3514" t="s">
        <v>97</v>
      </c>
      <c r="L3514" t="s">
        <v>1273</v>
      </c>
      <c r="M3514">
        <v>11</v>
      </c>
      <c r="P3514" s="13">
        <v>159</v>
      </c>
      <c r="Q3514" s="13">
        <v>39</v>
      </c>
      <c r="R3514">
        <v>28</v>
      </c>
      <c r="S3514">
        <v>26</v>
      </c>
      <c r="T3514" s="13">
        <v>34</v>
      </c>
      <c r="U3514" s="13">
        <v>31</v>
      </c>
      <c r="V3514" t="s">
        <v>99</v>
      </c>
      <c r="X3514" s="13">
        <v>159</v>
      </c>
    </row>
    <row r="3515" spans="1:24" x14ac:dyDescent="0.25">
      <c r="A3515" t="s">
        <v>3373</v>
      </c>
      <c r="B3515" t="s">
        <v>65</v>
      </c>
      <c r="C3515" t="s">
        <v>3348</v>
      </c>
      <c r="D3515" t="s">
        <v>3349</v>
      </c>
      <c r="E3515" t="s">
        <v>3257</v>
      </c>
      <c r="F3515" t="s">
        <v>94</v>
      </c>
      <c r="G3515" t="s">
        <v>277</v>
      </c>
      <c r="H3515" s="12">
        <v>6.9778000000000002</v>
      </c>
      <c r="I3515" s="12">
        <v>-74.981200000000001</v>
      </c>
      <c r="J3515" t="s">
        <v>1666</v>
      </c>
      <c r="K3515" t="s">
        <v>97</v>
      </c>
      <c r="L3515" t="s">
        <v>1273</v>
      </c>
      <c r="M3515">
        <v>11</v>
      </c>
      <c r="P3515" s="13">
        <v>159</v>
      </c>
      <c r="Q3515" s="13">
        <v>44</v>
      </c>
      <c r="R3515">
        <v>18</v>
      </c>
      <c r="S3515">
        <v>38</v>
      </c>
      <c r="T3515" s="13">
        <v>24</v>
      </c>
      <c r="U3515" s="13">
        <v>40</v>
      </c>
      <c r="V3515" t="s">
        <v>99</v>
      </c>
      <c r="X3515" s="13">
        <v>159</v>
      </c>
    </row>
    <row r="3516" spans="1:24" x14ac:dyDescent="0.25">
      <c r="A3516" t="s">
        <v>3374</v>
      </c>
      <c r="B3516" t="s">
        <v>65</v>
      </c>
      <c r="C3516" t="s">
        <v>3348</v>
      </c>
      <c r="D3516" t="s">
        <v>3349</v>
      </c>
      <c r="E3516" t="s">
        <v>3257</v>
      </c>
      <c r="F3516" t="s">
        <v>94</v>
      </c>
      <c r="G3516" t="s">
        <v>277</v>
      </c>
      <c r="H3516" s="12">
        <v>6.9778000000000002</v>
      </c>
      <c r="I3516" s="12">
        <v>-74.981200000000001</v>
      </c>
      <c r="J3516" t="s">
        <v>1666</v>
      </c>
      <c r="K3516" t="s">
        <v>97</v>
      </c>
      <c r="L3516" t="s">
        <v>1273</v>
      </c>
      <c r="M3516">
        <v>11</v>
      </c>
      <c r="P3516" s="13">
        <v>158</v>
      </c>
      <c r="Q3516" s="13">
        <v>32</v>
      </c>
      <c r="R3516">
        <v>28</v>
      </c>
      <c r="S3516">
        <v>38</v>
      </c>
      <c r="T3516" s="13">
        <v>22</v>
      </c>
      <c r="U3516" s="13">
        <v>51</v>
      </c>
      <c r="V3516" t="s">
        <v>99</v>
      </c>
      <c r="X3516" s="13">
        <v>158</v>
      </c>
    </row>
    <row r="3517" spans="1:24" x14ac:dyDescent="0.25">
      <c r="A3517" t="s">
        <v>3375</v>
      </c>
      <c r="B3517" t="s">
        <v>65</v>
      </c>
      <c r="C3517" t="s">
        <v>3348</v>
      </c>
      <c r="D3517" t="s">
        <v>3349</v>
      </c>
      <c r="E3517" t="s">
        <v>3257</v>
      </c>
      <c r="F3517" t="s">
        <v>94</v>
      </c>
      <c r="G3517" t="s">
        <v>277</v>
      </c>
      <c r="H3517" s="12">
        <v>6.9778000000000002</v>
      </c>
      <c r="I3517" s="12">
        <v>-74.981200000000001</v>
      </c>
      <c r="J3517" t="s">
        <v>1666</v>
      </c>
      <c r="K3517" t="s">
        <v>97</v>
      </c>
      <c r="L3517" t="s">
        <v>1273</v>
      </c>
      <c r="M3517">
        <v>11</v>
      </c>
      <c r="P3517" s="13">
        <v>157</v>
      </c>
      <c r="Q3517" s="13">
        <v>29</v>
      </c>
      <c r="R3517">
        <v>28</v>
      </c>
      <c r="S3517">
        <v>32</v>
      </c>
      <c r="T3517" s="13">
        <v>38</v>
      </c>
      <c r="U3517" s="13">
        <v>27</v>
      </c>
      <c r="V3517" t="s">
        <v>99</v>
      </c>
      <c r="X3517" s="13">
        <v>157</v>
      </c>
    </row>
    <row r="3518" spans="1:24" x14ac:dyDescent="0.25">
      <c r="A3518" t="s">
        <v>3376</v>
      </c>
      <c r="B3518" t="s">
        <v>65</v>
      </c>
      <c r="C3518" t="s">
        <v>3348</v>
      </c>
      <c r="D3518" t="s">
        <v>3349</v>
      </c>
      <c r="E3518" t="s">
        <v>3257</v>
      </c>
      <c r="F3518" t="s">
        <v>94</v>
      </c>
      <c r="G3518" t="s">
        <v>277</v>
      </c>
      <c r="H3518" s="12">
        <v>6.9778000000000002</v>
      </c>
      <c r="I3518" s="12">
        <v>-74.981200000000001</v>
      </c>
      <c r="J3518" t="s">
        <v>1666</v>
      </c>
      <c r="K3518" t="s">
        <v>97</v>
      </c>
      <c r="L3518" t="s">
        <v>1273</v>
      </c>
      <c r="M3518">
        <v>11</v>
      </c>
      <c r="P3518" s="13">
        <v>156</v>
      </c>
      <c r="Q3518" s="13">
        <v>37</v>
      </c>
      <c r="R3518">
        <v>24</v>
      </c>
      <c r="S3518">
        <v>36</v>
      </c>
      <c r="T3518" s="13">
        <v>22</v>
      </c>
      <c r="U3518" s="13">
        <v>49</v>
      </c>
      <c r="V3518" t="s">
        <v>99</v>
      </c>
      <c r="X3518" s="13">
        <v>156</v>
      </c>
    </row>
    <row r="3519" spans="1:24" x14ac:dyDescent="0.25">
      <c r="A3519" t="s">
        <v>3377</v>
      </c>
      <c r="B3519" t="s">
        <v>65</v>
      </c>
      <c r="C3519" t="s">
        <v>3348</v>
      </c>
      <c r="D3519" t="s">
        <v>3349</v>
      </c>
      <c r="E3519" t="s">
        <v>3257</v>
      </c>
      <c r="F3519" t="s">
        <v>94</v>
      </c>
      <c r="G3519" t="s">
        <v>277</v>
      </c>
      <c r="H3519" s="12">
        <v>6.9778000000000002</v>
      </c>
      <c r="I3519" s="12">
        <v>-74.981200000000001</v>
      </c>
      <c r="J3519" t="s">
        <v>1666</v>
      </c>
      <c r="K3519" t="s">
        <v>97</v>
      </c>
      <c r="L3519" t="s">
        <v>1273</v>
      </c>
      <c r="M3519">
        <v>11</v>
      </c>
      <c r="P3519" s="13">
        <v>153</v>
      </c>
      <c r="Q3519" s="13">
        <v>44</v>
      </c>
      <c r="R3519">
        <v>24</v>
      </c>
      <c r="S3519">
        <v>28</v>
      </c>
      <c r="T3519" s="13">
        <v>28</v>
      </c>
      <c r="U3519" s="13">
        <v>27</v>
      </c>
      <c r="V3519" t="s">
        <v>99</v>
      </c>
      <c r="X3519" s="13">
        <v>153</v>
      </c>
    </row>
    <row r="3520" spans="1:24" x14ac:dyDescent="0.25">
      <c r="A3520" t="s">
        <v>3378</v>
      </c>
      <c r="B3520" t="s">
        <v>65</v>
      </c>
      <c r="C3520" t="s">
        <v>3348</v>
      </c>
      <c r="D3520" t="s">
        <v>3349</v>
      </c>
      <c r="E3520" t="s">
        <v>3257</v>
      </c>
      <c r="F3520" t="s">
        <v>94</v>
      </c>
      <c r="G3520" t="s">
        <v>277</v>
      </c>
      <c r="H3520" s="12">
        <v>6.9778000000000002</v>
      </c>
      <c r="I3520" s="12">
        <v>-74.981200000000001</v>
      </c>
      <c r="J3520" t="s">
        <v>1666</v>
      </c>
      <c r="K3520" t="s">
        <v>97</v>
      </c>
      <c r="L3520" t="s">
        <v>1273</v>
      </c>
      <c r="M3520">
        <v>11</v>
      </c>
      <c r="P3520" s="13">
        <v>144</v>
      </c>
      <c r="Q3520" s="13">
        <v>22</v>
      </c>
      <c r="R3520">
        <v>28</v>
      </c>
      <c r="S3520">
        <v>40</v>
      </c>
      <c r="T3520" s="13">
        <v>21</v>
      </c>
      <c r="U3520" s="13">
        <v>44</v>
      </c>
      <c r="V3520" t="s">
        <v>99</v>
      </c>
      <c r="X3520" s="13">
        <v>144</v>
      </c>
    </row>
    <row r="3521" spans="1:24" x14ac:dyDescent="0.25">
      <c r="A3521" t="s">
        <v>3379</v>
      </c>
      <c r="B3521" t="s">
        <v>65</v>
      </c>
      <c r="C3521" t="s">
        <v>3348</v>
      </c>
      <c r="D3521" t="s">
        <v>3349</v>
      </c>
      <c r="E3521" t="s">
        <v>3257</v>
      </c>
      <c r="F3521" t="s">
        <v>94</v>
      </c>
      <c r="G3521" t="s">
        <v>277</v>
      </c>
      <c r="H3521" s="12">
        <v>6.9778000000000002</v>
      </c>
      <c r="I3521" s="12">
        <v>-74.981200000000001</v>
      </c>
      <c r="J3521" t="s">
        <v>1666</v>
      </c>
      <c r="K3521" t="s">
        <v>97</v>
      </c>
      <c r="L3521" t="s">
        <v>1273</v>
      </c>
      <c r="M3521">
        <v>11</v>
      </c>
      <c r="P3521" s="13">
        <v>144</v>
      </c>
      <c r="Q3521" s="13">
        <v>27</v>
      </c>
      <c r="R3521">
        <v>20</v>
      </c>
      <c r="S3521">
        <v>38</v>
      </c>
      <c r="T3521" s="13">
        <v>26</v>
      </c>
      <c r="U3521" s="13">
        <v>42</v>
      </c>
      <c r="V3521" t="s">
        <v>99</v>
      </c>
      <c r="X3521" s="13">
        <v>144</v>
      </c>
    </row>
    <row r="3522" spans="1:24" x14ac:dyDescent="0.25">
      <c r="A3522" t="s">
        <v>3380</v>
      </c>
      <c r="B3522" t="s">
        <v>65</v>
      </c>
      <c r="C3522" t="s">
        <v>3348</v>
      </c>
      <c r="D3522" t="s">
        <v>3349</v>
      </c>
      <c r="E3522" t="s">
        <v>3257</v>
      </c>
      <c r="F3522" t="s">
        <v>94</v>
      </c>
      <c r="G3522" t="s">
        <v>277</v>
      </c>
      <c r="H3522" s="12">
        <v>6.9778000000000002</v>
      </c>
      <c r="I3522" s="12">
        <v>-74.981200000000001</v>
      </c>
      <c r="J3522" t="s">
        <v>1666</v>
      </c>
      <c r="K3522" t="s">
        <v>97</v>
      </c>
      <c r="L3522" t="s">
        <v>1273</v>
      </c>
      <c r="M3522">
        <v>11</v>
      </c>
      <c r="P3522" s="13">
        <v>143</v>
      </c>
      <c r="Q3522" s="13">
        <v>32</v>
      </c>
      <c r="R3522">
        <v>30</v>
      </c>
      <c r="S3522">
        <v>32</v>
      </c>
      <c r="T3522" s="13">
        <v>22</v>
      </c>
      <c r="U3522" s="13">
        <v>24</v>
      </c>
      <c r="V3522" t="s">
        <v>99</v>
      </c>
      <c r="X3522" s="13">
        <v>143</v>
      </c>
    </row>
    <row r="3523" spans="1:24" x14ac:dyDescent="0.25">
      <c r="A3523" t="s">
        <v>3381</v>
      </c>
      <c r="B3523" t="s">
        <v>65</v>
      </c>
      <c r="C3523" t="s">
        <v>3348</v>
      </c>
      <c r="D3523" t="s">
        <v>3349</v>
      </c>
      <c r="E3523" t="s">
        <v>3257</v>
      </c>
      <c r="F3523" t="s">
        <v>94</v>
      </c>
      <c r="G3523" t="s">
        <v>277</v>
      </c>
      <c r="H3523" s="12">
        <v>6.9778000000000002</v>
      </c>
      <c r="I3523" s="12">
        <v>-74.981200000000001</v>
      </c>
      <c r="J3523" t="s">
        <v>1666</v>
      </c>
      <c r="K3523" t="s">
        <v>97</v>
      </c>
      <c r="L3523" t="s">
        <v>1273</v>
      </c>
      <c r="M3523">
        <v>11</v>
      </c>
      <c r="P3523" s="13">
        <v>143</v>
      </c>
      <c r="Q3523" s="13">
        <v>27</v>
      </c>
      <c r="R3523">
        <v>20</v>
      </c>
      <c r="S3523">
        <v>32</v>
      </c>
      <c r="T3523" s="13">
        <v>31</v>
      </c>
      <c r="U3523" s="13">
        <v>42</v>
      </c>
      <c r="V3523" t="s">
        <v>99</v>
      </c>
      <c r="X3523" s="13">
        <v>143</v>
      </c>
    </row>
    <row r="3524" spans="1:24" x14ac:dyDescent="0.25">
      <c r="A3524" t="s">
        <v>3382</v>
      </c>
      <c r="B3524" t="s">
        <v>65</v>
      </c>
      <c r="C3524" t="s">
        <v>3348</v>
      </c>
      <c r="D3524" t="s">
        <v>3349</v>
      </c>
      <c r="E3524" t="s">
        <v>3257</v>
      </c>
      <c r="F3524" t="s">
        <v>94</v>
      </c>
      <c r="G3524" t="s">
        <v>277</v>
      </c>
      <c r="H3524" s="12">
        <v>6.9778000000000002</v>
      </c>
      <c r="I3524" s="12">
        <v>-74.981200000000001</v>
      </c>
      <c r="J3524" t="s">
        <v>1666</v>
      </c>
      <c r="K3524" t="s">
        <v>97</v>
      </c>
      <c r="L3524" t="s">
        <v>1273</v>
      </c>
      <c r="M3524">
        <v>11</v>
      </c>
      <c r="P3524" s="13">
        <v>141</v>
      </c>
      <c r="Q3524" s="13">
        <v>37</v>
      </c>
      <c r="R3524">
        <v>12</v>
      </c>
      <c r="S3524">
        <v>34</v>
      </c>
      <c r="T3524" s="13">
        <v>26</v>
      </c>
      <c r="U3524" s="13">
        <v>40</v>
      </c>
      <c r="V3524" t="s">
        <v>99</v>
      </c>
      <c r="X3524" s="13">
        <v>141</v>
      </c>
    </row>
    <row r="3525" spans="1:24" x14ac:dyDescent="0.25">
      <c r="A3525" t="s">
        <v>3383</v>
      </c>
      <c r="B3525" t="s">
        <v>65</v>
      </c>
      <c r="C3525" t="s">
        <v>3348</v>
      </c>
      <c r="D3525" t="s">
        <v>3349</v>
      </c>
      <c r="E3525" t="s">
        <v>3257</v>
      </c>
      <c r="F3525" t="s">
        <v>94</v>
      </c>
      <c r="G3525" t="s">
        <v>277</v>
      </c>
      <c r="H3525" s="12">
        <v>6.9778000000000002</v>
      </c>
      <c r="I3525" s="12">
        <v>-74.981200000000001</v>
      </c>
      <c r="J3525" t="s">
        <v>1666</v>
      </c>
      <c r="K3525" t="s">
        <v>97</v>
      </c>
      <c r="L3525" t="s">
        <v>1273</v>
      </c>
      <c r="M3525">
        <v>11</v>
      </c>
      <c r="P3525" s="13">
        <v>140</v>
      </c>
      <c r="Q3525" s="13">
        <v>27</v>
      </c>
      <c r="R3525">
        <v>24</v>
      </c>
      <c r="S3525">
        <v>38</v>
      </c>
      <c r="T3525" s="13">
        <v>22</v>
      </c>
      <c r="U3525" s="13">
        <v>29</v>
      </c>
      <c r="V3525" t="s">
        <v>99</v>
      </c>
      <c r="X3525" s="13">
        <v>140</v>
      </c>
    </row>
    <row r="3526" spans="1:24" x14ac:dyDescent="0.25">
      <c r="A3526" t="s">
        <v>3384</v>
      </c>
      <c r="B3526" t="s">
        <v>65</v>
      </c>
      <c r="C3526" t="s">
        <v>3348</v>
      </c>
      <c r="D3526" t="s">
        <v>3349</v>
      </c>
      <c r="E3526" t="s">
        <v>3257</v>
      </c>
      <c r="F3526" t="s">
        <v>94</v>
      </c>
      <c r="G3526" t="s">
        <v>277</v>
      </c>
      <c r="H3526" s="12">
        <v>6.9778000000000002</v>
      </c>
      <c r="I3526" s="12">
        <v>-74.981200000000001</v>
      </c>
      <c r="J3526" t="s">
        <v>1666</v>
      </c>
      <c r="K3526" t="s">
        <v>97</v>
      </c>
      <c r="L3526" t="s">
        <v>1273</v>
      </c>
      <c r="M3526">
        <v>11</v>
      </c>
      <c r="P3526" s="13">
        <v>137</v>
      </c>
      <c r="Q3526" s="13">
        <v>34</v>
      </c>
      <c r="R3526">
        <v>24</v>
      </c>
      <c r="S3526">
        <v>34</v>
      </c>
      <c r="T3526" s="13">
        <v>17</v>
      </c>
      <c r="U3526" s="13">
        <v>27</v>
      </c>
      <c r="V3526" t="s">
        <v>99</v>
      </c>
      <c r="X3526" s="13">
        <v>137</v>
      </c>
    </row>
    <row r="3527" spans="1:24" x14ac:dyDescent="0.25">
      <c r="A3527" t="s">
        <v>3385</v>
      </c>
      <c r="B3527" t="s">
        <v>65</v>
      </c>
      <c r="C3527" t="s">
        <v>3348</v>
      </c>
      <c r="D3527" t="s">
        <v>3349</v>
      </c>
      <c r="E3527" t="s">
        <v>3257</v>
      </c>
      <c r="F3527" t="s">
        <v>94</v>
      </c>
      <c r="G3527" t="s">
        <v>277</v>
      </c>
      <c r="H3527" s="12">
        <v>6.9778000000000002</v>
      </c>
      <c r="I3527" s="12">
        <v>-74.981200000000001</v>
      </c>
      <c r="J3527" t="s">
        <v>1666</v>
      </c>
      <c r="K3527" t="s">
        <v>97</v>
      </c>
      <c r="L3527" t="s">
        <v>1273</v>
      </c>
      <c r="M3527">
        <v>11</v>
      </c>
      <c r="P3527" s="13">
        <v>128</v>
      </c>
      <c r="Q3527" s="13">
        <v>39</v>
      </c>
      <c r="R3527">
        <v>20</v>
      </c>
      <c r="S3527">
        <v>22</v>
      </c>
      <c r="T3527" s="13">
        <v>24</v>
      </c>
      <c r="U3527" s="13">
        <v>18</v>
      </c>
      <c r="V3527" t="s">
        <v>99</v>
      </c>
      <c r="X3527" s="13">
        <v>128</v>
      </c>
    </row>
    <row r="3528" spans="1:24" x14ac:dyDescent="0.25">
      <c r="A3528" t="s">
        <v>3386</v>
      </c>
      <c r="B3528" t="s">
        <v>65</v>
      </c>
      <c r="C3528" t="s">
        <v>3348</v>
      </c>
      <c r="D3528" t="s">
        <v>3349</v>
      </c>
      <c r="E3528" t="s">
        <v>3257</v>
      </c>
      <c r="F3528" t="s">
        <v>94</v>
      </c>
      <c r="G3528" t="s">
        <v>277</v>
      </c>
      <c r="H3528" s="12">
        <v>6.9778000000000002</v>
      </c>
      <c r="I3528" s="12">
        <v>-74.981200000000001</v>
      </c>
      <c r="J3528" t="s">
        <v>1666</v>
      </c>
      <c r="K3528" t="s">
        <v>97</v>
      </c>
      <c r="L3528" t="s">
        <v>1273</v>
      </c>
      <c r="M3528">
        <v>11</v>
      </c>
      <c r="P3528" s="13">
        <v>125</v>
      </c>
      <c r="Q3528" s="13">
        <v>17</v>
      </c>
      <c r="R3528">
        <v>28</v>
      </c>
      <c r="S3528">
        <v>36</v>
      </c>
      <c r="T3528" s="13">
        <v>17</v>
      </c>
      <c r="U3528" s="13">
        <v>29</v>
      </c>
      <c r="V3528" t="s">
        <v>99</v>
      </c>
      <c r="X3528" s="13">
        <v>125</v>
      </c>
    </row>
    <row r="3529" spans="1:24" x14ac:dyDescent="0.25">
      <c r="A3529" t="s">
        <v>3387</v>
      </c>
      <c r="B3529" t="s">
        <v>65</v>
      </c>
      <c r="C3529" t="s">
        <v>3348</v>
      </c>
      <c r="D3529" t="s">
        <v>3349</v>
      </c>
      <c r="E3529" t="s">
        <v>3257</v>
      </c>
      <c r="F3529" t="s">
        <v>94</v>
      </c>
      <c r="G3529" t="s">
        <v>277</v>
      </c>
      <c r="H3529" s="12">
        <v>6.9778000000000002</v>
      </c>
      <c r="I3529" s="12">
        <v>-74.981200000000001</v>
      </c>
      <c r="J3529" t="s">
        <v>1666</v>
      </c>
      <c r="K3529" t="s">
        <v>97</v>
      </c>
      <c r="L3529" t="s">
        <v>1273</v>
      </c>
      <c r="M3529">
        <v>11</v>
      </c>
      <c r="P3529" s="13">
        <v>121</v>
      </c>
      <c r="Q3529" s="13">
        <v>54</v>
      </c>
      <c r="R3529">
        <v>24</v>
      </c>
      <c r="S3529">
        <v>12</v>
      </c>
      <c r="T3529" s="13">
        <v>16</v>
      </c>
      <c r="U3529" s="13">
        <v>0</v>
      </c>
      <c r="V3529" t="s">
        <v>99</v>
      </c>
      <c r="X3529" s="13">
        <v>121</v>
      </c>
    </row>
    <row r="3530" spans="1:24" x14ac:dyDescent="0.25">
      <c r="A3530" t="s">
        <v>3388</v>
      </c>
      <c r="B3530" t="s">
        <v>65</v>
      </c>
      <c r="C3530" t="s">
        <v>3389</v>
      </c>
      <c r="D3530" t="s">
        <v>3390</v>
      </c>
      <c r="E3530" t="s">
        <v>3391</v>
      </c>
      <c r="F3530" t="s">
        <v>94</v>
      </c>
      <c r="G3530" t="s">
        <v>277</v>
      </c>
      <c r="H3530" s="12">
        <v>6.9157999999999999</v>
      </c>
      <c r="I3530" s="12">
        <v>-75.673900000000003</v>
      </c>
      <c r="J3530" t="s">
        <v>3392</v>
      </c>
      <c r="K3530" t="s">
        <v>97</v>
      </c>
      <c r="L3530" t="s">
        <v>1273</v>
      </c>
      <c r="M3530">
        <v>11</v>
      </c>
      <c r="P3530" s="13">
        <v>310</v>
      </c>
      <c r="Q3530" s="13">
        <v>66</v>
      </c>
      <c r="R3530">
        <v>62</v>
      </c>
      <c r="S3530">
        <v>60</v>
      </c>
      <c r="T3530" s="13">
        <v>57</v>
      </c>
      <c r="U3530" s="13">
        <v>71</v>
      </c>
      <c r="V3530" t="s">
        <v>99</v>
      </c>
      <c r="X3530" s="13">
        <v>310</v>
      </c>
    </row>
    <row r="3531" spans="1:24" x14ac:dyDescent="0.25">
      <c r="A3531" t="s">
        <v>3393</v>
      </c>
      <c r="B3531" t="s">
        <v>65</v>
      </c>
      <c r="C3531" t="s">
        <v>3389</v>
      </c>
      <c r="D3531" t="s">
        <v>3390</v>
      </c>
      <c r="E3531" t="s">
        <v>3391</v>
      </c>
      <c r="F3531" t="s">
        <v>94</v>
      </c>
      <c r="G3531" t="s">
        <v>277</v>
      </c>
      <c r="H3531" s="12">
        <v>6.9157999999999999</v>
      </c>
      <c r="I3531" s="12">
        <v>-75.673900000000003</v>
      </c>
      <c r="J3531" t="s">
        <v>3392</v>
      </c>
      <c r="K3531" t="s">
        <v>97</v>
      </c>
      <c r="L3531" t="s">
        <v>1273</v>
      </c>
      <c r="M3531">
        <v>11</v>
      </c>
      <c r="P3531" s="13">
        <v>262</v>
      </c>
      <c r="Q3531" s="13">
        <v>54</v>
      </c>
      <c r="R3531">
        <v>46</v>
      </c>
      <c r="S3531">
        <v>56</v>
      </c>
      <c r="T3531" s="13">
        <v>50</v>
      </c>
      <c r="U3531" s="13">
        <v>64</v>
      </c>
      <c r="V3531" t="s">
        <v>99</v>
      </c>
      <c r="X3531" s="13">
        <v>262</v>
      </c>
    </row>
    <row r="3532" spans="1:24" x14ac:dyDescent="0.25">
      <c r="A3532" t="s">
        <v>3394</v>
      </c>
      <c r="B3532" t="s">
        <v>65</v>
      </c>
      <c r="C3532" t="s">
        <v>3389</v>
      </c>
      <c r="D3532" t="s">
        <v>3390</v>
      </c>
      <c r="E3532" t="s">
        <v>3391</v>
      </c>
      <c r="F3532" t="s">
        <v>94</v>
      </c>
      <c r="G3532" t="s">
        <v>277</v>
      </c>
      <c r="H3532" s="12">
        <v>6.9157999999999999</v>
      </c>
      <c r="I3532" s="12">
        <v>-75.673900000000003</v>
      </c>
      <c r="J3532" t="s">
        <v>3392</v>
      </c>
      <c r="K3532" t="s">
        <v>97</v>
      </c>
      <c r="L3532" t="s">
        <v>1273</v>
      </c>
      <c r="M3532">
        <v>11</v>
      </c>
      <c r="P3532" s="13">
        <v>258</v>
      </c>
      <c r="Q3532" s="13">
        <v>73</v>
      </c>
      <c r="R3532">
        <v>36</v>
      </c>
      <c r="S3532">
        <v>52</v>
      </c>
      <c r="T3532" s="13">
        <v>36</v>
      </c>
      <c r="U3532" s="13">
        <v>78</v>
      </c>
      <c r="V3532" t="s">
        <v>99</v>
      </c>
      <c r="X3532" s="13">
        <v>258</v>
      </c>
    </row>
    <row r="3533" spans="1:24" x14ac:dyDescent="0.25">
      <c r="A3533" t="s">
        <v>3395</v>
      </c>
      <c r="B3533" t="s">
        <v>65</v>
      </c>
      <c r="C3533" t="s">
        <v>3389</v>
      </c>
      <c r="D3533" t="s">
        <v>3390</v>
      </c>
      <c r="E3533" t="s">
        <v>3391</v>
      </c>
      <c r="F3533" t="s">
        <v>94</v>
      </c>
      <c r="G3533" t="s">
        <v>277</v>
      </c>
      <c r="H3533" s="12">
        <v>6.9157999999999999</v>
      </c>
      <c r="I3533" s="12">
        <v>-75.673900000000003</v>
      </c>
      <c r="J3533" t="s">
        <v>3392</v>
      </c>
      <c r="K3533" t="s">
        <v>97</v>
      </c>
      <c r="L3533" t="s">
        <v>1273</v>
      </c>
      <c r="M3533">
        <v>11</v>
      </c>
      <c r="P3533" s="13">
        <v>238</v>
      </c>
      <c r="Q3533" s="13">
        <v>59</v>
      </c>
      <c r="R3533">
        <v>36</v>
      </c>
      <c r="S3533">
        <v>58</v>
      </c>
      <c r="T3533" s="13">
        <v>29</v>
      </c>
      <c r="U3533" s="13">
        <v>73</v>
      </c>
      <c r="V3533" t="s">
        <v>99</v>
      </c>
      <c r="X3533" s="13">
        <v>238</v>
      </c>
    </row>
    <row r="3534" spans="1:24" x14ac:dyDescent="0.25">
      <c r="A3534" t="s">
        <v>3396</v>
      </c>
      <c r="B3534" t="s">
        <v>65</v>
      </c>
      <c r="C3534" t="s">
        <v>3389</v>
      </c>
      <c r="D3534" t="s">
        <v>3390</v>
      </c>
      <c r="E3534" t="s">
        <v>3391</v>
      </c>
      <c r="F3534" t="s">
        <v>94</v>
      </c>
      <c r="G3534" t="s">
        <v>277</v>
      </c>
      <c r="H3534" s="12">
        <v>6.9157999999999999</v>
      </c>
      <c r="I3534" s="12">
        <v>-75.673900000000003</v>
      </c>
      <c r="J3534" t="s">
        <v>3392</v>
      </c>
      <c r="K3534" t="s">
        <v>97</v>
      </c>
      <c r="L3534" t="s">
        <v>1273</v>
      </c>
      <c r="M3534">
        <v>11</v>
      </c>
      <c r="P3534" s="13">
        <v>236</v>
      </c>
      <c r="Q3534" s="13">
        <v>61</v>
      </c>
      <c r="R3534">
        <v>34</v>
      </c>
      <c r="S3534">
        <v>58</v>
      </c>
      <c r="T3534" s="13">
        <v>31</v>
      </c>
      <c r="U3534" s="13">
        <v>62</v>
      </c>
      <c r="V3534" t="s">
        <v>99</v>
      </c>
      <c r="X3534" s="13">
        <v>236</v>
      </c>
    </row>
    <row r="3535" spans="1:24" x14ac:dyDescent="0.25">
      <c r="A3535" t="s">
        <v>3397</v>
      </c>
      <c r="B3535" t="s">
        <v>65</v>
      </c>
      <c r="C3535" t="s">
        <v>3389</v>
      </c>
      <c r="D3535" t="s">
        <v>3390</v>
      </c>
      <c r="E3535" t="s">
        <v>3391</v>
      </c>
      <c r="F3535" t="s">
        <v>94</v>
      </c>
      <c r="G3535" t="s">
        <v>277</v>
      </c>
      <c r="H3535" s="12">
        <v>6.9157999999999999</v>
      </c>
      <c r="I3535" s="12">
        <v>-75.673900000000003</v>
      </c>
      <c r="J3535" t="s">
        <v>3392</v>
      </c>
      <c r="K3535" t="s">
        <v>97</v>
      </c>
      <c r="L3535" t="s">
        <v>1273</v>
      </c>
      <c r="M3535">
        <v>11</v>
      </c>
      <c r="P3535" s="13">
        <v>233</v>
      </c>
      <c r="Q3535" s="13">
        <v>56</v>
      </c>
      <c r="R3535">
        <v>34</v>
      </c>
      <c r="S3535">
        <v>68</v>
      </c>
      <c r="T3535" s="13">
        <v>28</v>
      </c>
      <c r="U3535" s="13">
        <v>49</v>
      </c>
      <c r="V3535" t="s">
        <v>99</v>
      </c>
      <c r="X3535" s="13">
        <v>233</v>
      </c>
    </row>
    <row r="3536" spans="1:24" x14ac:dyDescent="0.25">
      <c r="A3536" t="s">
        <v>3398</v>
      </c>
      <c r="B3536" t="s">
        <v>65</v>
      </c>
      <c r="C3536" t="s">
        <v>3389</v>
      </c>
      <c r="D3536" t="s">
        <v>3390</v>
      </c>
      <c r="E3536" t="s">
        <v>3391</v>
      </c>
      <c r="F3536" t="s">
        <v>94</v>
      </c>
      <c r="G3536" t="s">
        <v>277</v>
      </c>
      <c r="H3536" s="12">
        <v>6.9157999999999999</v>
      </c>
      <c r="I3536" s="12">
        <v>-75.673900000000003</v>
      </c>
      <c r="J3536" t="s">
        <v>3392</v>
      </c>
      <c r="K3536" t="s">
        <v>97</v>
      </c>
      <c r="L3536" t="s">
        <v>1273</v>
      </c>
      <c r="M3536">
        <v>11</v>
      </c>
      <c r="P3536" s="13">
        <v>229</v>
      </c>
      <c r="Q3536" s="13">
        <v>59</v>
      </c>
      <c r="R3536">
        <v>22</v>
      </c>
      <c r="S3536">
        <v>58</v>
      </c>
      <c r="T3536" s="13">
        <v>36</v>
      </c>
      <c r="U3536" s="13">
        <v>71</v>
      </c>
      <c r="V3536" t="s">
        <v>99</v>
      </c>
      <c r="X3536" s="13">
        <v>229</v>
      </c>
    </row>
    <row r="3537" spans="1:24" x14ac:dyDescent="0.25">
      <c r="A3537" t="s">
        <v>3399</v>
      </c>
      <c r="B3537" t="s">
        <v>65</v>
      </c>
      <c r="C3537" t="s">
        <v>3389</v>
      </c>
      <c r="D3537" t="s">
        <v>3390</v>
      </c>
      <c r="E3537" t="s">
        <v>3391</v>
      </c>
      <c r="F3537" t="s">
        <v>94</v>
      </c>
      <c r="G3537" t="s">
        <v>277</v>
      </c>
      <c r="H3537" s="12">
        <v>6.9157999999999999</v>
      </c>
      <c r="I3537" s="12">
        <v>-75.673900000000003</v>
      </c>
      <c r="J3537" t="s">
        <v>3392</v>
      </c>
      <c r="K3537" t="s">
        <v>97</v>
      </c>
      <c r="L3537" t="s">
        <v>1273</v>
      </c>
      <c r="M3537">
        <v>11</v>
      </c>
      <c r="P3537" s="13">
        <v>227</v>
      </c>
      <c r="Q3537" s="13">
        <v>56</v>
      </c>
      <c r="R3537">
        <v>24</v>
      </c>
      <c r="S3537">
        <v>66</v>
      </c>
      <c r="T3537" s="13">
        <v>33</v>
      </c>
      <c r="U3537" s="13">
        <v>55</v>
      </c>
      <c r="V3537" t="s">
        <v>99</v>
      </c>
      <c r="X3537" s="13">
        <v>227</v>
      </c>
    </row>
    <row r="3538" spans="1:24" x14ac:dyDescent="0.25">
      <c r="A3538" t="s">
        <v>3400</v>
      </c>
      <c r="B3538" t="s">
        <v>65</v>
      </c>
      <c r="C3538" t="s">
        <v>3389</v>
      </c>
      <c r="D3538" t="s">
        <v>3390</v>
      </c>
      <c r="E3538" t="s">
        <v>3391</v>
      </c>
      <c r="F3538" t="s">
        <v>94</v>
      </c>
      <c r="G3538" t="s">
        <v>277</v>
      </c>
      <c r="H3538" s="12">
        <v>6.9157999999999999</v>
      </c>
      <c r="I3538" s="12">
        <v>-75.673900000000003</v>
      </c>
      <c r="J3538" t="s">
        <v>3392</v>
      </c>
      <c r="K3538" t="s">
        <v>97</v>
      </c>
      <c r="L3538" t="s">
        <v>1273</v>
      </c>
      <c r="M3538">
        <v>11</v>
      </c>
      <c r="P3538" s="13">
        <v>220</v>
      </c>
      <c r="Q3538" s="13">
        <v>51</v>
      </c>
      <c r="R3538">
        <v>26</v>
      </c>
      <c r="S3538">
        <v>62</v>
      </c>
      <c r="T3538" s="13">
        <v>34</v>
      </c>
      <c r="U3538" s="13">
        <v>51</v>
      </c>
      <c r="V3538" t="s">
        <v>99</v>
      </c>
      <c r="X3538" s="13">
        <v>220</v>
      </c>
    </row>
    <row r="3539" spans="1:24" x14ac:dyDescent="0.25">
      <c r="A3539" t="s">
        <v>3401</v>
      </c>
      <c r="B3539" t="s">
        <v>65</v>
      </c>
      <c r="C3539" t="s">
        <v>3389</v>
      </c>
      <c r="D3539" t="s">
        <v>3390</v>
      </c>
      <c r="E3539" t="s">
        <v>3391</v>
      </c>
      <c r="F3539" t="s">
        <v>94</v>
      </c>
      <c r="G3539" t="s">
        <v>277</v>
      </c>
      <c r="H3539" s="12">
        <v>6.9157999999999999</v>
      </c>
      <c r="I3539" s="12">
        <v>-75.673900000000003</v>
      </c>
      <c r="J3539" t="s">
        <v>3392</v>
      </c>
      <c r="K3539" t="s">
        <v>97</v>
      </c>
      <c r="L3539" t="s">
        <v>1273</v>
      </c>
      <c r="M3539">
        <v>11</v>
      </c>
      <c r="P3539" s="13">
        <v>219</v>
      </c>
      <c r="Q3539" s="13">
        <v>59</v>
      </c>
      <c r="R3539">
        <v>30</v>
      </c>
      <c r="S3539">
        <v>48</v>
      </c>
      <c r="T3539" s="13">
        <v>31</v>
      </c>
      <c r="U3539" s="13">
        <v>67</v>
      </c>
      <c r="V3539" t="s">
        <v>99</v>
      </c>
      <c r="X3539" s="13">
        <v>219</v>
      </c>
    </row>
    <row r="3540" spans="1:24" x14ac:dyDescent="0.25">
      <c r="A3540" t="s">
        <v>3402</v>
      </c>
      <c r="B3540" t="s">
        <v>65</v>
      </c>
      <c r="C3540" t="s">
        <v>3389</v>
      </c>
      <c r="D3540" t="s">
        <v>3390</v>
      </c>
      <c r="E3540" t="s">
        <v>3391</v>
      </c>
      <c r="F3540" t="s">
        <v>94</v>
      </c>
      <c r="G3540" t="s">
        <v>277</v>
      </c>
      <c r="H3540" s="12">
        <v>6.9157999999999999</v>
      </c>
      <c r="I3540" s="12">
        <v>-75.673900000000003</v>
      </c>
      <c r="J3540" t="s">
        <v>3392</v>
      </c>
      <c r="K3540" t="s">
        <v>97</v>
      </c>
      <c r="L3540" t="s">
        <v>1273</v>
      </c>
      <c r="M3540">
        <v>11</v>
      </c>
      <c r="P3540" s="13">
        <v>212</v>
      </c>
      <c r="Q3540" s="13">
        <v>41</v>
      </c>
      <c r="R3540">
        <v>40</v>
      </c>
      <c r="S3540">
        <v>50</v>
      </c>
      <c r="T3540" s="13">
        <v>34</v>
      </c>
      <c r="U3540" s="13">
        <v>55</v>
      </c>
      <c r="V3540" t="s">
        <v>99</v>
      </c>
      <c r="X3540" s="13">
        <v>212</v>
      </c>
    </row>
    <row r="3541" spans="1:24" x14ac:dyDescent="0.25">
      <c r="A3541" t="s">
        <v>3403</v>
      </c>
      <c r="B3541" t="s">
        <v>65</v>
      </c>
      <c r="C3541" t="s">
        <v>3389</v>
      </c>
      <c r="D3541" t="s">
        <v>3390</v>
      </c>
      <c r="E3541" t="s">
        <v>3391</v>
      </c>
      <c r="F3541" t="s">
        <v>94</v>
      </c>
      <c r="G3541" t="s">
        <v>277</v>
      </c>
      <c r="H3541" s="12">
        <v>6.9157999999999999</v>
      </c>
      <c r="I3541" s="12">
        <v>-75.673900000000003</v>
      </c>
      <c r="J3541" t="s">
        <v>3392</v>
      </c>
      <c r="K3541" t="s">
        <v>97</v>
      </c>
      <c r="L3541" t="s">
        <v>1273</v>
      </c>
      <c r="M3541">
        <v>11</v>
      </c>
      <c r="P3541" s="13">
        <v>200</v>
      </c>
      <c r="Q3541" s="13">
        <v>37</v>
      </c>
      <c r="R3541">
        <v>34</v>
      </c>
      <c r="S3541">
        <v>58</v>
      </c>
      <c r="T3541" s="13">
        <v>31</v>
      </c>
      <c r="U3541" s="13">
        <v>42</v>
      </c>
      <c r="V3541" t="s">
        <v>99</v>
      </c>
      <c r="X3541" s="13">
        <v>200</v>
      </c>
    </row>
    <row r="3542" spans="1:24" x14ac:dyDescent="0.25">
      <c r="A3542" t="s">
        <v>3404</v>
      </c>
      <c r="B3542" t="s">
        <v>65</v>
      </c>
      <c r="C3542" t="s">
        <v>3389</v>
      </c>
      <c r="D3542" t="s">
        <v>3390</v>
      </c>
      <c r="E3542" t="s">
        <v>3391</v>
      </c>
      <c r="F3542" t="s">
        <v>94</v>
      </c>
      <c r="G3542" t="s">
        <v>277</v>
      </c>
      <c r="H3542" s="12">
        <v>6.9157999999999999</v>
      </c>
      <c r="I3542" s="12">
        <v>-75.673900000000003</v>
      </c>
      <c r="J3542" t="s">
        <v>3392</v>
      </c>
      <c r="K3542" t="s">
        <v>97</v>
      </c>
      <c r="L3542" t="s">
        <v>1273</v>
      </c>
      <c r="M3542">
        <v>11</v>
      </c>
      <c r="P3542" s="13">
        <v>200</v>
      </c>
      <c r="Q3542" s="13">
        <v>54</v>
      </c>
      <c r="R3542">
        <v>24</v>
      </c>
      <c r="S3542">
        <v>52</v>
      </c>
      <c r="T3542" s="13">
        <v>29</v>
      </c>
      <c r="U3542" s="13">
        <v>44</v>
      </c>
      <c r="V3542" t="s">
        <v>99</v>
      </c>
      <c r="X3542" s="13">
        <v>200</v>
      </c>
    </row>
    <row r="3543" spans="1:24" x14ac:dyDescent="0.25">
      <c r="A3543" t="s">
        <v>3405</v>
      </c>
      <c r="B3543" t="s">
        <v>65</v>
      </c>
      <c r="C3543" t="s">
        <v>3389</v>
      </c>
      <c r="D3543" t="s">
        <v>3390</v>
      </c>
      <c r="E3543" t="s">
        <v>3391</v>
      </c>
      <c r="F3543" t="s">
        <v>94</v>
      </c>
      <c r="G3543" t="s">
        <v>277</v>
      </c>
      <c r="H3543" s="12">
        <v>6.9157999999999999</v>
      </c>
      <c r="I3543" s="12">
        <v>-75.673900000000003</v>
      </c>
      <c r="J3543" t="s">
        <v>3392</v>
      </c>
      <c r="K3543" t="s">
        <v>97</v>
      </c>
      <c r="L3543" t="s">
        <v>1273</v>
      </c>
      <c r="M3543">
        <v>11</v>
      </c>
      <c r="P3543" s="13">
        <v>192</v>
      </c>
      <c r="Q3543" s="13">
        <v>51</v>
      </c>
      <c r="R3543">
        <v>38</v>
      </c>
      <c r="S3543">
        <v>40</v>
      </c>
      <c r="T3543" s="13">
        <v>21</v>
      </c>
      <c r="U3543" s="13">
        <v>49</v>
      </c>
      <c r="V3543" t="s">
        <v>99</v>
      </c>
      <c r="X3543" s="13">
        <v>192</v>
      </c>
    </row>
    <row r="3544" spans="1:24" x14ac:dyDescent="0.25">
      <c r="A3544" t="s">
        <v>3406</v>
      </c>
      <c r="B3544" t="s">
        <v>65</v>
      </c>
      <c r="C3544" t="s">
        <v>3389</v>
      </c>
      <c r="D3544" t="s">
        <v>3390</v>
      </c>
      <c r="E3544" t="s">
        <v>3391</v>
      </c>
      <c r="F3544" t="s">
        <v>94</v>
      </c>
      <c r="G3544" t="s">
        <v>277</v>
      </c>
      <c r="H3544" s="12">
        <v>6.9157999999999999</v>
      </c>
      <c r="I3544" s="12">
        <v>-75.673900000000003</v>
      </c>
      <c r="J3544" t="s">
        <v>3392</v>
      </c>
      <c r="K3544" t="s">
        <v>97</v>
      </c>
      <c r="L3544" t="s">
        <v>1273</v>
      </c>
      <c r="M3544">
        <v>11</v>
      </c>
      <c r="P3544" s="13">
        <v>190</v>
      </c>
      <c r="Q3544" s="13">
        <v>39</v>
      </c>
      <c r="R3544">
        <v>42</v>
      </c>
      <c r="S3544">
        <v>40</v>
      </c>
      <c r="T3544" s="13">
        <v>28</v>
      </c>
      <c r="U3544" s="13">
        <v>47</v>
      </c>
      <c r="V3544" t="s">
        <v>99</v>
      </c>
      <c r="X3544" s="13">
        <v>190</v>
      </c>
    </row>
    <row r="3545" spans="1:24" x14ac:dyDescent="0.25">
      <c r="A3545" t="s">
        <v>3407</v>
      </c>
      <c r="B3545" t="s">
        <v>65</v>
      </c>
      <c r="C3545" t="s">
        <v>3389</v>
      </c>
      <c r="D3545" t="s">
        <v>3390</v>
      </c>
      <c r="E3545" t="s">
        <v>3391</v>
      </c>
      <c r="F3545" t="s">
        <v>94</v>
      </c>
      <c r="G3545" t="s">
        <v>277</v>
      </c>
      <c r="H3545" s="12">
        <v>6.9157999999999999</v>
      </c>
      <c r="I3545" s="12">
        <v>-75.673900000000003</v>
      </c>
      <c r="J3545" t="s">
        <v>3392</v>
      </c>
      <c r="K3545" t="s">
        <v>97</v>
      </c>
      <c r="L3545" t="s">
        <v>1273</v>
      </c>
      <c r="M3545">
        <v>11</v>
      </c>
      <c r="P3545" s="13">
        <v>186</v>
      </c>
      <c r="Q3545" s="13">
        <v>37</v>
      </c>
      <c r="R3545">
        <v>32</v>
      </c>
      <c r="S3545">
        <v>42</v>
      </c>
      <c r="T3545" s="13">
        <v>34</v>
      </c>
      <c r="U3545" s="13">
        <v>49</v>
      </c>
      <c r="V3545" t="s">
        <v>99</v>
      </c>
      <c r="X3545" s="13">
        <v>186</v>
      </c>
    </row>
    <row r="3546" spans="1:24" x14ac:dyDescent="0.25">
      <c r="A3546" t="s">
        <v>3408</v>
      </c>
      <c r="B3546" t="s">
        <v>65</v>
      </c>
      <c r="C3546" t="s">
        <v>3389</v>
      </c>
      <c r="D3546" t="s">
        <v>3390</v>
      </c>
      <c r="E3546" t="s">
        <v>3391</v>
      </c>
      <c r="F3546" t="s">
        <v>94</v>
      </c>
      <c r="G3546" t="s">
        <v>277</v>
      </c>
      <c r="H3546" s="12">
        <v>6.9157999999999999</v>
      </c>
      <c r="I3546" s="12">
        <v>-75.673900000000003</v>
      </c>
      <c r="J3546" t="s">
        <v>3392</v>
      </c>
      <c r="K3546" t="s">
        <v>97</v>
      </c>
      <c r="L3546" t="s">
        <v>1273</v>
      </c>
      <c r="M3546">
        <v>11</v>
      </c>
      <c r="P3546" s="13">
        <v>174</v>
      </c>
      <c r="Q3546" s="13">
        <v>44</v>
      </c>
      <c r="R3546">
        <v>28</v>
      </c>
      <c r="S3546">
        <v>44</v>
      </c>
      <c r="T3546" s="13">
        <v>22</v>
      </c>
      <c r="U3546" s="13">
        <v>36</v>
      </c>
      <c r="V3546" t="s">
        <v>99</v>
      </c>
      <c r="X3546" s="13">
        <v>174</v>
      </c>
    </row>
    <row r="3547" spans="1:24" x14ac:dyDescent="0.25">
      <c r="A3547" t="s">
        <v>3409</v>
      </c>
      <c r="B3547" t="s">
        <v>65</v>
      </c>
      <c r="C3547" t="s">
        <v>3389</v>
      </c>
      <c r="D3547" t="s">
        <v>3390</v>
      </c>
      <c r="E3547" t="s">
        <v>3391</v>
      </c>
      <c r="F3547" t="s">
        <v>94</v>
      </c>
      <c r="G3547" t="s">
        <v>277</v>
      </c>
      <c r="H3547" s="12">
        <v>6.9157999999999999</v>
      </c>
      <c r="I3547" s="12">
        <v>-75.673900000000003</v>
      </c>
      <c r="J3547" t="s">
        <v>3392</v>
      </c>
      <c r="K3547" t="s">
        <v>97</v>
      </c>
      <c r="L3547" t="s">
        <v>1273</v>
      </c>
      <c r="M3547">
        <v>11</v>
      </c>
      <c r="P3547" s="13">
        <v>173</v>
      </c>
      <c r="Q3547" s="13">
        <v>37</v>
      </c>
      <c r="R3547">
        <v>30</v>
      </c>
      <c r="S3547">
        <v>52</v>
      </c>
      <c r="T3547" s="13">
        <v>19</v>
      </c>
      <c r="U3547" s="13">
        <v>36</v>
      </c>
      <c r="V3547" t="s">
        <v>99</v>
      </c>
      <c r="X3547" s="13">
        <v>173</v>
      </c>
    </row>
    <row r="3548" spans="1:24" x14ac:dyDescent="0.25">
      <c r="A3548" t="s">
        <v>3410</v>
      </c>
      <c r="B3548" t="s">
        <v>65</v>
      </c>
      <c r="C3548" t="s">
        <v>3389</v>
      </c>
      <c r="D3548" t="s">
        <v>3390</v>
      </c>
      <c r="E3548" t="s">
        <v>3391</v>
      </c>
      <c r="F3548" t="s">
        <v>94</v>
      </c>
      <c r="G3548" t="s">
        <v>277</v>
      </c>
      <c r="H3548" s="12">
        <v>6.9157999999999999</v>
      </c>
      <c r="I3548" s="12">
        <v>-75.673900000000003</v>
      </c>
      <c r="J3548" t="s">
        <v>3392</v>
      </c>
      <c r="K3548" t="s">
        <v>97</v>
      </c>
      <c r="L3548" t="s">
        <v>1273</v>
      </c>
      <c r="M3548">
        <v>11</v>
      </c>
      <c r="P3548" s="13">
        <v>170</v>
      </c>
      <c r="Q3548" s="13">
        <v>39</v>
      </c>
      <c r="R3548">
        <v>24</v>
      </c>
      <c r="S3548">
        <v>38</v>
      </c>
      <c r="T3548" s="13">
        <v>34</v>
      </c>
      <c r="U3548" s="13">
        <v>36</v>
      </c>
      <c r="V3548" t="s">
        <v>99</v>
      </c>
      <c r="X3548" s="13">
        <v>170</v>
      </c>
    </row>
    <row r="3549" spans="1:24" x14ac:dyDescent="0.25">
      <c r="A3549" t="s">
        <v>3411</v>
      </c>
      <c r="B3549" t="s">
        <v>65</v>
      </c>
      <c r="C3549" t="s">
        <v>3389</v>
      </c>
      <c r="D3549" t="s">
        <v>3390</v>
      </c>
      <c r="E3549" t="s">
        <v>3391</v>
      </c>
      <c r="F3549" t="s">
        <v>94</v>
      </c>
      <c r="G3549" t="s">
        <v>277</v>
      </c>
      <c r="H3549" s="12">
        <v>6.9157999999999999</v>
      </c>
      <c r="I3549" s="12">
        <v>-75.673900000000003</v>
      </c>
      <c r="J3549" t="s">
        <v>3392</v>
      </c>
      <c r="K3549" t="s">
        <v>97</v>
      </c>
      <c r="L3549" t="s">
        <v>1273</v>
      </c>
      <c r="M3549">
        <v>11</v>
      </c>
      <c r="P3549" s="13">
        <v>167</v>
      </c>
      <c r="Q3549" s="13">
        <v>34</v>
      </c>
      <c r="R3549">
        <v>28</v>
      </c>
      <c r="S3549">
        <v>44</v>
      </c>
      <c r="T3549" s="13">
        <v>31</v>
      </c>
      <c r="U3549" s="13">
        <v>24</v>
      </c>
      <c r="V3549" t="s">
        <v>99</v>
      </c>
      <c r="X3549" s="13">
        <v>167</v>
      </c>
    </row>
    <row r="3550" spans="1:24" x14ac:dyDescent="0.25">
      <c r="A3550" t="s">
        <v>3412</v>
      </c>
      <c r="B3550" t="s">
        <v>65</v>
      </c>
      <c r="C3550" t="s">
        <v>3389</v>
      </c>
      <c r="D3550" t="s">
        <v>3390</v>
      </c>
      <c r="E3550" t="s">
        <v>3391</v>
      </c>
      <c r="F3550" t="s">
        <v>94</v>
      </c>
      <c r="G3550" t="s">
        <v>277</v>
      </c>
      <c r="H3550" s="12">
        <v>6.9157999999999999</v>
      </c>
      <c r="I3550" s="12">
        <v>-75.673900000000003</v>
      </c>
      <c r="J3550" t="s">
        <v>3392</v>
      </c>
      <c r="K3550" t="s">
        <v>97</v>
      </c>
      <c r="L3550" t="s">
        <v>1273</v>
      </c>
      <c r="M3550">
        <v>11</v>
      </c>
      <c r="P3550" s="13">
        <v>164</v>
      </c>
      <c r="Q3550" s="13">
        <v>34</v>
      </c>
      <c r="R3550">
        <v>26</v>
      </c>
      <c r="S3550">
        <v>34</v>
      </c>
      <c r="T3550" s="13">
        <v>36</v>
      </c>
      <c r="U3550" s="13">
        <v>36</v>
      </c>
      <c r="V3550" t="s">
        <v>99</v>
      </c>
      <c r="X3550" s="13">
        <v>164</v>
      </c>
    </row>
    <row r="3551" spans="1:24" x14ac:dyDescent="0.25">
      <c r="A3551" t="s">
        <v>3413</v>
      </c>
      <c r="B3551" t="s">
        <v>65</v>
      </c>
      <c r="C3551" t="s">
        <v>3414</v>
      </c>
      <c r="D3551" t="s">
        <v>3415</v>
      </c>
      <c r="E3551" t="s">
        <v>3416</v>
      </c>
      <c r="F3551" t="s">
        <v>94</v>
      </c>
      <c r="G3551" t="s">
        <v>277</v>
      </c>
      <c r="H3551" s="12">
        <v>6.6780999999999997</v>
      </c>
      <c r="I3551" s="12">
        <v>-75.811400000000006</v>
      </c>
      <c r="J3551" t="s">
        <v>3417</v>
      </c>
      <c r="K3551" t="s">
        <v>97</v>
      </c>
      <c r="L3551" t="s">
        <v>1273</v>
      </c>
      <c r="M3551">
        <v>11</v>
      </c>
      <c r="P3551" s="13">
        <v>287</v>
      </c>
      <c r="Q3551" s="13">
        <v>63</v>
      </c>
      <c r="R3551">
        <v>44</v>
      </c>
      <c r="S3551">
        <v>78</v>
      </c>
      <c r="T3551" s="13">
        <v>38</v>
      </c>
      <c r="U3551" s="13">
        <v>76</v>
      </c>
      <c r="V3551" t="s">
        <v>99</v>
      </c>
      <c r="X3551" s="13">
        <v>287</v>
      </c>
    </row>
    <row r="3552" spans="1:24" x14ac:dyDescent="0.25">
      <c r="A3552" t="s">
        <v>3418</v>
      </c>
      <c r="B3552" t="s">
        <v>65</v>
      </c>
      <c r="C3552" t="s">
        <v>3414</v>
      </c>
      <c r="D3552" t="s">
        <v>3415</v>
      </c>
      <c r="E3552" t="s">
        <v>3416</v>
      </c>
      <c r="F3552" t="s">
        <v>94</v>
      </c>
      <c r="G3552" t="s">
        <v>277</v>
      </c>
      <c r="H3552" s="12">
        <v>6.6780999999999997</v>
      </c>
      <c r="I3552" s="12">
        <v>-75.811400000000006</v>
      </c>
      <c r="J3552" t="s">
        <v>3417</v>
      </c>
      <c r="K3552" t="s">
        <v>97</v>
      </c>
      <c r="L3552" t="s">
        <v>1273</v>
      </c>
      <c r="M3552">
        <v>11</v>
      </c>
      <c r="P3552" s="13">
        <v>246</v>
      </c>
      <c r="Q3552" s="13">
        <v>59</v>
      </c>
      <c r="R3552">
        <v>46</v>
      </c>
      <c r="S3552">
        <v>44</v>
      </c>
      <c r="T3552" s="13">
        <v>41</v>
      </c>
      <c r="U3552" s="13">
        <v>71</v>
      </c>
      <c r="V3552" t="s">
        <v>99</v>
      </c>
      <c r="X3552" s="13">
        <v>246</v>
      </c>
    </row>
    <row r="3553" spans="1:24" x14ac:dyDescent="0.25">
      <c r="A3553" t="s">
        <v>3419</v>
      </c>
      <c r="B3553" t="s">
        <v>65</v>
      </c>
      <c r="C3553" t="s">
        <v>3414</v>
      </c>
      <c r="D3553" t="s">
        <v>3415</v>
      </c>
      <c r="E3553" t="s">
        <v>3416</v>
      </c>
      <c r="F3553" t="s">
        <v>94</v>
      </c>
      <c r="G3553" t="s">
        <v>277</v>
      </c>
      <c r="H3553" s="12">
        <v>6.6780999999999997</v>
      </c>
      <c r="I3553" s="12">
        <v>-75.811400000000006</v>
      </c>
      <c r="J3553" t="s">
        <v>3417</v>
      </c>
      <c r="K3553" t="s">
        <v>97</v>
      </c>
      <c r="L3553" t="s">
        <v>1273</v>
      </c>
      <c r="M3553">
        <v>11</v>
      </c>
      <c r="P3553" s="13">
        <v>222</v>
      </c>
      <c r="Q3553" s="13">
        <v>49</v>
      </c>
      <c r="R3553">
        <v>48</v>
      </c>
      <c r="S3553">
        <v>52</v>
      </c>
      <c r="T3553" s="13">
        <v>28</v>
      </c>
      <c r="U3553" s="13">
        <v>49</v>
      </c>
      <c r="V3553" t="s">
        <v>99</v>
      </c>
      <c r="X3553" s="13">
        <v>222</v>
      </c>
    </row>
    <row r="3554" spans="1:24" x14ac:dyDescent="0.25">
      <c r="A3554" t="s">
        <v>3420</v>
      </c>
      <c r="B3554" t="s">
        <v>65</v>
      </c>
      <c r="C3554" t="s">
        <v>3414</v>
      </c>
      <c r="D3554" t="s">
        <v>3415</v>
      </c>
      <c r="E3554" t="s">
        <v>3416</v>
      </c>
      <c r="F3554" t="s">
        <v>94</v>
      </c>
      <c r="G3554" t="s">
        <v>277</v>
      </c>
      <c r="H3554" s="12">
        <v>6.6780999999999997</v>
      </c>
      <c r="I3554" s="12">
        <v>-75.811400000000006</v>
      </c>
      <c r="J3554" t="s">
        <v>3417</v>
      </c>
      <c r="K3554" t="s">
        <v>97</v>
      </c>
      <c r="L3554" t="s">
        <v>1273</v>
      </c>
      <c r="M3554">
        <v>11</v>
      </c>
      <c r="P3554" s="13">
        <v>220</v>
      </c>
      <c r="Q3554" s="13">
        <v>54</v>
      </c>
      <c r="R3554">
        <v>28</v>
      </c>
      <c r="S3554">
        <v>54</v>
      </c>
      <c r="T3554" s="13">
        <v>41</v>
      </c>
      <c r="U3554" s="13">
        <v>42</v>
      </c>
      <c r="V3554" t="s">
        <v>99</v>
      </c>
      <c r="X3554" s="13">
        <v>220</v>
      </c>
    </row>
    <row r="3555" spans="1:24" x14ac:dyDescent="0.25">
      <c r="A3555" t="s">
        <v>3421</v>
      </c>
      <c r="B3555" t="s">
        <v>65</v>
      </c>
      <c r="C3555" t="s">
        <v>3414</v>
      </c>
      <c r="D3555" t="s">
        <v>3415</v>
      </c>
      <c r="E3555" t="s">
        <v>3416</v>
      </c>
      <c r="F3555" t="s">
        <v>94</v>
      </c>
      <c r="G3555" t="s">
        <v>277</v>
      </c>
      <c r="H3555" s="12">
        <v>6.6780999999999997</v>
      </c>
      <c r="I3555" s="12">
        <v>-75.811400000000006</v>
      </c>
      <c r="J3555" t="s">
        <v>3417</v>
      </c>
      <c r="K3555" t="s">
        <v>97</v>
      </c>
      <c r="L3555" t="s">
        <v>1273</v>
      </c>
      <c r="M3555">
        <v>11</v>
      </c>
      <c r="P3555" s="13">
        <v>218</v>
      </c>
      <c r="Q3555" s="13">
        <v>54</v>
      </c>
      <c r="R3555">
        <v>32</v>
      </c>
      <c r="S3555">
        <v>48</v>
      </c>
      <c r="T3555" s="13">
        <v>36</v>
      </c>
      <c r="U3555" s="13">
        <v>56</v>
      </c>
      <c r="V3555" t="s">
        <v>99</v>
      </c>
      <c r="X3555" s="13">
        <v>218</v>
      </c>
    </row>
    <row r="3556" spans="1:24" x14ac:dyDescent="0.25">
      <c r="A3556" t="s">
        <v>3422</v>
      </c>
      <c r="B3556" t="s">
        <v>65</v>
      </c>
      <c r="C3556" t="s">
        <v>3414</v>
      </c>
      <c r="D3556" t="s">
        <v>3415</v>
      </c>
      <c r="E3556" t="s">
        <v>3416</v>
      </c>
      <c r="F3556" t="s">
        <v>94</v>
      </c>
      <c r="G3556" t="s">
        <v>277</v>
      </c>
      <c r="H3556" s="12">
        <v>6.6780999999999997</v>
      </c>
      <c r="I3556" s="12">
        <v>-75.811400000000006</v>
      </c>
      <c r="J3556" t="s">
        <v>3417</v>
      </c>
      <c r="K3556" t="s">
        <v>97</v>
      </c>
      <c r="L3556" t="s">
        <v>1273</v>
      </c>
      <c r="M3556">
        <v>11</v>
      </c>
      <c r="P3556" s="13">
        <v>214</v>
      </c>
      <c r="Q3556" s="13">
        <v>61</v>
      </c>
      <c r="R3556">
        <v>26</v>
      </c>
      <c r="S3556">
        <v>62</v>
      </c>
      <c r="T3556" s="13">
        <v>16</v>
      </c>
      <c r="U3556" s="13">
        <v>64</v>
      </c>
      <c r="V3556" t="s">
        <v>99</v>
      </c>
      <c r="X3556" s="13">
        <v>214</v>
      </c>
    </row>
    <row r="3557" spans="1:24" x14ac:dyDescent="0.25">
      <c r="A3557" t="s">
        <v>3423</v>
      </c>
      <c r="B3557" t="s">
        <v>65</v>
      </c>
      <c r="C3557" t="s">
        <v>3414</v>
      </c>
      <c r="D3557" t="s">
        <v>3415</v>
      </c>
      <c r="E3557" t="s">
        <v>3416</v>
      </c>
      <c r="F3557" t="s">
        <v>94</v>
      </c>
      <c r="G3557" t="s">
        <v>277</v>
      </c>
      <c r="H3557" s="12">
        <v>6.6780999999999997</v>
      </c>
      <c r="I3557" s="12">
        <v>-75.811400000000006</v>
      </c>
      <c r="J3557" t="s">
        <v>3417</v>
      </c>
      <c r="K3557" t="s">
        <v>97</v>
      </c>
      <c r="L3557" t="s">
        <v>1273</v>
      </c>
      <c r="M3557">
        <v>11</v>
      </c>
      <c r="P3557" s="13">
        <v>205</v>
      </c>
      <c r="Q3557" s="13">
        <v>54</v>
      </c>
      <c r="R3557">
        <v>30</v>
      </c>
      <c r="S3557">
        <v>48</v>
      </c>
      <c r="T3557" s="13">
        <v>29</v>
      </c>
      <c r="U3557" s="13">
        <v>51</v>
      </c>
      <c r="V3557" t="s">
        <v>99</v>
      </c>
      <c r="X3557" s="13">
        <v>205</v>
      </c>
    </row>
    <row r="3558" spans="1:24" x14ac:dyDescent="0.25">
      <c r="A3558" t="s">
        <v>3424</v>
      </c>
      <c r="B3558" t="s">
        <v>65</v>
      </c>
      <c r="C3558" t="s">
        <v>3414</v>
      </c>
      <c r="D3558" t="s">
        <v>3415</v>
      </c>
      <c r="E3558" t="s">
        <v>3416</v>
      </c>
      <c r="F3558" t="s">
        <v>94</v>
      </c>
      <c r="G3558" t="s">
        <v>277</v>
      </c>
      <c r="H3558" s="12">
        <v>6.6780999999999997</v>
      </c>
      <c r="I3558" s="12">
        <v>-75.811400000000006</v>
      </c>
      <c r="J3558" t="s">
        <v>3417</v>
      </c>
      <c r="K3558" t="s">
        <v>97</v>
      </c>
      <c r="L3558" t="s">
        <v>1273</v>
      </c>
      <c r="M3558">
        <v>11</v>
      </c>
      <c r="P3558" s="13">
        <v>193</v>
      </c>
      <c r="Q3558" s="13">
        <v>49</v>
      </c>
      <c r="R3558">
        <v>40</v>
      </c>
      <c r="S3558">
        <v>50</v>
      </c>
      <c r="T3558" s="13">
        <v>17</v>
      </c>
      <c r="U3558" s="13">
        <v>35</v>
      </c>
      <c r="V3558" t="s">
        <v>99</v>
      </c>
      <c r="X3558" s="13">
        <v>193</v>
      </c>
    </row>
    <row r="3559" spans="1:24" x14ac:dyDescent="0.25">
      <c r="A3559" t="s">
        <v>3425</v>
      </c>
      <c r="B3559" t="s">
        <v>65</v>
      </c>
      <c r="C3559" t="s">
        <v>3414</v>
      </c>
      <c r="D3559" t="s">
        <v>3415</v>
      </c>
      <c r="E3559" t="s">
        <v>3416</v>
      </c>
      <c r="F3559" t="s">
        <v>94</v>
      </c>
      <c r="G3559" t="s">
        <v>277</v>
      </c>
      <c r="H3559" s="12">
        <v>6.6780999999999997</v>
      </c>
      <c r="I3559" s="12">
        <v>-75.811400000000006</v>
      </c>
      <c r="J3559" t="s">
        <v>3417</v>
      </c>
      <c r="K3559" t="s">
        <v>97</v>
      </c>
      <c r="L3559" t="s">
        <v>1273</v>
      </c>
      <c r="M3559">
        <v>11</v>
      </c>
      <c r="P3559" s="13">
        <v>191</v>
      </c>
      <c r="Q3559" s="13">
        <v>44</v>
      </c>
      <c r="R3559">
        <v>36</v>
      </c>
      <c r="S3559">
        <v>40</v>
      </c>
      <c r="T3559" s="13">
        <v>31</v>
      </c>
      <c r="U3559" s="13">
        <v>44</v>
      </c>
      <c r="V3559" t="s">
        <v>99</v>
      </c>
      <c r="X3559" s="13">
        <v>191</v>
      </c>
    </row>
    <row r="3560" spans="1:24" x14ac:dyDescent="0.25">
      <c r="A3560" t="s">
        <v>3426</v>
      </c>
      <c r="B3560" t="s">
        <v>65</v>
      </c>
      <c r="C3560" t="s">
        <v>3414</v>
      </c>
      <c r="D3560" t="s">
        <v>3415</v>
      </c>
      <c r="E3560" t="s">
        <v>3416</v>
      </c>
      <c r="F3560" t="s">
        <v>94</v>
      </c>
      <c r="G3560" t="s">
        <v>277</v>
      </c>
      <c r="H3560" s="12">
        <v>6.6780999999999997</v>
      </c>
      <c r="I3560" s="12">
        <v>-75.811400000000006</v>
      </c>
      <c r="J3560" t="s">
        <v>3417</v>
      </c>
      <c r="K3560" t="s">
        <v>97</v>
      </c>
      <c r="L3560" t="s">
        <v>1273</v>
      </c>
      <c r="M3560">
        <v>11</v>
      </c>
      <c r="P3560" s="13">
        <v>186</v>
      </c>
      <c r="Q3560" s="13">
        <v>49</v>
      </c>
      <c r="R3560">
        <v>30</v>
      </c>
      <c r="S3560">
        <v>42</v>
      </c>
      <c r="T3560" s="13">
        <v>22</v>
      </c>
      <c r="U3560" s="13">
        <v>55</v>
      </c>
      <c r="V3560" t="s">
        <v>99</v>
      </c>
      <c r="X3560" s="13">
        <v>186</v>
      </c>
    </row>
    <row r="3561" spans="1:24" x14ac:dyDescent="0.25">
      <c r="A3561" t="s">
        <v>3427</v>
      </c>
      <c r="B3561" t="s">
        <v>65</v>
      </c>
      <c r="C3561" t="s">
        <v>3414</v>
      </c>
      <c r="D3561" t="s">
        <v>3415</v>
      </c>
      <c r="E3561" t="s">
        <v>3416</v>
      </c>
      <c r="F3561" t="s">
        <v>94</v>
      </c>
      <c r="G3561" t="s">
        <v>277</v>
      </c>
      <c r="H3561" s="12">
        <v>6.6780999999999997</v>
      </c>
      <c r="I3561" s="12">
        <v>-75.811400000000006</v>
      </c>
      <c r="J3561" t="s">
        <v>3417</v>
      </c>
      <c r="K3561" t="s">
        <v>97</v>
      </c>
      <c r="L3561" t="s">
        <v>1273</v>
      </c>
      <c r="M3561">
        <v>11</v>
      </c>
      <c r="P3561" s="13">
        <v>185</v>
      </c>
      <c r="Q3561" s="13">
        <v>37</v>
      </c>
      <c r="R3561">
        <v>30</v>
      </c>
      <c r="S3561">
        <v>48</v>
      </c>
      <c r="T3561" s="13">
        <v>33</v>
      </c>
      <c r="U3561" s="13">
        <v>40</v>
      </c>
      <c r="V3561" t="s">
        <v>99</v>
      </c>
      <c r="X3561" s="13">
        <v>185</v>
      </c>
    </row>
    <row r="3562" spans="1:24" x14ac:dyDescent="0.25">
      <c r="A3562" t="s">
        <v>3428</v>
      </c>
      <c r="B3562" t="s">
        <v>65</v>
      </c>
      <c r="C3562" t="s">
        <v>3414</v>
      </c>
      <c r="D3562" t="s">
        <v>3415</v>
      </c>
      <c r="E3562" t="s">
        <v>3416</v>
      </c>
      <c r="F3562" t="s">
        <v>94</v>
      </c>
      <c r="G3562" t="s">
        <v>277</v>
      </c>
      <c r="H3562" s="12">
        <v>6.6780999999999997</v>
      </c>
      <c r="I3562" s="12">
        <v>-75.811400000000006</v>
      </c>
      <c r="J3562" t="s">
        <v>3417</v>
      </c>
      <c r="K3562" t="s">
        <v>97</v>
      </c>
      <c r="L3562" t="s">
        <v>1273</v>
      </c>
      <c r="M3562">
        <v>11</v>
      </c>
      <c r="P3562" s="13">
        <v>185</v>
      </c>
      <c r="Q3562" s="13">
        <v>46</v>
      </c>
      <c r="R3562">
        <v>30</v>
      </c>
      <c r="S3562">
        <v>42</v>
      </c>
      <c r="T3562" s="13">
        <v>31</v>
      </c>
      <c r="U3562" s="13">
        <v>33</v>
      </c>
      <c r="V3562" t="s">
        <v>99</v>
      </c>
      <c r="X3562" s="13">
        <v>185</v>
      </c>
    </row>
    <row r="3563" spans="1:24" x14ac:dyDescent="0.25">
      <c r="A3563" t="s">
        <v>3429</v>
      </c>
      <c r="B3563" t="s">
        <v>65</v>
      </c>
      <c r="C3563" t="s">
        <v>3414</v>
      </c>
      <c r="D3563" t="s">
        <v>3415</v>
      </c>
      <c r="E3563" t="s">
        <v>3416</v>
      </c>
      <c r="F3563" t="s">
        <v>94</v>
      </c>
      <c r="G3563" t="s">
        <v>277</v>
      </c>
      <c r="H3563" s="12">
        <v>6.6780999999999997</v>
      </c>
      <c r="I3563" s="12">
        <v>-75.811400000000006</v>
      </c>
      <c r="J3563" t="s">
        <v>3417</v>
      </c>
      <c r="K3563" t="s">
        <v>97</v>
      </c>
      <c r="L3563" t="s">
        <v>1273</v>
      </c>
      <c r="M3563">
        <v>11</v>
      </c>
      <c r="P3563" s="13">
        <v>185</v>
      </c>
      <c r="Q3563" s="13">
        <v>29</v>
      </c>
      <c r="R3563">
        <v>36</v>
      </c>
      <c r="S3563">
        <v>44</v>
      </c>
      <c r="T3563" s="13">
        <v>36</v>
      </c>
      <c r="U3563" s="13">
        <v>44</v>
      </c>
      <c r="V3563" t="s">
        <v>99</v>
      </c>
      <c r="X3563" s="13">
        <v>185</v>
      </c>
    </row>
    <row r="3564" spans="1:24" x14ac:dyDescent="0.25">
      <c r="A3564" t="s">
        <v>3430</v>
      </c>
      <c r="B3564" t="s">
        <v>65</v>
      </c>
      <c r="C3564" t="s">
        <v>3414</v>
      </c>
      <c r="D3564" t="s">
        <v>3415</v>
      </c>
      <c r="E3564" t="s">
        <v>3416</v>
      </c>
      <c r="F3564" t="s">
        <v>94</v>
      </c>
      <c r="G3564" t="s">
        <v>277</v>
      </c>
      <c r="H3564" s="12">
        <v>6.6780999999999997</v>
      </c>
      <c r="I3564" s="12">
        <v>-75.811400000000006</v>
      </c>
      <c r="J3564" t="s">
        <v>3417</v>
      </c>
      <c r="K3564" t="s">
        <v>97</v>
      </c>
      <c r="L3564" t="s">
        <v>1273</v>
      </c>
      <c r="M3564">
        <v>11</v>
      </c>
      <c r="P3564" s="13">
        <v>183</v>
      </c>
      <c r="Q3564" s="13">
        <v>41</v>
      </c>
      <c r="R3564">
        <v>28</v>
      </c>
      <c r="S3564">
        <v>42</v>
      </c>
      <c r="T3564" s="13">
        <v>31</v>
      </c>
      <c r="U3564" s="13">
        <v>47</v>
      </c>
      <c r="V3564" t="s">
        <v>99</v>
      </c>
      <c r="X3564" s="13">
        <v>183</v>
      </c>
    </row>
    <row r="3565" spans="1:24" x14ac:dyDescent="0.25">
      <c r="A3565" t="s">
        <v>3431</v>
      </c>
      <c r="B3565" t="s">
        <v>65</v>
      </c>
      <c r="C3565" t="s">
        <v>3414</v>
      </c>
      <c r="D3565" t="s">
        <v>3415</v>
      </c>
      <c r="E3565" t="s">
        <v>3416</v>
      </c>
      <c r="F3565" t="s">
        <v>94</v>
      </c>
      <c r="G3565" t="s">
        <v>277</v>
      </c>
      <c r="H3565" s="12">
        <v>6.6780999999999997</v>
      </c>
      <c r="I3565" s="12">
        <v>-75.811400000000006</v>
      </c>
      <c r="J3565" t="s">
        <v>3417</v>
      </c>
      <c r="K3565" t="s">
        <v>97</v>
      </c>
      <c r="L3565" t="s">
        <v>1273</v>
      </c>
      <c r="M3565">
        <v>11</v>
      </c>
      <c r="P3565" s="13">
        <v>176</v>
      </c>
      <c r="Q3565" s="13">
        <v>54</v>
      </c>
      <c r="R3565">
        <v>26</v>
      </c>
      <c r="S3565">
        <v>30</v>
      </c>
      <c r="T3565" s="13">
        <v>26</v>
      </c>
      <c r="U3565" s="13">
        <v>51</v>
      </c>
      <c r="V3565" t="s">
        <v>99</v>
      </c>
      <c r="X3565" s="13">
        <v>176</v>
      </c>
    </row>
    <row r="3566" spans="1:24" x14ac:dyDescent="0.25">
      <c r="A3566" t="s">
        <v>3432</v>
      </c>
      <c r="B3566" t="s">
        <v>65</v>
      </c>
      <c r="C3566" t="s">
        <v>3414</v>
      </c>
      <c r="D3566" t="s">
        <v>3415</v>
      </c>
      <c r="E3566" t="s">
        <v>3416</v>
      </c>
      <c r="F3566" t="s">
        <v>94</v>
      </c>
      <c r="G3566" t="s">
        <v>277</v>
      </c>
      <c r="H3566" s="12">
        <v>6.6780999999999997</v>
      </c>
      <c r="I3566" s="12">
        <v>-75.811400000000006</v>
      </c>
      <c r="J3566" t="s">
        <v>3417</v>
      </c>
      <c r="K3566" t="s">
        <v>97</v>
      </c>
      <c r="L3566" t="s">
        <v>1273</v>
      </c>
      <c r="M3566">
        <v>11</v>
      </c>
      <c r="P3566" s="13">
        <v>173</v>
      </c>
      <c r="Q3566" s="13">
        <v>39</v>
      </c>
      <c r="R3566">
        <v>36</v>
      </c>
      <c r="S3566">
        <v>38</v>
      </c>
      <c r="T3566" s="13">
        <v>26</v>
      </c>
      <c r="U3566" s="13">
        <v>33</v>
      </c>
      <c r="V3566" t="s">
        <v>99</v>
      </c>
      <c r="X3566" s="13">
        <v>173</v>
      </c>
    </row>
    <row r="3567" spans="1:24" x14ac:dyDescent="0.25">
      <c r="A3567" t="s">
        <v>3433</v>
      </c>
      <c r="B3567" t="s">
        <v>65</v>
      </c>
      <c r="C3567" t="s">
        <v>3414</v>
      </c>
      <c r="D3567" t="s">
        <v>3415</v>
      </c>
      <c r="E3567" t="s">
        <v>3416</v>
      </c>
      <c r="F3567" t="s">
        <v>94</v>
      </c>
      <c r="G3567" t="s">
        <v>277</v>
      </c>
      <c r="H3567" s="12">
        <v>6.6780999999999997</v>
      </c>
      <c r="I3567" s="12">
        <v>-75.811400000000006</v>
      </c>
      <c r="J3567" t="s">
        <v>3417</v>
      </c>
      <c r="K3567" t="s">
        <v>97</v>
      </c>
      <c r="L3567" t="s">
        <v>1273</v>
      </c>
      <c r="M3567">
        <v>11</v>
      </c>
      <c r="P3567" s="13">
        <v>166</v>
      </c>
      <c r="Q3567" s="13">
        <v>39</v>
      </c>
      <c r="R3567">
        <v>32</v>
      </c>
      <c r="S3567">
        <v>42</v>
      </c>
      <c r="T3567" s="13">
        <v>17</v>
      </c>
      <c r="U3567" s="13">
        <v>40</v>
      </c>
      <c r="V3567" t="s">
        <v>99</v>
      </c>
      <c r="X3567" s="13">
        <v>166</v>
      </c>
    </row>
    <row r="3568" spans="1:24" x14ac:dyDescent="0.25">
      <c r="A3568" t="s">
        <v>3434</v>
      </c>
      <c r="B3568" t="s">
        <v>65</v>
      </c>
      <c r="C3568" t="s">
        <v>3414</v>
      </c>
      <c r="D3568" t="s">
        <v>3415</v>
      </c>
      <c r="E3568" t="s">
        <v>3416</v>
      </c>
      <c r="F3568" t="s">
        <v>94</v>
      </c>
      <c r="G3568" t="s">
        <v>277</v>
      </c>
      <c r="H3568" s="12">
        <v>6.6780999999999997</v>
      </c>
      <c r="I3568" s="12">
        <v>-75.811400000000006</v>
      </c>
      <c r="J3568" t="s">
        <v>3417</v>
      </c>
      <c r="K3568" t="s">
        <v>97</v>
      </c>
      <c r="L3568" t="s">
        <v>1273</v>
      </c>
      <c r="M3568">
        <v>11</v>
      </c>
      <c r="P3568" s="13">
        <v>165</v>
      </c>
      <c r="Q3568" s="13">
        <v>37</v>
      </c>
      <c r="R3568">
        <v>20</v>
      </c>
      <c r="S3568">
        <v>40</v>
      </c>
      <c r="T3568" s="13">
        <v>31</v>
      </c>
      <c r="U3568" s="13">
        <v>47</v>
      </c>
      <c r="V3568" t="s">
        <v>99</v>
      </c>
      <c r="X3568" s="13">
        <v>165</v>
      </c>
    </row>
    <row r="3569" spans="1:24" x14ac:dyDescent="0.25">
      <c r="A3569" t="s">
        <v>3435</v>
      </c>
      <c r="B3569" t="s">
        <v>65</v>
      </c>
      <c r="C3569" t="s">
        <v>3414</v>
      </c>
      <c r="D3569" t="s">
        <v>3415</v>
      </c>
      <c r="E3569" t="s">
        <v>3416</v>
      </c>
      <c r="F3569" t="s">
        <v>94</v>
      </c>
      <c r="G3569" t="s">
        <v>277</v>
      </c>
      <c r="H3569" s="12">
        <v>6.6780999999999997</v>
      </c>
      <c r="I3569" s="12">
        <v>-75.811400000000006</v>
      </c>
      <c r="J3569" t="s">
        <v>3417</v>
      </c>
      <c r="K3569" t="s">
        <v>97</v>
      </c>
      <c r="L3569" t="s">
        <v>1273</v>
      </c>
      <c r="M3569">
        <v>11</v>
      </c>
      <c r="P3569" s="13">
        <v>161</v>
      </c>
      <c r="Q3569" s="13">
        <v>54</v>
      </c>
      <c r="R3569">
        <v>18</v>
      </c>
      <c r="S3569">
        <v>34</v>
      </c>
      <c r="T3569" s="13">
        <v>22</v>
      </c>
      <c r="U3569" s="13">
        <v>35</v>
      </c>
      <c r="V3569" t="s">
        <v>99</v>
      </c>
      <c r="X3569" s="13">
        <v>161</v>
      </c>
    </row>
    <row r="3570" spans="1:24" x14ac:dyDescent="0.25">
      <c r="A3570" t="s">
        <v>3436</v>
      </c>
      <c r="B3570" t="s">
        <v>65</v>
      </c>
      <c r="C3570" t="s">
        <v>3414</v>
      </c>
      <c r="D3570" t="s">
        <v>3415</v>
      </c>
      <c r="E3570" t="s">
        <v>3416</v>
      </c>
      <c r="F3570" t="s">
        <v>94</v>
      </c>
      <c r="G3570" t="s">
        <v>277</v>
      </c>
      <c r="H3570" s="12">
        <v>6.6780999999999997</v>
      </c>
      <c r="I3570" s="12">
        <v>-75.811400000000006</v>
      </c>
      <c r="J3570" t="s">
        <v>3417</v>
      </c>
      <c r="K3570" t="s">
        <v>97</v>
      </c>
      <c r="L3570" t="s">
        <v>1273</v>
      </c>
      <c r="M3570">
        <v>11</v>
      </c>
      <c r="P3570" s="13">
        <v>154</v>
      </c>
      <c r="Q3570" s="13">
        <v>44</v>
      </c>
      <c r="R3570">
        <v>22</v>
      </c>
      <c r="S3570">
        <v>32</v>
      </c>
      <c r="T3570" s="13">
        <v>31</v>
      </c>
      <c r="U3570" s="13">
        <v>15</v>
      </c>
      <c r="V3570" t="s">
        <v>99</v>
      </c>
      <c r="X3570" s="13">
        <v>154</v>
      </c>
    </row>
    <row r="3571" spans="1:24" x14ac:dyDescent="0.25">
      <c r="A3571" t="s">
        <v>3437</v>
      </c>
      <c r="B3571" t="s">
        <v>65</v>
      </c>
      <c r="C3571" t="s">
        <v>3414</v>
      </c>
      <c r="D3571" t="s">
        <v>3415</v>
      </c>
      <c r="E3571" t="s">
        <v>3416</v>
      </c>
      <c r="F3571" t="s">
        <v>94</v>
      </c>
      <c r="G3571" t="s">
        <v>277</v>
      </c>
      <c r="H3571" s="12">
        <v>6.6780999999999997</v>
      </c>
      <c r="I3571" s="12">
        <v>-75.811400000000006</v>
      </c>
      <c r="J3571" t="s">
        <v>3417</v>
      </c>
      <c r="K3571" t="s">
        <v>97</v>
      </c>
      <c r="L3571" t="s">
        <v>1273</v>
      </c>
      <c r="M3571">
        <v>11</v>
      </c>
      <c r="P3571" s="13">
        <v>153</v>
      </c>
      <c r="Q3571" s="13">
        <v>32</v>
      </c>
      <c r="R3571">
        <v>30</v>
      </c>
      <c r="S3571">
        <v>32</v>
      </c>
      <c r="T3571" s="13">
        <v>24</v>
      </c>
      <c r="U3571" s="13">
        <v>45</v>
      </c>
      <c r="V3571" t="s">
        <v>99</v>
      </c>
      <c r="X3571" s="13">
        <v>153</v>
      </c>
    </row>
    <row r="3572" spans="1:24" x14ac:dyDescent="0.25">
      <c r="A3572" t="s">
        <v>3438</v>
      </c>
      <c r="B3572" t="s">
        <v>65</v>
      </c>
      <c r="C3572" t="s">
        <v>3414</v>
      </c>
      <c r="D3572" t="s">
        <v>3415</v>
      </c>
      <c r="E3572" t="s">
        <v>3416</v>
      </c>
      <c r="F3572" t="s">
        <v>94</v>
      </c>
      <c r="G3572" t="s">
        <v>277</v>
      </c>
      <c r="H3572" s="12">
        <v>6.6780999999999997</v>
      </c>
      <c r="I3572" s="12">
        <v>-75.811400000000006</v>
      </c>
      <c r="J3572" t="s">
        <v>3417</v>
      </c>
      <c r="K3572" t="s">
        <v>97</v>
      </c>
      <c r="L3572" t="s">
        <v>1273</v>
      </c>
      <c r="M3572">
        <v>11</v>
      </c>
      <c r="P3572" s="13">
        <v>151</v>
      </c>
      <c r="Q3572" s="13">
        <v>54</v>
      </c>
      <c r="R3572">
        <v>18</v>
      </c>
      <c r="S3572">
        <v>26</v>
      </c>
      <c r="T3572" s="13">
        <v>21</v>
      </c>
      <c r="U3572" s="13">
        <v>38</v>
      </c>
      <c r="V3572" t="s">
        <v>99</v>
      </c>
      <c r="X3572" s="13">
        <v>151</v>
      </c>
    </row>
    <row r="3573" spans="1:24" x14ac:dyDescent="0.25">
      <c r="A3573" t="s">
        <v>3439</v>
      </c>
      <c r="B3573" t="s">
        <v>65</v>
      </c>
      <c r="C3573" t="s">
        <v>3414</v>
      </c>
      <c r="D3573" t="s">
        <v>3415</v>
      </c>
      <c r="E3573" t="s">
        <v>3416</v>
      </c>
      <c r="F3573" t="s">
        <v>94</v>
      </c>
      <c r="G3573" t="s">
        <v>277</v>
      </c>
      <c r="H3573" s="12">
        <v>6.6780999999999997</v>
      </c>
      <c r="I3573" s="12">
        <v>-75.811400000000006</v>
      </c>
      <c r="J3573" t="s">
        <v>3417</v>
      </c>
      <c r="K3573" t="s">
        <v>97</v>
      </c>
      <c r="L3573" t="s">
        <v>1273</v>
      </c>
      <c r="M3573">
        <v>11</v>
      </c>
      <c r="P3573" s="13">
        <v>150</v>
      </c>
      <c r="Q3573" s="13">
        <v>32</v>
      </c>
      <c r="R3573">
        <v>38</v>
      </c>
      <c r="S3573">
        <v>22</v>
      </c>
      <c r="T3573" s="13">
        <v>28</v>
      </c>
      <c r="U3573" s="13">
        <v>33</v>
      </c>
      <c r="V3573" t="s">
        <v>99</v>
      </c>
      <c r="X3573" s="13">
        <v>150</v>
      </c>
    </row>
    <row r="3574" spans="1:24" x14ac:dyDescent="0.25">
      <c r="A3574" t="s">
        <v>3440</v>
      </c>
      <c r="B3574" t="s">
        <v>65</v>
      </c>
      <c r="C3574" t="s">
        <v>3414</v>
      </c>
      <c r="D3574" t="s">
        <v>3415</v>
      </c>
      <c r="E3574" t="s">
        <v>3416</v>
      </c>
      <c r="F3574" t="s">
        <v>94</v>
      </c>
      <c r="G3574" t="s">
        <v>277</v>
      </c>
      <c r="H3574" s="12">
        <v>6.6780999999999997</v>
      </c>
      <c r="I3574" s="12">
        <v>-75.811400000000006</v>
      </c>
      <c r="J3574" t="s">
        <v>3417</v>
      </c>
      <c r="K3574" t="s">
        <v>97</v>
      </c>
      <c r="L3574" t="s">
        <v>1273</v>
      </c>
      <c r="M3574">
        <v>11</v>
      </c>
      <c r="P3574" s="13">
        <v>148</v>
      </c>
      <c r="Q3574" s="13">
        <v>27</v>
      </c>
      <c r="R3574">
        <v>34</v>
      </c>
      <c r="S3574">
        <v>32</v>
      </c>
      <c r="T3574" s="13">
        <v>28</v>
      </c>
      <c r="U3574" s="13">
        <v>24</v>
      </c>
      <c r="V3574" t="s">
        <v>99</v>
      </c>
      <c r="X3574" s="13">
        <v>148</v>
      </c>
    </row>
    <row r="3575" spans="1:24" x14ac:dyDescent="0.25">
      <c r="A3575" t="s">
        <v>3441</v>
      </c>
      <c r="B3575" t="s">
        <v>65</v>
      </c>
      <c r="C3575" t="s">
        <v>3414</v>
      </c>
      <c r="D3575" t="s">
        <v>3415</v>
      </c>
      <c r="E3575" t="s">
        <v>3416</v>
      </c>
      <c r="F3575" t="s">
        <v>94</v>
      </c>
      <c r="G3575" t="s">
        <v>277</v>
      </c>
      <c r="H3575" s="12">
        <v>6.6780999999999997</v>
      </c>
      <c r="I3575" s="12">
        <v>-75.811400000000006</v>
      </c>
      <c r="J3575" t="s">
        <v>3417</v>
      </c>
      <c r="K3575" t="s">
        <v>97</v>
      </c>
      <c r="L3575" t="s">
        <v>1273</v>
      </c>
      <c r="M3575">
        <v>11</v>
      </c>
      <c r="P3575" s="13">
        <v>147</v>
      </c>
      <c r="Q3575" s="13">
        <v>37</v>
      </c>
      <c r="R3575">
        <v>26</v>
      </c>
      <c r="S3575">
        <v>24</v>
      </c>
      <c r="T3575" s="13">
        <v>28</v>
      </c>
      <c r="U3575" s="13">
        <v>40</v>
      </c>
      <c r="V3575" t="s">
        <v>99</v>
      </c>
      <c r="X3575" s="13">
        <v>147</v>
      </c>
    </row>
    <row r="3576" spans="1:24" x14ac:dyDescent="0.25">
      <c r="A3576" t="s">
        <v>3442</v>
      </c>
      <c r="B3576" t="s">
        <v>65</v>
      </c>
      <c r="C3576" t="s">
        <v>3414</v>
      </c>
      <c r="D3576" t="s">
        <v>3415</v>
      </c>
      <c r="E3576" t="s">
        <v>3416</v>
      </c>
      <c r="F3576" t="s">
        <v>94</v>
      </c>
      <c r="G3576" t="s">
        <v>277</v>
      </c>
      <c r="H3576" s="12">
        <v>6.6780999999999997</v>
      </c>
      <c r="I3576" s="12">
        <v>-75.811400000000006</v>
      </c>
      <c r="J3576" t="s">
        <v>3417</v>
      </c>
      <c r="K3576" t="s">
        <v>97</v>
      </c>
      <c r="L3576" t="s">
        <v>1273</v>
      </c>
      <c r="M3576">
        <v>11</v>
      </c>
      <c r="P3576" s="13">
        <v>147</v>
      </c>
      <c r="Q3576" s="13">
        <v>39</v>
      </c>
      <c r="R3576">
        <v>32</v>
      </c>
      <c r="S3576">
        <v>20</v>
      </c>
      <c r="T3576" s="13">
        <v>28</v>
      </c>
      <c r="U3576" s="13">
        <v>25</v>
      </c>
      <c r="V3576" t="s">
        <v>99</v>
      </c>
      <c r="X3576" s="13">
        <v>147</v>
      </c>
    </row>
    <row r="3577" spans="1:24" x14ac:dyDescent="0.25">
      <c r="A3577" t="s">
        <v>3443</v>
      </c>
      <c r="B3577" t="s">
        <v>65</v>
      </c>
      <c r="C3577" t="s">
        <v>3414</v>
      </c>
      <c r="D3577" t="s">
        <v>3415</v>
      </c>
      <c r="E3577" t="s">
        <v>3416</v>
      </c>
      <c r="F3577" t="s">
        <v>94</v>
      </c>
      <c r="G3577" t="s">
        <v>277</v>
      </c>
      <c r="H3577" s="12">
        <v>6.6780999999999997</v>
      </c>
      <c r="I3577" s="12">
        <v>-75.811400000000006</v>
      </c>
      <c r="J3577" t="s">
        <v>3417</v>
      </c>
      <c r="K3577" t="s">
        <v>97</v>
      </c>
      <c r="L3577" t="s">
        <v>1273</v>
      </c>
      <c r="M3577">
        <v>11</v>
      </c>
      <c r="P3577" s="13">
        <v>145</v>
      </c>
      <c r="Q3577" s="13">
        <v>39</v>
      </c>
      <c r="R3577">
        <v>20</v>
      </c>
      <c r="S3577">
        <v>40</v>
      </c>
      <c r="T3577" s="13">
        <v>17</v>
      </c>
      <c r="U3577" s="13">
        <v>27</v>
      </c>
      <c r="V3577" t="s">
        <v>99</v>
      </c>
      <c r="X3577" s="13">
        <v>145</v>
      </c>
    </row>
    <row r="3578" spans="1:24" x14ac:dyDescent="0.25">
      <c r="A3578" t="s">
        <v>3444</v>
      </c>
      <c r="B3578" t="s">
        <v>65</v>
      </c>
      <c r="C3578" t="s">
        <v>3414</v>
      </c>
      <c r="D3578" t="s">
        <v>3415</v>
      </c>
      <c r="E3578" t="s">
        <v>3416</v>
      </c>
      <c r="F3578" t="s">
        <v>94</v>
      </c>
      <c r="G3578" t="s">
        <v>277</v>
      </c>
      <c r="H3578" s="12">
        <v>6.6780999999999997</v>
      </c>
      <c r="I3578" s="12">
        <v>-75.811400000000006</v>
      </c>
      <c r="J3578" t="s">
        <v>3417</v>
      </c>
      <c r="K3578" t="s">
        <v>97</v>
      </c>
      <c r="L3578" t="s">
        <v>1273</v>
      </c>
      <c r="M3578">
        <v>11</v>
      </c>
      <c r="P3578" s="13">
        <v>143</v>
      </c>
      <c r="Q3578" s="13">
        <v>32</v>
      </c>
      <c r="R3578">
        <v>26</v>
      </c>
      <c r="S3578">
        <v>30</v>
      </c>
      <c r="T3578" s="13">
        <v>21</v>
      </c>
      <c r="U3578" s="13">
        <v>45</v>
      </c>
      <c r="V3578" t="s">
        <v>99</v>
      </c>
      <c r="X3578" s="13">
        <v>143</v>
      </c>
    </row>
    <row r="3579" spans="1:24" x14ac:dyDescent="0.25">
      <c r="A3579" t="s">
        <v>3445</v>
      </c>
      <c r="B3579" t="s">
        <v>65</v>
      </c>
      <c r="C3579" t="s">
        <v>3414</v>
      </c>
      <c r="D3579" t="s">
        <v>3415</v>
      </c>
      <c r="E3579" t="s">
        <v>3416</v>
      </c>
      <c r="F3579" t="s">
        <v>94</v>
      </c>
      <c r="G3579" t="s">
        <v>277</v>
      </c>
      <c r="H3579" s="12">
        <v>6.6780999999999997</v>
      </c>
      <c r="I3579" s="12">
        <v>-75.811400000000006</v>
      </c>
      <c r="J3579" t="s">
        <v>3417</v>
      </c>
      <c r="K3579" t="s">
        <v>97</v>
      </c>
      <c r="L3579" t="s">
        <v>1273</v>
      </c>
      <c r="M3579">
        <v>11</v>
      </c>
      <c r="P3579" s="13">
        <v>140</v>
      </c>
      <c r="Q3579" s="13">
        <v>32</v>
      </c>
      <c r="R3579">
        <v>28</v>
      </c>
      <c r="S3579">
        <v>30</v>
      </c>
      <c r="T3579" s="13">
        <v>22</v>
      </c>
      <c r="U3579" s="13">
        <v>27</v>
      </c>
      <c r="V3579" t="s">
        <v>99</v>
      </c>
      <c r="X3579" s="13">
        <v>140</v>
      </c>
    </row>
    <row r="3580" spans="1:24" x14ac:dyDescent="0.25">
      <c r="A3580" t="s">
        <v>3446</v>
      </c>
      <c r="B3580" t="s">
        <v>65</v>
      </c>
      <c r="C3580" t="s">
        <v>3414</v>
      </c>
      <c r="D3580" t="s">
        <v>3415</v>
      </c>
      <c r="E3580" t="s">
        <v>3416</v>
      </c>
      <c r="F3580" t="s">
        <v>94</v>
      </c>
      <c r="G3580" t="s">
        <v>277</v>
      </c>
      <c r="H3580" s="12">
        <v>6.6780999999999997</v>
      </c>
      <c r="I3580" s="12">
        <v>-75.811400000000006</v>
      </c>
      <c r="J3580" t="s">
        <v>3417</v>
      </c>
      <c r="K3580" t="s">
        <v>97</v>
      </c>
      <c r="L3580" t="s">
        <v>1273</v>
      </c>
      <c r="M3580">
        <v>11</v>
      </c>
      <c r="P3580" s="13">
        <v>137</v>
      </c>
      <c r="Q3580" s="13">
        <v>32</v>
      </c>
      <c r="R3580">
        <v>26</v>
      </c>
      <c r="S3580">
        <v>26</v>
      </c>
      <c r="T3580" s="13">
        <v>28</v>
      </c>
      <c r="U3580" s="13">
        <v>22</v>
      </c>
      <c r="V3580" t="s">
        <v>99</v>
      </c>
      <c r="X3580" s="13">
        <v>137</v>
      </c>
    </row>
    <row r="3581" spans="1:24" x14ac:dyDescent="0.25">
      <c r="A3581" t="s">
        <v>3447</v>
      </c>
      <c r="B3581" t="s">
        <v>65</v>
      </c>
      <c r="C3581" t="s">
        <v>3414</v>
      </c>
      <c r="D3581" t="s">
        <v>3415</v>
      </c>
      <c r="E3581" t="s">
        <v>3416</v>
      </c>
      <c r="F3581" t="s">
        <v>94</v>
      </c>
      <c r="G3581" t="s">
        <v>277</v>
      </c>
      <c r="H3581" s="12">
        <v>6.6780999999999997</v>
      </c>
      <c r="I3581" s="12">
        <v>-75.811400000000006</v>
      </c>
      <c r="J3581" t="s">
        <v>3417</v>
      </c>
      <c r="K3581" t="s">
        <v>97</v>
      </c>
      <c r="L3581" t="s">
        <v>1273</v>
      </c>
      <c r="M3581">
        <v>11</v>
      </c>
      <c r="P3581" s="13">
        <v>135</v>
      </c>
      <c r="Q3581" s="13">
        <v>27</v>
      </c>
      <c r="R3581">
        <v>32</v>
      </c>
      <c r="S3581">
        <v>26</v>
      </c>
      <c r="T3581" s="13">
        <v>19</v>
      </c>
      <c r="U3581" s="13">
        <v>40</v>
      </c>
      <c r="V3581" t="s">
        <v>99</v>
      </c>
      <c r="X3581" s="13">
        <v>135</v>
      </c>
    </row>
    <row r="3582" spans="1:24" x14ac:dyDescent="0.25">
      <c r="A3582" t="s">
        <v>3448</v>
      </c>
      <c r="B3582" t="s">
        <v>65</v>
      </c>
      <c r="C3582" t="s">
        <v>3414</v>
      </c>
      <c r="D3582" t="s">
        <v>3415</v>
      </c>
      <c r="E3582" t="s">
        <v>3416</v>
      </c>
      <c r="F3582" t="s">
        <v>94</v>
      </c>
      <c r="G3582" t="s">
        <v>277</v>
      </c>
      <c r="H3582" s="12">
        <v>6.6780999999999997</v>
      </c>
      <c r="I3582" s="12">
        <v>-75.811400000000006</v>
      </c>
      <c r="J3582" t="s">
        <v>3417</v>
      </c>
      <c r="K3582" t="s">
        <v>97</v>
      </c>
      <c r="L3582" t="s">
        <v>1273</v>
      </c>
      <c r="M3582">
        <v>11</v>
      </c>
      <c r="P3582" s="13">
        <v>132</v>
      </c>
      <c r="Q3582" s="13">
        <v>37</v>
      </c>
      <c r="R3582">
        <v>16</v>
      </c>
      <c r="S3582">
        <v>26</v>
      </c>
      <c r="T3582" s="13">
        <v>26</v>
      </c>
      <c r="U3582" s="13">
        <v>29</v>
      </c>
      <c r="V3582" t="s">
        <v>99</v>
      </c>
      <c r="X3582" s="13">
        <v>132</v>
      </c>
    </row>
    <row r="3583" spans="1:24" x14ac:dyDescent="0.25">
      <c r="A3583" t="s">
        <v>3449</v>
      </c>
      <c r="B3583" t="s">
        <v>65</v>
      </c>
      <c r="C3583" t="s">
        <v>3414</v>
      </c>
      <c r="D3583" t="s">
        <v>3415</v>
      </c>
      <c r="E3583" t="s">
        <v>3416</v>
      </c>
      <c r="F3583" t="s">
        <v>94</v>
      </c>
      <c r="G3583" t="s">
        <v>277</v>
      </c>
      <c r="H3583" s="12">
        <v>6.6780999999999997</v>
      </c>
      <c r="I3583" s="12">
        <v>-75.811400000000006</v>
      </c>
      <c r="J3583" t="s">
        <v>3417</v>
      </c>
      <c r="K3583" t="s">
        <v>97</v>
      </c>
      <c r="L3583" t="s">
        <v>1273</v>
      </c>
      <c r="M3583">
        <v>11</v>
      </c>
      <c r="P3583" s="13">
        <v>126</v>
      </c>
      <c r="Q3583" s="13">
        <v>27</v>
      </c>
      <c r="R3583">
        <v>20</v>
      </c>
      <c r="S3583">
        <v>26</v>
      </c>
      <c r="T3583" s="13">
        <v>29</v>
      </c>
      <c r="U3583" s="13">
        <v>22</v>
      </c>
      <c r="V3583" t="s">
        <v>99</v>
      </c>
      <c r="X3583" s="13">
        <v>126</v>
      </c>
    </row>
    <row r="3584" spans="1:24" x14ac:dyDescent="0.25">
      <c r="A3584" t="s">
        <v>3450</v>
      </c>
      <c r="B3584" t="s">
        <v>65</v>
      </c>
      <c r="C3584" t="s">
        <v>3414</v>
      </c>
      <c r="D3584" t="s">
        <v>3415</v>
      </c>
      <c r="E3584" t="s">
        <v>3416</v>
      </c>
      <c r="F3584" t="s">
        <v>94</v>
      </c>
      <c r="G3584" t="s">
        <v>277</v>
      </c>
      <c r="H3584" s="12">
        <v>6.6780999999999997</v>
      </c>
      <c r="I3584" s="12">
        <v>-75.811400000000006</v>
      </c>
      <c r="J3584" t="s">
        <v>3417</v>
      </c>
      <c r="K3584" t="s">
        <v>97</v>
      </c>
      <c r="L3584" t="s">
        <v>1273</v>
      </c>
      <c r="M3584">
        <v>11</v>
      </c>
      <c r="P3584" s="13">
        <v>93</v>
      </c>
      <c r="Q3584" s="13">
        <v>10</v>
      </c>
      <c r="R3584">
        <v>20</v>
      </c>
      <c r="S3584">
        <v>22</v>
      </c>
      <c r="T3584" s="13">
        <v>19</v>
      </c>
      <c r="U3584" s="13">
        <v>31</v>
      </c>
      <c r="V3584" t="s">
        <v>99</v>
      </c>
      <c r="X3584" s="13">
        <v>93</v>
      </c>
    </row>
    <row r="3585" spans="1:24" x14ac:dyDescent="0.25">
      <c r="A3585" t="s">
        <v>3451</v>
      </c>
      <c r="B3585" t="s">
        <v>65</v>
      </c>
      <c r="C3585" t="s">
        <v>3452</v>
      </c>
      <c r="D3585" t="s">
        <v>3453</v>
      </c>
      <c r="E3585" t="s">
        <v>3454</v>
      </c>
      <c r="F3585" t="s">
        <v>94</v>
      </c>
      <c r="G3585" t="s">
        <v>277</v>
      </c>
      <c r="H3585" s="12">
        <v>6.1214000000000004</v>
      </c>
      <c r="I3585" s="12">
        <v>-75.715900000000005</v>
      </c>
      <c r="J3585" t="s">
        <v>190</v>
      </c>
      <c r="K3585" t="s">
        <v>97</v>
      </c>
      <c r="L3585" t="s">
        <v>1273</v>
      </c>
      <c r="M3585">
        <v>11</v>
      </c>
      <c r="P3585" s="13">
        <v>195</v>
      </c>
      <c r="Q3585" s="13">
        <v>29</v>
      </c>
      <c r="R3585">
        <v>36</v>
      </c>
      <c r="S3585">
        <v>58</v>
      </c>
      <c r="T3585" s="13">
        <v>26</v>
      </c>
      <c r="U3585" s="13">
        <v>60</v>
      </c>
      <c r="V3585" t="s">
        <v>99</v>
      </c>
      <c r="X3585" s="13">
        <v>195</v>
      </c>
    </row>
    <row r="3586" spans="1:24" x14ac:dyDescent="0.25">
      <c r="A3586" t="s">
        <v>3455</v>
      </c>
      <c r="B3586" t="s">
        <v>65</v>
      </c>
      <c r="C3586" t="s">
        <v>3452</v>
      </c>
      <c r="D3586" t="s">
        <v>3453</v>
      </c>
      <c r="E3586" t="s">
        <v>3454</v>
      </c>
      <c r="F3586" t="s">
        <v>94</v>
      </c>
      <c r="G3586" t="s">
        <v>277</v>
      </c>
      <c r="H3586" s="12">
        <v>6.1214000000000004</v>
      </c>
      <c r="I3586" s="12">
        <v>-75.715900000000005</v>
      </c>
      <c r="J3586" t="s">
        <v>190</v>
      </c>
      <c r="K3586" t="s">
        <v>97</v>
      </c>
      <c r="L3586" t="s">
        <v>1273</v>
      </c>
      <c r="M3586">
        <v>11</v>
      </c>
      <c r="P3586" s="13">
        <v>190</v>
      </c>
      <c r="Q3586" s="13">
        <v>49</v>
      </c>
      <c r="R3586">
        <v>26</v>
      </c>
      <c r="S3586">
        <v>44</v>
      </c>
      <c r="T3586" s="13">
        <v>31</v>
      </c>
      <c r="U3586" s="13">
        <v>44</v>
      </c>
      <c r="V3586" t="s">
        <v>99</v>
      </c>
      <c r="X3586" s="13">
        <v>190</v>
      </c>
    </row>
    <row r="3587" spans="1:24" x14ac:dyDescent="0.25">
      <c r="A3587" t="s">
        <v>3456</v>
      </c>
      <c r="B3587" t="s">
        <v>65</v>
      </c>
      <c r="C3587" t="s">
        <v>3452</v>
      </c>
      <c r="D3587" t="s">
        <v>3453</v>
      </c>
      <c r="E3587" t="s">
        <v>3454</v>
      </c>
      <c r="F3587" t="s">
        <v>94</v>
      </c>
      <c r="G3587" t="s">
        <v>277</v>
      </c>
      <c r="H3587" s="12">
        <v>6.1214000000000004</v>
      </c>
      <c r="I3587" s="12">
        <v>-75.715900000000005</v>
      </c>
      <c r="J3587" t="s">
        <v>190</v>
      </c>
      <c r="K3587" t="s">
        <v>97</v>
      </c>
      <c r="L3587" t="s">
        <v>1273</v>
      </c>
      <c r="M3587">
        <v>11</v>
      </c>
      <c r="P3587" s="13">
        <v>184</v>
      </c>
      <c r="Q3587" s="13">
        <v>54</v>
      </c>
      <c r="R3587">
        <v>28</v>
      </c>
      <c r="S3587">
        <v>40</v>
      </c>
      <c r="T3587" s="13">
        <v>21</v>
      </c>
      <c r="U3587" s="13">
        <v>51</v>
      </c>
      <c r="V3587" t="s">
        <v>99</v>
      </c>
      <c r="X3587" s="13">
        <v>184</v>
      </c>
    </row>
    <row r="3588" spans="1:24" x14ac:dyDescent="0.25">
      <c r="A3588" t="s">
        <v>3457</v>
      </c>
      <c r="B3588" t="s">
        <v>65</v>
      </c>
      <c r="C3588" t="s">
        <v>3452</v>
      </c>
      <c r="D3588" t="s">
        <v>3453</v>
      </c>
      <c r="E3588" t="s">
        <v>3454</v>
      </c>
      <c r="F3588" t="s">
        <v>94</v>
      </c>
      <c r="G3588" t="s">
        <v>277</v>
      </c>
      <c r="H3588" s="12">
        <v>6.1214000000000004</v>
      </c>
      <c r="I3588" s="12">
        <v>-75.715900000000005</v>
      </c>
      <c r="J3588" t="s">
        <v>190</v>
      </c>
      <c r="K3588" t="s">
        <v>97</v>
      </c>
      <c r="L3588" t="s">
        <v>1273</v>
      </c>
      <c r="M3588">
        <v>11</v>
      </c>
      <c r="P3588" s="13">
        <v>182</v>
      </c>
      <c r="Q3588" s="13">
        <v>46</v>
      </c>
      <c r="R3588">
        <v>28</v>
      </c>
      <c r="S3588">
        <v>46</v>
      </c>
      <c r="T3588" s="13">
        <v>21</v>
      </c>
      <c r="U3588" s="13">
        <v>49</v>
      </c>
      <c r="V3588" t="s">
        <v>99</v>
      </c>
      <c r="X3588" s="13">
        <v>182</v>
      </c>
    </row>
    <row r="3589" spans="1:24" x14ac:dyDescent="0.25">
      <c r="A3589" t="s">
        <v>3458</v>
      </c>
      <c r="B3589" t="s">
        <v>65</v>
      </c>
      <c r="C3589" t="s">
        <v>3452</v>
      </c>
      <c r="D3589" t="s">
        <v>3453</v>
      </c>
      <c r="E3589" t="s">
        <v>3454</v>
      </c>
      <c r="F3589" t="s">
        <v>94</v>
      </c>
      <c r="G3589" t="s">
        <v>277</v>
      </c>
      <c r="H3589" s="12">
        <v>6.1214000000000004</v>
      </c>
      <c r="I3589" s="12">
        <v>-75.715900000000005</v>
      </c>
      <c r="J3589" t="s">
        <v>190</v>
      </c>
      <c r="K3589" t="s">
        <v>97</v>
      </c>
      <c r="L3589" t="s">
        <v>1273</v>
      </c>
      <c r="M3589">
        <v>11</v>
      </c>
      <c r="P3589" s="13">
        <v>174</v>
      </c>
      <c r="Q3589" s="13">
        <v>51</v>
      </c>
      <c r="R3589">
        <v>32</v>
      </c>
      <c r="S3589">
        <v>42</v>
      </c>
      <c r="T3589" s="13">
        <v>12</v>
      </c>
      <c r="U3589" s="13">
        <v>42</v>
      </c>
      <c r="V3589" t="s">
        <v>99</v>
      </c>
      <c r="X3589" s="13">
        <v>174</v>
      </c>
    </row>
    <row r="3590" spans="1:24" x14ac:dyDescent="0.25">
      <c r="A3590" t="s">
        <v>3459</v>
      </c>
      <c r="B3590" t="s">
        <v>65</v>
      </c>
      <c r="C3590" t="s">
        <v>3452</v>
      </c>
      <c r="D3590" t="s">
        <v>3453</v>
      </c>
      <c r="E3590" t="s">
        <v>3454</v>
      </c>
      <c r="F3590" t="s">
        <v>94</v>
      </c>
      <c r="G3590" t="s">
        <v>277</v>
      </c>
      <c r="H3590" s="12">
        <v>6.1214000000000004</v>
      </c>
      <c r="I3590" s="12">
        <v>-75.715900000000005</v>
      </c>
      <c r="J3590" t="s">
        <v>190</v>
      </c>
      <c r="K3590" t="s">
        <v>97</v>
      </c>
      <c r="L3590" t="s">
        <v>1273</v>
      </c>
      <c r="M3590">
        <v>11</v>
      </c>
      <c r="P3590" s="13">
        <v>173</v>
      </c>
      <c r="Q3590" s="13">
        <v>41</v>
      </c>
      <c r="R3590">
        <v>28</v>
      </c>
      <c r="S3590">
        <v>40</v>
      </c>
      <c r="T3590" s="13">
        <v>28</v>
      </c>
      <c r="U3590" s="13">
        <v>38</v>
      </c>
      <c r="V3590" t="s">
        <v>99</v>
      </c>
      <c r="X3590" s="13">
        <v>173</v>
      </c>
    </row>
    <row r="3591" spans="1:24" x14ac:dyDescent="0.25">
      <c r="A3591" t="s">
        <v>3460</v>
      </c>
      <c r="B3591" t="s">
        <v>65</v>
      </c>
      <c r="C3591" t="s">
        <v>3452</v>
      </c>
      <c r="D3591" t="s">
        <v>3453</v>
      </c>
      <c r="E3591" t="s">
        <v>3454</v>
      </c>
      <c r="F3591" t="s">
        <v>94</v>
      </c>
      <c r="G3591" t="s">
        <v>277</v>
      </c>
      <c r="H3591" s="12">
        <v>6.1214000000000004</v>
      </c>
      <c r="I3591" s="12">
        <v>-75.715900000000005</v>
      </c>
      <c r="J3591" t="s">
        <v>190</v>
      </c>
      <c r="K3591" t="s">
        <v>97</v>
      </c>
      <c r="L3591" t="s">
        <v>1273</v>
      </c>
      <c r="M3591">
        <v>11</v>
      </c>
      <c r="P3591" s="13">
        <v>173</v>
      </c>
      <c r="Q3591" s="13">
        <v>51</v>
      </c>
      <c r="R3591">
        <v>24</v>
      </c>
      <c r="S3591">
        <v>40</v>
      </c>
      <c r="T3591" s="13">
        <v>24</v>
      </c>
      <c r="U3591" s="13">
        <v>31</v>
      </c>
      <c r="V3591" t="s">
        <v>99</v>
      </c>
      <c r="X3591" s="13">
        <v>173</v>
      </c>
    </row>
    <row r="3592" spans="1:24" x14ac:dyDescent="0.25">
      <c r="A3592" t="s">
        <v>3461</v>
      </c>
      <c r="B3592" t="s">
        <v>65</v>
      </c>
      <c r="C3592" t="s">
        <v>3452</v>
      </c>
      <c r="D3592" t="s">
        <v>3453</v>
      </c>
      <c r="E3592" t="s">
        <v>3454</v>
      </c>
      <c r="F3592" t="s">
        <v>94</v>
      </c>
      <c r="G3592" t="s">
        <v>277</v>
      </c>
      <c r="H3592" s="12">
        <v>6.1214000000000004</v>
      </c>
      <c r="I3592" s="12">
        <v>-75.715900000000005</v>
      </c>
      <c r="J3592" t="s">
        <v>190</v>
      </c>
      <c r="K3592" t="s">
        <v>97</v>
      </c>
      <c r="L3592" t="s">
        <v>1273</v>
      </c>
      <c r="M3592">
        <v>11</v>
      </c>
      <c r="P3592" s="13">
        <v>172</v>
      </c>
      <c r="Q3592" s="13">
        <v>51</v>
      </c>
      <c r="R3592">
        <v>24</v>
      </c>
      <c r="S3592">
        <v>30</v>
      </c>
      <c r="T3592" s="13">
        <v>34</v>
      </c>
      <c r="U3592" s="13">
        <v>29</v>
      </c>
      <c r="V3592" t="s">
        <v>99</v>
      </c>
      <c r="X3592" s="13">
        <v>172</v>
      </c>
    </row>
    <row r="3593" spans="1:24" x14ac:dyDescent="0.25">
      <c r="A3593" t="s">
        <v>3462</v>
      </c>
      <c r="B3593" t="s">
        <v>65</v>
      </c>
      <c r="C3593" t="s">
        <v>3452</v>
      </c>
      <c r="D3593" t="s">
        <v>3453</v>
      </c>
      <c r="E3593" t="s">
        <v>3454</v>
      </c>
      <c r="F3593" t="s">
        <v>94</v>
      </c>
      <c r="G3593" t="s">
        <v>277</v>
      </c>
      <c r="H3593" s="12">
        <v>6.1214000000000004</v>
      </c>
      <c r="I3593" s="12">
        <v>-75.715900000000005</v>
      </c>
      <c r="J3593" t="s">
        <v>190</v>
      </c>
      <c r="K3593" t="s">
        <v>97</v>
      </c>
      <c r="L3593" t="s">
        <v>1273</v>
      </c>
      <c r="M3593">
        <v>11</v>
      </c>
      <c r="P3593" s="13">
        <v>172</v>
      </c>
      <c r="Q3593" s="13">
        <v>39</v>
      </c>
      <c r="R3593">
        <v>24</v>
      </c>
      <c r="S3593">
        <v>36</v>
      </c>
      <c r="T3593" s="13">
        <v>34</v>
      </c>
      <c r="U3593" s="13">
        <v>47</v>
      </c>
      <c r="V3593" t="s">
        <v>99</v>
      </c>
      <c r="X3593" s="13">
        <v>172</v>
      </c>
    </row>
    <row r="3594" spans="1:24" x14ac:dyDescent="0.25">
      <c r="A3594" t="s">
        <v>3463</v>
      </c>
      <c r="B3594" t="s">
        <v>65</v>
      </c>
      <c r="C3594" t="s">
        <v>3452</v>
      </c>
      <c r="D3594" t="s">
        <v>3453</v>
      </c>
      <c r="E3594" t="s">
        <v>3454</v>
      </c>
      <c r="F3594" t="s">
        <v>94</v>
      </c>
      <c r="G3594" t="s">
        <v>277</v>
      </c>
      <c r="H3594" s="12">
        <v>6.1214000000000004</v>
      </c>
      <c r="I3594" s="12">
        <v>-75.715900000000005</v>
      </c>
      <c r="J3594" t="s">
        <v>190</v>
      </c>
      <c r="K3594" t="s">
        <v>97</v>
      </c>
      <c r="L3594" t="s">
        <v>1273</v>
      </c>
      <c r="M3594">
        <v>11</v>
      </c>
      <c r="P3594" s="13">
        <v>154</v>
      </c>
      <c r="Q3594" s="13">
        <v>34</v>
      </c>
      <c r="R3594">
        <v>20</v>
      </c>
      <c r="S3594">
        <v>34</v>
      </c>
      <c r="T3594" s="13">
        <v>31</v>
      </c>
      <c r="U3594" s="13">
        <v>44</v>
      </c>
      <c r="V3594" t="s">
        <v>99</v>
      </c>
      <c r="X3594" s="13">
        <v>154</v>
      </c>
    </row>
    <row r="3595" spans="1:24" x14ac:dyDescent="0.25">
      <c r="A3595" t="s">
        <v>3464</v>
      </c>
      <c r="B3595" t="s">
        <v>65</v>
      </c>
      <c r="C3595" t="s">
        <v>3452</v>
      </c>
      <c r="D3595" t="s">
        <v>3453</v>
      </c>
      <c r="E3595" t="s">
        <v>3454</v>
      </c>
      <c r="F3595" t="s">
        <v>94</v>
      </c>
      <c r="G3595" t="s">
        <v>277</v>
      </c>
      <c r="H3595" s="12">
        <v>6.1214000000000004</v>
      </c>
      <c r="I3595" s="12">
        <v>-75.715900000000005</v>
      </c>
      <c r="J3595" t="s">
        <v>190</v>
      </c>
      <c r="K3595" t="s">
        <v>97</v>
      </c>
      <c r="L3595" t="s">
        <v>1273</v>
      </c>
      <c r="M3595">
        <v>11</v>
      </c>
      <c r="P3595" s="13">
        <v>144</v>
      </c>
      <c r="Q3595" s="13">
        <v>39</v>
      </c>
      <c r="R3595">
        <v>14</v>
      </c>
      <c r="S3595">
        <v>34</v>
      </c>
      <c r="T3595" s="13">
        <v>26</v>
      </c>
      <c r="U3595" s="13">
        <v>35</v>
      </c>
      <c r="V3595" t="s">
        <v>99</v>
      </c>
      <c r="X3595" s="13">
        <v>144</v>
      </c>
    </row>
    <row r="3596" spans="1:24" x14ac:dyDescent="0.25">
      <c r="A3596" t="s">
        <v>3465</v>
      </c>
      <c r="B3596" t="s">
        <v>65</v>
      </c>
      <c r="C3596" t="s">
        <v>3452</v>
      </c>
      <c r="D3596" t="s">
        <v>3453</v>
      </c>
      <c r="E3596" t="s">
        <v>3454</v>
      </c>
      <c r="F3596" t="s">
        <v>94</v>
      </c>
      <c r="G3596" t="s">
        <v>277</v>
      </c>
      <c r="H3596" s="12">
        <v>6.1214000000000004</v>
      </c>
      <c r="I3596" s="12">
        <v>-75.715900000000005</v>
      </c>
      <c r="J3596" t="s">
        <v>190</v>
      </c>
      <c r="K3596" t="s">
        <v>97</v>
      </c>
      <c r="L3596" t="s">
        <v>1273</v>
      </c>
      <c r="M3596">
        <v>11</v>
      </c>
      <c r="P3596" s="13">
        <v>136</v>
      </c>
      <c r="Q3596" s="13">
        <v>29</v>
      </c>
      <c r="R3596">
        <v>18</v>
      </c>
      <c r="S3596">
        <v>36</v>
      </c>
      <c r="T3596" s="13">
        <v>28</v>
      </c>
      <c r="U3596" s="13">
        <v>22</v>
      </c>
      <c r="V3596" t="s">
        <v>99</v>
      </c>
      <c r="X3596" s="13">
        <v>136</v>
      </c>
    </row>
    <row r="3597" spans="1:24" x14ac:dyDescent="0.25">
      <c r="A3597" t="s">
        <v>3466</v>
      </c>
      <c r="B3597" t="s">
        <v>65</v>
      </c>
      <c r="C3597" t="s">
        <v>3452</v>
      </c>
      <c r="D3597" t="s">
        <v>3453</v>
      </c>
      <c r="E3597" t="s">
        <v>3454</v>
      </c>
      <c r="F3597" t="s">
        <v>94</v>
      </c>
      <c r="G3597" t="s">
        <v>277</v>
      </c>
      <c r="H3597" s="12">
        <v>6.1214000000000004</v>
      </c>
      <c r="I3597" s="12">
        <v>-75.715900000000005</v>
      </c>
      <c r="J3597" t="s">
        <v>190</v>
      </c>
      <c r="K3597" t="s">
        <v>97</v>
      </c>
      <c r="L3597" t="s">
        <v>1273</v>
      </c>
      <c r="M3597">
        <v>11</v>
      </c>
      <c r="P3597" s="13">
        <v>132</v>
      </c>
      <c r="Q3597" s="13">
        <v>27</v>
      </c>
      <c r="R3597">
        <v>24</v>
      </c>
      <c r="S3597">
        <v>30</v>
      </c>
      <c r="T3597" s="13">
        <v>22</v>
      </c>
      <c r="U3597" s="13">
        <v>33</v>
      </c>
      <c r="V3597" t="s">
        <v>99</v>
      </c>
      <c r="X3597" s="13">
        <v>132</v>
      </c>
    </row>
    <row r="3598" spans="1:24" x14ac:dyDescent="0.25">
      <c r="A3598" t="s">
        <v>3467</v>
      </c>
      <c r="B3598" t="s">
        <v>65</v>
      </c>
      <c r="C3598" t="s">
        <v>3452</v>
      </c>
      <c r="D3598" t="s">
        <v>3453</v>
      </c>
      <c r="E3598" t="s">
        <v>3454</v>
      </c>
      <c r="F3598" t="s">
        <v>94</v>
      </c>
      <c r="G3598" t="s">
        <v>277</v>
      </c>
      <c r="H3598" s="12">
        <v>6.1214000000000004</v>
      </c>
      <c r="I3598" s="12">
        <v>-75.715900000000005</v>
      </c>
      <c r="J3598" t="s">
        <v>190</v>
      </c>
      <c r="K3598" t="s">
        <v>97</v>
      </c>
      <c r="L3598" t="s">
        <v>1273</v>
      </c>
      <c r="M3598">
        <v>11</v>
      </c>
      <c r="P3598" s="13">
        <v>123</v>
      </c>
      <c r="Q3598" s="13">
        <v>22</v>
      </c>
      <c r="R3598">
        <v>20</v>
      </c>
      <c r="S3598">
        <v>32</v>
      </c>
      <c r="T3598" s="13">
        <v>22</v>
      </c>
      <c r="U3598" s="13">
        <v>31</v>
      </c>
      <c r="V3598" t="s">
        <v>99</v>
      </c>
      <c r="X3598" s="13">
        <v>123</v>
      </c>
    </row>
    <row r="3599" spans="1:24" x14ac:dyDescent="0.25">
      <c r="A3599" t="s">
        <v>3468</v>
      </c>
      <c r="B3599" t="s">
        <v>65</v>
      </c>
      <c r="C3599" t="s">
        <v>3452</v>
      </c>
      <c r="D3599" t="s">
        <v>3453</v>
      </c>
      <c r="E3599" t="s">
        <v>3454</v>
      </c>
      <c r="F3599" t="s">
        <v>94</v>
      </c>
      <c r="G3599" t="s">
        <v>277</v>
      </c>
      <c r="H3599" s="12">
        <v>6.1214000000000004</v>
      </c>
      <c r="I3599" s="12">
        <v>-75.715900000000005</v>
      </c>
      <c r="J3599" t="s">
        <v>190</v>
      </c>
      <c r="K3599" t="s">
        <v>97</v>
      </c>
      <c r="L3599" t="s">
        <v>1273</v>
      </c>
      <c r="M3599">
        <v>11</v>
      </c>
      <c r="P3599" s="13">
        <v>123</v>
      </c>
      <c r="Q3599" s="13">
        <v>22</v>
      </c>
      <c r="R3599">
        <v>20</v>
      </c>
      <c r="S3599">
        <v>34</v>
      </c>
      <c r="T3599" s="13">
        <v>22</v>
      </c>
      <c r="U3599" s="13">
        <v>24</v>
      </c>
      <c r="V3599" t="s">
        <v>99</v>
      </c>
      <c r="X3599" s="13">
        <v>123</v>
      </c>
    </row>
    <row r="3600" spans="1:24" x14ac:dyDescent="0.25">
      <c r="A3600" t="s">
        <v>3469</v>
      </c>
      <c r="B3600" t="s">
        <v>65</v>
      </c>
      <c r="C3600" t="s">
        <v>3452</v>
      </c>
      <c r="D3600" t="s">
        <v>3453</v>
      </c>
      <c r="E3600" t="s">
        <v>3454</v>
      </c>
      <c r="F3600" t="s">
        <v>94</v>
      </c>
      <c r="G3600" t="s">
        <v>277</v>
      </c>
      <c r="H3600" s="12">
        <v>6.1214000000000004</v>
      </c>
      <c r="I3600" s="12">
        <v>-75.715900000000005</v>
      </c>
      <c r="J3600" t="s">
        <v>190</v>
      </c>
      <c r="K3600" t="s">
        <v>97</v>
      </c>
      <c r="L3600" t="s">
        <v>1273</v>
      </c>
      <c r="M3600">
        <v>11</v>
      </c>
      <c r="P3600" s="13">
        <v>120</v>
      </c>
      <c r="Q3600" s="13">
        <v>22</v>
      </c>
      <c r="R3600">
        <v>16</v>
      </c>
      <c r="S3600">
        <v>40</v>
      </c>
      <c r="T3600" s="13">
        <v>19</v>
      </c>
      <c r="U3600" s="13">
        <v>22</v>
      </c>
      <c r="V3600" t="s">
        <v>99</v>
      </c>
      <c r="X3600" s="13">
        <v>120</v>
      </c>
    </row>
    <row r="3601" spans="1:24" x14ac:dyDescent="0.25">
      <c r="A3601" t="s">
        <v>3470</v>
      </c>
      <c r="B3601" t="s">
        <v>65</v>
      </c>
      <c r="C3601" t="s">
        <v>3452</v>
      </c>
      <c r="D3601" t="s">
        <v>3453</v>
      </c>
      <c r="E3601" t="s">
        <v>3454</v>
      </c>
      <c r="F3601" t="s">
        <v>94</v>
      </c>
      <c r="G3601" t="s">
        <v>277</v>
      </c>
      <c r="H3601" s="12">
        <v>6.1214000000000004</v>
      </c>
      <c r="I3601" s="12">
        <v>-75.715900000000005</v>
      </c>
      <c r="J3601" t="s">
        <v>190</v>
      </c>
      <c r="K3601" t="s">
        <v>97</v>
      </c>
      <c r="L3601" t="s">
        <v>1273</v>
      </c>
      <c r="M3601">
        <v>11</v>
      </c>
      <c r="P3601" s="13">
        <v>115</v>
      </c>
      <c r="Q3601" s="13">
        <v>29</v>
      </c>
      <c r="R3601">
        <v>18</v>
      </c>
      <c r="S3601">
        <v>16</v>
      </c>
      <c r="T3601" s="13">
        <v>22</v>
      </c>
      <c r="U3601" s="13">
        <v>42</v>
      </c>
      <c r="V3601" t="s">
        <v>99</v>
      </c>
      <c r="X3601" s="13">
        <v>115</v>
      </c>
    </row>
    <row r="3602" spans="1:24" x14ac:dyDescent="0.25">
      <c r="A3602" t="s">
        <v>3471</v>
      </c>
      <c r="B3602" t="s">
        <v>65</v>
      </c>
      <c r="C3602" t="s">
        <v>3452</v>
      </c>
      <c r="D3602" t="s">
        <v>3453</v>
      </c>
      <c r="E3602" t="s">
        <v>3454</v>
      </c>
      <c r="F3602" t="s">
        <v>94</v>
      </c>
      <c r="G3602" t="s">
        <v>277</v>
      </c>
      <c r="H3602" s="12">
        <v>6.1214000000000004</v>
      </c>
      <c r="I3602" s="12">
        <v>-75.715900000000005</v>
      </c>
      <c r="J3602" t="s">
        <v>190</v>
      </c>
      <c r="K3602" t="s">
        <v>97</v>
      </c>
      <c r="L3602" t="s">
        <v>1273</v>
      </c>
      <c r="M3602">
        <v>11</v>
      </c>
      <c r="P3602" s="13">
        <v>108</v>
      </c>
      <c r="Q3602" s="13">
        <v>22</v>
      </c>
      <c r="R3602">
        <v>8</v>
      </c>
      <c r="S3602">
        <v>26</v>
      </c>
      <c r="T3602" s="13">
        <v>29</v>
      </c>
      <c r="U3602" s="13">
        <v>25</v>
      </c>
      <c r="V3602" t="s">
        <v>99</v>
      </c>
      <c r="X3602" s="13">
        <v>108</v>
      </c>
    </row>
    <row r="3603" spans="1:24" x14ac:dyDescent="0.25">
      <c r="A3603" t="s">
        <v>3472</v>
      </c>
      <c r="B3603" t="s">
        <v>65</v>
      </c>
      <c r="C3603" t="s">
        <v>3452</v>
      </c>
      <c r="D3603" t="s">
        <v>3453</v>
      </c>
      <c r="E3603" t="s">
        <v>3473</v>
      </c>
      <c r="F3603" t="s">
        <v>94</v>
      </c>
      <c r="G3603" t="s">
        <v>277</v>
      </c>
      <c r="H3603" s="12">
        <v>6.1131000000000002</v>
      </c>
      <c r="I3603" s="12">
        <v>-75.981899999999996</v>
      </c>
      <c r="J3603" t="s">
        <v>190</v>
      </c>
      <c r="K3603" t="s">
        <v>97</v>
      </c>
      <c r="L3603" t="s">
        <v>1273</v>
      </c>
      <c r="M3603">
        <v>11</v>
      </c>
      <c r="P3603" s="13">
        <v>230</v>
      </c>
      <c r="Q3603" s="13">
        <v>68</v>
      </c>
      <c r="R3603">
        <v>20</v>
      </c>
      <c r="S3603">
        <v>62</v>
      </c>
      <c r="T3603" s="13">
        <v>28</v>
      </c>
      <c r="U3603" s="13">
        <v>65</v>
      </c>
      <c r="V3603" t="s">
        <v>99</v>
      </c>
      <c r="X3603" s="13">
        <v>230</v>
      </c>
    </row>
    <row r="3604" spans="1:24" x14ac:dyDescent="0.25">
      <c r="A3604" t="s">
        <v>3474</v>
      </c>
      <c r="B3604" t="s">
        <v>65</v>
      </c>
      <c r="C3604" t="s">
        <v>3452</v>
      </c>
      <c r="D3604" t="s">
        <v>3453</v>
      </c>
      <c r="E3604" t="s">
        <v>3473</v>
      </c>
      <c r="F3604" t="s">
        <v>94</v>
      </c>
      <c r="G3604" t="s">
        <v>277</v>
      </c>
      <c r="H3604" s="12">
        <v>6.1131000000000002</v>
      </c>
      <c r="I3604" s="12">
        <v>-75.981899999999996</v>
      </c>
      <c r="J3604" t="s">
        <v>190</v>
      </c>
      <c r="K3604" t="s">
        <v>97</v>
      </c>
      <c r="L3604" t="s">
        <v>1273</v>
      </c>
      <c r="M3604">
        <v>11</v>
      </c>
      <c r="P3604" s="13">
        <v>219</v>
      </c>
      <c r="Q3604" s="13">
        <v>56</v>
      </c>
      <c r="R3604">
        <v>28</v>
      </c>
      <c r="S3604">
        <v>52</v>
      </c>
      <c r="T3604" s="13">
        <v>31</v>
      </c>
      <c r="U3604" s="13">
        <v>67</v>
      </c>
      <c r="V3604" t="s">
        <v>99</v>
      </c>
      <c r="X3604" s="13">
        <v>219</v>
      </c>
    </row>
    <row r="3605" spans="1:24" x14ac:dyDescent="0.25">
      <c r="A3605" t="s">
        <v>3475</v>
      </c>
      <c r="B3605" t="s">
        <v>65</v>
      </c>
      <c r="C3605" t="s">
        <v>3452</v>
      </c>
      <c r="D3605" t="s">
        <v>3453</v>
      </c>
      <c r="E3605" t="s">
        <v>3473</v>
      </c>
      <c r="F3605" t="s">
        <v>94</v>
      </c>
      <c r="G3605" t="s">
        <v>277</v>
      </c>
      <c r="H3605" s="12">
        <v>6.1131000000000002</v>
      </c>
      <c r="I3605" s="12">
        <v>-75.981899999999996</v>
      </c>
      <c r="J3605" t="s">
        <v>190</v>
      </c>
      <c r="K3605" t="s">
        <v>97</v>
      </c>
      <c r="L3605" t="s">
        <v>1273</v>
      </c>
      <c r="M3605">
        <v>11</v>
      </c>
      <c r="P3605" s="13">
        <v>207</v>
      </c>
      <c r="Q3605" s="13">
        <v>46</v>
      </c>
      <c r="R3605">
        <v>32</v>
      </c>
      <c r="S3605">
        <v>58</v>
      </c>
      <c r="T3605" s="13">
        <v>26</v>
      </c>
      <c r="U3605" s="13">
        <v>51</v>
      </c>
      <c r="V3605" t="s">
        <v>99</v>
      </c>
      <c r="X3605" s="13">
        <v>207</v>
      </c>
    </row>
    <row r="3606" spans="1:24" x14ac:dyDescent="0.25">
      <c r="A3606" t="s">
        <v>3476</v>
      </c>
      <c r="B3606" t="s">
        <v>65</v>
      </c>
      <c r="C3606" t="s">
        <v>3452</v>
      </c>
      <c r="D3606" t="s">
        <v>3453</v>
      </c>
      <c r="E3606" t="s">
        <v>3473</v>
      </c>
      <c r="F3606" t="s">
        <v>94</v>
      </c>
      <c r="G3606" t="s">
        <v>277</v>
      </c>
      <c r="H3606" s="12">
        <v>6.1131000000000002</v>
      </c>
      <c r="I3606" s="12">
        <v>-75.981899999999996</v>
      </c>
      <c r="J3606" t="s">
        <v>190</v>
      </c>
      <c r="K3606" t="s">
        <v>97</v>
      </c>
      <c r="L3606" t="s">
        <v>1273</v>
      </c>
      <c r="M3606">
        <v>11</v>
      </c>
      <c r="P3606" s="13">
        <v>199</v>
      </c>
      <c r="Q3606" s="13">
        <v>46</v>
      </c>
      <c r="R3606">
        <v>34</v>
      </c>
      <c r="S3606">
        <v>44</v>
      </c>
      <c r="T3606" s="13">
        <v>36</v>
      </c>
      <c r="U3606" s="13">
        <v>36</v>
      </c>
      <c r="V3606" t="s">
        <v>99</v>
      </c>
      <c r="X3606" s="13">
        <v>199</v>
      </c>
    </row>
    <row r="3607" spans="1:24" x14ac:dyDescent="0.25">
      <c r="A3607" t="s">
        <v>3477</v>
      </c>
      <c r="B3607" t="s">
        <v>65</v>
      </c>
      <c r="C3607" t="s">
        <v>3452</v>
      </c>
      <c r="D3607" t="s">
        <v>3453</v>
      </c>
      <c r="E3607" t="s">
        <v>3473</v>
      </c>
      <c r="F3607" t="s">
        <v>94</v>
      </c>
      <c r="G3607" t="s">
        <v>277</v>
      </c>
      <c r="H3607" s="12">
        <v>6.1131000000000002</v>
      </c>
      <c r="I3607" s="12">
        <v>-75.981899999999996</v>
      </c>
      <c r="J3607" t="s">
        <v>190</v>
      </c>
      <c r="K3607" t="s">
        <v>97</v>
      </c>
      <c r="L3607" t="s">
        <v>1273</v>
      </c>
      <c r="M3607">
        <v>11</v>
      </c>
      <c r="P3607" s="13">
        <v>192</v>
      </c>
      <c r="Q3607" s="13">
        <v>49</v>
      </c>
      <c r="R3607">
        <v>26</v>
      </c>
      <c r="S3607">
        <v>46</v>
      </c>
      <c r="T3607" s="13">
        <v>34</v>
      </c>
      <c r="U3607" s="13">
        <v>35</v>
      </c>
      <c r="V3607" t="s">
        <v>99</v>
      </c>
      <c r="X3607" s="13">
        <v>192</v>
      </c>
    </row>
    <row r="3608" spans="1:24" x14ac:dyDescent="0.25">
      <c r="A3608" t="s">
        <v>3478</v>
      </c>
      <c r="B3608" t="s">
        <v>65</v>
      </c>
      <c r="C3608" t="s">
        <v>3452</v>
      </c>
      <c r="D3608" t="s">
        <v>3453</v>
      </c>
      <c r="E3608" t="s">
        <v>3473</v>
      </c>
      <c r="F3608" t="s">
        <v>94</v>
      </c>
      <c r="G3608" t="s">
        <v>277</v>
      </c>
      <c r="H3608" s="12">
        <v>6.1131000000000002</v>
      </c>
      <c r="I3608" s="12">
        <v>-75.981899999999996</v>
      </c>
      <c r="J3608" t="s">
        <v>190</v>
      </c>
      <c r="K3608" t="s">
        <v>97</v>
      </c>
      <c r="L3608" t="s">
        <v>1273</v>
      </c>
      <c r="M3608">
        <v>11</v>
      </c>
      <c r="P3608" s="13">
        <v>191</v>
      </c>
      <c r="Q3608" s="13">
        <v>44</v>
      </c>
      <c r="R3608">
        <v>32</v>
      </c>
      <c r="S3608">
        <v>42</v>
      </c>
      <c r="T3608" s="13">
        <v>34</v>
      </c>
      <c r="U3608" s="13">
        <v>38</v>
      </c>
      <c r="V3608" t="s">
        <v>99</v>
      </c>
      <c r="X3608" s="13">
        <v>191</v>
      </c>
    </row>
    <row r="3609" spans="1:24" x14ac:dyDescent="0.25">
      <c r="A3609" t="s">
        <v>3479</v>
      </c>
      <c r="B3609" t="s">
        <v>65</v>
      </c>
      <c r="C3609" t="s">
        <v>3452</v>
      </c>
      <c r="D3609" t="s">
        <v>3453</v>
      </c>
      <c r="E3609" t="s">
        <v>3473</v>
      </c>
      <c r="F3609" t="s">
        <v>94</v>
      </c>
      <c r="G3609" t="s">
        <v>277</v>
      </c>
      <c r="H3609" s="12">
        <v>6.1131000000000002</v>
      </c>
      <c r="I3609" s="12">
        <v>-75.981899999999996</v>
      </c>
      <c r="J3609" t="s">
        <v>190</v>
      </c>
      <c r="K3609" t="s">
        <v>97</v>
      </c>
      <c r="L3609" t="s">
        <v>1273</v>
      </c>
      <c r="M3609">
        <v>11</v>
      </c>
      <c r="P3609" s="13">
        <v>190</v>
      </c>
      <c r="Q3609" s="13">
        <v>41</v>
      </c>
      <c r="R3609">
        <v>26</v>
      </c>
      <c r="S3609">
        <v>48</v>
      </c>
      <c r="T3609" s="13">
        <v>36</v>
      </c>
      <c r="U3609" s="13">
        <v>40</v>
      </c>
      <c r="V3609" t="s">
        <v>99</v>
      </c>
      <c r="X3609" s="13">
        <v>190</v>
      </c>
    </row>
    <row r="3610" spans="1:24" x14ac:dyDescent="0.25">
      <c r="A3610" t="s">
        <v>3480</v>
      </c>
      <c r="B3610" t="s">
        <v>65</v>
      </c>
      <c r="C3610" t="s">
        <v>3452</v>
      </c>
      <c r="D3610" t="s">
        <v>3453</v>
      </c>
      <c r="E3610" t="s">
        <v>3473</v>
      </c>
      <c r="F3610" t="s">
        <v>94</v>
      </c>
      <c r="G3610" t="s">
        <v>277</v>
      </c>
      <c r="H3610" s="12">
        <v>6.1131000000000002</v>
      </c>
      <c r="I3610" s="12">
        <v>-75.981899999999996</v>
      </c>
      <c r="J3610" t="s">
        <v>190</v>
      </c>
      <c r="K3610" t="s">
        <v>97</v>
      </c>
      <c r="L3610" t="s">
        <v>1273</v>
      </c>
      <c r="M3610">
        <v>11</v>
      </c>
      <c r="P3610" s="13">
        <v>185</v>
      </c>
      <c r="Q3610" s="13">
        <v>41</v>
      </c>
      <c r="R3610">
        <v>24</v>
      </c>
      <c r="S3610">
        <v>52</v>
      </c>
      <c r="T3610" s="13">
        <v>29</v>
      </c>
      <c r="U3610" s="13">
        <v>40</v>
      </c>
      <c r="V3610" t="s">
        <v>99</v>
      </c>
      <c r="X3610" s="13">
        <v>185</v>
      </c>
    </row>
    <row r="3611" spans="1:24" x14ac:dyDescent="0.25">
      <c r="A3611" t="s">
        <v>3481</v>
      </c>
      <c r="B3611" t="s">
        <v>65</v>
      </c>
      <c r="C3611" t="s">
        <v>3452</v>
      </c>
      <c r="D3611" t="s">
        <v>3453</v>
      </c>
      <c r="E3611" t="s">
        <v>3473</v>
      </c>
      <c r="F3611" t="s">
        <v>94</v>
      </c>
      <c r="G3611" t="s">
        <v>277</v>
      </c>
      <c r="H3611" s="12">
        <v>6.1131000000000002</v>
      </c>
      <c r="I3611" s="12">
        <v>-75.981899999999996</v>
      </c>
      <c r="J3611" t="s">
        <v>190</v>
      </c>
      <c r="K3611" t="s">
        <v>97</v>
      </c>
      <c r="L3611" t="s">
        <v>1273</v>
      </c>
      <c r="M3611">
        <v>11</v>
      </c>
      <c r="P3611" s="13">
        <v>184</v>
      </c>
      <c r="Q3611" s="13">
        <v>51</v>
      </c>
      <c r="R3611">
        <v>32</v>
      </c>
      <c r="S3611">
        <v>32</v>
      </c>
      <c r="T3611" s="13">
        <v>34</v>
      </c>
      <c r="U3611" s="13">
        <v>29</v>
      </c>
      <c r="V3611" t="s">
        <v>99</v>
      </c>
      <c r="X3611" s="13">
        <v>184</v>
      </c>
    </row>
    <row r="3612" spans="1:24" x14ac:dyDescent="0.25">
      <c r="A3612" t="s">
        <v>3482</v>
      </c>
      <c r="B3612" t="s">
        <v>65</v>
      </c>
      <c r="C3612" t="s">
        <v>3452</v>
      </c>
      <c r="D3612" t="s">
        <v>3453</v>
      </c>
      <c r="E3612" t="s">
        <v>3473</v>
      </c>
      <c r="F3612" t="s">
        <v>94</v>
      </c>
      <c r="G3612" t="s">
        <v>277</v>
      </c>
      <c r="H3612" s="12">
        <v>6.1131000000000002</v>
      </c>
      <c r="I3612" s="12">
        <v>-75.981899999999996</v>
      </c>
      <c r="J3612" t="s">
        <v>190</v>
      </c>
      <c r="K3612" t="s">
        <v>97</v>
      </c>
      <c r="L3612" t="s">
        <v>1273</v>
      </c>
      <c r="M3612">
        <v>11</v>
      </c>
      <c r="P3612" s="13">
        <v>173</v>
      </c>
      <c r="Q3612" s="13">
        <v>56</v>
      </c>
      <c r="R3612">
        <v>28</v>
      </c>
      <c r="S3612">
        <v>26</v>
      </c>
      <c r="T3612" s="13">
        <v>31</v>
      </c>
      <c r="U3612" s="13">
        <v>25</v>
      </c>
      <c r="V3612" t="s">
        <v>99</v>
      </c>
      <c r="X3612" s="13">
        <v>173</v>
      </c>
    </row>
    <row r="3613" spans="1:24" x14ac:dyDescent="0.25">
      <c r="A3613" t="s">
        <v>3483</v>
      </c>
      <c r="B3613" t="s">
        <v>65</v>
      </c>
      <c r="C3613" t="s">
        <v>3452</v>
      </c>
      <c r="D3613" t="s">
        <v>3453</v>
      </c>
      <c r="E3613" t="s">
        <v>3473</v>
      </c>
      <c r="F3613" t="s">
        <v>94</v>
      </c>
      <c r="G3613" t="s">
        <v>277</v>
      </c>
      <c r="H3613" s="12">
        <v>6.1131000000000002</v>
      </c>
      <c r="I3613" s="12">
        <v>-75.981899999999996</v>
      </c>
      <c r="J3613" t="s">
        <v>190</v>
      </c>
      <c r="K3613" t="s">
        <v>97</v>
      </c>
      <c r="L3613" t="s">
        <v>1273</v>
      </c>
      <c r="M3613">
        <v>11</v>
      </c>
      <c r="P3613" s="13">
        <v>172</v>
      </c>
      <c r="Q3613" s="13">
        <v>44</v>
      </c>
      <c r="R3613">
        <v>20</v>
      </c>
      <c r="S3613">
        <v>38</v>
      </c>
      <c r="T3613" s="13">
        <v>29</v>
      </c>
      <c r="U3613" s="13">
        <v>53</v>
      </c>
      <c r="V3613" t="s">
        <v>99</v>
      </c>
      <c r="X3613" s="13">
        <v>172</v>
      </c>
    </row>
    <row r="3614" spans="1:24" x14ac:dyDescent="0.25">
      <c r="A3614" t="s">
        <v>3484</v>
      </c>
      <c r="B3614" t="s">
        <v>65</v>
      </c>
      <c r="C3614" t="s">
        <v>3452</v>
      </c>
      <c r="D3614" t="s">
        <v>3453</v>
      </c>
      <c r="E3614" t="s">
        <v>3473</v>
      </c>
      <c r="F3614" t="s">
        <v>94</v>
      </c>
      <c r="G3614" t="s">
        <v>277</v>
      </c>
      <c r="H3614" s="12">
        <v>6.1131000000000002</v>
      </c>
      <c r="I3614" s="12">
        <v>-75.981899999999996</v>
      </c>
      <c r="J3614" t="s">
        <v>190</v>
      </c>
      <c r="K3614" t="s">
        <v>97</v>
      </c>
      <c r="L3614" t="s">
        <v>1273</v>
      </c>
      <c r="M3614">
        <v>11</v>
      </c>
      <c r="P3614" s="13">
        <v>171</v>
      </c>
      <c r="Q3614" s="13">
        <v>51</v>
      </c>
      <c r="R3614">
        <v>18</v>
      </c>
      <c r="S3614">
        <v>46</v>
      </c>
      <c r="T3614" s="13">
        <v>24</v>
      </c>
      <c r="U3614" s="13">
        <v>27</v>
      </c>
      <c r="V3614" t="s">
        <v>99</v>
      </c>
      <c r="X3614" s="13">
        <v>171</v>
      </c>
    </row>
    <row r="3615" spans="1:24" x14ac:dyDescent="0.25">
      <c r="A3615" t="s">
        <v>3485</v>
      </c>
      <c r="B3615" t="s">
        <v>65</v>
      </c>
      <c r="C3615" t="s">
        <v>3452</v>
      </c>
      <c r="D3615" t="s">
        <v>3453</v>
      </c>
      <c r="E3615" t="s">
        <v>3473</v>
      </c>
      <c r="F3615" t="s">
        <v>94</v>
      </c>
      <c r="G3615" t="s">
        <v>277</v>
      </c>
      <c r="H3615" s="12">
        <v>6.1131000000000002</v>
      </c>
      <c r="I3615" s="12">
        <v>-75.981899999999996</v>
      </c>
      <c r="J3615" t="s">
        <v>190</v>
      </c>
      <c r="K3615" t="s">
        <v>97</v>
      </c>
      <c r="L3615" t="s">
        <v>1273</v>
      </c>
      <c r="M3615">
        <v>11</v>
      </c>
      <c r="P3615" s="13">
        <v>171</v>
      </c>
      <c r="Q3615" s="13">
        <v>34</v>
      </c>
      <c r="R3615">
        <v>30</v>
      </c>
      <c r="S3615">
        <v>30</v>
      </c>
      <c r="T3615" s="13">
        <v>36</v>
      </c>
      <c r="U3615" s="13">
        <v>53</v>
      </c>
      <c r="V3615" t="s">
        <v>99</v>
      </c>
      <c r="X3615" s="13">
        <v>171</v>
      </c>
    </row>
    <row r="3616" spans="1:24" x14ac:dyDescent="0.25">
      <c r="A3616" t="s">
        <v>3486</v>
      </c>
      <c r="B3616" t="s">
        <v>65</v>
      </c>
      <c r="C3616" t="s">
        <v>3452</v>
      </c>
      <c r="D3616" t="s">
        <v>3453</v>
      </c>
      <c r="E3616" t="s">
        <v>3473</v>
      </c>
      <c r="F3616" t="s">
        <v>94</v>
      </c>
      <c r="G3616" t="s">
        <v>277</v>
      </c>
      <c r="H3616" s="12">
        <v>6.1131000000000002</v>
      </c>
      <c r="I3616" s="12">
        <v>-75.981899999999996</v>
      </c>
      <c r="J3616" t="s">
        <v>190</v>
      </c>
      <c r="K3616" t="s">
        <v>97</v>
      </c>
      <c r="L3616" t="s">
        <v>1273</v>
      </c>
      <c r="M3616">
        <v>11</v>
      </c>
      <c r="P3616" s="13">
        <v>169</v>
      </c>
      <c r="Q3616" s="13">
        <v>46</v>
      </c>
      <c r="R3616">
        <v>18</v>
      </c>
      <c r="S3616">
        <v>48</v>
      </c>
      <c r="T3616" s="13">
        <v>22</v>
      </c>
      <c r="U3616" s="13">
        <v>36</v>
      </c>
      <c r="V3616" t="s">
        <v>99</v>
      </c>
      <c r="X3616" s="13">
        <v>169</v>
      </c>
    </row>
    <row r="3617" spans="1:24" x14ac:dyDescent="0.25">
      <c r="A3617" t="s">
        <v>3487</v>
      </c>
      <c r="B3617" t="s">
        <v>65</v>
      </c>
      <c r="C3617" t="s">
        <v>3452</v>
      </c>
      <c r="D3617" t="s">
        <v>3453</v>
      </c>
      <c r="E3617" t="s">
        <v>3473</v>
      </c>
      <c r="F3617" t="s">
        <v>94</v>
      </c>
      <c r="G3617" t="s">
        <v>277</v>
      </c>
      <c r="H3617" s="12">
        <v>6.1131000000000002</v>
      </c>
      <c r="I3617" s="12">
        <v>-75.981899999999996</v>
      </c>
      <c r="J3617" t="s">
        <v>190</v>
      </c>
      <c r="K3617" t="s">
        <v>97</v>
      </c>
      <c r="L3617" t="s">
        <v>1273</v>
      </c>
      <c r="M3617">
        <v>11</v>
      </c>
      <c r="P3617" s="13">
        <v>168</v>
      </c>
      <c r="Q3617" s="13">
        <v>37</v>
      </c>
      <c r="R3617">
        <v>26</v>
      </c>
      <c r="S3617">
        <v>40</v>
      </c>
      <c r="T3617" s="13">
        <v>28</v>
      </c>
      <c r="U3617" s="13">
        <v>47</v>
      </c>
      <c r="V3617" t="s">
        <v>99</v>
      </c>
      <c r="X3617" s="13">
        <v>168</v>
      </c>
    </row>
    <row r="3618" spans="1:24" x14ac:dyDescent="0.25">
      <c r="A3618" t="s">
        <v>3488</v>
      </c>
      <c r="B3618" t="s">
        <v>65</v>
      </c>
      <c r="C3618" t="s">
        <v>3452</v>
      </c>
      <c r="D3618" t="s">
        <v>3453</v>
      </c>
      <c r="E3618" t="s">
        <v>3473</v>
      </c>
      <c r="F3618" t="s">
        <v>94</v>
      </c>
      <c r="G3618" t="s">
        <v>277</v>
      </c>
      <c r="H3618" s="12">
        <v>6.1131000000000002</v>
      </c>
      <c r="I3618" s="12">
        <v>-75.981899999999996</v>
      </c>
      <c r="J3618" t="s">
        <v>190</v>
      </c>
      <c r="K3618" t="s">
        <v>97</v>
      </c>
      <c r="L3618" t="s">
        <v>1273</v>
      </c>
      <c r="M3618">
        <v>11</v>
      </c>
      <c r="P3618" s="13">
        <v>168</v>
      </c>
      <c r="Q3618" s="13">
        <v>41</v>
      </c>
      <c r="R3618">
        <v>24</v>
      </c>
      <c r="S3618">
        <v>52</v>
      </c>
      <c r="T3618" s="13">
        <v>17</v>
      </c>
      <c r="U3618" s="13">
        <v>33</v>
      </c>
      <c r="V3618" t="s">
        <v>99</v>
      </c>
      <c r="X3618" s="13">
        <v>168</v>
      </c>
    </row>
    <row r="3619" spans="1:24" x14ac:dyDescent="0.25">
      <c r="A3619" t="s">
        <v>3489</v>
      </c>
      <c r="B3619" t="s">
        <v>65</v>
      </c>
      <c r="C3619" t="s">
        <v>3452</v>
      </c>
      <c r="D3619" t="s">
        <v>3453</v>
      </c>
      <c r="E3619" t="s">
        <v>3473</v>
      </c>
      <c r="F3619" t="s">
        <v>94</v>
      </c>
      <c r="G3619" t="s">
        <v>277</v>
      </c>
      <c r="H3619" s="12">
        <v>6.1131000000000002</v>
      </c>
      <c r="I3619" s="12">
        <v>-75.981899999999996</v>
      </c>
      <c r="J3619" t="s">
        <v>190</v>
      </c>
      <c r="K3619" t="s">
        <v>97</v>
      </c>
      <c r="L3619" t="s">
        <v>1273</v>
      </c>
      <c r="M3619">
        <v>11</v>
      </c>
      <c r="P3619" s="13">
        <v>168</v>
      </c>
      <c r="Q3619" s="13">
        <v>54</v>
      </c>
      <c r="R3619">
        <v>16</v>
      </c>
      <c r="S3619">
        <v>44</v>
      </c>
      <c r="T3619" s="13">
        <v>21</v>
      </c>
      <c r="U3619" s="13">
        <v>33</v>
      </c>
      <c r="V3619" t="s">
        <v>99</v>
      </c>
      <c r="X3619" s="13">
        <v>168</v>
      </c>
    </row>
    <row r="3620" spans="1:24" x14ac:dyDescent="0.25">
      <c r="A3620" t="s">
        <v>3490</v>
      </c>
      <c r="B3620" t="s">
        <v>65</v>
      </c>
      <c r="C3620" t="s">
        <v>3452</v>
      </c>
      <c r="D3620" t="s">
        <v>3453</v>
      </c>
      <c r="E3620" t="s">
        <v>3473</v>
      </c>
      <c r="F3620" t="s">
        <v>94</v>
      </c>
      <c r="G3620" t="s">
        <v>277</v>
      </c>
      <c r="H3620" s="12">
        <v>6.1131000000000002</v>
      </c>
      <c r="I3620" s="12">
        <v>-75.981899999999996</v>
      </c>
      <c r="J3620" t="s">
        <v>190</v>
      </c>
      <c r="K3620" t="s">
        <v>97</v>
      </c>
      <c r="L3620" t="s">
        <v>1273</v>
      </c>
      <c r="M3620">
        <v>11</v>
      </c>
      <c r="P3620" s="13">
        <v>167</v>
      </c>
      <c r="Q3620" s="13">
        <v>34</v>
      </c>
      <c r="R3620">
        <v>28</v>
      </c>
      <c r="S3620">
        <v>40</v>
      </c>
      <c r="T3620" s="13">
        <v>24</v>
      </c>
      <c r="U3620" s="13">
        <v>56</v>
      </c>
      <c r="V3620" t="s">
        <v>99</v>
      </c>
      <c r="X3620" s="13">
        <v>167</v>
      </c>
    </row>
    <row r="3621" spans="1:24" x14ac:dyDescent="0.25">
      <c r="A3621" t="s">
        <v>3491</v>
      </c>
      <c r="B3621" t="s">
        <v>65</v>
      </c>
      <c r="C3621" t="s">
        <v>3452</v>
      </c>
      <c r="D3621" t="s">
        <v>3453</v>
      </c>
      <c r="E3621" t="s">
        <v>3473</v>
      </c>
      <c r="F3621" t="s">
        <v>94</v>
      </c>
      <c r="G3621" t="s">
        <v>277</v>
      </c>
      <c r="H3621" s="12">
        <v>6.1131000000000002</v>
      </c>
      <c r="I3621" s="12">
        <v>-75.981899999999996</v>
      </c>
      <c r="J3621" t="s">
        <v>190</v>
      </c>
      <c r="K3621" t="s">
        <v>97</v>
      </c>
      <c r="L3621" t="s">
        <v>1273</v>
      </c>
      <c r="M3621">
        <v>11</v>
      </c>
      <c r="P3621" s="13">
        <v>165</v>
      </c>
      <c r="Q3621" s="13">
        <v>39</v>
      </c>
      <c r="R3621">
        <v>18</v>
      </c>
      <c r="S3621">
        <v>40</v>
      </c>
      <c r="T3621" s="13">
        <v>31</v>
      </c>
      <c r="U3621" s="13">
        <v>45</v>
      </c>
      <c r="V3621" t="s">
        <v>99</v>
      </c>
      <c r="X3621" s="13">
        <v>165</v>
      </c>
    </row>
    <row r="3622" spans="1:24" x14ac:dyDescent="0.25">
      <c r="A3622" t="s">
        <v>3492</v>
      </c>
      <c r="B3622" t="s">
        <v>65</v>
      </c>
      <c r="C3622" t="s">
        <v>3452</v>
      </c>
      <c r="D3622" t="s">
        <v>3453</v>
      </c>
      <c r="E3622" t="s">
        <v>3473</v>
      </c>
      <c r="F3622" t="s">
        <v>94</v>
      </c>
      <c r="G3622" t="s">
        <v>277</v>
      </c>
      <c r="H3622" s="12">
        <v>6.1131000000000002</v>
      </c>
      <c r="I3622" s="12">
        <v>-75.981899999999996</v>
      </c>
      <c r="J3622" t="s">
        <v>190</v>
      </c>
      <c r="K3622" t="s">
        <v>97</v>
      </c>
      <c r="L3622" t="s">
        <v>1273</v>
      </c>
      <c r="M3622">
        <v>11</v>
      </c>
      <c r="P3622" s="13">
        <v>165</v>
      </c>
      <c r="Q3622" s="13">
        <v>32</v>
      </c>
      <c r="R3622">
        <v>28</v>
      </c>
      <c r="S3622">
        <v>38</v>
      </c>
      <c r="T3622" s="13">
        <v>28</v>
      </c>
      <c r="U3622" s="13">
        <v>53</v>
      </c>
      <c r="V3622" t="s">
        <v>99</v>
      </c>
      <c r="X3622" s="13">
        <v>165</v>
      </c>
    </row>
    <row r="3623" spans="1:24" x14ac:dyDescent="0.25">
      <c r="A3623" t="s">
        <v>3493</v>
      </c>
      <c r="B3623" t="s">
        <v>65</v>
      </c>
      <c r="C3623" t="s">
        <v>3452</v>
      </c>
      <c r="D3623" t="s">
        <v>3453</v>
      </c>
      <c r="E3623" t="s">
        <v>3473</v>
      </c>
      <c r="F3623" t="s">
        <v>94</v>
      </c>
      <c r="G3623" t="s">
        <v>277</v>
      </c>
      <c r="H3623" s="12">
        <v>6.1131000000000002</v>
      </c>
      <c r="I3623" s="12">
        <v>-75.981899999999996</v>
      </c>
      <c r="J3623" t="s">
        <v>190</v>
      </c>
      <c r="K3623" t="s">
        <v>97</v>
      </c>
      <c r="L3623" t="s">
        <v>1273</v>
      </c>
      <c r="M3623">
        <v>11</v>
      </c>
      <c r="P3623" s="13">
        <v>165</v>
      </c>
      <c r="Q3623" s="13">
        <v>34</v>
      </c>
      <c r="R3623">
        <v>14</v>
      </c>
      <c r="S3623">
        <v>54</v>
      </c>
      <c r="T3623" s="13">
        <v>22</v>
      </c>
      <c r="U3623" s="13">
        <v>55</v>
      </c>
      <c r="V3623" t="s">
        <v>99</v>
      </c>
      <c r="X3623" s="13">
        <v>165</v>
      </c>
    </row>
    <row r="3624" spans="1:24" x14ac:dyDescent="0.25">
      <c r="A3624" t="s">
        <v>3494</v>
      </c>
      <c r="B3624" t="s">
        <v>65</v>
      </c>
      <c r="C3624" t="s">
        <v>3452</v>
      </c>
      <c r="D3624" t="s">
        <v>3453</v>
      </c>
      <c r="E3624" t="s">
        <v>3473</v>
      </c>
      <c r="F3624" t="s">
        <v>94</v>
      </c>
      <c r="G3624" t="s">
        <v>277</v>
      </c>
      <c r="H3624" s="12">
        <v>6.1131000000000002</v>
      </c>
      <c r="I3624" s="12">
        <v>-75.981899999999996</v>
      </c>
      <c r="J3624" t="s">
        <v>190</v>
      </c>
      <c r="K3624" t="s">
        <v>97</v>
      </c>
      <c r="L3624" t="s">
        <v>1273</v>
      </c>
      <c r="M3624">
        <v>11</v>
      </c>
      <c r="P3624" s="13">
        <v>164</v>
      </c>
      <c r="Q3624" s="13">
        <v>41</v>
      </c>
      <c r="R3624">
        <v>28</v>
      </c>
      <c r="S3624">
        <v>28</v>
      </c>
      <c r="T3624" s="13">
        <v>28</v>
      </c>
      <c r="U3624" s="13">
        <v>51</v>
      </c>
      <c r="V3624" t="s">
        <v>99</v>
      </c>
      <c r="X3624" s="13">
        <v>164</v>
      </c>
    </row>
    <row r="3625" spans="1:24" x14ac:dyDescent="0.25">
      <c r="A3625" t="s">
        <v>3495</v>
      </c>
      <c r="B3625" t="s">
        <v>65</v>
      </c>
      <c r="C3625" t="s">
        <v>3452</v>
      </c>
      <c r="D3625" t="s">
        <v>3453</v>
      </c>
      <c r="E3625" t="s">
        <v>3473</v>
      </c>
      <c r="F3625" t="s">
        <v>94</v>
      </c>
      <c r="G3625" t="s">
        <v>277</v>
      </c>
      <c r="H3625" s="12">
        <v>6.1131000000000002</v>
      </c>
      <c r="I3625" s="12">
        <v>-75.981899999999996</v>
      </c>
      <c r="J3625" t="s">
        <v>190</v>
      </c>
      <c r="K3625" t="s">
        <v>97</v>
      </c>
      <c r="L3625" t="s">
        <v>1273</v>
      </c>
      <c r="M3625">
        <v>11</v>
      </c>
      <c r="P3625" s="13">
        <v>162</v>
      </c>
      <c r="Q3625" s="13">
        <v>34</v>
      </c>
      <c r="R3625">
        <v>12</v>
      </c>
      <c r="S3625">
        <v>50</v>
      </c>
      <c r="T3625" s="13">
        <v>26</v>
      </c>
      <c r="U3625" s="13">
        <v>55</v>
      </c>
      <c r="V3625" t="s">
        <v>99</v>
      </c>
      <c r="X3625" s="13">
        <v>162</v>
      </c>
    </row>
    <row r="3626" spans="1:24" x14ac:dyDescent="0.25">
      <c r="A3626" t="s">
        <v>3496</v>
      </c>
      <c r="B3626" t="s">
        <v>65</v>
      </c>
      <c r="C3626" t="s">
        <v>3452</v>
      </c>
      <c r="D3626" t="s">
        <v>3453</v>
      </c>
      <c r="E3626" t="s">
        <v>3473</v>
      </c>
      <c r="F3626" t="s">
        <v>94</v>
      </c>
      <c r="G3626" t="s">
        <v>277</v>
      </c>
      <c r="H3626" s="12">
        <v>6.1131000000000002</v>
      </c>
      <c r="I3626" s="12">
        <v>-75.981899999999996</v>
      </c>
      <c r="J3626" t="s">
        <v>190</v>
      </c>
      <c r="K3626" t="s">
        <v>97</v>
      </c>
      <c r="L3626" t="s">
        <v>1273</v>
      </c>
      <c r="M3626">
        <v>11</v>
      </c>
      <c r="P3626" s="13">
        <v>160</v>
      </c>
      <c r="Q3626" s="13">
        <v>37</v>
      </c>
      <c r="R3626">
        <v>22</v>
      </c>
      <c r="S3626">
        <v>40</v>
      </c>
      <c r="T3626" s="13">
        <v>31</v>
      </c>
      <c r="U3626" s="13">
        <v>27</v>
      </c>
      <c r="V3626" t="s">
        <v>99</v>
      </c>
      <c r="X3626" s="13">
        <v>160</v>
      </c>
    </row>
    <row r="3627" spans="1:24" x14ac:dyDescent="0.25">
      <c r="A3627" t="s">
        <v>3497</v>
      </c>
      <c r="B3627" t="s">
        <v>65</v>
      </c>
      <c r="C3627" t="s">
        <v>3452</v>
      </c>
      <c r="D3627" t="s">
        <v>3453</v>
      </c>
      <c r="E3627" t="s">
        <v>3473</v>
      </c>
      <c r="F3627" t="s">
        <v>94</v>
      </c>
      <c r="G3627" t="s">
        <v>277</v>
      </c>
      <c r="H3627" s="12">
        <v>6.1131000000000002</v>
      </c>
      <c r="I3627" s="12">
        <v>-75.981899999999996</v>
      </c>
      <c r="J3627" t="s">
        <v>190</v>
      </c>
      <c r="K3627" t="s">
        <v>97</v>
      </c>
      <c r="L3627" t="s">
        <v>1273</v>
      </c>
      <c r="M3627">
        <v>11</v>
      </c>
      <c r="P3627" s="13">
        <v>159</v>
      </c>
      <c r="Q3627" s="13">
        <v>39</v>
      </c>
      <c r="R3627">
        <v>20</v>
      </c>
      <c r="S3627">
        <v>34</v>
      </c>
      <c r="T3627" s="13">
        <v>31</v>
      </c>
      <c r="U3627" s="13">
        <v>40</v>
      </c>
      <c r="V3627" t="s">
        <v>99</v>
      </c>
      <c r="X3627" s="13">
        <v>159</v>
      </c>
    </row>
    <row r="3628" spans="1:24" x14ac:dyDescent="0.25">
      <c r="A3628" t="s">
        <v>3498</v>
      </c>
      <c r="B3628" t="s">
        <v>65</v>
      </c>
      <c r="C3628" t="s">
        <v>3452</v>
      </c>
      <c r="D3628" t="s">
        <v>3453</v>
      </c>
      <c r="E3628" t="s">
        <v>3473</v>
      </c>
      <c r="F3628" t="s">
        <v>94</v>
      </c>
      <c r="G3628" t="s">
        <v>277</v>
      </c>
      <c r="H3628" s="12">
        <v>6.1131000000000002</v>
      </c>
      <c r="I3628" s="12">
        <v>-75.981899999999996</v>
      </c>
      <c r="J3628" t="s">
        <v>190</v>
      </c>
      <c r="K3628" t="s">
        <v>97</v>
      </c>
      <c r="L3628" t="s">
        <v>1273</v>
      </c>
      <c r="M3628">
        <v>11</v>
      </c>
      <c r="P3628" s="13">
        <v>157</v>
      </c>
      <c r="Q3628" s="13">
        <v>49</v>
      </c>
      <c r="R3628">
        <v>16</v>
      </c>
      <c r="S3628">
        <v>32</v>
      </c>
      <c r="T3628" s="13">
        <v>29</v>
      </c>
      <c r="U3628" s="13">
        <v>29</v>
      </c>
      <c r="V3628" t="s">
        <v>99</v>
      </c>
      <c r="X3628" s="13">
        <v>157</v>
      </c>
    </row>
    <row r="3629" spans="1:24" x14ac:dyDescent="0.25">
      <c r="A3629" t="s">
        <v>3499</v>
      </c>
      <c r="B3629" t="s">
        <v>65</v>
      </c>
      <c r="C3629" t="s">
        <v>3452</v>
      </c>
      <c r="D3629" t="s">
        <v>3453</v>
      </c>
      <c r="E3629" t="s">
        <v>3473</v>
      </c>
      <c r="F3629" t="s">
        <v>94</v>
      </c>
      <c r="G3629" t="s">
        <v>277</v>
      </c>
      <c r="H3629" s="12">
        <v>6.1131000000000002</v>
      </c>
      <c r="I3629" s="12">
        <v>-75.981899999999996</v>
      </c>
      <c r="J3629" t="s">
        <v>190</v>
      </c>
      <c r="K3629" t="s">
        <v>97</v>
      </c>
      <c r="L3629" t="s">
        <v>1273</v>
      </c>
      <c r="M3629">
        <v>11</v>
      </c>
      <c r="P3629" s="13">
        <v>155</v>
      </c>
      <c r="Q3629" s="13">
        <v>51</v>
      </c>
      <c r="R3629">
        <v>18</v>
      </c>
      <c r="S3629">
        <v>24</v>
      </c>
      <c r="T3629" s="13">
        <v>28</v>
      </c>
      <c r="U3629" s="13">
        <v>40</v>
      </c>
      <c r="V3629" t="s">
        <v>99</v>
      </c>
      <c r="X3629" s="13">
        <v>155</v>
      </c>
    </row>
    <row r="3630" spans="1:24" x14ac:dyDescent="0.25">
      <c r="A3630" t="s">
        <v>3500</v>
      </c>
      <c r="B3630" t="s">
        <v>65</v>
      </c>
      <c r="C3630" t="s">
        <v>3452</v>
      </c>
      <c r="D3630" t="s">
        <v>3453</v>
      </c>
      <c r="E3630" t="s">
        <v>3473</v>
      </c>
      <c r="F3630" t="s">
        <v>94</v>
      </c>
      <c r="G3630" t="s">
        <v>277</v>
      </c>
      <c r="H3630" s="12">
        <v>6.1131000000000002</v>
      </c>
      <c r="I3630" s="12">
        <v>-75.981899999999996</v>
      </c>
      <c r="J3630" t="s">
        <v>190</v>
      </c>
      <c r="K3630" t="s">
        <v>97</v>
      </c>
      <c r="L3630" t="s">
        <v>1273</v>
      </c>
      <c r="M3630">
        <v>11</v>
      </c>
      <c r="P3630" s="13">
        <v>153</v>
      </c>
      <c r="Q3630" s="13">
        <v>27</v>
      </c>
      <c r="R3630">
        <v>24</v>
      </c>
      <c r="S3630">
        <v>32</v>
      </c>
      <c r="T3630" s="13">
        <v>36</v>
      </c>
      <c r="U3630" s="13">
        <v>40</v>
      </c>
      <c r="V3630" t="s">
        <v>99</v>
      </c>
      <c r="X3630" s="13">
        <v>153</v>
      </c>
    </row>
    <row r="3631" spans="1:24" x14ac:dyDescent="0.25">
      <c r="A3631" t="s">
        <v>3501</v>
      </c>
      <c r="B3631" t="s">
        <v>65</v>
      </c>
      <c r="C3631" t="s">
        <v>3452</v>
      </c>
      <c r="D3631" t="s">
        <v>3453</v>
      </c>
      <c r="E3631" t="s">
        <v>3473</v>
      </c>
      <c r="F3631" t="s">
        <v>94</v>
      </c>
      <c r="G3631" t="s">
        <v>277</v>
      </c>
      <c r="H3631" s="12">
        <v>6.1131000000000002</v>
      </c>
      <c r="I3631" s="12">
        <v>-75.981899999999996</v>
      </c>
      <c r="J3631" t="s">
        <v>190</v>
      </c>
      <c r="K3631" t="s">
        <v>97</v>
      </c>
      <c r="L3631" t="s">
        <v>1273</v>
      </c>
      <c r="M3631">
        <v>11</v>
      </c>
      <c r="P3631" s="13">
        <v>152</v>
      </c>
      <c r="Q3631" s="13">
        <v>51</v>
      </c>
      <c r="R3631">
        <v>14</v>
      </c>
      <c r="S3631">
        <v>36</v>
      </c>
      <c r="T3631" s="13">
        <v>19</v>
      </c>
      <c r="U3631" s="13">
        <v>35</v>
      </c>
      <c r="V3631" t="s">
        <v>99</v>
      </c>
      <c r="X3631" s="13">
        <v>152</v>
      </c>
    </row>
    <row r="3632" spans="1:24" x14ac:dyDescent="0.25">
      <c r="A3632" t="s">
        <v>3502</v>
      </c>
      <c r="B3632" t="s">
        <v>65</v>
      </c>
      <c r="C3632" t="s">
        <v>3452</v>
      </c>
      <c r="D3632" t="s">
        <v>3453</v>
      </c>
      <c r="E3632" t="s">
        <v>3473</v>
      </c>
      <c r="F3632" t="s">
        <v>94</v>
      </c>
      <c r="G3632" t="s">
        <v>277</v>
      </c>
      <c r="H3632" s="12">
        <v>6.1131000000000002</v>
      </c>
      <c r="I3632" s="12">
        <v>-75.981899999999996</v>
      </c>
      <c r="J3632" t="s">
        <v>190</v>
      </c>
      <c r="K3632" t="s">
        <v>97</v>
      </c>
      <c r="L3632" t="s">
        <v>1273</v>
      </c>
      <c r="M3632">
        <v>11</v>
      </c>
      <c r="P3632" s="13">
        <v>152</v>
      </c>
      <c r="Q3632" s="13">
        <v>32</v>
      </c>
      <c r="R3632">
        <v>20</v>
      </c>
      <c r="S3632">
        <v>36</v>
      </c>
      <c r="T3632" s="13">
        <v>33</v>
      </c>
      <c r="U3632" s="13">
        <v>33</v>
      </c>
      <c r="V3632" t="s">
        <v>99</v>
      </c>
      <c r="X3632" s="13">
        <v>152</v>
      </c>
    </row>
    <row r="3633" spans="1:24" x14ac:dyDescent="0.25">
      <c r="A3633" t="s">
        <v>3503</v>
      </c>
      <c r="B3633" t="s">
        <v>65</v>
      </c>
      <c r="C3633" t="s">
        <v>3452</v>
      </c>
      <c r="D3633" t="s">
        <v>3453</v>
      </c>
      <c r="E3633" t="s">
        <v>3473</v>
      </c>
      <c r="F3633" t="s">
        <v>94</v>
      </c>
      <c r="G3633" t="s">
        <v>277</v>
      </c>
      <c r="H3633" s="12">
        <v>6.1131000000000002</v>
      </c>
      <c r="I3633" s="12">
        <v>-75.981899999999996</v>
      </c>
      <c r="J3633" t="s">
        <v>190</v>
      </c>
      <c r="K3633" t="s">
        <v>97</v>
      </c>
      <c r="L3633" t="s">
        <v>1273</v>
      </c>
      <c r="M3633">
        <v>11</v>
      </c>
      <c r="P3633" s="13">
        <v>147</v>
      </c>
      <c r="Q3633" s="13">
        <v>32</v>
      </c>
      <c r="R3633">
        <v>22</v>
      </c>
      <c r="S3633">
        <v>28</v>
      </c>
      <c r="T3633" s="13">
        <v>38</v>
      </c>
      <c r="U3633" s="13">
        <v>24</v>
      </c>
      <c r="V3633" t="s">
        <v>99</v>
      </c>
      <c r="X3633" s="13">
        <v>147</v>
      </c>
    </row>
    <row r="3634" spans="1:24" x14ac:dyDescent="0.25">
      <c r="A3634" t="s">
        <v>3504</v>
      </c>
      <c r="B3634" t="s">
        <v>65</v>
      </c>
      <c r="C3634" t="s">
        <v>3452</v>
      </c>
      <c r="D3634" t="s">
        <v>3453</v>
      </c>
      <c r="E3634" t="s">
        <v>3473</v>
      </c>
      <c r="F3634" t="s">
        <v>94</v>
      </c>
      <c r="G3634" t="s">
        <v>277</v>
      </c>
      <c r="H3634" s="12">
        <v>6.1131000000000002</v>
      </c>
      <c r="I3634" s="12">
        <v>-75.981899999999996</v>
      </c>
      <c r="J3634" t="s">
        <v>190</v>
      </c>
      <c r="K3634" t="s">
        <v>97</v>
      </c>
      <c r="L3634" t="s">
        <v>1273</v>
      </c>
      <c r="M3634">
        <v>11</v>
      </c>
      <c r="P3634" s="13">
        <v>146</v>
      </c>
      <c r="Q3634" s="13">
        <v>37</v>
      </c>
      <c r="R3634">
        <v>18</v>
      </c>
      <c r="S3634">
        <v>36</v>
      </c>
      <c r="T3634" s="13">
        <v>28</v>
      </c>
      <c r="U3634" s="13">
        <v>25</v>
      </c>
      <c r="V3634" t="s">
        <v>99</v>
      </c>
      <c r="X3634" s="13">
        <v>146</v>
      </c>
    </row>
    <row r="3635" spans="1:24" x14ac:dyDescent="0.25">
      <c r="A3635" t="s">
        <v>3505</v>
      </c>
      <c r="B3635" t="s">
        <v>65</v>
      </c>
      <c r="C3635" t="s">
        <v>3452</v>
      </c>
      <c r="D3635" t="s">
        <v>3453</v>
      </c>
      <c r="E3635" t="s">
        <v>3473</v>
      </c>
      <c r="F3635" t="s">
        <v>94</v>
      </c>
      <c r="G3635" t="s">
        <v>277</v>
      </c>
      <c r="H3635" s="12">
        <v>6.1131000000000002</v>
      </c>
      <c r="I3635" s="12">
        <v>-75.981899999999996</v>
      </c>
      <c r="J3635" t="s">
        <v>190</v>
      </c>
      <c r="K3635" t="s">
        <v>97</v>
      </c>
      <c r="L3635" t="s">
        <v>1273</v>
      </c>
      <c r="M3635">
        <v>11</v>
      </c>
      <c r="P3635" s="13">
        <v>134</v>
      </c>
      <c r="Q3635" s="13">
        <v>32</v>
      </c>
      <c r="R3635">
        <v>20</v>
      </c>
      <c r="S3635">
        <v>34</v>
      </c>
      <c r="T3635" s="13">
        <v>19</v>
      </c>
      <c r="U3635" s="13">
        <v>35</v>
      </c>
      <c r="V3635" t="s">
        <v>99</v>
      </c>
      <c r="X3635" s="13">
        <v>134</v>
      </c>
    </row>
    <row r="3636" spans="1:24" x14ac:dyDescent="0.25">
      <c r="A3636" t="s">
        <v>3506</v>
      </c>
      <c r="B3636" t="s">
        <v>65</v>
      </c>
      <c r="C3636" t="s">
        <v>3452</v>
      </c>
      <c r="D3636" t="s">
        <v>3453</v>
      </c>
      <c r="E3636" t="s">
        <v>3473</v>
      </c>
      <c r="F3636" t="s">
        <v>94</v>
      </c>
      <c r="G3636" t="s">
        <v>277</v>
      </c>
      <c r="H3636" s="12">
        <v>6.1131000000000002</v>
      </c>
      <c r="I3636" s="12">
        <v>-75.981899999999996</v>
      </c>
      <c r="J3636" t="s">
        <v>190</v>
      </c>
      <c r="K3636" t="s">
        <v>97</v>
      </c>
      <c r="L3636" t="s">
        <v>1273</v>
      </c>
      <c r="M3636">
        <v>11</v>
      </c>
      <c r="P3636" s="13">
        <v>127</v>
      </c>
      <c r="Q3636" s="13">
        <v>17</v>
      </c>
      <c r="R3636">
        <v>24</v>
      </c>
      <c r="S3636">
        <v>32</v>
      </c>
      <c r="T3636" s="13">
        <v>26</v>
      </c>
      <c r="U3636" s="13">
        <v>35</v>
      </c>
      <c r="V3636" t="s">
        <v>99</v>
      </c>
      <c r="X3636" s="13">
        <v>127</v>
      </c>
    </row>
    <row r="3637" spans="1:24" x14ac:dyDescent="0.25">
      <c r="A3637" t="s">
        <v>3507</v>
      </c>
      <c r="B3637" t="s">
        <v>65</v>
      </c>
      <c r="C3637" t="s">
        <v>3452</v>
      </c>
      <c r="D3637" t="s">
        <v>3453</v>
      </c>
      <c r="E3637" t="s">
        <v>3473</v>
      </c>
      <c r="F3637" t="s">
        <v>94</v>
      </c>
      <c r="G3637" t="s">
        <v>277</v>
      </c>
      <c r="H3637" s="12">
        <v>6.1131000000000002</v>
      </c>
      <c r="I3637" s="12">
        <v>-75.981899999999996</v>
      </c>
      <c r="J3637" t="s">
        <v>190</v>
      </c>
      <c r="K3637" t="s">
        <v>97</v>
      </c>
      <c r="L3637" t="s">
        <v>1273</v>
      </c>
      <c r="M3637">
        <v>11</v>
      </c>
      <c r="P3637" s="13">
        <v>123</v>
      </c>
      <c r="Q3637" s="13">
        <v>20</v>
      </c>
      <c r="R3637">
        <v>22</v>
      </c>
      <c r="S3637">
        <v>26</v>
      </c>
      <c r="T3637" s="13">
        <v>33</v>
      </c>
      <c r="U3637" s="13">
        <v>20</v>
      </c>
      <c r="V3637" t="s">
        <v>99</v>
      </c>
      <c r="X3637" s="13">
        <v>123</v>
      </c>
    </row>
    <row r="3638" spans="1:24" x14ac:dyDescent="0.25">
      <c r="A3638" t="s">
        <v>3508</v>
      </c>
      <c r="B3638" t="s">
        <v>65</v>
      </c>
      <c r="C3638" t="s">
        <v>3452</v>
      </c>
      <c r="D3638" t="s">
        <v>3453</v>
      </c>
      <c r="E3638" t="s">
        <v>3473</v>
      </c>
      <c r="F3638" t="s">
        <v>94</v>
      </c>
      <c r="G3638" t="s">
        <v>277</v>
      </c>
      <c r="H3638" s="12">
        <v>6.1131000000000002</v>
      </c>
      <c r="I3638" s="12">
        <v>-75.981899999999996</v>
      </c>
      <c r="J3638" t="s">
        <v>190</v>
      </c>
      <c r="K3638" t="s">
        <v>97</v>
      </c>
      <c r="L3638" t="s">
        <v>1273</v>
      </c>
      <c r="M3638">
        <v>11</v>
      </c>
      <c r="P3638" s="13">
        <v>121</v>
      </c>
      <c r="Q3638" s="13">
        <v>27</v>
      </c>
      <c r="R3638">
        <v>30</v>
      </c>
      <c r="S3638">
        <v>16</v>
      </c>
      <c r="T3638" s="13">
        <v>22</v>
      </c>
      <c r="U3638" s="13">
        <v>29</v>
      </c>
      <c r="V3638" t="s">
        <v>99</v>
      </c>
      <c r="X3638" s="13">
        <v>121</v>
      </c>
    </row>
    <row r="3639" spans="1:24" x14ac:dyDescent="0.25">
      <c r="A3639" t="s">
        <v>3509</v>
      </c>
      <c r="B3639" t="s">
        <v>65</v>
      </c>
      <c r="C3639" t="s">
        <v>3452</v>
      </c>
      <c r="D3639" t="s">
        <v>3453</v>
      </c>
      <c r="E3639" t="s">
        <v>3473</v>
      </c>
      <c r="F3639" t="s">
        <v>94</v>
      </c>
      <c r="G3639" t="s">
        <v>277</v>
      </c>
      <c r="H3639" s="12">
        <v>6.1131000000000002</v>
      </c>
      <c r="I3639" s="12">
        <v>-75.981899999999996</v>
      </c>
      <c r="J3639" t="s">
        <v>190</v>
      </c>
      <c r="K3639" t="s">
        <v>97</v>
      </c>
      <c r="L3639" t="s">
        <v>1273</v>
      </c>
      <c r="M3639">
        <v>11</v>
      </c>
      <c r="P3639" s="13">
        <v>117</v>
      </c>
      <c r="Q3639" s="13">
        <v>27</v>
      </c>
      <c r="R3639">
        <v>10</v>
      </c>
      <c r="S3639">
        <v>28</v>
      </c>
      <c r="T3639" s="13">
        <v>22</v>
      </c>
      <c r="U3639" s="13">
        <v>42</v>
      </c>
      <c r="V3639" t="s">
        <v>99</v>
      </c>
      <c r="X3639" s="13">
        <v>117</v>
      </c>
    </row>
    <row r="3640" spans="1:24" x14ac:dyDescent="0.25">
      <c r="A3640" t="s">
        <v>3510</v>
      </c>
      <c r="B3640" t="s">
        <v>65</v>
      </c>
      <c r="C3640" t="s">
        <v>3452</v>
      </c>
      <c r="D3640" t="s">
        <v>3453</v>
      </c>
      <c r="E3640" t="s">
        <v>3473</v>
      </c>
      <c r="F3640" t="s">
        <v>94</v>
      </c>
      <c r="G3640" t="s">
        <v>277</v>
      </c>
      <c r="H3640" s="12">
        <v>6.1131000000000002</v>
      </c>
      <c r="I3640" s="12">
        <v>-75.981899999999996</v>
      </c>
      <c r="J3640" t="s">
        <v>190</v>
      </c>
      <c r="K3640" t="s">
        <v>97</v>
      </c>
      <c r="L3640" t="s">
        <v>1273</v>
      </c>
      <c r="M3640">
        <v>11</v>
      </c>
      <c r="P3640" s="13">
        <v>114</v>
      </c>
      <c r="Q3640" s="13">
        <v>27</v>
      </c>
      <c r="R3640">
        <v>16</v>
      </c>
      <c r="S3640">
        <v>24</v>
      </c>
      <c r="T3640" s="13">
        <v>19</v>
      </c>
      <c r="U3640" s="13">
        <v>38</v>
      </c>
      <c r="V3640" t="s">
        <v>99</v>
      </c>
      <c r="X3640" s="13">
        <v>114</v>
      </c>
    </row>
    <row r="3641" spans="1:24" x14ac:dyDescent="0.25">
      <c r="A3641" t="s">
        <v>3511</v>
      </c>
      <c r="B3641" t="s">
        <v>65</v>
      </c>
      <c r="C3641" t="s">
        <v>3452</v>
      </c>
      <c r="D3641" t="s">
        <v>3453</v>
      </c>
      <c r="E3641" t="s">
        <v>3473</v>
      </c>
      <c r="F3641" t="s">
        <v>94</v>
      </c>
      <c r="G3641" t="s">
        <v>277</v>
      </c>
      <c r="H3641" s="12">
        <v>6.1131000000000002</v>
      </c>
      <c r="I3641" s="12">
        <v>-75.981899999999996</v>
      </c>
      <c r="J3641" t="s">
        <v>190</v>
      </c>
      <c r="K3641" t="s">
        <v>97</v>
      </c>
      <c r="L3641" t="s">
        <v>1273</v>
      </c>
      <c r="M3641">
        <v>11</v>
      </c>
      <c r="P3641" s="13">
        <v>100</v>
      </c>
      <c r="Q3641" s="13">
        <v>44</v>
      </c>
      <c r="R3641">
        <v>20</v>
      </c>
      <c r="S3641">
        <v>16</v>
      </c>
      <c r="T3641" s="13">
        <v>7</v>
      </c>
      <c r="U3641" s="13">
        <v>0</v>
      </c>
      <c r="V3641" t="s">
        <v>99</v>
      </c>
      <c r="X3641" s="13">
        <v>100</v>
      </c>
    </row>
    <row r="3642" spans="1:24" x14ac:dyDescent="0.25">
      <c r="A3642" t="s">
        <v>3512</v>
      </c>
      <c r="B3642" t="s">
        <v>65</v>
      </c>
      <c r="C3642" t="s">
        <v>3452</v>
      </c>
      <c r="D3642" t="s">
        <v>3453</v>
      </c>
      <c r="E3642" t="s">
        <v>3473</v>
      </c>
      <c r="F3642" t="s">
        <v>94</v>
      </c>
      <c r="G3642" t="s">
        <v>277</v>
      </c>
      <c r="H3642" s="12">
        <v>6.1131000000000002</v>
      </c>
      <c r="I3642" s="12">
        <v>-75.981899999999996</v>
      </c>
      <c r="J3642" t="s">
        <v>190</v>
      </c>
      <c r="K3642" t="s">
        <v>97</v>
      </c>
      <c r="L3642" t="s">
        <v>1273</v>
      </c>
      <c r="M3642">
        <v>11</v>
      </c>
      <c r="P3642" s="13">
        <v>95</v>
      </c>
      <c r="Q3642" s="13">
        <v>15</v>
      </c>
      <c r="R3642">
        <v>20</v>
      </c>
      <c r="S3642">
        <v>20</v>
      </c>
      <c r="T3642" s="13">
        <v>19</v>
      </c>
      <c r="U3642" s="13">
        <v>25</v>
      </c>
      <c r="V3642" t="s">
        <v>99</v>
      </c>
      <c r="X3642" s="13">
        <v>95</v>
      </c>
    </row>
    <row r="3643" spans="1:24" x14ac:dyDescent="0.25">
      <c r="A3643" t="s">
        <v>3513</v>
      </c>
      <c r="B3643" t="s">
        <v>65</v>
      </c>
      <c r="C3643" t="s">
        <v>3452</v>
      </c>
      <c r="D3643" t="s">
        <v>3453</v>
      </c>
      <c r="E3643" t="s">
        <v>3473</v>
      </c>
      <c r="F3643" t="s">
        <v>94</v>
      </c>
      <c r="G3643" t="s">
        <v>277</v>
      </c>
      <c r="H3643" s="12">
        <v>6.1131000000000002</v>
      </c>
      <c r="I3643" s="12">
        <v>-75.981899999999996</v>
      </c>
      <c r="J3643" t="s">
        <v>190</v>
      </c>
      <c r="K3643" t="s">
        <v>97</v>
      </c>
      <c r="L3643" t="s">
        <v>1273</v>
      </c>
      <c r="M3643">
        <v>11</v>
      </c>
      <c r="P3643" s="13">
        <v>94</v>
      </c>
      <c r="Q3643" s="13">
        <v>39</v>
      </c>
      <c r="R3643">
        <v>18</v>
      </c>
      <c r="S3643">
        <v>14</v>
      </c>
      <c r="T3643" s="13">
        <v>10</v>
      </c>
      <c r="U3643" s="13">
        <v>0</v>
      </c>
      <c r="V3643" t="s">
        <v>99</v>
      </c>
      <c r="X3643" s="13">
        <v>94</v>
      </c>
    </row>
    <row r="3644" spans="1:24" x14ac:dyDescent="0.25">
      <c r="A3644" t="s">
        <v>3514</v>
      </c>
      <c r="B3644" t="s">
        <v>65</v>
      </c>
      <c r="C3644" t="s">
        <v>3452</v>
      </c>
      <c r="D3644" t="s">
        <v>3453</v>
      </c>
      <c r="E3644" t="s">
        <v>3473</v>
      </c>
      <c r="F3644" t="s">
        <v>94</v>
      </c>
      <c r="G3644" t="s">
        <v>277</v>
      </c>
      <c r="H3644" s="12">
        <v>6.1131000000000002</v>
      </c>
      <c r="I3644" s="12">
        <v>-75.981899999999996</v>
      </c>
      <c r="J3644" t="s">
        <v>190</v>
      </c>
      <c r="K3644" t="s">
        <v>97</v>
      </c>
      <c r="L3644" t="s">
        <v>1273</v>
      </c>
      <c r="M3644">
        <v>11</v>
      </c>
      <c r="P3644" s="13">
        <v>92</v>
      </c>
      <c r="Q3644" s="13">
        <v>24</v>
      </c>
      <c r="R3644">
        <v>12</v>
      </c>
      <c r="S3644">
        <v>14</v>
      </c>
      <c r="T3644" s="13">
        <v>17</v>
      </c>
      <c r="U3644" s="13">
        <v>36</v>
      </c>
      <c r="V3644" t="s">
        <v>99</v>
      </c>
      <c r="X3644" s="13">
        <v>92</v>
      </c>
    </row>
    <row r="3645" spans="1:24" x14ac:dyDescent="0.25">
      <c r="A3645" t="s">
        <v>3515</v>
      </c>
      <c r="B3645" t="s">
        <v>65</v>
      </c>
      <c r="C3645" t="s">
        <v>3452</v>
      </c>
      <c r="D3645" t="s">
        <v>3453</v>
      </c>
      <c r="E3645" t="s">
        <v>3473</v>
      </c>
      <c r="F3645" t="s">
        <v>94</v>
      </c>
      <c r="G3645" t="s">
        <v>277</v>
      </c>
      <c r="H3645" s="12">
        <v>6.1131000000000002</v>
      </c>
      <c r="I3645" s="12">
        <v>-75.981899999999996</v>
      </c>
      <c r="J3645" t="s">
        <v>190</v>
      </c>
      <c r="K3645" t="s">
        <v>97</v>
      </c>
      <c r="L3645" t="s">
        <v>1273</v>
      </c>
      <c r="M3645">
        <v>11</v>
      </c>
      <c r="P3645" s="13">
        <v>70</v>
      </c>
      <c r="Q3645" s="13">
        <v>22</v>
      </c>
      <c r="R3645">
        <v>12</v>
      </c>
      <c r="S3645">
        <v>20</v>
      </c>
      <c r="T3645" s="13">
        <v>7</v>
      </c>
      <c r="U3645" s="13">
        <v>0</v>
      </c>
      <c r="V3645" t="s">
        <v>99</v>
      </c>
      <c r="X3645" s="13">
        <v>70</v>
      </c>
    </row>
    <row r="3646" spans="1:24" x14ac:dyDescent="0.25">
      <c r="A3646" t="s">
        <v>3516</v>
      </c>
      <c r="B3646" t="s">
        <v>65</v>
      </c>
      <c r="C3646" t="s">
        <v>3452</v>
      </c>
      <c r="D3646" t="s">
        <v>3453</v>
      </c>
      <c r="E3646" t="s">
        <v>3517</v>
      </c>
      <c r="F3646" t="s">
        <v>94</v>
      </c>
      <c r="G3646" t="s">
        <v>277</v>
      </c>
      <c r="H3646" s="12">
        <v>6.85</v>
      </c>
      <c r="I3646" s="12">
        <v>-75.816699999999997</v>
      </c>
      <c r="J3646" t="s">
        <v>190</v>
      </c>
      <c r="K3646" t="s">
        <v>97</v>
      </c>
      <c r="L3646" t="s">
        <v>1273</v>
      </c>
      <c r="M3646">
        <v>11</v>
      </c>
      <c r="P3646" s="13">
        <v>271</v>
      </c>
      <c r="Q3646" s="13">
        <v>68</v>
      </c>
      <c r="R3646">
        <v>48</v>
      </c>
      <c r="S3646">
        <v>54</v>
      </c>
      <c r="T3646" s="13">
        <v>45</v>
      </c>
      <c r="U3646" s="13">
        <v>60</v>
      </c>
      <c r="V3646" t="s">
        <v>99</v>
      </c>
      <c r="X3646" s="13">
        <v>271</v>
      </c>
    </row>
    <row r="3647" spans="1:24" x14ac:dyDescent="0.25">
      <c r="A3647" t="s">
        <v>3518</v>
      </c>
      <c r="B3647" t="s">
        <v>65</v>
      </c>
      <c r="C3647" t="s">
        <v>3452</v>
      </c>
      <c r="D3647" t="s">
        <v>3453</v>
      </c>
      <c r="E3647" t="s">
        <v>3517</v>
      </c>
      <c r="F3647" t="s">
        <v>94</v>
      </c>
      <c r="G3647" t="s">
        <v>277</v>
      </c>
      <c r="H3647" s="12">
        <v>6.85</v>
      </c>
      <c r="I3647" s="12">
        <v>-75.816699999999997</v>
      </c>
      <c r="J3647" t="s">
        <v>190</v>
      </c>
      <c r="K3647" t="s">
        <v>97</v>
      </c>
      <c r="L3647" t="s">
        <v>1273</v>
      </c>
      <c r="M3647">
        <v>11</v>
      </c>
      <c r="P3647" s="13">
        <v>267</v>
      </c>
      <c r="Q3647" s="13">
        <v>59</v>
      </c>
      <c r="R3647">
        <v>42</v>
      </c>
      <c r="S3647">
        <v>68</v>
      </c>
      <c r="T3647" s="13">
        <v>43</v>
      </c>
      <c r="U3647" s="13">
        <v>60</v>
      </c>
      <c r="V3647" t="s">
        <v>99</v>
      </c>
      <c r="X3647" s="13">
        <v>267</v>
      </c>
    </row>
    <row r="3648" spans="1:24" x14ac:dyDescent="0.25">
      <c r="A3648" t="s">
        <v>3519</v>
      </c>
      <c r="B3648" t="s">
        <v>65</v>
      </c>
      <c r="C3648" t="s">
        <v>3452</v>
      </c>
      <c r="D3648" t="s">
        <v>3453</v>
      </c>
      <c r="E3648" t="s">
        <v>3517</v>
      </c>
      <c r="F3648" t="s">
        <v>94</v>
      </c>
      <c r="G3648" t="s">
        <v>277</v>
      </c>
      <c r="H3648" s="12">
        <v>6.85</v>
      </c>
      <c r="I3648" s="12">
        <v>-75.816699999999997</v>
      </c>
      <c r="J3648" t="s">
        <v>190</v>
      </c>
      <c r="K3648" t="s">
        <v>97</v>
      </c>
      <c r="L3648" t="s">
        <v>1273</v>
      </c>
      <c r="M3648">
        <v>11</v>
      </c>
      <c r="P3648" s="13">
        <v>254</v>
      </c>
      <c r="Q3648" s="13">
        <v>61</v>
      </c>
      <c r="R3648">
        <v>42</v>
      </c>
      <c r="S3648">
        <v>54</v>
      </c>
      <c r="T3648" s="13">
        <v>40</v>
      </c>
      <c r="U3648" s="13">
        <v>71</v>
      </c>
      <c r="V3648" t="s">
        <v>99</v>
      </c>
      <c r="X3648" s="13">
        <v>254</v>
      </c>
    </row>
    <row r="3649" spans="1:24" x14ac:dyDescent="0.25">
      <c r="A3649" t="s">
        <v>3520</v>
      </c>
      <c r="B3649" t="s">
        <v>65</v>
      </c>
      <c r="C3649" t="s">
        <v>3452</v>
      </c>
      <c r="D3649" t="s">
        <v>3453</v>
      </c>
      <c r="E3649" t="s">
        <v>3517</v>
      </c>
      <c r="F3649" t="s">
        <v>94</v>
      </c>
      <c r="G3649" t="s">
        <v>277</v>
      </c>
      <c r="H3649" s="12">
        <v>6.85</v>
      </c>
      <c r="I3649" s="12">
        <v>-75.816699999999997</v>
      </c>
      <c r="J3649" t="s">
        <v>190</v>
      </c>
      <c r="K3649" t="s">
        <v>97</v>
      </c>
      <c r="L3649" t="s">
        <v>1273</v>
      </c>
      <c r="M3649">
        <v>11</v>
      </c>
      <c r="P3649" s="13">
        <v>249</v>
      </c>
      <c r="Q3649" s="13">
        <v>54</v>
      </c>
      <c r="R3649">
        <v>34</v>
      </c>
      <c r="S3649">
        <v>66</v>
      </c>
      <c r="T3649" s="13">
        <v>43</v>
      </c>
      <c r="U3649" s="13">
        <v>56</v>
      </c>
      <c r="V3649" t="s">
        <v>99</v>
      </c>
      <c r="X3649" s="13">
        <v>249</v>
      </c>
    </row>
    <row r="3650" spans="1:24" x14ac:dyDescent="0.25">
      <c r="A3650" t="s">
        <v>3521</v>
      </c>
      <c r="B3650" t="s">
        <v>65</v>
      </c>
      <c r="C3650" t="s">
        <v>3452</v>
      </c>
      <c r="D3650" t="s">
        <v>3453</v>
      </c>
      <c r="E3650" t="s">
        <v>3517</v>
      </c>
      <c r="F3650" t="s">
        <v>94</v>
      </c>
      <c r="G3650" t="s">
        <v>277</v>
      </c>
      <c r="H3650" s="12">
        <v>6.85</v>
      </c>
      <c r="I3650" s="12">
        <v>-75.816699999999997</v>
      </c>
      <c r="J3650" t="s">
        <v>190</v>
      </c>
      <c r="K3650" t="s">
        <v>97</v>
      </c>
      <c r="L3650" t="s">
        <v>1273</v>
      </c>
      <c r="M3650">
        <v>11</v>
      </c>
      <c r="P3650" s="13">
        <v>232</v>
      </c>
      <c r="Q3650" s="13">
        <v>59</v>
      </c>
      <c r="R3650">
        <v>42</v>
      </c>
      <c r="S3650">
        <v>52</v>
      </c>
      <c r="T3650" s="13">
        <v>33</v>
      </c>
      <c r="U3650" s="13">
        <v>47</v>
      </c>
      <c r="V3650" t="s">
        <v>99</v>
      </c>
      <c r="X3650" s="13">
        <v>232</v>
      </c>
    </row>
    <row r="3651" spans="1:24" x14ac:dyDescent="0.25">
      <c r="A3651" t="s">
        <v>3522</v>
      </c>
      <c r="B3651" t="s">
        <v>65</v>
      </c>
      <c r="C3651" t="s">
        <v>3452</v>
      </c>
      <c r="D3651" t="s">
        <v>3453</v>
      </c>
      <c r="E3651" t="s">
        <v>3517</v>
      </c>
      <c r="F3651" t="s">
        <v>94</v>
      </c>
      <c r="G3651" t="s">
        <v>277</v>
      </c>
      <c r="H3651" s="12">
        <v>6.85</v>
      </c>
      <c r="I3651" s="12">
        <v>-75.816699999999997</v>
      </c>
      <c r="J3651" t="s">
        <v>190</v>
      </c>
      <c r="K3651" t="s">
        <v>97</v>
      </c>
      <c r="L3651" t="s">
        <v>1273</v>
      </c>
      <c r="M3651">
        <v>11</v>
      </c>
      <c r="P3651" s="13">
        <v>229</v>
      </c>
      <c r="Q3651" s="13">
        <v>51</v>
      </c>
      <c r="R3651">
        <v>34</v>
      </c>
      <c r="S3651">
        <v>60</v>
      </c>
      <c r="T3651" s="13">
        <v>40</v>
      </c>
      <c r="U3651" s="13">
        <v>40</v>
      </c>
      <c r="V3651" t="s">
        <v>99</v>
      </c>
      <c r="X3651" s="13">
        <v>229</v>
      </c>
    </row>
    <row r="3652" spans="1:24" x14ac:dyDescent="0.25">
      <c r="A3652" t="s">
        <v>3523</v>
      </c>
      <c r="B3652" t="s">
        <v>65</v>
      </c>
      <c r="C3652" t="s">
        <v>3452</v>
      </c>
      <c r="D3652" t="s">
        <v>3453</v>
      </c>
      <c r="E3652" t="s">
        <v>3517</v>
      </c>
      <c r="F3652" t="s">
        <v>94</v>
      </c>
      <c r="G3652" t="s">
        <v>277</v>
      </c>
      <c r="H3652" s="12">
        <v>6.85</v>
      </c>
      <c r="I3652" s="12">
        <v>-75.816699999999997</v>
      </c>
      <c r="J3652" t="s">
        <v>190</v>
      </c>
      <c r="K3652" t="s">
        <v>97</v>
      </c>
      <c r="L3652" t="s">
        <v>1273</v>
      </c>
      <c r="M3652">
        <v>11</v>
      </c>
      <c r="P3652" s="13">
        <v>223</v>
      </c>
      <c r="Q3652" s="13">
        <v>46</v>
      </c>
      <c r="R3652">
        <v>30</v>
      </c>
      <c r="S3652">
        <v>50</v>
      </c>
      <c r="T3652" s="13">
        <v>43</v>
      </c>
      <c r="U3652" s="13">
        <v>73</v>
      </c>
      <c r="V3652" t="s">
        <v>99</v>
      </c>
      <c r="X3652" s="13">
        <v>223</v>
      </c>
    </row>
    <row r="3653" spans="1:24" x14ac:dyDescent="0.25">
      <c r="A3653" t="s">
        <v>3524</v>
      </c>
      <c r="B3653" t="s">
        <v>65</v>
      </c>
      <c r="C3653" t="s">
        <v>3452</v>
      </c>
      <c r="D3653" t="s">
        <v>3453</v>
      </c>
      <c r="E3653" t="s">
        <v>3517</v>
      </c>
      <c r="F3653" t="s">
        <v>94</v>
      </c>
      <c r="G3653" t="s">
        <v>277</v>
      </c>
      <c r="H3653" s="12">
        <v>6.85</v>
      </c>
      <c r="I3653" s="12">
        <v>-75.816699999999997</v>
      </c>
      <c r="J3653" t="s">
        <v>190</v>
      </c>
      <c r="K3653" t="s">
        <v>97</v>
      </c>
      <c r="L3653" t="s">
        <v>1273</v>
      </c>
      <c r="M3653">
        <v>11</v>
      </c>
      <c r="P3653" s="13">
        <v>220</v>
      </c>
      <c r="Q3653" s="13">
        <v>63</v>
      </c>
      <c r="R3653">
        <v>28</v>
      </c>
      <c r="S3653">
        <v>50</v>
      </c>
      <c r="T3653" s="13">
        <v>34</v>
      </c>
      <c r="U3653" s="13">
        <v>44</v>
      </c>
      <c r="V3653" t="s">
        <v>99</v>
      </c>
      <c r="X3653" s="13">
        <v>220</v>
      </c>
    </row>
    <row r="3654" spans="1:24" x14ac:dyDescent="0.25">
      <c r="A3654" t="s">
        <v>3525</v>
      </c>
      <c r="B3654" t="s">
        <v>65</v>
      </c>
      <c r="C3654" t="s">
        <v>3452</v>
      </c>
      <c r="D3654" t="s">
        <v>3453</v>
      </c>
      <c r="E3654" t="s">
        <v>3517</v>
      </c>
      <c r="F3654" t="s">
        <v>94</v>
      </c>
      <c r="G3654" t="s">
        <v>277</v>
      </c>
      <c r="H3654" s="12">
        <v>6.85</v>
      </c>
      <c r="I3654" s="12">
        <v>-75.816699999999997</v>
      </c>
      <c r="J3654" t="s">
        <v>190</v>
      </c>
      <c r="K3654" t="s">
        <v>97</v>
      </c>
      <c r="L3654" t="s">
        <v>1273</v>
      </c>
      <c r="M3654">
        <v>11</v>
      </c>
      <c r="P3654" s="13">
        <v>219</v>
      </c>
      <c r="Q3654" s="13">
        <v>54</v>
      </c>
      <c r="R3654">
        <v>34</v>
      </c>
      <c r="S3654">
        <v>46</v>
      </c>
      <c r="T3654" s="13">
        <v>36</v>
      </c>
      <c r="U3654" s="13">
        <v>60</v>
      </c>
      <c r="V3654" t="s">
        <v>99</v>
      </c>
      <c r="X3654" s="13">
        <v>219</v>
      </c>
    </row>
    <row r="3655" spans="1:24" x14ac:dyDescent="0.25">
      <c r="A3655" t="s">
        <v>3526</v>
      </c>
      <c r="B3655" t="s">
        <v>65</v>
      </c>
      <c r="C3655" t="s">
        <v>3452</v>
      </c>
      <c r="D3655" t="s">
        <v>3453</v>
      </c>
      <c r="E3655" t="s">
        <v>3517</v>
      </c>
      <c r="F3655" t="s">
        <v>94</v>
      </c>
      <c r="G3655" t="s">
        <v>277</v>
      </c>
      <c r="H3655" s="12">
        <v>6.85</v>
      </c>
      <c r="I3655" s="12">
        <v>-75.816699999999997</v>
      </c>
      <c r="J3655" t="s">
        <v>190</v>
      </c>
      <c r="K3655" t="s">
        <v>97</v>
      </c>
      <c r="L3655" t="s">
        <v>1273</v>
      </c>
      <c r="M3655">
        <v>11</v>
      </c>
      <c r="P3655" s="13">
        <v>219</v>
      </c>
      <c r="Q3655" s="13">
        <v>56</v>
      </c>
      <c r="R3655">
        <v>20</v>
      </c>
      <c r="S3655">
        <v>64</v>
      </c>
      <c r="T3655" s="13">
        <v>34</v>
      </c>
      <c r="U3655" s="13">
        <v>45</v>
      </c>
      <c r="V3655" t="s">
        <v>99</v>
      </c>
      <c r="X3655" s="13">
        <v>219</v>
      </c>
    </row>
    <row r="3656" spans="1:24" x14ac:dyDescent="0.25">
      <c r="A3656" t="s">
        <v>3527</v>
      </c>
      <c r="B3656" t="s">
        <v>65</v>
      </c>
      <c r="C3656" t="s">
        <v>3452</v>
      </c>
      <c r="D3656" t="s">
        <v>3453</v>
      </c>
      <c r="E3656" t="s">
        <v>3517</v>
      </c>
      <c r="F3656" t="s">
        <v>94</v>
      </c>
      <c r="G3656" t="s">
        <v>277</v>
      </c>
      <c r="H3656" s="12">
        <v>6.85</v>
      </c>
      <c r="I3656" s="12">
        <v>-75.816699999999997</v>
      </c>
      <c r="J3656" t="s">
        <v>190</v>
      </c>
      <c r="K3656" t="s">
        <v>97</v>
      </c>
      <c r="L3656" t="s">
        <v>1273</v>
      </c>
      <c r="M3656">
        <v>11</v>
      </c>
      <c r="P3656" s="13">
        <v>216</v>
      </c>
      <c r="Q3656" s="13">
        <v>54</v>
      </c>
      <c r="R3656">
        <v>24</v>
      </c>
      <c r="S3656">
        <v>64</v>
      </c>
      <c r="T3656" s="13">
        <v>33</v>
      </c>
      <c r="U3656" s="13">
        <v>38</v>
      </c>
      <c r="V3656" t="s">
        <v>99</v>
      </c>
      <c r="X3656" s="13">
        <v>216</v>
      </c>
    </row>
    <row r="3657" spans="1:24" x14ac:dyDescent="0.25">
      <c r="A3657" t="s">
        <v>3528</v>
      </c>
      <c r="B3657" t="s">
        <v>65</v>
      </c>
      <c r="C3657" t="s">
        <v>3452</v>
      </c>
      <c r="D3657" t="s">
        <v>3453</v>
      </c>
      <c r="E3657" t="s">
        <v>3517</v>
      </c>
      <c r="F3657" t="s">
        <v>94</v>
      </c>
      <c r="G3657" t="s">
        <v>277</v>
      </c>
      <c r="H3657" s="12">
        <v>6.85</v>
      </c>
      <c r="I3657" s="12">
        <v>-75.816699999999997</v>
      </c>
      <c r="J3657" t="s">
        <v>190</v>
      </c>
      <c r="K3657" t="s">
        <v>97</v>
      </c>
      <c r="L3657" t="s">
        <v>1273</v>
      </c>
      <c r="M3657">
        <v>11</v>
      </c>
      <c r="P3657" s="13">
        <v>215</v>
      </c>
      <c r="Q3657" s="13">
        <v>54</v>
      </c>
      <c r="R3657">
        <v>26</v>
      </c>
      <c r="S3657">
        <v>58</v>
      </c>
      <c r="T3657" s="13">
        <v>36</v>
      </c>
      <c r="U3657" s="13">
        <v>36</v>
      </c>
      <c r="V3657" t="s">
        <v>99</v>
      </c>
      <c r="X3657" s="13">
        <v>215</v>
      </c>
    </row>
    <row r="3658" spans="1:24" x14ac:dyDescent="0.25">
      <c r="A3658" t="s">
        <v>3529</v>
      </c>
      <c r="B3658" t="s">
        <v>65</v>
      </c>
      <c r="C3658" t="s">
        <v>3452</v>
      </c>
      <c r="D3658" t="s">
        <v>3453</v>
      </c>
      <c r="E3658" t="s">
        <v>3517</v>
      </c>
      <c r="F3658" t="s">
        <v>94</v>
      </c>
      <c r="G3658" t="s">
        <v>277</v>
      </c>
      <c r="H3658" s="12">
        <v>6.85</v>
      </c>
      <c r="I3658" s="12">
        <v>-75.816699999999997</v>
      </c>
      <c r="J3658" t="s">
        <v>190</v>
      </c>
      <c r="K3658" t="s">
        <v>97</v>
      </c>
      <c r="L3658" t="s">
        <v>1273</v>
      </c>
      <c r="M3658">
        <v>11</v>
      </c>
      <c r="P3658" s="13">
        <v>210</v>
      </c>
      <c r="Q3658" s="13">
        <v>49</v>
      </c>
      <c r="R3658">
        <v>36</v>
      </c>
      <c r="S3658">
        <v>48</v>
      </c>
      <c r="T3658" s="13">
        <v>34</v>
      </c>
      <c r="U3658" s="13">
        <v>44</v>
      </c>
      <c r="V3658" t="s">
        <v>99</v>
      </c>
      <c r="X3658" s="13">
        <v>210</v>
      </c>
    </row>
    <row r="3659" spans="1:24" x14ac:dyDescent="0.25">
      <c r="A3659" t="s">
        <v>3530</v>
      </c>
      <c r="B3659" t="s">
        <v>65</v>
      </c>
      <c r="C3659" t="s">
        <v>3452</v>
      </c>
      <c r="D3659" t="s">
        <v>3453</v>
      </c>
      <c r="E3659" t="s">
        <v>3517</v>
      </c>
      <c r="F3659" t="s">
        <v>94</v>
      </c>
      <c r="G3659" t="s">
        <v>277</v>
      </c>
      <c r="H3659" s="12">
        <v>6.85</v>
      </c>
      <c r="I3659" s="12">
        <v>-75.816699999999997</v>
      </c>
      <c r="J3659" t="s">
        <v>190</v>
      </c>
      <c r="K3659" t="s">
        <v>97</v>
      </c>
      <c r="L3659" t="s">
        <v>1273</v>
      </c>
      <c r="M3659">
        <v>11</v>
      </c>
      <c r="P3659" s="13">
        <v>209</v>
      </c>
      <c r="Q3659" s="13">
        <v>61</v>
      </c>
      <c r="R3659">
        <v>26</v>
      </c>
      <c r="S3659">
        <v>60</v>
      </c>
      <c r="T3659" s="13">
        <v>24</v>
      </c>
      <c r="U3659" s="13">
        <v>31</v>
      </c>
      <c r="V3659" t="s">
        <v>99</v>
      </c>
      <c r="X3659" s="13">
        <v>209</v>
      </c>
    </row>
    <row r="3660" spans="1:24" x14ac:dyDescent="0.25">
      <c r="A3660" t="s">
        <v>3531</v>
      </c>
      <c r="B3660" t="s">
        <v>65</v>
      </c>
      <c r="C3660" t="s">
        <v>3452</v>
      </c>
      <c r="D3660" t="s">
        <v>3453</v>
      </c>
      <c r="E3660" t="s">
        <v>3517</v>
      </c>
      <c r="F3660" t="s">
        <v>94</v>
      </c>
      <c r="G3660" t="s">
        <v>277</v>
      </c>
      <c r="H3660" s="12">
        <v>6.85</v>
      </c>
      <c r="I3660" s="12">
        <v>-75.816699999999997</v>
      </c>
      <c r="J3660" t="s">
        <v>190</v>
      </c>
      <c r="K3660" t="s">
        <v>97</v>
      </c>
      <c r="L3660" t="s">
        <v>1273</v>
      </c>
      <c r="M3660">
        <v>11</v>
      </c>
      <c r="P3660" s="13">
        <v>209</v>
      </c>
      <c r="Q3660" s="13">
        <v>54</v>
      </c>
      <c r="R3660">
        <v>28</v>
      </c>
      <c r="S3660">
        <v>48</v>
      </c>
      <c r="T3660" s="13">
        <v>36</v>
      </c>
      <c r="U3660" s="13">
        <v>45</v>
      </c>
      <c r="V3660" t="s">
        <v>99</v>
      </c>
      <c r="X3660" s="13">
        <v>209</v>
      </c>
    </row>
    <row r="3661" spans="1:24" x14ac:dyDescent="0.25">
      <c r="A3661" t="s">
        <v>3532</v>
      </c>
      <c r="B3661" t="s">
        <v>65</v>
      </c>
      <c r="C3661" t="s">
        <v>3452</v>
      </c>
      <c r="D3661" t="s">
        <v>3453</v>
      </c>
      <c r="E3661" t="s">
        <v>3517</v>
      </c>
      <c r="F3661" t="s">
        <v>94</v>
      </c>
      <c r="G3661" t="s">
        <v>277</v>
      </c>
      <c r="H3661" s="12">
        <v>6.85</v>
      </c>
      <c r="I3661" s="12">
        <v>-75.816699999999997</v>
      </c>
      <c r="J3661" t="s">
        <v>190</v>
      </c>
      <c r="K3661" t="s">
        <v>97</v>
      </c>
      <c r="L3661" t="s">
        <v>1273</v>
      </c>
      <c r="M3661">
        <v>11</v>
      </c>
      <c r="P3661" s="13">
        <v>207</v>
      </c>
      <c r="Q3661" s="13">
        <v>51</v>
      </c>
      <c r="R3661">
        <v>40</v>
      </c>
      <c r="S3661">
        <v>48</v>
      </c>
      <c r="T3661" s="13">
        <v>24</v>
      </c>
      <c r="U3661" s="13">
        <v>47</v>
      </c>
      <c r="V3661" t="s">
        <v>99</v>
      </c>
      <c r="X3661" s="13">
        <v>207</v>
      </c>
    </row>
    <row r="3662" spans="1:24" x14ac:dyDescent="0.25">
      <c r="A3662" t="s">
        <v>3533</v>
      </c>
      <c r="B3662" t="s">
        <v>65</v>
      </c>
      <c r="C3662" t="s">
        <v>3452</v>
      </c>
      <c r="D3662" t="s">
        <v>3453</v>
      </c>
      <c r="E3662" t="s">
        <v>3517</v>
      </c>
      <c r="F3662" t="s">
        <v>94</v>
      </c>
      <c r="G3662" t="s">
        <v>277</v>
      </c>
      <c r="H3662" s="12">
        <v>6.85</v>
      </c>
      <c r="I3662" s="12">
        <v>-75.816699999999997</v>
      </c>
      <c r="J3662" t="s">
        <v>190</v>
      </c>
      <c r="K3662" t="s">
        <v>97</v>
      </c>
      <c r="L3662" t="s">
        <v>1273</v>
      </c>
      <c r="M3662">
        <v>11</v>
      </c>
      <c r="P3662" s="13">
        <v>206</v>
      </c>
      <c r="Q3662" s="13">
        <v>44</v>
      </c>
      <c r="R3662">
        <v>28</v>
      </c>
      <c r="S3662">
        <v>58</v>
      </c>
      <c r="T3662" s="13">
        <v>33</v>
      </c>
      <c r="U3662" s="13">
        <v>47</v>
      </c>
      <c r="V3662" t="s">
        <v>99</v>
      </c>
      <c r="X3662" s="13">
        <v>206</v>
      </c>
    </row>
    <row r="3663" spans="1:24" x14ac:dyDescent="0.25">
      <c r="A3663" t="s">
        <v>3534</v>
      </c>
      <c r="B3663" t="s">
        <v>65</v>
      </c>
      <c r="C3663" t="s">
        <v>3452</v>
      </c>
      <c r="D3663" t="s">
        <v>3453</v>
      </c>
      <c r="E3663" t="s">
        <v>3517</v>
      </c>
      <c r="F3663" t="s">
        <v>94</v>
      </c>
      <c r="G3663" t="s">
        <v>277</v>
      </c>
      <c r="H3663" s="12">
        <v>6.85</v>
      </c>
      <c r="I3663" s="12">
        <v>-75.816699999999997</v>
      </c>
      <c r="J3663" t="s">
        <v>190</v>
      </c>
      <c r="K3663" t="s">
        <v>97</v>
      </c>
      <c r="L3663" t="s">
        <v>1273</v>
      </c>
      <c r="M3663">
        <v>11</v>
      </c>
      <c r="P3663" s="13">
        <v>195</v>
      </c>
      <c r="Q3663" s="13">
        <v>51</v>
      </c>
      <c r="R3663">
        <v>32</v>
      </c>
      <c r="S3663">
        <v>40</v>
      </c>
      <c r="T3663" s="13">
        <v>31</v>
      </c>
      <c r="U3663" s="13">
        <v>44</v>
      </c>
      <c r="V3663" t="s">
        <v>99</v>
      </c>
      <c r="X3663" s="13">
        <v>195</v>
      </c>
    </row>
    <row r="3664" spans="1:24" x14ac:dyDescent="0.25">
      <c r="A3664" t="s">
        <v>3535</v>
      </c>
      <c r="B3664" t="s">
        <v>65</v>
      </c>
      <c r="C3664" t="s">
        <v>3452</v>
      </c>
      <c r="D3664" t="s">
        <v>3453</v>
      </c>
      <c r="E3664" t="s">
        <v>3517</v>
      </c>
      <c r="F3664" t="s">
        <v>94</v>
      </c>
      <c r="G3664" t="s">
        <v>277</v>
      </c>
      <c r="H3664" s="12">
        <v>6.85</v>
      </c>
      <c r="I3664" s="12">
        <v>-75.816699999999997</v>
      </c>
      <c r="J3664" t="s">
        <v>190</v>
      </c>
      <c r="K3664" t="s">
        <v>97</v>
      </c>
      <c r="L3664" t="s">
        <v>1273</v>
      </c>
      <c r="M3664">
        <v>11</v>
      </c>
      <c r="P3664" s="13">
        <v>191</v>
      </c>
      <c r="Q3664" s="13">
        <v>49</v>
      </c>
      <c r="R3664">
        <v>26</v>
      </c>
      <c r="S3664">
        <v>50</v>
      </c>
      <c r="T3664" s="13">
        <v>28</v>
      </c>
      <c r="U3664" s="13">
        <v>40</v>
      </c>
      <c r="V3664" t="s">
        <v>99</v>
      </c>
      <c r="X3664" s="13">
        <v>191</v>
      </c>
    </row>
    <row r="3665" spans="1:24" x14ac:dyDescent="0.25">
      <c r="A3665" t="s">
        <v>3536</v>
      </c>
      <c r="B3665" t="s">
        <v>65</v>
      </c>
      <c r="C3665" t="s">
        <v>3452</v>
      </c>
      <c r="D3665" t="s">
        <v>3453</v>
      </c>
      <c r="E3665" t="s">
        <v>3517</v>
      </c>
      <c r="F3665" t="s">
        <v>94</v>
      </c>
      <c r="G3665" t="s">
        <v>277</v>
      </c>
      <c r="H3665" s="12">
        <v>6.85</v>
      </c>
      <c r="I3665" s="12">
        <v>-75.816699999999997</v>
      </c>
      <c r="J3665" t="s">
        <v>190</v>
      </c>
      <c r="K3665" t="s">
        <v>97</v>
      </c>
      <c r="L3665" t="s">
        <v>1273</v>
      </c>
      <c r="M3665">
        <v>11</v>
      </c>
      <c r="P3665" s="13">
        <v>184</v>
      </c>
      <c r="Q3665" s="13">
        <v>56</v>
      </c>
      <c r="R3665">
        <v>28</v>
      </c>
      <c r="S3665">
        <v>32</v>
      </c>
      <c r="T3665" s="13">
        <v>31</v>
      </c>
      <c r="U3665" s="13">
        <v>36</v>
      </c>
      <c r="V3665" t="s">
        <v>99</v>
      </c>
      <c r="X3665" s="13">
        <v>184</v>
      </c>
    </row>
    <row r="3666" spans="1:24" x14ac:dyDescent="0.25">
      <c r="A3666" t="s">
        <v>3537</v>
      </c>
      <c r="B3666" t="s">
        <v>65</v>
      </c>
      <c r="C3666" t="s">
        <v>3452</v>
      </c>
      <c r="D3666" t="s">
        <v>3453</v>
      </c>
      <c r="E3666" t="s">
        <v>3517</v>
      </c>
      <c r="F3666" t="s">
        <v>94</v>
      </c>
      <c r="G3666" t="s">
        <v>277</v>
      </c>
      <c r="H3666" s="12">
        <v>6.85</v>
      </c>
      <c r="I3666" s="12">
        <v>-75.816699999999997</v>
      </c>
      <c r="J3666" t="s">
        <v>190</v>
      </c>
      <c r="K3666" t="s">
        <v>97</v>
      </c>
      <c r="L3666" t="s">
        <v>1273</v>
      </c>
      <c r="M3666">
        <v>11</v>
      </c>
      <c r="P3666" s="13">
        <v>183</v>
      </c>
      <c r="Q3666" s="13">
        <v>46</v>
      </c>
      <c r="R3666">
        <v>22</v>
      </c>
      <c r="S3666">
        <v>50</v>
      </c>
      <c r="T3666" s="13">
        <v>29</v>
      </c>
      <c r="U3666" s="13">
        <v>33</v>
      </c>
      <c r="V3666" t="s">
        <v>99</v>
      </c>
      <c r="X3666" s="13">
        <v>183</v>
      </c>
    </row>
    <row r="3667" spans="1:24" x14ac:dyDescent="0.25">
      <c r="A3667" t="s">
        <v>3538</v>
      </c>
      <c r="B3667" t="s">
        <v>65</v>
      </c>
      <c r="C3667" t="s">
        <v>3452</v>
      </c>
      <c r="D3667" t="s">
        <v>3453</v>
      </c>
      <c r="E3667" t="s">
        <v>3517</v>
      </c>
      <c r="F3667" t="s">
        <v>94</v>
      </c>
      <c r="G3667" t="s">
        <v>277</v>
      </c>
      <c r="H3667" s="12">
        <v>6.85</v>
      </c>
      <c r="I3667" s="12">
        <v>-75.816699999999997</v>
      </c>
      <c r="J3667" t="s">
        <v>190</v>
      </c>
      <c r="K3667" t="s">
        <v>97</v>
      </c>
      <c r="L3667" t="s">
        <v>1273</v>
      </c>
      <c r="M3667">
        <v>11</v>
      </c>
      <c r="P3667" s="13">
        <v>175</v>
      </c>
      <c r="Q3667" s="13">
        <v>37</v>
      </c>
      <c r="R3667">
        <v>24</v>
      </c>
      <c r="S3667">
        <v>48</v>
      </c>
      <c r="T3667" s="13">
        <v>36</v>
      </c>
      <c r="U3667" s="13">
        <v>22</v>
      </c>
      <c r="V3667" t="s">
        <v>99</v>
      </c>
      <c r="X3667" s="13">
        <v>175</v>
      </c>
    </row>
    <row r="3668" spans="1:24" x14ac:dyDescent="0.25">
      <c r="A3668" t="s">
        <v>3539</v>
      </c>
      <c r="B3668" t="s">
        <v>65</v>
      </c>
      <c r="C3668" t="s">
        <v>3452</v>
      </c>
      <c r="D3668" t="s">
        <v>3453</v>
      </c>
      <c r="E3668" t="s">
        <v>3517</v>
      </c>
      <c r="F3668" t="s">
        <v>94</v>
      </c>
      <c r="G3668" t="s">
        <v>277</v>
      </c>
      <c r="H3668" s="12">
        <v>6.85</v>
      </c>
      <c r="I3668" s="12">
        <v>-75.816699999999997</v>
      </c>
      <c r="J3668" t="s">
        <v>190</v>
      </c>
      <c r="K3668" t="s">
        <v>97</v>
      </c>
      <c r="L3668" t="s">
        <v>1273</v>
      </c>
      <c r="M3668">
        <v>11</v>
      </c>
      <c r="P3668" s="13">
        <v>174</v>
      </c>
      <c r="Q3668" s="13">
        <v>37</v>
      </c>
      <c r="R3668">
        <v>22</v>
      </c>
      <c r="S3668">
        <v>48</v>
      </c>
      <c r="T3668" s="13">
        <v>33</v>
      </c>
      <c r="U3668" s="13">
        <v>35</v>
      </c>
      <c r="V3668" t="s">
        <v>99</v>
      </c>
      <c r="X3668" s="13">
        <v>174</v>
      </c>
    </row>
    <row r="3669" spans="1:24" x14ac:dyDescent="0.25">
      <c r="A3669" t="s">
        <v>3540</v>
      </c>
      <c r="B3669" t="s">
        <v>65</v>
      </c>
      <c r="C3669" t="s">
        <v>3452</v>
      </c>
      <c r="D3669" t="s">
        <v>3453</v>
      </c>
      <c r="E3669" t="s">
        <v>3517</v>
      </c>
      <c r="F3669" t="s">
        <v>94</v>
      </c>
      <c r="G3669" t="s">
        <v>277</v>
      </c>
      <c r="H3669" s="12">
        <v>6.85</v>
      </c>
      <c r="I3669" s="12">
        <v>-75.816699999999997</v>
      </c>
      <c r="J3669" t="s">
        <v>190</v>
      </c>
      <c r="K3669" t="s">
        <v>97</v>
      </c>
      <c r="L3669" t="s">
        <v>1273</v>
      </c>
      <c r="M3669">
        <v>11</v>
      </c>
      <c r="P3669" s="13">
        <v>173</v>
      </c>
      <c r="Q3669" s="13">
        <v>44</v>
      </c>
      <c r="R3669">
        <v>28</v>
      </c>
      <c r="S3669">
        <v>44</v>
      </c>
      <c r="T3669" s="13">
        <v>24</v>
      </c>
      <c r="U3669" s="13">
        <v>31</v>
      </c>
      <c r="V3669" t="s">
        <v>99</v>
      </c>
      <c r="X3669" s="13">
        <v>173</v>
      </c>
    </row>
    <row r="3670" spans="1:24" x14ac:dyDescent="0.25">
      <c r="A3670" t="s">
        <v>3541</v>
      </c>
      <c r="B3670" t="s">
        <v>65</v>
      </c>
      <c r="C3670" t="s">
        <v>3452</v>
      </c>
      <c r="D3670" t="s">
        <v>3453</v>
      </c>
      <c r="E3670" t="s">
        <v>3517</v>
      </c>
      <c r="F3670" t="s">
        <v>94</v>
      </c>
      <c r="G3670" t="s">
        <v>277</v>
      </c>
      <c r="H3670" s="12">
        <v>6.85</v>
      </c>
      <c r="I3670" s="12">
        <v>-75.816699999999997</v>
      </c>
      <c r="J3670" t="s">
        <v>190</v>
      </c>
      <c r="K3670" t="s">
        <v>97</v>
      </c>
      <c r="L3670" t="s">
        <v>1273</v>
      </c>
      <c r="M3670">
        <v>11</v>
      </c>
      <c r="P3670" s="13">
        <v>172</v>
      </c>
      <c r="Q3670" s="13">
        <v>46</v>
      </c>
      <c r="R3670">
        <v>26</v>
      </c>
      <c r="S3670">
        <v>42</v>
      </c>
      <c r="T3670" s="13">
        <v>22</v>
      </c>
      <c r="U3670" s="13">
        <v>38</v>
      </c>
      <c r="V3670" t="s">
        <v>99</v>
      </c>
      <c r="X3670" s="13">
        <v>172</v>
      </c>
    </row>
    <row r="3671" spans="1:24" x14ac:dyDescent="0.25">
      <c r="A3671" t="s">
        <v>3542</v>
      </c>
      <c r="B3671" t="s">
        <v>65</v>
      </c>
      <c r="C3671" t="s">
        <v>3452</v>
      </c>
      <c r="D3671" t="s">
        <v>3453</v>
      </c>
      <c r="E3671" t="s">
        <v>3517</v>
      </c>
      <c r="F3671" t="s">
        <v>94</v>
      </c>
      <c r="G3671" t="s">
        <v>277</v>
      </c>
      <c r="H3671" s="12">
        <v>6.85</v>
      </c>
      <c r="I3671" s="12">
        <v>-75.816699999999997</v>
      </c>
      <c r="J3671" t="s">
        <v>190</v>
      </c>
      <c r="K3671" t="s">
        <v>97</v>
      </c>
      <c r="L3671" t="s">
        <v>1273</v>
      </c>
      <c r="M3671">
        <v>11</v>
      </c>
      <c r="P3671" s="13">
        <v>171</v>
      </c>
      <c r="Q3671" s="13">
        <v>37</v>
      </c>
      <c r="R3671">
        <v>28</v>
      </c>
      <c r="S3671">
        <v>38</v>
      </c>
      <c r="T3671" s="13">
        <v>33</v>
      </c>
      <c r="U3671" s="13">
        <v>38</v>
      </c>
      <c r="V3671" t="s">
        <v>99</v>
      </c>
      <c r="X3671" s="13">
        <v>171</v>
      </c>
    </row>
    <row r="3672" spans="1:24" x14ac:dyDescent="0.25">
      <c r="A3672" t="s">
        <v>3543</v>
      </c>
      <c r="B3672" t="s">
        <v>65</v>
      </c>
      <c r="C3672" t="s">
        <v>3452</v>
      </c>
      <c r="D3672" t="s">
        <v>3453</v>
      </c>
      <c r="E3672" t="s">
        <v>3517</v>
      </c>
      <c r="F3672" t="s">
        <v>94</v>
      </c>
      <c r="G3672" t="s">
        <v>277</v>
      </c>
      <c r="H3672" s="12">
        <v>6.85</v>
      </c>
      <c r="I3672" s="12">
        <v>-75.816699999999997</v>
      </c>
      <c r="J3672" t="s">
        <v>190</v>
      </c>
      <c r="K3672" t="s">
        <v>97</v>
      </c>
      <c r="L3672" t="s">
        <v>1273</v>
      </c>
      <c r="M3672">
        <v>11</v>
      </c>
      <c r="P3672" s="13">
        <v>149</v>
      </c>
      <c r="Q3672" s="13">
        <v>37</v>
      </c>
      <c r="R3672">
        <v>22</v>
      </c>
      <c r="S3672">
        <v>38</v>
      </c>
      <c r="T3672" s="13">
        <v>21</v>
      </c>
      <c r="U3672" s="13">
        <v>36</v>
      </c>
      <c r="V3672" t="s">
        <v>99</v>
      </c>
      <c r="X3672" s="13">
        <v>149</v>
      </c>
    </row>
    <row r="3673" spans="1:24" x14ac:dyDescent="0.25">
      <c r="A3673" t="s">
        <v>3544</v>
      </c>
      <c r="B3673" t="s">
        <v>65</v>
      </c>
      <c r="C3673" t="s">
        <v>3452</v>
      </c>
      <c r="D3673" t="s">
        <v>3453</v>
      </c>
      <c r="E3673" t="s">
        <v>3517</v>
      </c>
      <c r="F3673" t="s">
        <v>94</v>
      </c>
      <c r="G3673" t="s">
        <v>277</v>
      </c>
      <c r="H3673" s="12">
        <v>6.85</v>
      </c>
      <c r="I3673" s="12">
        <v>-75.816699999999997</v>
      </c>
      <c r="J3673" t="s">
        <v>190</v>
      </c>
      <c r="K3673" t="s">
        <v>97</v>
      </c>
      <c r="L3673" t="s">
        <v>1273</v>
      </c>
      <c r="M3673">
        <v>11</v>
      </c>
      <c r="P3673" s="13">
        <v>147</v>
      </c>
      <c r="Q3673" s="13">
        <v>29</v>
      </c>
      <c r="R3673">
        <v>16</v>
      </c>
      <c r="S3673">
        <v>38</v>
      </c>
      <c r="T3673" s="13">
        <v>29</v>
      </c>
      <c r="U3673" s="13">
        <v>45</v>
      </c>
      <c r="V3673" t="s">
        <v>99</v>
      </c>
      <c r="X3673" s="13">
        <v>147</v>
      </c>
    </row>
    <row r="3674" spans="1:24" x14ac:dyDescent="0.25">
      <c r="A3674" t="s">
        <v>3545</v>
      </c>
      <c r="B3674" t="s">
        <v>65</v>
      </c>
      <c r="C3674" t="s">
        <v>3452</v>
      </c>
      <c r="D3674" t="s">
        <v>3453</v>
      </c>
      <c r="E3674" t="s">
        <v>3517</v>
      </c>
      <c r="F3674" t="s">
        <v>94</v>
      </c>
      <c r="G3674" t="s">
        <v>277</v>
      </c>
      <c r="H3674" s="12">
        <v>6.85</v>
      </c>
      <c r="I3674" s="12">
        <v>-75.816699999999997</v>
      </c>
      <c r="J3674" t="s">
        <v>190</v>
      </c>
      <c r="K3674" t="s">
        <v>97</v>
      </c>
      <c r="L3674" t="s">
        <v>1273</v>
      </c>
      <c r="M3674">
        <v>11</v>
      </c>
      <c r="P3674" s="13">
        <v>147</v>
      </c>
      <c r="Q3674" s="13">
        <v>34</v>
      </c>
      <c r="R3674">
        <v>14</v>
      </c>
      <c r="S3674">
        <v>30</v>
      </c>
      <c r="T3674" s="13">
        <v>36</v>
      </c>
      <c r="U3674" s="13">
        <v>38</v>
      </c>
      <c r="V3674" t="s">
        <v>99</v>
      </c>
      <c r="X3674" s="13">
        <v>147</v>
      </c>
    </row>
    <row r="3675" spans="1:24" x14ac:dyDescent="0.25">
      <c r="A3675" t="s">
        <v>3546</v>
      </c>
      <c r="B3675" t="s">
        <v>65</v>
      </c>
      <c r="C3675" t="s">
        <v>3452</v>
      </c>
      <c r="D3675" t="s">
        <v>3453</v>
      </c>
      <c r="E3675" t="s">
        <v>3517</v>
      </c>
      <c r="F3675" t="s">
        <v>94</v>
      </c>
      <c r="G3675" t="s">
        <v>277</v>
      </c>
      <c r="H3675" s="12">
        <v>6.85</v>
      </c>
      <c r="I3675" s="12">
        <v>-75.816699999999997</v>
      </c>
      <c r="J3675" t="s">
        <v>190</v>
      </c>
      <c r="K3675" t="s">
        <v>97</v>
      </c>
      <c r="L3675" t="s">
        <v>1273</v>
      </c>
      <c r="M3675">
        <v>11</v>
      </c>
      <c r="P3675" s="13">
        <v>144</v>
      </c>
      <c r="Q3675" s="13">
        <v>51</v>
      </c>
      <c r="R3675">
        <v>20</v>
      </c>
      <c r="S3675">
        <v>30</v>
      </c>
      <c r="T3675" s="13">
        <v>16</v>
      </c>
      <c r="U3675" s="13">
        <v>25</v>
      </c>
      <c r="V3675" t="s">
        <v>99</v>
      </c>
      <c r="X3675" s="13">
        <v>144</v>
      </c>
    </row>
    <row r="3676" spans="1:24" x14ac:dyDescent="0.25">
      <c r="A3676" t="s">
        <v>3547</v>
      </c>
      <c r="B3676" t="s">
        <v>65</v>
      </c>
      <c r="C3676" t="s">
        <v>3452</v>
      </c>
      <c r="D3676" t="s">
        <v>3453</v>
      </c>
      <c r="E3676" t="s">
        <v>3517</v>
      </c>
      <c r="F3676" t="s">
        <v>94</v>
      </c>
      <c r="G3676" t="s">
        <v>277</v>
      </c>
      <c r="H3676" s="12">
        <v>6.85</v>
      </c>
      <c r="I3676" s="12">
        <v>-75.816699999999997</v>
      </c>
      <c r="J3676" t="s">
        <v>190</v>
      </c>
      <c r="K3676" t="s">
        <v>97</v>
      </c>
      <c r="L3676" t="s">
        <v>1273</v>
      </c>
      <c r="M3676">
        <v>11</v>
      </c>
      <c r="P3676" s="13">
        <v>134</v>
      </c>
      <c r="Q3676" s="13">
        <v>44</v>
      </c>
      <c r="R3676">
        <v>16</v>
      </c>
      <c r="S3676">
        <v>32</v>
      </c>
      <c r="T3676" s="13">
        <v>16</v>
      </c>
      <c r="U3676" s="13">
        <v>27</v>
      </c>
      <c r="V3676" t="s">
        <v>99</v>
      </c>
      <c r="X3676" s="13">
        <v>134</v>
      </c>
    </row>
    <row r="3677" spans="1:24" x14ac:dyDescent="0.25">
      <c r="A3677" t="s">
        <v>3548</v>
      </c>
      <c r="B3677" t="s">
        <v>65</v>
      </c>
      <c r="C3677" t="s">
        <v>3452</v>
      </c>
      <c r="D3677" t="s">
        <v>3453</v>
      </c>
      <c r="E3677" t="s">
        <v>3517</v>
      </c>
      <c r="F3677" t="s">
        <v>94</v>
      </c>
      <c r="G3677" t="s">
        <v>277</v>
      </c>
      <c r="H3677" s="12">
        <v>6.85</v>
      </c>
      <c r="I3677" s="12">
        <v>-75.816699999999997</v>
      </c>
      <c r="J3677" t="s">
        <v>190</v>
      </c>
      <c r="K3677" t="s">
        <v>97</v>
      </c>
      <c r="L3677" t="s">
        <v>1273</v>
      </c>
      <c r="M3677">
        <v>11</v>
      </c>
      <c r="P3677" s="13">
        <v>123</v>
      </c>
      <c r="Q3677" s="13">
        <v>39</v>
      </c>
      <c r="R3677">
        <v>22</v>
      </c>
      <c r="S3677">
        <v>18</v>
      </c>
      <c r="T3677" s="13">
        <v>19</v>
      </c>
      <c r="U3677" s="13">
        <v>25</v>
      </c>
      <c r="V3677" t="s">
        <v>99</v>
      </c>
      <c r="X3677" s="13">
        <v>123</v>
      </c>
    </row>
    <row r="3678" spans="1:24" x14ac:dyDescent="0.25">
      <c r="A3678" t="s">
        <v>3549</v>
      </c>
      <c r="B3678" t="s">
        <v>65</v>
      </c>
      <c r="C3678" t="s">
        <v>3452</v>
      </c>
      <c r="D3678" t="s">
        <v>3453</v>
      </c>
      <c r="E3678" t="s">
        <v>3517</v>
      </c>
      <c r="F3678" t="s">
        <v>94</v>
      </c>
      <c r="G3678" t="s">
        <v>277</v>
      </c>
      <c r="H3678" s="12">
        <v>6.85</v>
      </c>
      <c r="I3678" s="12">
        <v>-75.816699999999997</v>
      </c>
      <c r="J3678" t="s">
        <v>190</v>
      </c>
      <c r="K3678" t="s">
        <v>97</v>
      </c>
      <c r="L3678" t="s">
        <v>1273</v>
      </c>
      <c r="M3678">
        <v>11</v>
      </c>
      <c r="P3678" s="13">
        <v>103</v>
      </c>
      <c r="Q3678" s="13">
        <v>37</v>
      </c>
      <c r="R3678">
        <v>12</v>
      </c>
      <c r="S3678">
        <v>18</v>
      </c>
      <c r="T3678" s="13">
        <v>16</v>
      </c>
      <c r="U3678" s="13">
        <v>22</v>
      </c>
      <c r="V3678" t="s">
        <v>99</v>
      </c>
      <c r="X3678" s="13">
        <v>103</v>
      </c>
    </row>
    <row r="3679" spans="1:24" x14ac:dyDescent="0.25">
      <c r="A3679" t="s">
        <v>3550</v>
      </c>
      <c r="B3679" t="s">
        <v>65</v>
      </c>
      <c r="C3679" t="s">
        <v>3452</v>
      </c>
      <c r="D3679" t="s">
        <v>3453</v>
      </c>
      <c r="E3679" t="s">
        <v>3517</v>
      </c>
      <c r="F3679" t="s">
        <v>94</v>
      </c>
      <c r="G3679" t="s">
        <v>277</v>
      </c>
      <c r="H3679" s="12">
        <v>6.85</v>
      </c>
      <c r="I3679" s="12">
        <v>-75.816699999999997</v>
      </c>
      <c r="J3679" t="s">
        <v>190</v>
      </c>
      <c r="K3679" t="s">
        <v>97</v>
      </c>
      <c r="L3679" t="s">
        <v>1273</v>
      </c>
      <c r="M3679">
        <v>11</v>
      </c>
      <c r="P3679" s="13">
        <v>79</v>
      </c>
      <c r="Q3679" s="13">
        <v>27</v>
      </c>
      <c r="R3679">
        <v>12</v>
      </c>
      <c r="S3679">
        <v>16</v>
      </c>
      <c r="T3679" s="13">
        <v>14</v>
      </c>
      <c r="U3679" s="13">
        <v>0</v>
      </c>
      <c r="V3679" t="s">
        <v>99</v>
      </c>
      <c r="X3679" s="13">
        <v>79</v>
      </c>
    </row>
    <row r="3680" spans="1:24" x14ac:dyDescent="0.25">
      <c r="A3680" t="s">
        <v>3551</v>
      </c>
      <c r="B3680" t="s">
        <v>65</v>
      </c>
      <c r="C3680" t="s">
        <v>3452</v>
      </c>
      <c r="D3680" t="s">
        <v>3453</v>
      </c>
      <c r="E3680" t="s">
        <v>3517</v>
      </c>
      <c r="F3680" t="s">
        <v>94</v>
      </c>
      <c r="G3680" t="s">
        <v>277</v>
      </c>
      <c r="H3680" s="12">
        <v>6.85</v>
      </c>
      <c r="I3680" s="12">
        <v>-75.816699999999997</v>
      </c>
      <c r="J3680" t="s">
        <v>190</v>
      </c>
      <c r="K3680" t="s">
        <v>97</v>
      </c>
      <c r="L3680" t="s">
        <v>1273</v>
      </c>
      <c r="M3680">
        <v>11</v>
      </c>
      <c r="P3680" s="13">
        <v>64</v>
      </c>
      <c r="Q3680" s="13">
        <v>0</v>
      </c>
      <c r="R3680">
        <v>12</v>
      </c>
      <c r="S3680">
        <v>18</v>
      </c>
      <c r="T3680" s="13">
        <v>16</v>
      </c>
      <c r="U3680" s="13">
        <v>29</v>
      </c>
      <c r="V3680" t="s">
        <v>99</v>
      </c>
      <c r="X3680" s="13">
        <v>64</v>
      </c>
    </row>
    <row r="3681" spans="1:24" x14ac:dyDescent="0.25">
      <c r="A3681" t="s">
        <v>3552</v>
      </c>
      <c r="B3681" t="s">
        <v>65</v>
      </c>
      <c r="C3681" t="s">
        <v>3553</v>
      </c>
      <c r="D3681" t="s">
        <v>3554</v>
      </c>
      <c r="E3681" t="s">
        <v>3555</v>
      </c>
      <c r="F3681" t="s">
        <v>94</v>
      </c>
      <c r="G3681" t="s">
        <v>277</v>
      </c>
      <c r="H3681" s="12">
        <v>6.4085999999999999</v>
      </c>
      <c r="I3681" s="12">
        <v>-75.982799999999997</v>
      </c>
      <c r="J3681" t="s">
        <v>3556</v>
      </c>
      <c r="K3681" t="s">
        <v>97</v>
      </c>
      <c r="L3681" t="s">
        <v>1273</v>
      </c>
      <c r="M3681">
        <v>11</v>
      </c>
      <c r="P3681" s="13">
        <v>256</v>
      </c>
      <c r="Q3681" s="13">
        <v>59</v>
      </c>
      <c r="R3681">
        <v>26</v>
      </c>
      <c r="S3681">
        <v>66</v>
      </c>
      <c r="T3681" s="13">
        <v>57</v>
      </c>
      <c r="U3681" s="13">
        <v>44</v>
      </c>
      <c r="V3681" t="s">
        <v>99</v>
      </c>
      <c r="X3681" s="13">
        <v>256</v>
      </c>
    </row>
    <row r="3682" spans="1:24" x14ac:dyDescent="0.25">
      <c r="A3682" t="s">
        <v>3557</v>
      </c>
      <c r="B3682" t="s">
        <v>65</v>
      </c>
      <c r="C3682" t="s">
        <v>3553</v>
      </c>
      <c r="D3682" t="s">
        <v>3554</v>
      </c>
      <c r="E3682" t="s">
        <v>3555</v>
      </c>
      <c r="F3682" t="s">
        <v>94</v>
      </c>
      <c r="G3682" t="s">
        <v>277</v>
      </c>
      <c r="H3682" s="12">
        <v>6.4085999999999999</v>
      </c>
      <c r="I3682" s="12">
        <v>-75.982799999999997</v>
      </c>
      <c r="J3682" t="s">
        <v>3556</v>
      </c>
      <c r="K3682" t="s">
        <v>97</v>
      </c>
      <c r="L3682" t="s">
        <v>1273</v>
      </c>
      <c r="M3682">
        <v>11</v>
      </c>
      <c r="P3682" s="13">
        <v>251</v>
      </c>
      <c r="Q3682" s="13">
        <v>59</v>
      </c>
      <c r="R3682">
        <v>38</v>
      </c>
      <c r="S3682">
        <v>64</v>
      </c>
      <c r="T3682" s="13">
        <v>38</v>
      </c>
      <c r="U3682" s="13">
        <v>56</v>
      </c>
      <c r="V3682" t="s">
        <v>99</v>
      </c>
      <c r="X3682" s="13">
        <v>251</v>
      </c>
    </row>
    <row r="3683" spans="1:24" x14ac:dyDescent="0.25">
      <c r="A3683" t="s">
        <v>3558</v>
      </c>
      <c r="B3683" t="s">
        <v>65</v>
      </c>
      <c r="C3683" t="s">
        <v>3553</v>
      </c>
      <c r="D3683" t="s">
        <v>3554</v>
      </c>
      <c r="E3683" t="s">
        <v>3555</v>
      </c>
      <c r="F3683" t="s">
        <v>94</v>
      </c>
      <c r="G3683" t="s">
        <v>277</v>
      </c>
      <c r="H3683" s="12">
        <v>6.4085999999999999</v>
      </c>
      <c r="I3683" s="12">
        <v>-75.982799999999997</v>
      </c>
      <c r="J3683" t="s">
        <v>3556</v>
      </c>
      <c r="K3683" t="s">
        <v>97</v>
      </c>
      <c r="L3683" t="s">
        <v>1273</v>
      </c>
      <c r="M3683">
        <v>11</v>
      </c>
      <c r="P3683" s="13">
        <v>236</v>
      </c>
      <c r="Q3683" s="13">
        <v>56</v>
      </c>
      <c r="R3683">
        <v>24</v>
      </c>
      <c r="S3683">
        <v>60</v>
      </c>
      <c r="T3683" s="13">
        <v>47</v>
      </c>
      <c r="U3683" s="13">
        <v>55</v>
      </c>
      <c r="V3683" t="s">
        <v>99</v>
      </c>
      <c r="X3683" s="13">
        <v>236</v>
      </c>
    </row>
    <row r="3684" spans="1:24" x14ac:dyDescent="0.25">
      <c r="A3684" t="s">
        <v>3559</v>
      </c>
      <c r="B3684" t="s">
        <v>65</v>
      </c>
      <c r="C3684" t="s">
        <v>3553</v>
      </c>
      <c r="D3684" t="s">
        <v>3554</v>
      </c>
      <c r="E3684" t="s">
        <v>3555</v>
      </c>
      <c r="F3684" t="s">
        <v>94</v>
      </c>
      <c r="G3684" t="s">
        <v>277</v>
      </c>
      <c r="H3684" s="12">
        <v>6.4085999999999999</v>
      </c>
      <c r="I3684" s="12">
        <v>-75.982799999999997</v>
      </c>
      <c r="J3684" t="s">
        <v>3556</v>
      </c>
      <c r="K3684" t="s">
        <v>97</v>
      </c>
      <c r="L3684" t="s">
        <v>1273</v>
      </c>
      <c r="M3684">
        <v>11</v>
      </c>
      <c r="P3684" s="13">
        <v>228</v>
      </c>
      <c r="Q3684" s="13">
        <v>49</v>
      </c>
      <c r="R3684">
        <v>36</v>
      </c>
      <c r="S3684">
        <v>54</v>
      </c>
      <c r="T3684" s="13">
        <v>40</v>
      </c>
      <c r="U3684" s="13">
        <v>58</v>
      </c>
      <c r="V3684" t="s">
        <v>99</v>
      </c>
      <c r="X3684" s="13">
        <v>228</v>
      </c>
    </row>
    <row r="3685" spans="1:24" x14ac:dyDescent="0.25">
      <c r="A3685" t="s">
        <v>3560</v>
      </c>
      <c r="B3685" t="s">
        <v>65</v>
      </c>
      <c r="C3685" t="s">
        <v>3553</v>
      </c>
      <c r="D3685" t="s">
        <v>3554</v>
      </c>
      <c r="E3685" t="s">
        <v>3555</v>
      </c>
      <c r="F3685" t="s">
        <v>94</v>
      </c>
      <c r="G3685" t="s">
        <v>277</v>
      </c>
      <c r="H3685" s="12">
        <v>6.4085999999999999</v>
      </c>
      <c r="I3685" s="12">
        <v>-75.982799999999997</v>
      </c>
      <c r="J3685" t="s">
        <v>3556</v>
      </c>
      <c r="K3685" t="s">
        <v>97</v>
      </c>
      <c r="L3685" t="s">
        <v>1273</v>
      </c>
      <c r="M3685">
        <v>11</v>
      </c>
      <c r="P3685" s="13">
        <v>223</v>
      </c>
      <c r="Q3685" s="13">
        <v>49</v>
      </c>
      <c r="R3685">
        <v>24</v>
      </c>
      <c r="S3685">
        <v>72</v>
      </c>
      <c r="T3685" s="13">
        <v>28</v>
      </c>
      <c r="U3685" s="13">
        <v>62</v>
      </c>
      <c r="V3685" t="s">
        <v>99</v>
      </c>
      <c r="X3685" s="13">
        <v>223</v>
      </c>
    </row>
    <row r="3686" spans="1:24" x14ac:dyDescent="0.25">
      <c r="A3686" t="s">
        <v>3561</v>
      </c>
      <c r="B3686" t="s">
        <v>65</v>
      </c>
      <c r="C3686" t="s">
        <v>3553</v>
      </c>
      <c r="D3686" t="s">
        <v>3554</v>
      </c>
      <c r="E3686" t="s">
        <v>3555</v>
      </c>
      <c r="F3686" t="s">
        <v>94</v>
      </c>
      <c r="G3686" t="s">
        <v>277</v>
      </c>
      <c r="H3686" s="12">
        <v>6.4085999999999999</v>
      </c>
      <c r="I3686" s="12">
        <v>-75.982799999999997</v>
      </c>
      <c r="J3686" t="s">
        <v>3556</v>
      </c>
      <c r="K3686" t="s">
        <v>97</v>
      </c>
      <c r="L3686" t="s">
        <v>1273</v>
      </c>
      <c r="M3686">
        <v>11</v>
      </c>
      <c r="P3686" s="13">
        <v>223</v>
      </c>
      <c r="Q3686" s="13">
        <v>61</v>
      </c>
      <c r="R3686">
        <v>24</v>
      </c>
      <c r="S3686">
        <v>54</v>
      </c>
      <c r="T3686" s="13">
        <v>33</v>
      </c>
      <c r="U3686" s="13">
        <v>64</v>
      </c>
      <c r="V3686" t="s">
        <v>99</v>
      </c>
      <c r="X3686" s="13">
        <v>223</v>
      </c>
    </row>
    <row r="3687" spans="1:24" x14ac:dyDescent="0.25">
      <c r="A3687" t="s">
        <v>3562</v>
      </c>
      <c r="B3687" t="s">
        <v>65</v>
      </c>
      <c r="C3687" t="s">
        <v>3553</v>
      </c>
      <c r="D3687" t="s">
        <v>3554</v>
      </c>
      <c r="E3687" t="s">
        <v>3555</v>
      </c>
      <c r="F3687" t="s">
        <v>94</v>
      </c>
      <c r="G3687" t="s">
        <v>277</v>
      </c>
      <c r="H3687" s="12">
        <v>6.4085999999999999</v>
      </c>
      <c r="I3687" s="12">
        <v>-75.982799999999997</v>
      </c>
      <c r="J3687" t="s">
        <v>3556</v>
      </c>
      <c r="K3687" t="s">
        <v>97</v>
      </c>
      <c r="L3687" t="s">
        <v>1273</v>
      </c>
      <c r="M3687">
        <v>11</v>
      </c>
      <c r="P3687" s="13">
        <v>214</v>
      </c>
      <c r="Q3687" s="13">
        <v>56</v>
      </c>
      <c r="R3687">
        <v>32</v>
      </c>
      <c r="S3687">
        <v>58</v>
      </c>
      <c r="T3687" s="13">
        <v>28</v>
      </c>
      <c r="U3687" s="13">
        <v>35</v>
      </c>
      <c r="V3687" t="s">
        <v>99</v>
      </c>
      <c r="X3687" s="13">
        <v>214</v>
      </c>
    </row>
    <row r="3688" spans="1:24" x14ac:dyDescent="0.25">
      <c r="A3688" t="s">
        <v>3563</v>
      </c>
      <c r="B3688" t="s">
        <v>65</v>
      </c>
      <c r="C3688" t="s">
        <v>3553</v>
      </c>
      <c r="D3688" t="s">
        <v>3554</v>
      </c>
      <c r="E3688" t="s">
        <v>3555</v>
      </c>
      <c r="F3688" t="s">
        <v>94</v>
      </c>
      <c r="G3688" t="s">
        <v>277</v>
      </c>
      <c r="H3688" s="12">
        <v>6.4085999999999999</v>
      </c>
      <c r="I3688" s="12">
        <v>-75.982799999999997</v>
      </c>
      <c r="J3688" t="s">
        <v>3556</v>
      </c>
      <c r="K3688" t="s">
        <v>97</v>
      </c>
      <c r="L3688" t="s">
        <v>1273</v>
      </c>
      <c r="M3688">
        <v>11</v>
      </c>
      <c r="P3688" s="13">
        <v>210</v>
      </c>
      <c r="Q3688" s="13">
        <v>63</v>
      </c>
      <c r="R3688">
        <v>26</v>
      </c>
      <c r="S3688">
        <v>46</v>
      </c>
      <c r="T3688" s="13">
        <v>34</v>
      </c>
      <c r="U3688" s="13">
        <v>36</v>
      </c>
      <c r="V3688" t="s">
        <v>99</v>
      </c>
      <c r="X3688" s="13">
        <v>210</v>
      </c>
    </row>
    <row r="3689" spans="1:24" x14ac:dyDescent="0.25">
      <c r="A3689" t="s">
        <v>3564</v>
      </c>
      <c r="B3689" t="s">
        <v>65</v>
      </c>
      <c r="C3689" t="s">
        <v>3553</v>
      </c>
      <c r="D3689" t="s">
        <v>3554</v>
      </c>
      <c r="E3689" t="s">
        <v>3555</v>
      </c>
      <c r="F3689" t="s">
        <v>94</v>
      </c>
      <c r="G3689" t="s">
        <v>277</v>
      </c>
      <c r="H3689" s="12">
        <v>6.4085999999999999</v>
      </c>
      <c r="I3689" s="12">
        <v>-75.982799999999997</v>
      </c>
      <c r="J3689" t="s">
        <v>3556</v>
      </c>
      <c r="K3689" t="s">
        <v>97</v>
      </c>
      <c r="L3689" t="s">
        <v>1273</v>
      </c>
      <c r="M3689">
        <v>11</v>
      </c>
      <c r="P3689" s="13">
        <v>206</v>
      </c>
      <c r="Q3689" s="13">
        <v>54</v>
      </c>
      <c r="R3689">
        <v>18</v>
      </c>
      <c r="S3689">
        <v>48</v>
      </c>
      <c r="T3689" s="13">
        <v>40</v>
      </c>
      <c r="U3689" s="13">
        <v>56</v>
      </c>
      <c r="V3689" t="s">
        <v>99</v>
      </c>
      <c r="X3689" s="13">
        <v>206</v>
      </c>
    </row>
    <row r="3690" spans="1:24" x14ac:dyDescent="0.25">
      <c r="A3690" t="s">
        <v>3565</v>
      </c>
      <c r="B3690" t="s">
        <v>65</v>
      </c>
      <c r="C3690" t="s">
        <v>3553</v>
      </c>
      <c r="D3690" t="s">
        <v>3554</v>
      </c>
      <c r="E3690" t="s">
        <v>3555</v>
      </c>
      <c r="F3690" t="s">
        <v>94</v>
      </c>
      <c r="G3690" t="s">
        <v>277</v>
      </c>
      <c r="H3690" s="12">
        <v>6.4085999999999999</v>
      </c>
      <c r="I3690" s="12">
        <v>-75.982799999999997</v>
      </c>
      <c r="J3690" t="s">
        <v>3556</v>
      </c>
      <c r="K3690" t="s">
        <v>97</v>
      </c>
      <c r="L3690" t="s">
        <v>1273</v>
      </c>
      <c r="M3690">
        <v>11</v>
      </c>
      <c r="P3690" s="13">
        <v>204</v>
      </c>
      <c r="Q3690" s="13">
        <v>49</v>
      </c>
      <c r="R3690">
        <v>26</v>
      </c>
      <c r="S3690">
        <v>62</v>
      </c>
      <c r="T3690" s="13">
        <v>24</v>
      </c>
      <c r="U3690" s="13">
        <v>47</v>
      </c>
      <c r="V3690" t="s">
        <v>99</v>
      </c>
      <c r="X3690" s="13">
        <v>204</v>
      </c>
    </row>
    <row r="3691" spans="1:24" x14ac:dyDescent="0.25">
      <c r="A3691" t="s">
        <v>3566</v>
      </c>
      <c r="B3691" t="s">
        <v>65</v>
      </c>
      <c r="C3691" t="s">
        <v>3553</v>
      </c>
      <c r="D3691" t="s">
        <v>3554</v>
      </c>
      <c r="E3691" t="s">
        <v>3555</v>
      </c>
      <c r="F3691" t="s">
        <v>94</v>
      </c>
      <c r="G3691" t="s">
        <v>277</v>
      </c>
      <c r="H3691" s="12">
        <v>6.4085999999999999</v>
      </c>
      <c r="I3691" s="12">
        <v>-75.982799999999997</v>
      </c>
      <c r="J3691" t="s">
        <v>3556</v>
      </c>
      <c r="K3691" t="s">
        <v>97</v>
      </c>
      <c r="L3691" t="s">
        <v>1273</v>
      </c>
      <c r="M3691">
        <v>11</v>
      </c>
      <c r="P3691" s="13">
        <v>199</v>
      </c>
      <c r="Q3691" s="13">
        <v>54</v>
      </c>
      <c r="R3691">
        <v>32</v>
      </c>
      <c r="S3691">
        <v>46</v>
      </c>
      <c r="T3691" s="13">
        <v>26</v>
      </c>
      <c r="U3691" s="13">
        <v>45</v>
      </c>
      <c r="V3691" t="s">
        <v>99</v>
      </c>
      <c r="X3691" s="13">
        <v>199</v>
      </c>
    </row>
    <row r="3692" spans="1:24" x14ac:dyDescent="0.25">
      <c r="A3692" t="s">
        <v>3567</v>
      </c>
      <c r="B3692" t="s">
        <v>65</v>
      </c>
      <c r="C3692" t="s">
        <v>3553</v>
      </c>
      <c r="D3692" t="s">
        <v>3554</v>
      </c>
      <c r="E3692" t="s">
        <v>3555</v>
      </c>
      <c r="F3692" t="s">
        <v>94</v>
      </c>
      <c r="G3692" t="s">
        <v>277</v>
      </c>
      <c r="H3692" s="12">
        <v>6.4085999999999999</v>
      </c>
      <c r="I3692" s="12">
        <v>-75.982799999999997</v>
      </c>
      <c r="J3692" t="s">
        <v>3556</v>
      </c>
      <c r="K3692" t="s">
        <v>97</v>
      </c>
      <c r="L3692" t="s">
        <v>1273</v>
      </c>
      <c r="M3692">
        <v>11</v>
      </c>
      <c r="P3692" s="13">
        <v>196</v>
      </c>
      <c r="Q3692" s="13">
        <v>49</v>
      </c>
      <c r="R3692">
        <v>20</v>
      </c>
      <c r="S3692">
        <v>50</v>
      </c>
      <c r="T3692" s="13">
        <v>38</v>
      </c>
      <c r="U3692" s="13">
        <v>38</v>
      </c>
      <c r="V3692" t="s">
        <v>99</v>
      </c>
      <c r="X3692" s="13">
        <v>196</v>
      </c>
    </row>
    <row r="3693" spans="1:24" x14ac:dyDescent="0.25">
      <c r="A3693" t="s">
        <v>3568</v>
      </c>
      <c r="B3693" t="s">
        <v>65</v>
      </c>
      <c r="C3693" t="s">
        <v>3553</v>
      </c>
      <c r="D3693" t="s">
        <v>3554</v>
      </c>
      <c r="E3693" t="s">
        <v>3555</v>
      </c>
      <c r="F3693" t="s">
        <v>94</v>
      </c>
      <c r="G3693" t="s">
        <v>277</v>
      </c>
      <c r="H3693" s="12">
        <v>6.4085999999999999</v>
      </c>
      <c r="I3693" s="12">
        <v>-75.982799999999997</v>
      </c>
      <c r="J3693" t="s">
        <v>3556</v>
      </c>
      <c r="K3693" t="s">
        <v>97</v>
      </c>
      <c r="L3693" t="s">
        <v>1273</v>
      </c>
      <c r="M3693">
        <v>11</v>
      </c>
      <c r="P3693" s="13">
        <v>193</v>
      </c>
      <c r="Q3693" s="13">
        <v>54</v>
      </c>
      <c r="R3693">
        <v>22</v>
      </c>
      <c r="S3693">
        <v>48</v>
      </c>
      <c r="T3693" s="13">
        <v>29</v>
      </c>
      <c r="U3693" s="13">
        <v>44</v>
      </c>
      <c r="V3693" t="s">
        <v>99</v>
      </c>
      <c r="X3693" s="13">
        <v>193</v>
      </c>
    </row>
    <row r="3694" spans="1:24" x14ac:dyDescent="0.25">
      <c r="A3694" t="s">
        <v>3569</v>
      </c>
      <c r="B3694" t="s">
        <v>65</v>
      </c>
      <c r="C3694" t="s">
        <v>3553</v>
      </c>
      <c r="D3694" t="s">
        <v>3554</v>
      </c>
      <c r="E3694" t="s">
        <v>3555</v>
      </c>
      <c r="F3694" t="s">
        <v>94</v>
      </c>
      <c r="G3694" t="s">
        <v>277</v>
      </c>
      <c r="H3694" s="12">
        <v>6.4085999999999999</v>
      </c>
      <c r="I3694" s="12">
        <v>-75.982799999999997</v>
      </c>
      <c r="J3694" t="s">
        <v>3556</v>
      </c>
      <c r="K3694" t="s">
        <v>97</v>
      </c>
      <c r="L3694" t="s">
        <v>1273</v>
      </c>
      <c r="M3694">
        <v>11</v>
      </c>
      <c r="P3694" s="13">
        <v>193</v>
      </c>
      <c r="Q3694" s="13">
        <v>44</v>
      </c>
      <c r="R3694">
        <v>42</v>
      </c>
      <c r="S3694">
        <v>48</v>
      </c>
      <c r="T3694" s="13">
        <v>22</v>
      </c>
      <c r="U3694" s="13">
        <v>33</v>
      </c>
      <c r="V3694" t="s">
        <v>99</v>
      </c>
      <c r="X3694" s="13">
        <v>193</v>
      </c>
    </row>
    <row r="3695" spans="1:24" x14ac:dyDescent="0.25">
      <c r="A3695" t="s">
        <v>3570</v>
      </c>
      <c r="B3695" t="s">
        <v>65</v>
      </c>
      <c r="C3695" t="s">
        <v>3553</v>
      </c>
      <c r="D3695" t="s">
        <v>3554</v>
      </c>
      <c r="E3695" t="s">
        <v>3555</v>
      </c>
      <c r="F3695" t="s">
        <v>94</v>
      </c>
      <c r="G3695" t="s">
        <v>277</v>
      </c>
      <c r="H3695" s="12">
        <v>6.4085999999999999</v>
      </c>
      <c r="I3695" s="12">
        <v>-75.982799999999997</v>
      </c>
      <c r="J3695" t="s">
        <v>3556</v>
      </c>
      <c r="K3695" t="s">
        <v>97</v>
      </c>
      <c r="L3695" t="s">
        <v>1273</v>
      </c>
      <c r="M3695">
        <v>11</v>
      </c>
      <c r="P3695" s="13">
        <v>191</v>
      </c>
      <c r="Q3695" s="13">
        <v>51</v>
      </c>
      <c r="R3695">
        <v>30</v>
      </c>
      <c r="S3695">
        <v>46</v>
      </c>
      <c r="T3695" s="13">
        <v>28</v>
      </c>
      <c r="U3695" s="13">
        <v>33</v>
      </c>
      <c r="V3695" t="s">
        <v>99</v>
      </c>
      <c r="X3695" s="13">
        <v>191</v>
      </c>
    </row>
    <row r="3696" spans="1:24" x14ac:dyDescent="0.25">
      <c r="A3696" t="s">
        <v>3571</v>
      </c>
      <c r="B3696" t="s">
        <v>65</v>
      </c>
      <c r="C3696" t="s">
        <v>3553</v>
      </c>
      <c r="D3696" t="s">
        <v>3554</v>
      </c>
      <c r="E3696" t="s">
        <v>3555</v>
      </c>
      <c r="F3696" t="s">
        <v>94</v>
      </c>
      <c r="G3696" t="s">
        <v>277</v>
      </c>
      <c r="H3696" s="12">
        <v>6.4085999999999999</v>
      </c>
      <c r="I3696" s="12">
        <v>-75.982799999999997</v>
      </c>
      <c r="J3696" t="s">
        <v>3556</v>
      </c>
      <c r="K3696" t="s">
        <v>97</v>
      </c>
      <c r="L3696" t="s">
        <v>1273</v>
      </c>
      <c r="M3696">
        <v>11</v>
      </c>
      <c r="P3696" s="13">
        <v>184</v>
      </c>
      <c r="Q3696" s="13">
        <v>46</v>
      </c>
      <c r="R3696">
        <v>20</v>
      </c>
      <c r="S3696">
        <v>42</v>
      </c>
      <c r="T3696" s="13">
        <v>38</v>
      </c>
      <c r="U3696" s="13">
        <v>40</v>
      </c>
      <c r="V3696" t="s">
        <v>99</v>
      </c>
      <c r="X3696" s="13">
        <v>184</v>
      </c>
    </row>
    <row r="3697" spans="1:24" x14ac:dyDescent="0.25">
      <c r="A3697" t="s">
        <v>3572</v>
      </c>
      <c r="B3697" t="s">
        <v>65</v>
      </c>
      <c r="C3697" t="s">
        <v>3553</v>
      </c>
      <c r="D3697" t="s">
        <v>3554</v>
      </c>
      <c r="E3697" t="s">
        <v>3555</v>
      </c>
      <c r="F3697" t="s">
        <v>94</v>
      </c>
      <c r="G3697" t="s">
        <v>277</v>
      </c>
      <c r="H3697" s="12">
        <v>6.4085999999999999</v>
      </c>
      <c r="I3697" s="12">
        <v>-75.982799999999997</v>
      </c>
      <c r="J3697" t="s">
        <v>3556</v>
      </c>
      <c r="K3697" t="s">
        <v>97</v>
      </c>
      <c r="L3697" t="s">
        <v>1273</v>
      </c>
      <c r="M3697">
        <v>11</v>
      </c>
      <c r="P3697" s="13">
        <v>182</v>
      </c>
      <c r="Q3697" s="13">
        <v>44</v>
      </c>
      <c r="R3697">
        <v>24</v>
      </c>
      <c r="S3697">
        <v>40</v>
      </c>
      <c r="T3697" s="13">
        <v>36</v>
      </c>
      <c r="U3697" s="13">
        <v>42</v>
      </c>
      <c r="V3697" t="s">
        <v>99</v>
      </c>
      <c r="X3697" s="13">
        <v>182</v>
      </c>
    </row>
    <row r="3698" spans="1:24" x14ac:dyDescent="0.25">
      <c r="A3698" t="s">
        <v>3573</v>
      </c>
      <c r="B3698" t="s">
        <v>65</v>
      </c>
      <c r="C3698" t="s">
        <v>3553</v>
      </c>
      <c r="D3698" t="s">
        <v>3554</v>
      </c>
      <c r="E3698" t="s">
        <v>3555</v>
      </c>
      <c r="F3698" t="s">
        <v>94</v>
      </c>
      <c r="G3698" t="s">
        <v>277</v>
      </c>
      <c r="H3698" s="12">
        <v>6.4085999999999999</v>
      </c>
      <c r="I3698" s="12">
        <v>-75.982799999999997</v>
      </c>
      <c r="J3698" t="s">
        <v>3556</v>
      </c>
      <c r="K3698" t="s">
        <v>97</v>
      </c>
      <c r="L3698" t="s">
        <v>1273</v>
      </c>
      <c r="M3698">
        <v>11</v>
      </c>
      <c r="P3698" s="13">
        <v>179</v>
      </c>
      <c r="Q3698" s="13">
        <v>44</v>
      </c>
      <c r="R3698">
        <v>30</v>
      </c>
      <c r="S3698">
        <v>44</v>
      </c>
      <c r="T3698" s="13">
        <v>28</v>
      </c>
      <c r="U3698" s="13">
        <v>29</v>
      </c>
      <c r="V3698" t="s">
        <v>99</v>
      </c>
      <c r="X3698" s="13">
        <v>179</v>
      </c>
    </row>
    <row r="3699" spans="1:24" x14ac:dyDescent="0.25">
      <c r="A3699" t="s">
        <v>3574</v>
      </c>
      <c r="B3699" t="s">
        <v>65</v>
      </c>
      <c r="C3699" t="s">
        <v>3553</v>
      </c>
      <c r="D3699" t="s">
        <v>3554</v>
      </c>
      <c r="E3699" t="s">
        <v>3555</v>
      </c>
      <c r="F3699" t="s">
        <v>94</v>
      </c>
      <c r="G3699" t="s">
        <v>277</v>
      </c>
      <c r="H3699" s="12">
        <v>6.4085999999999999</v>
      </c>
      <c r="I3699" s="12">
        <v>-75.982799999999997</v>
      </c>
      <c r="J3699" t="s">
        <v>3556</v>
      </c>
      <c r="K3699" t="s">
        <v>97</v>
      </c>
      <c r="L3699" t="s">
        <v>1273</v>
      </c>
      <c r="M3699">
        <v>11</v>
      </c>
      <c r="P3699" s="13">
        <v>175</v>
      </c>
      <c r="Q3699" s="13">
        <v>41</v>
      </c>
      <c r="R3699">
        <v>28</v>
      </c>
      <c r="S3699">
        <v>34</v>
      </c>
      <c r="T3699" s="13">
        <v>33</v>
      </c>
      <c r="U3699" s="13">
        <v>47</v>
      </c>
      <c r="V3699" t="s">
        <v>99</v>
      </c>
      <c r="X3699" s="13">
        <v>175</v>
      </c>
    </row>
    <row r="3700" spans="1:24" x14ac:dyDescent="0.25">
      <c r="A3700" t="s">
        <v>3575</v>
      </c>
      <c r="B3700" t="s">
        <v>65</v>
      </c>
      <c r="C3700" t="s">
        <v>3553</v>
      </c>
      <c r="D3700" t="s">
        <v>3554</v>
      </c>
      <c r="E3700" t="s">
        <v>3555</v>
      </c>
      <c r="F3700" t="s">
        <v>94</v>
      </c>
      <c r="G3700" t="s">
        <v>277</v>
      </c>
      <c r="H3700" s="12">
        <v>6.4085999999999999</v>
      </c>
      <c r="I3700" s="12">
        <v>-75.982799999999997</v>
      </c>
      <c r="J3700" t="s">
        <v>3556</v>
      </c>
      <c r="K3700" t="s">
        <v>97</v>
      </c>
      <c r="L3700" t="s">
        <v>1273</v>
      </c>
      <c r="M3700">
        <v>11</v>
      </c>
      <c r="P3700" s="13">
        <v>152</v>
      </c>
      <c r="Q3700" s="13">
        <v>34</v>
      </c>
      <c r="R3700">
        <v>28</v>
      </c>
      <c r="S3700">
        <v>40</v>
      </c>
      <c r="T3700" s="13">
        <v>19</v>
      </c>
      <c r="U3700" s="13">
        <v>31</v>
      </c>
      <c r="V3700" t="s">
        <v>99</v>
      </c>
      <c r="X3700" s="13">
        <v>152</v>
      </c>
    </row>
    <row r="3701" spans="1:24" x14ac:dyDescent="0.25">
      <c r="A3701" t="s">
        <v>3576</v>
      </c>
      <c r="B3701" t="s">
        <v>65</v>
      </c>
      <c r="C3701" t="s">
        <v>3553</v>
      </c>
      <c r="D3701" t="s">
        <v>3554</v>
      </c>
      <c r="E3701" t="s">
        <v>3555</v>
      </c>
      <c r="F3701" t="s">
        <v>94</v>
      </c>
      <c r="G3701" t="s">
        <v>277</v>
      </c>
      <c r="H3701" s="12">
        <v>6.4085999999999999</v>
      </c>
      <c r="I3701" s="12">
        <v>-75.982799999999997</v>
      </c>
      <c r="J3701" t="s">
        <v>3556</v>
      </c>
      <c r="K3701" t="s">
        <v>97</v>
      </c>
      <c r="L3701" t="s">
        <v>1273</v>
      </c>
      <c r="M3701">
        <v>11</v>
      </c>
      <c r="P3701" s="13">
        <v>145</v>
      </c>
      <c r="Q3701" s="13">
        <v>27</v>
      </c>
      <c r="R3701">
        <v>30</v>
      </c>
      <c r="S3701">
        <v>30</v>
      </c>
      <c r="T3701" s="13">
        <v>31</v>
      </c>
      <c r="U3701" s="13">
        <v>24</v>
      </c>
      <c r="V3701" t="s">
        <v>99</v>
      </c>
      <c r="X3701" s="13">
        <v>145</v>
      </c>
    </row>
    <row r="3702" spans="1:24" x14ac:dyDescent="0.25">
      <c r="A3702" t="s">
        <v>3577</v>
      </c>
      <c r="B3702" t="s">
        <v>65</v>
      </c>
      <c r="C3702" t="s">
        <v>3553</v>
      </c>
      <c r="D3702" t="s">
        <v>3554</v>
      </c>
      <c r="E3702" t="s">
        <v>3555</v>
      </c>
      <c r="F3702" t="s">
        <v>94</v>
      </c>
      <c r="G3702" t="s">
        <v>277</v>
      </c>
      <c r="H3702" s="12">
        <v>6.4085999999999999</v>
      </c>
      <c r="I3702" s="12">
        <v>-75.982799999999997</v>
      </c>
      <c r="J3702" t="s">
        <v>3556</v>
      </c>
      <c r="K3702" t="s">
        <v>97</v>
      </c>
      <c r="L3702" t="s">
        <v>1273</v>
      </c>
      <c r="M3702">
        <v>11</v>
      </c>
      <c r="P3702" s="13">
        <v>132</v>
      </c>
      <c r="Q3702" s="13">
        <v>34</v>
      </c>
      <c r="R3702">
        <v>20</v>
      </c>
      <c r="S3702">
        <v>24</v>
      </c>
      <c r="T3702" s="13">
        <v>29</v>
      </c>
      <c r="U3702" s="13">
        <v>20</v>
      </c>
      <c r="V3702" t="s">
        <v>99</v>
      </c>
      <c r="X3702" s="13">
        <v>132</v>
      </c>
    </row>
    <row r="3703" spans="1:24" x14ac:dyDescent="0.25">
      <c r="A3703" t="s">
        <v>3578</v>
      </c>
      <c r="B3703" t="s">
        <v>65</v>
      </c>
      <c r="C3703" t="s">
        <v>3553</v>
      </c>
      <c r="D3703" t="s">
        <v>3554</v>
      </c>
      <c r="E3703" t="s">
        <v>3555</v>
      </c>
      <c r="F3703" t="s">
        <v>94</v>
      </c>
      <c r="G3703" t="s">
        <v>277</v>
      </c>
      <c r="H3703" s="12">
        <v>6.4085999999999999</v>
      </c>
      <c r="I3703" s="12">
        <v>-75.982799999999997</v>
      </c>
      <c r="J3703" t="s">
        <v>3556</v>
      </c>
      <c r="K3703" t="s">
        <v>97</v>
      </c>
      <c r="L3703" t="s">
        <v>1273</v>
      </c>
      <c r="M3703">
        <v>11</v>
      </c>
      <c r="P3703" s="13">
        <v>130</v>
      </c>
      <c r="Q3703" s="13">
        <v>29</v>
      </c>
      <c r="R3703">
        <v>20</v>
      </c>
      <c r="S3703">
        <v>26</v>
      </c>
      <c r="T3703" s="13">
        <v>24</v>
      </c>
      <c r="U3703" s="13">
        <v>40</v>
      </c>
      <c r="V3703" t="s">
        <v>99</v>
      </c>
      <c r="X3703" s="13">
        <v>130</v>
      </c>
    </row>
    <row r="3704" spans="1:24" x14ac:dyDescent="0.25">
      <c r="A3704" t="s">
        <v>3579</v>
      </c>
      <c r="B3704" t="s">
        <v>65</v>
      </c>
      <c r="C3704" t="s">
        <v>3580</v>
      </c>
      <c r="D3704" t="s">
        <v>3581</v>
      </c>
      <c r="E3704" t="s">
        <v>3582</v>
      </c>
      <c r="F3704" t="s">
        <v>94</v>
      </c>
      <c r="G3704" t="s">
        <v>277</v>
      </c>
      <c r="H3704" s="12">
        <v>8.7611000000000008</v>
      </c>
      <c r="I3704" s="12">
        <v>-76.530299999999997</v>
      </c>
      <c r="J3704" t="s">
        <v>3583</v>
      </c>
      <c r="K3704" t="s">
        <v>97</v>
      </c>
      <c r="L3704" t="s">
        <v>1273</v>
      </c>
      <c r="M3704">
        <v>11</v>
      </c>
      <c r="P3704" s="13">
        <v>305</v>
      </c>
      <c r="Q3704" s="13">
        <v>73</v>
      </c>
      <c r="R3704">
        <v>54</v>
      </c>
      <c r="S3704">
        <v>68</v>
      </c>
      <c r="T3704" s="13">
        <v>41</v>
      </c>
      <c r="U3704" s="13">
        <v>84</v>
      </c>
      <c r="V3704" t="s">
        <v>99</v>
      </c>
      <c r="X3704" s="13">
        <v>305</v>
      </c>
    </row>
    <row r="3705" spans="1:24" x14ac:dyDescent="0.25">
      <c r="A3705" t="s">
        <v>3584</v>
      </c>
      <c r="B3705" t="s">
        <v>65</v>
      </c>
      <c r="C3705" t="s">
        <v>3580</v>
      </c>
      <c r="D3705" t="s">
        <v>3581</v>
      </c>
      <c r="E3705" t="s">
        <v>3582</v>
      </c>
      <c r="F3705" t="s">
        <v>94</v>
      </c>
      <c r="G3705" t="s">
        <v>277</v>
      </c>
      <c r="H3705" s="12">
        <v>8.7611000000000008</v>
      </c>
      <c r="I3705" s="12">
        <v>-76.530299999999997</v>
      </c>
      <c r="J3705" t="s">
        <v>3583</v>
      </c>
      <c r="K3705" t="s">
        <v>97</v>
      </c>
      <c r="L3705" t="s">
        <v>1273</v>
      </c>
      <c r="M3705">
        <v>11</v>
      </c>
      <c r="P3705" s="13">
        <v>253</v>
      </c>
      <c r="Q3705" s="13">
        <v>59</v>
      </c>
      <c r="R3705">
        <v>30</v>
      </c>
      <c r="S3705">
        <v>64</v>
      </c>
      <c r="T3705" s="13">
        <v>38</v>
      </c>
      <c r="U3705" s="13">
        <v>85</v>
      </c>
      <c r="V3705" t="s">
        <v>99</v>
      </c>
      <c r="X3705" s="13">
        <v>253</v>
      </c>
    </row>
    <row r="3706" spans="1:24" x14ac:dyDescent="0.25">
      <c r="A3706" t="s">
        <v>3585</v>
      </c>
      <c r="B3706" t="s">
        <v>65</v>
      </c>
      <c r="C3706" t="s">
        <v>3580</v>
      </c>
      <c r="D3706" t="s">
        <v>3581</v>
      </c>
      <c r="E3706" t="s">
        <v>3582</v>
      </c>
      <c r="F3706" t="s">
        <v>94</v>
      </c>
      <c r="G3706" t="s">
        <v>277</v>
      </c>
      <c r="H3706" s="12">
        <v>8.7611000000000008</v>
      </c>
      <c r="I3706" s="12">
        <v>-76.530299999999997</v>
      </c>
      <c r="J3706" t="s">
        <v>3583</v>
      </c>
      <c r="K3706" t="s">
        <v>97</v>
      </c>
      <c r="L3706" t="s">
        <v>1273</v>
      </c>
      <c r="M3706">
        <v>11</v>
      </c>
      <c r="P3706" s="13">
        <v>241</v>
      </c>
      <c r="Q3706" s="13">
        <v>63</v>
      </c>
      <c r="R3706">
        <v>28</v>
      </c>
      <c r="S3706">
        <v>58</v>
      </c>
      <c r="T3706" s="13">
        <v>45</v>
      </c>
      <c r="U3706" s="13">
        <v>44</v>
      </c>
      <c r="V3706" t="s">
        <v>99</v>
      </c>
      <c r="X3706" s="13">
        <v>241</v>
      </c>
    </row>
    <row r="3707" spans="1:24" x14ac:dyDescent="0.25">
      <c r="A3707" t="s">
        <v>3586</v>
      </c>
      <c r="B3707" t="s">
        <v>65</v>
      </c>
      <c r="C3707" t="s">
        <v>3580</v>
      </c>
      <c r="D3707" t="s">
        <v>3581</v>
      </c>
      <c r="E3707" t="s">
        <v>3582</v>
      </c>
      <c r="F3707" t="s">
        <v>94</v>
      </c>
      <c r="G3707" t="s">
        <v>277</v>
      </c>
      <c r="H3707" s="12">
        <v>8.7611000000000008</v>
      </c>
      <c r="I3707" s="12">
        <v>-76.530299999999997</v>
      </c>
      <c r="J3707" t="s">
        <v>3583</v>
      </c>
      <c r="K3707" t="s">
        <v>97</v>
      </c>
      <c r="L3707" t="s">
        <v>1273</v>
      </c>
      <c r="M3707">
        <v>11</v>
      </c>
      <c r="P3707" s="13">
        <v>240</v>
      </c>
      <c r="Q3707" s="13">
        <v>41</v>
      </c>
      <c r="R3707">
        <v>14</v>
      </c>
      <c r="S3707">
        <v>70</v>
      </c>
      <c r="T3707" s="13">
        <v>59</v>
      </c>
      <c r="U3707" s="13">
        <v>73</v>
      </c>
      <c r="V3707" t="s">
        <v>99</v>
      </c>
      <c r="X3707" s="13">
        <v>240</v>
      </c>
    </row>
    <row r="3708" spans="1:24" x14ac:dyDescent="0.25">
      <c r="A3708" t="s">
        <v>3587</v>
      </c>
      <c r="B3708" t="s">
        <v>65</v>
      </c>
      <c r="C3708" t="s">
        <v>3580</v>
      </c>
      <c r="D3708" t="s">
        <v>3581</v>
      </c>
      <c r="E3708" t="s">
        <v>3582</v>
      </c>
      <c r="F3708" t="s">
        <v>94</v>
      </c>
      <c r="G3708" t="s">
        <v>277</v>
      </c>
      <c r="H3708" s="12">
        <v>8.7611000000000008</v>
      </c>
      <c r="I3708" s="12">
        <v>-76.530299999999997</v>
      </c>
      <c r="J3708" t="s">
        <v>3583</v>
      </c>
      <c r="K3708" t="s">
        <v>97</v>
      </c>
      <c r="L3708" t="s">
        <v>1273</v>
      </c>
      <c r="M3708">
        <v>11</v>
      </c>
      <c r="P3708" s="13">
        <v>240</v>
      </c>
      <c r="Q3708" s="13">
        <v>54</v>
      </c>
      <c r="R3708">
        <v>38</v>
      </c>
      <c r="S3708">
        <v>58</v>
      </c>
      <c r="T3708" s="13">
        <v>45</v>
      </c>
      <c r="U3708" s="13">
        <v>40</v>
      </c>
      <c r="V3708" t="s">
        <v>99</v>
      </c>
      <c r="X3708" s="13">
        <v>240</v>
      </c>
    </row>
    <row r="3709" spans="1:24" x14ac:dyDescent="0.25">
      <c r="A3709" t="s">
        <v>3588</v>
      </c>
      <c r="B3709" t="s">
        <v>65</v>
      </c>
      <c r="C3709" t="s">
        <v>3580</v>
      </c>
      <c r="D3709" t="s">
        <v>3581</v>
      </c>
      <c r="E3709" t="s">
        <v>3582</v>
      </c>
      <c r="F3709" t="s">
        <v>94</v>
      </c>
      <c r="G3709" t="s">
        <v>277</v>
      </c>
      <c r="H3709" s="12">
        <v>8.7611000000000008</v>
      </c>
      <c r="I3709" s="12">
        <v>-76.530299999999997</v>
      </c>
      <c r="J3709" t="s">
        <v>3583</v>
      </c>
      <c r="K3709" t="s">
        <v>97</v>
      </c>
      <c r="L3709" t="s">
        <v>1273</v>
      </c>
      <c r="M3709">
        <v>11</v>
      </c>
      <c r="P3709" s="13">
        <v>237</v>
      </c>
      <c r="Q3709" s="13">
        <v>51</v>
      </c>
      <c r="R3709">
        <v>22</v>
      </c>
      <c r="S3709">
        <v>62</v>
      </c>
      <c r="T3709" s="13">
        <v>43</v>
      </c>
      <c r="U3709" s="13">
        <v>82</v>
      </c>
      <c r="V3709" t="s">
        <v>99</v>
      </c>
      <c r="X3709" s="13">
        <v>237</v>
      </c>
    </row>
    <row r="3710" spans="1:24" x14ac:dyDescent="0.25">
      <c r="A3710" t="s">
        <v>3589</v>
      </c>
      <c r="B3710" t="s">
        <v>65</v>
      </c>
      <c r="C3710" t="s">
        <v>3580</v>
      </c>
      <c r="D3710" t="s">
        <v>3581</v>
      </c>
      <c r="E3710" t="s">
        <v>3582</v>
      </c>
      <c r="F3710" t="s">
        <v>94</v>
      </c>
      <c r="G3710" t="s">
        <v>277</v>
      </c>
      <c r="H3710" s="12">
        <v>8.7611000000000008</v>
      </c>
      <c r="I3710" s="12">
        <v>-76.530299999999997</v>
      </c>
      <c r="J3710" t="s">
        <v>3583</v>
      </c>
      <c r="K3710" t="s">
        <v>97</v>
      </c>
      <c r="L3710" t="s">
        <v>1273</v>
      </c>
      <c r="M3710">
        <v>11</v>
      </c>
      <c r="P3710" s="13">
        <v>236</v>
      </c>
      <c r="Q3710" s="13">
        <v>59</v>
      </c>
      <c r="R3710">
        <v>26</v>
      </c>
      <c r="S3710">
        <v>62</v>
      </c>
      <c r="T3710" s="13">
        <v>43</v>
      </c>
      <c r="U3710" s="13">
        <v>45</v>
      </c>
      <c r="V3710" t="s">
        <v>99</v>
      </c>
      <c r="X3710" s="13">
        <v>236</v>
      </c>
    </row>
    <row r="3711" spans="1:24" x14ac:dyDescent="0.25">
      <c r="A3711" t="s">
        <v>3590</v>
      </c>
      <c r="B3711" t="s">
        <v>65</v>
      </c>
      <c r="C3711" t="s">
        <v>3580</v>
      </c>
      <c r="D3711" t="s">
        <v>3581</v>
      </c>
      <c r="E3711" t="s">
        <v>3582</v>
      </c>
      <c r="F3711" t="s">
        <v>94</v>
      </c>
      <c r="G3711" t="s">
        <v>277</v>
      </c>
      <c r="H3711" s="12">
        <v>8.7611000000000008</v>
      </c>
      <c r="I3711" s="12">
        <v>-76.530299999999997</v>
      </c>
      <c r="J3711" t="s">
        <v>3583</v>
      </c>
      <c r="K3711" t="s">
        <v>97</v>
      </c>
      <c r="L3711" t="s">
        <v>1273</v>
      </c>
      <c r="M3711">
        <v>11</v>
      </c>
      <c r="P3711" s="13">
        <v>216</v>
      </c>
      <c r="Q3711" s="13">
        <v>59</v>
      </c>
      <c r="R3711">
        <v>32</v>
      </c>
      <c r="S3711">
        <v>52</v>
      </c>
      <c r="T3711" s="13">
        <v>29</v>
      </c>
      <c r="U3711" s="13">
        <v>45</v>
      </c>
      <c r="V3711" t="s">
        <v>99</v>
      </c>
      <c r="X3711" s="13">
        <v>216</v>
      </c>
    </row>
    <row r="3712" spans="1:24" x14ac:dyDescent="0.25">
      <c r="A3712" t="s">
        <v>3591</v>
      </c>
      <c r="B3712" t="s">
        <v>65</v>
      </c>
      <c r="C3712" t="s">
        <v>3580</v>
      </c>
      <c r="D3712" t="s">
        <v>3581</v>
      </c>
      <c r="E3712" t="s">
        <v>3582</v>
      </c>
      <c r="F3712" t="s">
        <v>94</v>
      </c>
      <c r="G3712" t="s">
        <v>277</v>
      </c>
      <c r="H3712" s="12">
        <v>8.7611000000000008</v>
      </c>
      <c r="I3712" s="12">
        <v>-76.530299999999997</v>
      </c>
      <c r="J3712" t="s">
        <v>3583</v>
      </c>
      <c r="K3712" t="s">
        <v>97</v>
      </c>
      <c r="L3712" t="s">
        <v>1273</v>
      </c>
      <c r="M3712">
        <v>11</v>
      </c>
      <c r="P3712" s="13">
        <v>214</v>
      </c>
      <c r="Q3712" s="13">
        <v>56</v>
      </c>
      <c r="R3712">
        <v>32</v>
      </c>
      <c r="S3712">
        <v>50</v>
      </c>
      <c r="T3712" s="13">
        <v>31</v>
      </c>
      <c r="U3712" s="13">
        <v>49</v>
      </c>
      <c r="V3712" t="s">
        <v>99</v>
      </c>
      <c r="X3712" s="13">
        <v>214</v>
      </c>
    </row>
    <row r="3713" spans="1:24" x14ac:dyDescent="0.25">
      <c r="A3713" t="s">
        <v>3592</v>
      </c>
      <c r="B3713" t="s">
        <v>65</v>
      </c>
      <c r="C3713" t="s">
        <v>3580</v>
      </c>
      <c r="D3713" t="s">
        <v>3581</v>
      </c>
      <c r="E3713" t="s">
        <v>3582</v>
      </c>
      <c r="F3713" t="s">
        <v>94</v>
      </c>
      <c r="G3713" t="s">
        <v>277</v>
      </c>
      <c r="H3713" s="12">
        <v>8.7611000000000008</v>
      </c>
      <c r="I3713" s="12">
        <v>-76.530299999999997</v>
      </c>
      <c r="J3713" t="s">
        <v>3583</v>
      </c>
      <c r="K3713" t="s">
        <v>97</v>
      </c>
      <c r="L3713" t="s">
        <v>1273</v>
      </c>
      <c r="M3713">
        <v>11</v>
      </c>
      <c r="P3713" s="13">
        <v>213</v>
      </c>
      <c r="Q3713" s="13">
        <v>59</v>
      </c>
      <c r="R3713">
        <v>22</v>
      </c>
      <c r="S3713">
        <v>56</v>
      </c>
      <c r="T3713" s="13">
        <v>34</v>
      </c>
      <c r="U3713" s="13">
        <v>42</v>
      </c>
      <c r="V3713" t="s">
        <v>99</v>
      </c>
      <c r="X3713" s="13">
        <v>213</v>
      </c>
    </row>
    <row r="3714" spans="1:24" x14ac:dyDescent="0.25">
      <c r="A3714" t="s">
        <v>3593</v>
      </c>
      <c r="B3714" t="s">
        <v>65</v>
      </c>
      <c r="C3714" t="s">
        <v>3580</v>
      </c>
      <c r="D3714" t="s">
        <v>3581</v>
      </c>
      <c r="E3714" t="s">
        <v>3582</v>
      </c>
      <c r="F3714" t="s">
        <v>94</v>
      </c>
      <c r="G3714" t="s">
        <v>277</v>
      </c>
      <c r="H3714" s="12">
        <v>8.7611000000000008</v>
      </c>
      <c r="I3714" s="12">
        <v>-76.530299999999997</v>
      </c>
      <c r="J3714" t="s">
        <v>3583</v>
      </c>
      <c r="K3714" t="s">
        <v>97</v>
      </c>
      <c r="L3714" t="s">
        <v>1273</v>
      </c>
      <c r="M3714">
        <v>11</v>
      </c>
      <c r="P3714" s="13">
        <v>203</v>
      </c>
      <c r="Q3714" s="13">
        <v>44</v>
      </c>
      <c r="R3714">
        <v>32</v>
      </c>
      <c r="S3714">
        <v>54</v>
      </c>
      <c r="T3714" s="13">
        <v>34</v>
      </c>
      <c r="U3714" s="13">
        <v>35</v>
      </c>
      <c r="V3714" t="s">
        <v>99</v>
      </c>
      <c r="X3714" s="13">
        <v>203</v>
      </c>
    </row>
    <row r="3715" spans="1:24" x14ac:dyDescent="0.25">
      <c r="A3715" t="s">
        <v>3594</v>
      </c>
      <c r="B3715" t="s">
        <v>65</v>
      </c>
      <c r="C3715" t="s">
        <v>3580</v>
      </c>
      <c r="D3715" t="s">
        <v>3581</v>
      </c>
      <c r="E3715" t="s">
        <v>3582</v>
      </c>
      <c r="F3715" t="s">
        <v>94</v>
      </c>
      <c r="G3715" t="s">
        <v>277</v>
      </c>
      <c r="H3715" s="12">
        <v>8.7611000000000008</v>
      </c>
      <c r="I3715" s="12">
        <v>-76.530299999999997</v>
      </c>
      <c r="J3715" t="s">
        <v>3583</v>
      </c>
      <c r="K3715" t="s">
        <v>97</v>
      </c>
      <c r="L3715" t="s">
        <v>1273</v>
      </c>
      <c r="M3715">
        <v>11</v>
      </c>
      <c r="P3715" s="13">
        <v>203</v>
      </c>
      <c r="Q3715" s="13">
        <v>49</v>
      </c>
      <c r="R3715">
        <v>26</v>
      </c>
      <c r="S3715">
        <v>54</v>
      </c>
      <c r="T3715" s="13">
        <v>36</v>
      </c>
      <c r="U3715" s="13">
        <v>33</v>
      </c>
      <c r="V3715" t="s">
        <v>99</v>
      </c>
      <c r="X3715" s="13">
        <v>203</v>
      </c>
    </row>
    <row r="3716" spans="1:24" x14ac:dyDescent="0.25">
      <c r="A3716" t="s">
        <v>3595</v>
      </c>
      <c r="B3716" t="s">
        <v>65</v>
      </c>
      <c r="C3716" t="s">
        <v>3580</v>
      </c>
      <c r="D3716" t="s">
        <v>3581</v>
      </c>
      <c r="E3716" t="s">
        <v>3582</v>
      </c>
      <c r="F3716" t="s">
        <v>94</v>
      </c>
      <c r="G3716" t="s">
        <v>277</v>
      </c>
      <c r="H3716" s="12">
        <v>8.7611000000000008</v>
      </c>
      <c r="I3716" s="12">
        <v>-76.530299999999997</v>
      </c>
      <c r="J3716" t="s">
        <v>3583</v>
      </c>
      <c r="K3716" t="s">
        <v>97</v>
      </c>
      <c r="L3716" t="s">
        <v>1273</v>
      </c>
      <c r="M3716">
        <v>11</v>
      </c>
      <c r="P3716" s="13">
        <v>203</v>
      </c>
      <c r="Q3716" s="13">
        <v>59</v>
      </c>
      <c r="R3716">
        <v>26</v>
      </c>
      <c r="S3716">
        <v>48</v>
      </c>
      <c r="T3716" s="13">
        <v>28</v>
      </c>
      <c r="U3716" s="13">
        <v>47</v>
      </c>
      <c r="V3716" t="s">
        <v>99</v>
      </c>
      <c r="X3716" s="13">
        <v>203</v>
      </c>
    </row>
    <row r="3717" spans="1:24" x14ac:dyDescent="0.25">
      <c r="A3717" t="s">
        <v>3596</v>
      </c>
      <c r="B3717" t="s">
        <v>65</v>
      </c>
      <c r="C3717" t="s">
        <v>3580</v>
      </c>
      <c r="D3717" t="s">
        <v>3581</v>
      </c>
      <c r="E3717" t="s">
        <v>3582</v>
      </c>
      <c r="F3717" t="s">
        <v>94</v>
      </c>
      <c r="G3717" t="s">
        <v>277</v>
      </c>
      <c r="H3717" s="12">
        <v>8.7611000000000008</v>
      </c>
      <c r="I3717" s="12">
        <v>-76.530299999999997</v>
      </c>
      <c r="J3717" t="s">
        <v>3583</v>
      </c>
      <c r="K3717" t="s">
        <v>97</v>
      </c>
      <c r="L3717" t="s">
        <v>1273</v>
      </c>
      <c r="M3717">
        <v>11</v>
      </c>
      <c r="P3717" s="13">
        <v>203</v>
      </c>
      <c r="Q3717" s="13">
        <v>51</v>
      </c>
      <c r="R3717">
        <v>32</v>
      </c>
      <c r="S3717">
        <v>56</v>
      </c>
      <c r="T3717" s="13">
        <v>31</v>
      </c>
      <c r="U3717" s="13">
        <v>16</v>
      </c>
      <c r="V3717" t="s">
        <v>99</v>
      </c>
      <c r="X3717" s="13">
        <v>203</v>
      </c>
    </row>
    <row r="3718" spans="1:24" x14ac:dyDescent="0.25">
      <c r="A3718" t="s">
        <v>3597</v>
      </c>
      <c r="B3718" t="s">
        <v>65</v>
      </c>
      <c r="C3718" t="s">
        <v>3580</v>
      </c>
      <c r="D3718" t="s">
        <v>3581</v>
      </c>
      <c r="E3718" t="s">
        <v>3582</v>
      </c>
      <c r="F3718" t="s">
        <v>94</v>
      </c>
      <c r="G3718" t="s">
        <v>277</v>
      </c>
      <c r="H3718" s="12">
        <v>8.7611000000000008</v>
      </c>
      <c r="I3718" s="12">
        <v>-76.530299999999997</v>
      </c>
      <c r="J3718" t="s">
        <v>3583</v>
      </c>
      <c r="K3718" t="s">
        <v>97</v>
      </c>
      <c r="L3718" t="s">
        <v>1273</v>
      </c>
      <c r="M3718">
        <v>11</v>
      </c>
      <c r="P3718" s="13">
        <v>202</v>
      </c>
      <c r="Q3718" s="13">
        <v>44</v>
      </c>
      <c r="R3718">
        <v>32</v>
      </c>
      <c r="S3718">
        <v>50</v>
      </c>
      <c r="T3718" s="13">
        <v>31</v>
      </c>
      <c r="U3718" s="13">
        <v>55</v>
      </c>
      <c r="V3718" t="s">
        <v>99</v>
      </c>
      <c r="X3718" s="13">
        <v>202</v>
      </c>
    </row>
    <row r="3719" spans="1:24" x14ac:dyDescent="0.25">
      <c r="A3719" t="s">
        <v>3598</v>
      </c>
      <c r="B3719" t="s">
        <v>65</v>
      </c>
      <c r="C3719" t="s">
        <v>3580</v>
      </c>
      <c r="D3719" t="s">
        <v>3581</v>
      </c>
      <c r="E3719" t="s">
        <v>3582</v>
      </c>
      <c r="F3719" t="s">
        <v>94</v>
      </c>
      <c r="G3719" t="s">
        <v>277</v>
      </c>
      <c r="H3719" s="12">
        <v>8.7611000000000008</v>
      </c>
      <c r="I3719" s="12">
        <v>-76.530299999999997</v>
      </c>
      <c r="J3719" t="s">
        <v>3583</v>
      </c>
      <c r="K3719" t="s">
        <v>97</v>
      </c>
      <c r="L3719" t="s">
        <v>1273</v>
      </c>
      <c r="M3719">
        <v>11</v>
      </c>
      <c r="P3719" s="13">
        <v>201</v>
      </c>
      <c r="Q3719" s="13">
        <v>39</v>
      </c>
      <c r="R3719">
        <v>18</v>
      </c>
      <c r="S3719">
        <v>54</v>
      </c>
      <c r="T3719" s="13">
        <v>48</v>
      </c>
      <c r="U3719" s="13">
        <v>45</v>
      </c>
      <c r="V3719" t="s">
        <v>99</v>
      </c>
      <c r="X3719" s="13">
        <v>201</v>
      </c>
    </row>
    <row r="3720" spans="1:24" x14ac:dyDescent="0.25">
      <c r="A3720" t="s">
        <v>3599</v>
      </c>
      <c r="B3720" t="s">
        <v>65</v>
      </c>
      <c r="C3720" t="s">
        <v>3580</v>
      </c>
      <c r="D3720" t="s">
        <v>3581</v>
      </c>
      <c r="E3720" t="s">
        <v>3582</v>
      </c>
      <c r="F3720" t="s">
        <v>94</v>
      </c>
      <c r="G3720" t="s">
        <v>277</v>
      </c>
      <c r="H3720" s="12">
        <v>8.7611000000000008</v>
      </c>
      <c r="I3720" s="12">
        <v>-76.530299999999997</v>
      </c>
      <c r="J3720" t="s">
        <v>3583</v>
      </c>
      <c r="K3720" t="s">
        <v>97</v>
      </c>
      <c r="L3720" t="s">
        <v>1273</v>
      </c>
      <c r="M3720">
        <v>11</v>
      </c>
      <c r="P3720" s="13">
        <v>199</v>
      </c>
      <c r="Q3720" s="13">
        <v>54</v>
      </c>
      <c r="R3720">
        <v>30</v>
      </c>
      <c r="S3720">
        <v>40</v>
      </c>
      <c r="T3720" s="13">
        <v>31</v>
      </c>
      <c r="U3720" s="13">
        <v>55</v>
      </c>
      <c r="V3720" t="s">
        <v>99</v>
      </c>
      <c r="X3720" s="13">
        <v>199</v>
      </c>
    </row>
    <row r="3721" spans="1:24" x14ac:dyDescent="0.25">
      <c r="A3721" t="s">
        <v>3600</v>
      </c>
      <c r="B3721" t="s">
        <v>65</v>
      </c>
      <c r="C3721" t="s">
        <v>3580</v>
      </c>
      <c r="D3721" t="s">
        <v>3581</v>
      </c>
      <c r="E3721" t="s">
        <v>3582</v>
      </c>
      <c r="F3721" t="s">
        <v>94</v>
      </c>
      <c r="G3721" t="s">
        <v>277</v>
      </c>
      <c r="H3721" s="12">
        <v>8.7611000000000008</v>
      </c>
      <c r="I3721" s="12">
        <v>-76.530299999999997</v>
      </c>
      <c r="J3721" t="s">
        <v>3583</v>
      </c>
      <c r="K3721" t="s">
        <v>97</v>
      </c>
      <c r="L3721" t="s">
        <v>1273</v>
      </c>
      <c r="M3721">
        <v>11</v>
      </c>
      <c r="P3721" s="13">
        <v>198</v>
      </c>
      <c r="Q3721" s="13">
        <v>49</v>
      </c>
      <c r="R3721">
        <v>18</v>
      </c>
      <c r="S3721">
        <v>56</v>
      </c>
      <c r="T3721" s="13">
        <v>33</v>
      </c>
      <c r="U3721" s="13">
        <v>47</v>
      </c>
      <c r="V3721" t="s">
        <v>99</v>
      </c>
      <c r="X3721" s="13">
        <v>198</v>
      </c>
    </row>
    <row r="3722" spans="1:24" x14ac:dyDescent="0.25">
      <c r="A3722" t="s">
        <v>3601</v>
      </c>
      <c r="B3722" t="s">
        <v>65</v>
      </c>
      <c r="C3722" t="s">
        <v>3580</v>
      </c>
      <c r="D3722" t="s">
        <v>3581</v>
      </c>
      <c r="E3722" t="s">
        <v>3582</v>
      </c>
      <c r="F3722" t="s">
        <v>94</v>
      </c>
      <c r="G3722" t="s">
        <v>277</v>
      </c>
      <c r="H3722" s="12">
        <v>8.7611000000000008</v>
      </c>
      <c r="I3722" s="12">
        <v>-76.530299999999997</v>
      </c>
      <c r="J3722" t="s">
        <v>3583</v>
      </c>
      <c r="K3722" t="s">
        <v>97</v>
      </c>
      <c r="L3722" t="s">
        <v>1273</v>
      </c>
      <c r="M3722">
        <v>11</v>
      </c>
      <c r="P3722" s="13">
        <v>197</v>
      </c>
      <c r="Q3722" s="13">
        <v>41</v>
      </c>
      <c r="R3722">
        <v>32</v>
      </c>
      <c r="S3722">
        <v>46</v>
      </c>
      <c r="T3722" s="13">
        <v>31</v>
      </c>
      <c r="U3722" s="13">
        <v>60</v>
      </c>
      <c r="V3722" t="s">
        <v>99</v>
      </c>
      <c r="X3722" s="13">
        <v>197</v>
      </c>
    </row>
    <row r="3723" spans="1:24" x14ac:dyDescent="0.25">
      <c r="A3723" t="s">
        <v>3602</v>
      </c>
      <c r="B3723" t="s">
        <v>65</v>
      </c>
      <c r="C3723" t="s">
        <v>3580</v>
      </c>
      <c r="D3723" t="s">
        <v>3581</v>
      </c>
      <c r="E3723" t="s">
        <v>3582</v>
      </c>
      <c r="F3723" t="s">
        <v>94</v>
      </c>
      <c r="G3723" t="s">
        <v>277</v>
      </c>
      <c r="H3723" s="12">
        <v>8.7611000000000008</v>
      </c>
      <c r="I3723" s="12">
        <v>-76.530299999999997</v>
      </c>
      <c r="J3723" t="s">
        <v>3583</v>
      </c>
      <c r="K3723" t="s">
        <v>97</v>
      </c>
      <c r="L3723" t="s">
        <v>1273</v>
      </c>
      <c r="M3723">
        <v>11</v>
      </c>
      <c r="P3723" s="13">
        <v>196</v>
      </c>
      <c r="Q3723" s="13">
        <v>39</v>
      </c>
      <c r="R3723">
        <v>26</v>
      </c>
      <c r="S3723">
        <v>56</v>
      </c>
      <c r="T3723" s="13">
        <v>33</v>
      </c>
      <c r="U3723" s="13">
        <v>49</v>
      </c>
      <c r="V3723" t="s">
        <v>99</v>
      </c>
      <c r="X3723" s="13">
        <v>196</v>
      </c>
    </row>
    <row r="3724" spans="1:24" x14ac:dyDescent="0.25">
      <c r="A3724" t="s">
        <v>3603</v>
      </c>
      <c r="B3724" t="s">
        <v>65</v>
      </c>
      <c r="C3724" t="s">
        <v>3580</v>
      </c>
      <c r="D3724" t="s">
        <v>3581</v>
      </c>
      <c r="E3724" t="s">
        <v>3582</v>
      </c>
      <c r="F3724" t="s">
        <v>94</v>
      </c>
      <c r="G3724" t="s">
        <v>277</v>
      </c>
      <c r="H3724" s="12">
        <v>8.7611000000000008</v>
      </c>
      <c r="I3724" s="12">
        <v>-76.530299999999997</v>
      </c>
      <c r="J3724" t="s">
        <v>3583</v>
      </c>
      <c r="K3724" t="s">
        <v>97</v>
      </c>
      <c r="L3724" t="s">
        <v>1273</v>
      </c>
      <c r="M3724">
        <v>11</v>
      </c>
      <c r="P3724" s="13">
        <v>196</v>
      </c>
      <c r="Q3724" s="13">
        <v>56</v>
      </c>
      <c r="R3724">
        <v>28</v>
      </c>
      <c r="S3724">
        <v>44</v>
      </c>
      <c r="T3724" s="13">
        <v>28</v>
      </c>
      <c r="U3724" s="13">
        <v>42</v>
      </c>
      <c r="V3724" t="s">
        <v>99</v>
      </c>
      <c r="X3724" s="13">
        <v>196</v>
      </c>
    </row>
    <row r="3725" spans="1:24" x14ac:dyDescent="0.25">
      <c r="A3725" t="s">
        <v>3604</v>
      </c>
      <c r="B3725" t="s">
        <v>65</v>
      </c>
      <c r="C3725" t="s">
        <v>3580</v>
      </c>
      <c r="D3725" t="s">
        <v>3581</v>
      </c>
      <c r="E3725" t="s">
        <v>3582</v>
      </c>
      <c r="F3725" t="s">
        <v>94</v>
      </c>
      <c r="G3725" t="s">
        <v>277</v>
      </c>
      <c r="H3725" s="12">
        <v>8.7611000000000008</v>
      </c>
      <c r="I3725" s="12">
        <v>-76.530299999999997</v>
      </c>
      <c r="J3725" t="s">
        <v>3583</v>
      </c>
      <c r="K3725" t="s">
        <v>97</v>
      </c>
      <c r="L3725" t="s">
        <v>1273</v>
      </c>
      <c r="M3725">
        <v>11</v>
      </c>
      <c r="P3725" s="13">
        <v>194</v>
      </c>
      <c r="Q3725" s="13">
        <v>49</v>
      </c>
      <c r="R3725">
        <v>26</v>
      </c>
      <c r="S3725">
        <v>52</v>
      </c>
      <c r="T3725" s="13">
        <v>26</v>
      </c>
      <c r="U3725" s="13">
        <v>47</v>
      </c>
      <c r="V3725" t="s">
        <v>99</v>
      </c>
      <c r="X3725" s="13">
        <v>194</v>
      </c>
    </row>
    <row r="3726" spans="1:24" x14ac:dyDescent="0.25">
      <c r="A3726" t="s">
        <v>3605</v>
      </c>
      <c r="B3726" t="s">
        <v>65</v>
      </c>
      <c r="C3726" t="s">
        <v>3580</v>
      </c>
      <c r="D3726" t="s">
        <v>3581</v>
      </c>
      <c r="E3726" t="s">
        <v>3582</v>
      </c>
      <c r="F3726" t="s">
        <v>94</v>
      </c>
      <c r="G3726" t="s">
        <v>277</v>
      </c>
      <c r="H3726" s="12">
        <v>8.7611000000000008</v>
      </c>
      <c r="I3726" s="12">
        <v>-76.530299999999997</v>
      </c>
      <c r="J3726" t="s">
        <v>3583</v>
      </c>
      <c r="K3726" t="s">
        <v>97</v>
      </c>
      <c r="L3726" t="s">
        <v>1273</v>
      </c>
      <c r="M3726">
        <v>11</v>
      </c>
      <c r="P3726" s="13">
        <v>194</v>
      </c>
      <c r="Q3726" s="13">
        <v>49</v>
      </c>
      <c r="R3726">
        <v>28</v>
      </c>
      <c r="S3726">
        <v>50</v>
      </c>
      <c r="T3726" s="13">
        <v>26</v>
      </c>
      <c r="U3726" s="13">
        <v>47</v>
      </c>
      <c r="V3726" t="s">
        <v>99</v>
      </c>
      <c r="X3726" s="13">
        <v>194</v>
      </c>
    </row>
    <row r="3727" spans="1:24" x14ac:dyDescent="0.25">
      <c r="A3727" t="s">
        <v>3606</v>
      </c>
      <c r="B3727" t="s">
        <v>65</v>
      </c>
      <c r="C3727" t="s">
        <v>3580</v>
      </c>
      <c r="D3727" t="s">
        <v>3581</v>
      </c>
      <c r="E3727" t="s">
        <v>3582</v>
      </c>
      <c r="F3727" t="s">
        <v>94</v>
      </c>
      <c r="G3727" t="s">
        <v>277</v>
      </c>
      <c r="H3727" s="12">
        <v>8.7611000000000008</v>
      </c>
      <c r="I3727" s="12">
        <v>-76.530299999999997</v>
      </c>
      <c r="J3727" t="s">
        <v>3583</v>
      </c>
      <c r="K3727" t="s">
        <v>97</v>
      </c>
      <c r="L3727" t="s">
        <v>1273</v>
      </c>
      <c r="M3727">
        <v>11</v>
      </c>
      <c r="P3727" s="13">
        <v>193</v>
      </c>
      <c r="Q3727" s="13">
        <v>49</v>
      </c>
      <c r="R3727">
        <v>38</v>
      </c>
      <c r="S3727">
        <v>38</v>
      </c>
      <c r="T3727" s="13">
        <v>29</v>
      </c>
      <c r="U3727" s="13">
        <v>40</v>
      </c>
      <c r="V3727" t="s">
        <v>99</v>
      </c>
      <c r="X3727" s="13">
        <v>193</v>
      </c>
    </row>
    <row r="3728" spans="1:24" x14ac:dyDescent="0.25">
      <c r="A3728" t="s">
        <v>3607</v>
      </c>
      <c r="B3728" t="s">
        <v>65</v>
      </c>
      <c r="C3728" t="s">
        <v>3580</v>
      </c>
      <c r="D3728" t="s">
        <v>3581</v>
      </c>
      <c r="E3728" t="s">
        <v>3582</v>
      </c>
      <c r="F3728" t="s">
        <v>94</v>
      </c>
      <c r="G3728" t="s">
        <v>277</v>
      </c>
      <c r="H3728" s="12">
        <v>8.7611000000000008</v>
      </c>
      <c r="I3728" s="12">
        <v>-76.530299999999997</v>
      </c>
      <c r="J3728" t="s">
        <v>3583</v>
      </c>
      <c r="K3728" t="s">
        <v>97</v>
      </c>
      <c r="L3728" t="s">
        <v>1273</v>
      </c>
      <c r="M3728">
        <v>11</v>
      </c>
      <c r="P3728" s="13">
        <v>193</v>
      </c>
      <c r="Q3728" s="13">
        <v>44</v>
      </c>
      <c r="R3728">
        <v>32</v>
      </c>
      <c r="S3728">
        <v>44</v>
      </c>
      <c r="T3728" s="13">
        <v>33</v>
      </c>
      <c r="U3728" s="13">
        <v>44</v>
      </c>
      <c r="V3728" t="s">
        <v>99</v>
      </c>
      <c r="X3728" s="13">
        <v>193</v>
      </c>
    </row>
    <row r="3729" spans="1:24" x14ac:dyDescent="0.25">
      <c r="A3729" t="s">
        <v>3608</v>
      </c>
      <c r="B3729" t="s">
        <v>65</v>
      </c>
      <c r="C3729" t="s">
        <v>3580</v>
      </c>
      <c r="D3729" t="s">
        <v>3581</v>
      </c>
      <c r="E3729" t="s">
        <v>3582</v>
      </c>
      <c r="F3729" t="s">
        <v>94</v>
      </c>
      <c r="G3729" t="s">
        <v>277</v>
      </c>
      <c r="H3729" s="12">
        <v>8.7611000000000008</v>
      </c>
      <c r="I3729" s="12">
        <v>-76.530299999999997</v>
      </c>
      <c r="J3729" t="s">
        <v>3583</v>
      </c>
      <c r="K3729" t="s">
        <v>97</v>
      </c>
      <c r="L3729" t="s">
        <v>1273</v>
      </c>
      <c r="M3729">
        <v>11</v>
      </c>
      <c r="P3729" s="13">
        <v>193</v>
      </c>
      <c r="Q3729" s="13">
        <v>44</v>
      </c>
      <c r="R3729">
        <v>28</v>
      </c>
      <c r="S3729">
        <v>46</v>
      </c>
      <c r="T3729" s="13">
        <v>31</v>
      </c>
      <c r="U3729" s="13">
        <v>55</v>
      </c>
      <c r="V3729" t="s">
        <v>99</v>
      </c>
      <c r="X3729" s="13">
        <v>193</v>
      </c>
    </row>
    <row r="3730" spans="1:24" x14ac:dyDescent="0.25">
      <c r="A3730" t="s">
        <v>3609</v>
      </c>
      <c r="B3730" t="s">
        <v>65</v>
      </c>
      <c r="C3730" t="s">
        <v>3580</v>
      </c>
      <c r="D3730" t="s">
        <v>3581</v>
      </c>
      <c r="E3730" t="s">
        <v>3582</v>
      </c>
      <c r="F3730" t="s">
        <v>94</v>
      </c>
      <c r="G3730" t="s">
        <v>277</v>
      </c>
      <c r="H3730" s="12">
        <v>8.7611000000000008</v>
      </c>
      <c r="I3730" s="12">
        <v>-76.530299999999997</v>
      </c>
      <c r="J3730" t="s">
        <v>3583</v>
      </c>
      <c r="K3730" t="s">
        <v>97</v>
      </c>
      <c r="L3730" t="s">
        <v>1273</v>
      </c>
      <c r="M3730">
        <v>11</v>
      </c>
      <c r="P3730" s="13">
        <v>191</v>
      </c>
      <c r="Q3730" s="13">
        <v>51</v>
      </c>
      <c r="R3730">
        <v>24</v>
      </c>
      <c r="S3730">
        <v>46</v>
      </c>
      <c r="T3730" s="13">
        <v>28</v>
      </c>
      <c r="U3730" s="13">
        <v>51</v>
      </c>
      <c r="V3730" t="s">
        <v>99</v>
      </c>
      <c r="X3730" s="13">
        <v>191</v>
      </c>
    </row>
    <row r="3731" spans="1:24" x14ac:dyDescent="0.25">
      <c r="A3731" t="s">
        <v>3610</v>
      </c>
      <c r="B3731" t="s">
        <v>65</v>
      </c>
      <c r="C3731" t="s">
        <v>3580</v>
      </c>
      <c r="D3731" t="s">
        <v>3581</v>
      </c>
      <c r="E3731" t="s">
        <v>3582</v>
      </c>
      <c r="F3731" t="s">
        <v>94</v>
      </c>
      <c r="G3731" t="s">
        <v>277</v>
      </c>
      <c r="H3731" s="12">
        <v>8.7611000000000008</v>
      </c>
      <c r="I3731" s="12">
        <v>-76.530299999999997</v>
      </c>
      <c r="J3731" t="s">
        <v>3583</v>
      </c>
      <c r="K3731" t="s">
        <v>97</v>
      </c>
      <c r="L3731" t="s">
        <v>1273</v>
      </c>
      <c r="M3731">
        <v>11</v>
      </c>
      <c r="P3731" s="13">
        <v>191</v>
      </c>
      <c r="Q3731" s="13">
        <v>54</v>
      </c>
      <c r="R3731">
        <v>36</v>
      </c>
      <c r="S3731">
        <v>32</v>
      </c>
      <c r="T3731" s="13">
        <v>29</v>
      </c>
      <c r="U3731" s="13">
        <v>44</v>
      </c>
      <c r="V3731" t="s">
        <v>99</v>
      </c>
      <c r="X3731" s="13">
        <v>191</v>
      </c>
    </row>
    <row r="3732" spans="1:24" x14ac:dyDescent="0.25">
      <c r="A3732" t="s">
        <v>3611</v>
      </c>
      <c r="B3732" t="s">
        <v>65</v>
      </c>
      <c r="C3732" t="s">
        <v>3580</v>
      </c>
      <c r="D3732" t="s">
        <v>3581</v>
      </c>
      <c r="E3732" t="s">
        <v>3582</v>
      </c>
      <c r="F3732" t="s">
        <v>94</v>
      </c>
      <c r="G3732" t="s">
        <v>277</v>
      </c>
      <c r="H3732" s="12">
        <v>8.7611000000000008</v>
      </c>
      <c r="I3732" s="12">
        <v>-76.530299999999997</v>
      </c>
      <c r="J3732" t="s">
        <v>3583</v>
      </c>
      <c r="K3732" t="s">
        <v>97</v>
      </c>
      <c r="L3732" t="s">
        <v>1273</v>
      </c>
      <c r="M3732">
        <v>11</v>
      </c>
      <c r="P3732" s="13">
        <v>189</v>
      </c>
      <c r="Q3732" s="13">
        <v>39</v>
      </c>
      <c r="R3732">
        <v>26</v>
      </c>
      <c r="S3732">
        <v>46</v>
      </c>
      <c r="T3732" s="13">
        <v>36</v>
      </c>
      <c r="U3732" s="13">
        <v>51</v>
      </c>
      <c r="V3732" t="s">
        <v>99</v>
      </c>
      <c r="X3732" s="13">
        <v>189</v>
      </c>
    </row>
    <row r="3733" spans="1:24" x14ac:dyDescent="0.25">
      <c r="A3733" t="s">
        <v>3612</v>
      </c>
      <c r="B3733" t="s">
        <v>65</v>
      </c>
      <c r="C3733" t="s">
        <v>3580</v>
      </c>
      <c r="D3733" t="s">
        <v>3581</v>
      </c>
      <c r="E3733" t="s">
        <v>3582</v>
      </c>
      <c r="F3733" t="s">
        <v>94</v>
      </c>
      <c r="G3733" t="s">
        <v>277</v>
      </c>
      <c r="H3733" s="12">
        <v>8.7611000000000008</v>
      </c>
      <c r="I3733" s="12">
        <v>-76.530299999999997</v>
      </c>
      <c r="J3733" t="s">
        <v>3583</v>
      </c>
      <c r="K3733" t="s">
        <v>97</v>
      </c>
      <c r="L3733" t="s">
        <v>1273</v>
      </c>
      <c r="M3733">
        <v>11</v>
      </c>
      <c r="P3733" s="13">
        <v>189</v>
      </c>
      <c r="Q3733" s="13">
        <v>54</v>
      </c>
      <c r="R3733">
        <v>24</v>
      </c>
      <c r="S3733">
        <v>46</v>
      </c>
      <c r="T3733" s="13">
        <v>28</v>
      </c>
      <c r="U3733" s="13">
        <v>38</v>
      </c>
      <c r="V3733" t="s">
        <v>99</v>
      </c>
      <c r="X3733" s="13">
        <v>189</v>
      </c>
    </row>
    <row r="3734" spans="1:24" x14ac:dyDescent="0.25">
      <c r="A3734" t="s">
        <v>3613</v>
      </c>
      <c r="B3734" t="s">
        <v>65</v>
      </c>
      <c r="C3734" t="s">
        <v>3580</v>
      </c>
      <c r="D3734" t="s">
        <v>3581</v>
      </c>
      <c r="E3734" t="s">
        <v>3582</v>
      </c>
      <c r="F3734" t="s">
        <v>94</v>
      </c>
      <c r="G3734" t="s">
        <v>277</v>
      </c>
      <c r="H3734" s="12">
        <v>8.7611000000000008</v>
      </c>
      <c r="I3734" s="12">
        <v>-76.530299999999997</v>
      </c>
      <c r="J3734" t="s">
        <v>3583</v>
      </c>
      <c r="K3734" t="s">
        <v>97</v>
      </c>
      <c r="L3734" t="s">
        <v>1273</v>
      </c>
      <c r="M3734">
        <v>11</v>
      </c>
      <c r="P3734" s="13">
        <v>189</v>
      </c>
      <c r="Q3734" s="13">
        <v>44</v>
      </c>
      <c r="R3734">
        <v>30</v>
      </c>
      <c r="S3734">
        <v>42</v>
      </c>
      <c r="T3734" s="13">
        <v>36</v>
      </c>
      <c r="U3734" s="13">
        <v>35</v>
      </c>
      <c r="V3734" t="s">
        <v>99</v>
      </c>
      <c r="X3734" s="13">
        <v>189</v>
      </c>
    </row>
    <row r="3735" spans="1:24" x14ac:dyDescent="0.25">
      <c r="A3735" t="s">
        <v>3614</v>
      </c>
      <c r="B3735" t="s">
        <v>65</v>
      </c>
      <c r="C3735" t="s">
        <v>3580</v>
      </c>
      <c r="D3735" t="s">
        <v>3581</v>
      </c>
      <c r="E3735" t="s">
        <v>3582</v>
      </c>
      <c r="F3735" t="s">
        <v>94</v>
      </c>
      <c r="G3735" t="s">
        <v>277</v>
      </c>
      <c r="H3735" s="12">
        <v>8.7611000000000008</v>
      </c>
      <c r="I3735" s="12">
        <v>-76.530299999999997</v>
      </c>
      <c r="J3735" t="s">
        <v>3583</v>
      </c>
      <c r="K3735" t="s">
        <v>97</v>
      </c>
      <c r="L3735" t="s">
        <v>1273</v>
      </c>
      <c r="M3735">
        <v>11</v>
      </c>
      <c r="P3735" s="13">
        <v>189</v>
      </c>
      <c r="Q3735" s="13">
        <v>49</v>
      </c>
      <c r="R3735">
        <v>30</v>
      </c>
      <c r="S3735">
        <v>42</v>
      </c>
      <c r="T3735" s="13">
        <v>29</v>
      </c>
      <c r="U3735" s="13">
        <v>40</v>
      </c>
      <c r="V3735" t="s">
        <v>99</v>
      </c>
      <c r="X3735" s="13">
        <v>189</v>
      </c>
    </row>
    <row r="3736" spans="1:24" x14ac:dyDescent="0.25">
      <c r="A3736" t="s">
        <v>3615</v>
      </c>
      <c r="B3736" t="s">
        <v>65</v>
      </c>
      <c r="C3736" t="s">
        <v>3580</v>
      </c>
      <c r="D3736" t="s">
        <v>3581</v>
      </c>
      <c r="E3736" t="s">
        <v>3582</v>
      </c>
      <c r="F3736" t="s">
        <v>94</v>
      </c>
      <c r="G3736" t="s">
        <v>277</v>
      </c>
      <c r="H3736" s="12">
        <v>8.7611000000000008</v>
      </c>
      <c r="I3736" s="12">
        <v>-76.530299999999997</v>
      </c>
      <c r="J3736" t="s">
        <v>3583</v>
      </c>
      <c r="K3736" t="s">
        <v>97</v>
      </c>
      <c r="L3736" t="s">
        <v>1273</v>
      </c>
      <c r="M3736">
        <v>11</v>
      </c>
      <c r="P3736" s="13">
        <v>187</v>
      </c>
      <c r="Q3736" s="13">
        <v>46</v>
      </c>
      <c r="R3736">
        <v>28</v>
      </c>
      <c r="S3736">
        <v>52</v>
      </c>
      <c r="T3736" s="13">
        <v>22</v>
      </c>
      <c r="U3736" s="13">
        <v>40</v>
      </c>
      <c r="V3736" t="s">
        <v>99</v>
      </c>
      <c r="X3736" s="13">
        <v>187</v>
      </c>
    </row>
    <row r="3737" spans="1:24" x14ac:dyDescent="0.25">
      <c r="A3737" t="s">
        <v>3616</v>
      </c>
      <c r="B3737" t="s">
        <v>65</v>
      </c>
      <c r="C3737" t="s">
        <v>3580</v>
      </c>
      <c r="D3737" t="s">
        <v>3581</v>
      </c>
      <c r="E3737" t="s">
        <v>3582</v>
      </c>
      <c r="F3737" t="s">
        <v>94</v>
      </c>
      <c r="G3737" t="s">
        <v>277</v>
      </c>
      <c r="H3737" s="12">
        <v>8.7611000000000008</v>
      </c>
      <c r="I3737" s="12">
        <v>-76.530299999999997</v>
      </c>
      <c r="J3737" t="s">
        <v>3583</v>
      </c>
      <c r="K3737" t="s">
        <v>97</v>
      </c>
      <c r="L3737" t="s">
        <v>1273</v>
      </c>
      <c r="M3737">
        <v>11</v>
      </c>
      <c r="P3737" s="13">
        <v>187</v>
      </c>
      <c r="Q3737" s="13">
        <v>46</v>
      </c>
      <c r="R3737">
        <v>22</v>
      </c>
      <c r="S3737">
        <v>50</v>
      </c>
      <c r="T3737" s="13">
        <v>34</v>
      </c>
      <c r="U3737" s="13">
        <v>27</v>
      </c>
      <c r="V3737" t="s">
        <v>99</v>
      </c>
      <c r="X3737" s="13">
        <v>187</v>
      </c>
    </row>
    <row r="3738" spans="1:24" x14ac:dyDescent="0.25">
      <c r="A3738" t="s">
        <v>3617</v>
      </c>
      <c r="B3738" t="s">
        <v>65</v>
      </c>
      <c r="C3738" t="s">
        <v>3580</v>
      </c>
      <c r="D3738" t="s">
        <v>3581</v>
      </c>
      <c r="E3738" t="s">
        <v>3582</v>
      </c>
      <c r="F3738" t="s">
        <v>94</v>
      </c>
      <c r="G3738" t="s">
        <v>277</v>
      </c>
      <c r="H3738" s="12">
        <v>8.7611000000000008</v>
      </c>
      <c r="I3738" s="12">
        <v>-76.530299999999997</v>
      </c>
      <c r="J3738" t="s">
        <v>3583</v>
      </c>
      <c r="K3738" t="s">
        <v>97</v>
      </c>
      <c r="L3738" t="s">
        <v>1273</v>
      </c>
      <c r="M3738">
        <v>11</v>
      </c>
      <c r="P3738" s="13">
        <v>186</v>
      </c>
      <c r="Q3738" s="13">
        <v>41</v>
      </c>
      <c r="R3738">
        <v>22</v>
      </c>
      <c r="S3738">
        <v>50</v>
      </c>
      <c r="T3738" s="13">
        <v>33</v>
      </c>
      <c r="U3738" s="13">
        <v>44</v>
      </c>
      <c r="V3738" t="s">
        <v>99</v>
      </c>
      <c r="X3738" s="13">
        <v>186</v>
      </c>
    </row>
    <row r="3739" spans="1:24" x14ac:dyDescent="0.25">
      <c r="A3739" t="s">
        <v>3618</v>
      </c>
      <c r="B3739" t="s">
        <v>65</v>
      </c>
      <c r="C3739" t="s">
        <v>3580</v>
      </c>
      <c r="D3739" t="s">
        <v>3581</v>
      </c>
      <c r="E3739" t="s">
        <v>3582</v>
      </c>
      <c r="F3739" t="s">
        <v>94</v>
      </c>
      <c r="G3739" t="s">
        <v>277</v>
      </c>
      <c r="H3739" s="12">
        <v>8.7611000000000008</v>
      </c>
      <c r="I3739" s="12">
        <v>-76.530299999999997</v>
      </c>
      <c r="J3739" t="s">
        <v>3583</v>
      </c>
      <c r="K3739" t="s">
        <v>97</v>
      </c>
      <c r="L3739" t="s">
        <v>1273</v>
      </c>
      <c r="M3739">
        <v>11</v>
      </c>
      <c r="P3739" s="13">
        <v>185</v>
      </c>
      <c r="Q3739" s="13">
        <v>49</v>
      </c>
      <c r="R3739">
        <v>24</v>
      </c>
      <c r="S3739">
        <v>36</v>
      </c>
      <c r="T3739" s="13">
        <v>38</v>
      </c>
      <c r="U3739" s="13">
        <v>42</v>
      </c>
      <c r="V3739" t="s">
        <v>99</v>
      </c>
      <c r="X3739" s="13">
        <v>185</v>
      </c>
    </row>
    <row r="3740" spans="1:24" x14ac:dyDescent="0.25">
      <c r="A3740" t="s">
        <v>3619</v>
      </c>
      <c r="B3740" t="s">
        <v>65</v>
      </c>
      <c r="C3740" t="s">
        <v>3580</v>
      </c>
      <c r="D3740" t="s">
        <v>3581</v>
      </c>
      <c r="E3740" t="s">
        <v>3582</v>
      </c>
      <c r="F3740" t="s">
        <v>94</v>
      </c>
      <c r="G3740" t="s">
        <v>277</v>
      </c>
      <c r="H3740" s="12">
        <v>8.7611000000000008</v>
      </c>
      <c r="I3740" s="12">
        <v>-76.530299999999997</v>
      </c>
      <c r="J3740" t="s">
        <v>3583</v>
      </c>
      <c r="K3740" t="s">
        <v>97</v>
      </c>
      <c r="L3740" t="s">
        <v>1273</v>
      </c>
      <c r="M3740">
        <v>11</v>
      </c>
      <c r="P3740" s="13">
        <v>185</v>
      </c>
      <c r="Q3740" s="13">
        <v>51</v>
      </c>
      <c r="R3740">
        <v>28</v>
      </c>
      <c r="S3740">
        <v>34</v>
      </c>
      <c r="T3740" s="13">
        <v>34</v>
      </c>
      <c r="U3740" s="13">
        <v>38</v>
      </c>
      <c r="V3740" t="s">
        <v>99</v>
      </c>
      <c r="X3740" s="13">
        <v>185</v>
      </c>
    </row>
    <row r="3741" spans="1:24" x14ac:dyDescent="0.25">
      <c r="A3741" t="s">
        <v>3620</v>
      </c>
      <c r="B3741" t="s">
        <v>65</v>
      </c>
      <c r="C3741" t="s">
        <v>3580</v>
      </c>
      <c r="D3741" t="s">
        <v>3581</v>
      </c>
      <c r="E3741" t="s">
        <v>3582</v>
      </c>
      <c r="F3741" t="s">
        <v>94</v>
      </c>
      <c r="G3741" t="s">
        <v>277</v>
      </c>
      <c r="H3741" s="12">
        <v>8.7611000000000008</v>
      </c>
      <c r="I3741" s="12">
        <v>-76.530299999999997</v>
      </c>
      <c r="J3741" t="s">
        <v>3583</v>
      </c>
      <c r="K3741" t="s">
        <v>97</v>
      </c>
      <c r="L3741" t="s">
        <v>1273</v>
      </c>
      <c r="M3741">
        <v>11</v>
      </c>
      <c r="P3741" s="13">
        <v>182</v>
      </c>
      <c r="Q3741" s="13">
        <v>39</v>
      </c>
      <c r="R3741">
        <v>34</v>
      </c>
      <c r="S3741">
        <v>36</v>
      </c>
      <c r="T3741" s="13">
        <v>40</v>
      </c>
      <c r="U3741" s="13">
        <v>27</v>
      </c>
      <c r="V3741" t="s">
        <v>99</v>
      </c>
      <c r="X3741" s="13">
        <v>182</v>
      </c>
    </row>
    <row r="3742" spans="1:24" x14ac:dyDescent="0.25">
      <c r="A3742" t="s">
        <v>3621</v>
      </c>
      <c r="B3742" t="s">
        <v>65</v>
      </c>
      <c r="C3742" t="s">
        <v>3580</v>
      </c>
      <c r="D3742" t="s">
        <v>3581</v>
      </c>
      <c r="E3742" t="s">
        <v>3582</v>
      </c>
      <c r="F3742" t="s">
        <v>94</v>
      </c>
      <c r="G3742" t="s">
        <v>277</v>
      </c>
      <c r="H3742" s="12">
        <v>8.7611000000000008</v>
      </c>
      <c r="I3742" s="12">
        <v>-76.530299999999997</v>
      </c>
      <c r="J3742" t="s">
        <v>3583</v>
      </c>
      <c r="K3742" t="s">
        <v>97</v>
      </c>
      <c r="L3742" t="s">
        <v>1273</v>
      </c>
      <c r="M3742">
        <v>11</v>
      </c>
      <c r="P3742" s="13">
        <v>182</v>
      </c>
      <c r="Q3742" s="13">
        <v>49</v>
      </c>
      <c r="R3742">
        <v>28</v>
      </c>
      <c r="S3742">
        <v>46</v>
      </c>
      <c r="T3742" s="13">
        <v>26</v>
      </c>
      <c r="U3742" s="13">
        <v>27</v>
      </c>
      <c r="V3742" t="s">
        <v>99</v>
      </c>
      <c r="X3742" s="13">
        <v>182</v>
      </c>
    </row>
    <row r="3743" spans="1:24" x14ac:dyDescent="0.25">
      <c r="A3743" t="s">
        <v>3622</v>
      </c>
      <c r="B3743" t="s">
        <v>65</v>
      </c>
      <c r="C3743" t="s">
        <v>3580</v>
      </c>
      <c r="D3743" t="s">
        <v>3581</v>
      </c>
      <c r="E3743" t="s">
        <v>3582</v>
      </c>
      <c r="F3743" t="s">
        <v>94</v>
      </c>
      <c r="G3743" t="s">
        <v>277</v>
      </c>
      <c r="H3743" s="12">
        <v>8.7611000000000008</v>
      </c>
      <c r="I3743" s="12">
        <v>-76.530299999999997</v>
      </c>
      <c r="J3743" t="s">
        <v>3583</v>
      </c>
      <c r="K3743" t="s">
        <v>97</v>
      </c>
      <c r="L3743" t="s">
        <v>1273</v>
      </c>
      <c r="M3743">
        <v>11</v>
      </c>
      <c r="P3743" s="13">
        <v>182</v>
      </c>
      <c r="Q3743" s="13">
        <v>49</v>
      </c>
      <c r="R3743">
        <v>22</v>
      </c>
      <c r="S3743">
        <v>36</v>
      </c>
      <c r="T3743" s="13">
        <v>34</v>
      </c>
      <c r="U3743" s="13">
        <v>49</v>
      </c>
      <c r="V3743" t="s">
        <v>99</v>
      </c>
      <c r="X3743" s="13">
        <v>182</v>
      </c>
    </row>
    <row r="3744" spans="1:24" x14ac:dyDescent="0.25">
      <c r="A3744" t="s">
        <v>3623</v>
      </c>
      <c r="B3744" t="s">
        <v>65</v>
      </c>
      <c r="C3744" t="s">
        <v>3580</v>
      </c>
      <c r="D3744" t="s">
        <v>3581</v>
      </c>
      <c r="E3744" t="s">
        <v>3582</v>
      </c>
      <c r="F3744" t="s">
        <v>94</v>
      </c>
      <c r="G3744" t="s">
        <v>277</v>
      </c>
      <c r="H3744" s="12">
        <v>8.7611000000000008</v>
      </c>
      <c r="I3744" s="12">
        <v>-76.530299999999997</v>
      </c>
      <c r="J3744" t="s">
        <v>3583</v>
      </c>
      <c r="K3744" t="s">
        <v>97</v>
      </c>
      <c r="L3744" t="s">
        <v>1273</v>
      </c>
      <c r="M3744">
        <v>11</v>
      </c>
      <c r="P3744" s="13">
        <v>181</v>
      </c>
      <c r="Q3744" s="13">
        <v>46</v>
      </c>
      <c r="R3744">
        <v>42</v>
      </c>
      <c r="S3744">
        <v>26</v>
      </c>
      <c r="T3744" s="13">
        <v>29</v>
      </c>
      <c r="U3744" s="13">
        <v>40</v>
      </c>
      <c r="V3744" t="s">
        <v>99</v>
      </c>
      <c r="X3744" s="13">
        <v>181</v>
      </c>
    </row>
    <row r="3745" spans="1:24" x14ac:dyDescent="0.25">
      <c r="A3745" t="s">
        <v>3624</v>
      </c>
      <c r="B3745" t="s">
        <v>65</v>
      </c>
      <c r="C3745" t="s">
        <v>3580</v>
      </c>
      <c r="D3745" t="s">
        <v>3581</v>
      </c>
      <c r="E3745" t="s">
        <v>3582</v>
      </c>
      <c r="F3745" t="s">
        <v>94</v>
      </c>
      <c r="G3745" t="s">
        <v>277</v>
      </c>
      <c r="H3745" s="12">
        <v>8.7611000000000008</v>
      </c>
      <c r="I3745" s="12">
        <v>-76.530299999999997</v>
      </c>
      <c r="J3745" t="s">
        <v>3583</v>
      </c>
      <c r="K3745" t="s">
        <v>97</v>
      </c>
      <c r="L3745" t="s">
        <v>1273</v>
      </c>
      <c r="M3745">
        <v>11</v>
      </c>
      <c r="P3745" s="13">
        <v>178</v>
      </c>
      <c r="Q3745" s="13">
        <v>41</v>
      </c>
      <c r="R3745">
        <v>22</v>
      </c>
      <c r="S3745">
        <v>52</v>
      </c>
      <c r="T3745" s="13">
        <v>21</v>
      </c>
      <c r="U3745" s="13">
        <v>55</v>
      </c>
      <c r="V3745" t="s">
        <v>99</v>
      </c>
      <c r="X3745" s="13">
        <v>178</v>
      </c>
    </row>
    <row r="3746" spans="1:24" x14ac:dyDescent="0.25">
      <c r="A3746" t="s">
        <v>3625</v>
      </c>
      <c r="B3746" t="s">
        <v>65</v>
      </c>
      <c r="C3746" t="s">
        <v>3580</v>
      </c>
      <c r="D3746" t="s">
        <v>3581</v>
      </c>
      <c r="E3746" t="s">
        <v>3582</v>
      </c>
      <c r="F3746" t="s">
        <v>94</v>
      </c>
      <c r="G3746" t="s">
        <v>277</v>
      </c>
      <c r="H3746" s="12">
        <v>8.7611000000000008</v>
      </c>
      <c r="I3746" s="12">
        <v>-76.530299999999997</v>
      </c>
      <c r="J3746" t="s">
        <v>3583</v>
      </c>
      <c r="K3746" t="s">
        <v>97</v>
      </c>
      <c r="L3746" t="s">
        <v>1273</v>
      </c>
      <c r="M3746">
        <v>11</v>
      </c>
      <c r="P3746" s="13">
        <v>177</v>
      </c>
      <c r="Q3746" s="13">
        <v>44</v>
      </c>
      <c r="R3746">
        <v>22</v>
      </c>
      <c r="S3746">
        <v>42</v>
      </c>
      <c r="T3746" s="13">
        <v>34</v>
      </c>
      <c r="U3746" s="13">
        <v>33</v>
      </c>
      <c r="V3746" t="s">
        <v>99</v>
      </c>
      <c r="X3746" s="13">
        <v>177</v>
      </c>
    </row>
    <row r="3747" spans="1:24" x14ac:dyDescent="0.25">
      <c r="A3747" t="s">
        <v>3626</v>
      </c>
      <c r="B3747" t="s">
        <v>65</v>
      </c>
      <c r="C3747" t="s">
        <v>3580</v>
      </c>
      <c r="D3747" t="s">
        <v>3581</v>
      </c>
      <c r="E3747" t="s">
        <v>3582</v>
      </c>
      <c r="F3747" t="s">
        <v>94</v>
      </c>
      <c r="G3747" t="s">
        <v>277</v>
      </c>
      <c r="H3747" s="12">
        <v>8.7611000000000008</v>
      </c>
      <c r="I3747" s="12">
        <v>-76.530299999999997</v>
      </c>
      <c r="J3747" t="s">
        <v>3583</v>
      </c>
      <c r="K3747" t="s">
        <v>97</v>
      </c>
      <c r="L3747" t="s">
        <v>1273</v>
      </c>
      <c r="M3747">
        <v>11</v>
      </c>
      <c r="P3747" s="13">
        <v>173</v>
      </c>
      <c r="Q3747" s="13">
        <v>56</v>
      </c>
      <c r="R3747">
        <v>18</v>
      </c>
      <c r="S3747">
        <v>40</v>
      </c>
      <c r="T3747" s="13">
        <v>24</v>
      </c>
      <c r="U3747" s="13">
        <v>36</v>
      </c>
      <c r="V3747" t="s">
        <v>99</v>
      </c>
      <c r="X3747" s="13">
        <v>173</v>
      </c>
    </row>
    <row r="3748" spans="1:24" x14ac:dyDescent="0.25">
      <c r="A3748" t="s">
        <v>3627</v>
      </c>
      <c r="B3748" t="s">
        <v>65</v>
      </c>
      <c r="C3748" t="s">
        <v>3580</v>
      </c>
      <c r="D3748" t="s">
        <v>3581</v>
      </c>
      <c r="E3748" t="s">
        <v>3582</v>
      </c>
      <c r="F3748" t="s">
        <v>94</v>
      </c>
      <c r="G3748" t="s">
        <v>277</v>
      </c>
      <c r="H3748" s="12">
        <v>8.7611000000000008</v>
      </c>
      <c r="I3748" s="12">
        <v>-76.530299999999997</v>
      </c>
      <c r="J3748" t="s">
        <v>3583</v>
      </c>
      <c r="K3748" t="s">
        <v>97</v>
      </c>
      <c r="L3748" t="s">
        <v>1273</v>
      </c>
      <c r="M3748">
        <v>11</v>
      </c>
      <c r="P3748" s="13">
        <v>173</v>
      </c>
      <c r="Q3748" s="13">
        <v>46</v>
      </c>
      <c r="R3748">
        <v>20</v>
      </c>
      <c r="S3748">
        <v>44</v>
      </c>
      <c r="T3748" s="13">
        <v>26</v>
      </c>
      <c r="U3748" s="13">
        <v>42</v>
      </c>
      <c r="V3748" t="s">
        <v>99</v>
      </c>
      <c r="X3748" s="13">
        <v>173</v>
      </c>
    </row>
    <row r="3749" spans="1:24" x14ac:dyDescent="0.25">
      <c r="A3749" t="s">
        <v>3628</v>
      </c>
      <c r="B3749" t="s">
        <v>65</v>
      </c>
      <c r="C3749" t="s">
        <v>3580</v>
      </c>
      <c r="D3749" t="s">
        <v>3581</v>
      </c>
      <c r="E3749" t="s">
        <v>3582</v>
      </c>
      <c r="F3749" t="s">
        <v>94</v>
      </c>
      <c r="G3749" t="s">
        <v>277</v>
      </c>
      <c r="H3749" s="12">
        <v>8.7611000000000008</v>
      </c>
      <c r="I3749" s="12">
        <v>-76.530299999999997</v>
      </c>
      <c r="J3749" t="s">
        <v>3583</v>
      </c>
      <c r="K3749" t="s">
        <v>97</v>
      </c>
      <c r="L3749" t="s">
        <v>1273</v>
      </c>
      <c r="M3749">
        <v>11</v>
      </c>
      <c r="P3749" s="13">
        <v>173</v>
      </c>
      <c r="Q3749" s="13">
        <v>49</v>
      </c>
      <c r="R3749">
        <v>32</v>
      </c>
      <c r="S3749">
        <v>30</v>
      </c>
      <c r="T3749" s="13">
        <v>24</v>
      </c>
      <c r="U3749" s="13">
        <v>45</v>
      </c>
      <c r="V3749" t="s">
        <v>99</v>
      </c>
      <c r="X3749" s="13">
        <v>173</v>
      </c>
    </row>
    <row r="3750" spans="1:24" x14ac:dyDescent="0.25">
      <c r="A3750" t="s">
        <v>3629</v>
      </c>
      <c r="B3750" t="s">
        <v>65</v>
      </c>
      <c r="C3750" t="s">
        <v>3580</v>
      </c>
      <c r="D3750" t="s">
        <v>3581</v>
      </c>
      <c r="E3750" t="s">
        <v>3582</v>
      </c>
      <c r="F3750" t="s">
        <v>94</v>
      </c>
      <c r="G3750" t="s">
        <v>277</v>
      </c>
      <c r="H3750" s="12">
        <v>8.7611000000000008</v>
      </c>
      <c r="I3750" s="12">
        <v>-76.530299999999997</v>
      </c>
      <c r="J3750" t="s">
        <v>3583</v>
      </c>
      <c r="K3750" t="s">
        <v>97</v>
      </c>
      <c r="L3750" t="s">
        <v>1273</v>
      </c>
      <c r="M3750">
        <v>11</v>
      </c>
      <c r="P3750" s="13">
        <v>173</v>
      </c>
      <c r="Q3750" s="13">
        <v>49</v>
      </c>
      <c r="R3750">
        <v>14</v>
      </c>
      <c r="S3750">
        <v>48</v>
      </c>
      <c r="T3750" s="13">
        <v>26</v>
      </c>
      <c r="U3750" s="13">
        <v>40</v>
      </c>
      <c r="V3750" t="s">
        <v>99</v>
      </c>
      <c r="X3750" s="13">
        <v>173</v>
      </c>
    </row>
    <row r="3751" spans="1:24" x14ac:dyDescent="0.25">
      <c r="A3751" t="s">
        <v>3630</v>
      </c>
      <c r="B3751" t="s">
        <v>65</v>
      </c>
      <c r="C3751" t="s">
        <v>3580</v>
      </c>
      <c r="D3751" t="s">
        <v>3581</v>
      </c>
      <c r="E3751" t="s">
        <v>3582</v>
      </c>
      <c r="F3751" t="s">
        <v>94</v>
      </c>
      <c r="G3751" t="s">
        <v>277</v>
      </c>
      <c r="H3751" s="12">
        <v>8.7611000000000008</v>
      </c>
      <c r="I3751" s="12">
        <v>-76.530299999999997</v>
      </c>
      <c r="J3751" t="s">
        <v>3583</v>
      </c>
      <c r="K3751" t="s">
        <v>97</v>
      </c>
      <c r="L3751" t="s">
        <v>1273</v>
      </c>
      <c r="M3751">
        <v>11</v>
      </c>
      <c r="P3751" s="13">
        <v>171</v>
      </c>
      <c r="Q3751" s="13">
        <v>34</v>
      </c>
      <c r="R3751">
        <v>24</v>
      </c>
      <c r="S3751">
        <v>30</v>
      </c>
      <c r="T3751" s="13">
        <v>48</v>
      </c>
      <c r="U3751" s="13">
        <v>36</v>
      </c>
      <c r="V3751" t="s">
        <v>99</v>
      </c>
      <c r="X3751" s="13">
        <v>171</v>
      </c>
    </row>
    <row r="3752" spans="1:24" x14ac:dyDescent="0.25">
      <c r="A3752" t="s">
        <v>3631</v>
      </c>
      <c r="B3752" t="s">
        <v>65</v>
      </c>
      <c r="C3752" t="s">
        <v>3580</v>
      </c>
      <c r="D3752" t="s">
        <v>3581</v>
      </c>
      <c r="E3752" t="s">
        <v>3582</v>
      </c>
      <c r="F3752" t="s">
        <v>94</v>
      </c>
      <c r="G3752" t="s">
        <v>277</v>
      </c>
      <c r="H3752" s="12">
        <v>8.7611000000000008</v>
      </c>
      <c r="I3752" s="12">
        <v>-76.530299999999997</v>
      </c>
      <c r="J3752" t="s">
        <v>3583</v>
      </c>
      <c r="K3752" t="s">
        <v>97</v>
      </c>
      <c r="L3752" t="s">
        <v>1273</v>
      </c>
      <c r="M3752">
        <v>11</v>
      </c>
      <c r="P3752" s="13">
        <v>169</v>
      </c>
      <c r="Q3752" s="13">
        <v>39</v>
      </c>
      <c r="R3752">
        <v>26</v>
      </c>
      <c r="S3752">
        <v>40</v>
      </c>
      <c r="T3752" s="13">
        <v>28</v>
      </c>
      <c r="U3752" s="13">
        <v>42</v>
      </c>
      <c r="V3752" t="s">
        <v>99</v>
      </c>
      <c r="X3752" s="13">
        <v>169</v>
      </c>
    </row>
    <row r="3753" spans="1:24" x14ac:dyDescent="0.25">
      <c r="A3753" t="s">
        <v>3632</v>
      </c>
      <c r="B3753" t="s">
        <v>65</v>
      </c>
      <c r="C3753" t="s">
        <v>3580</v>
      </c>
      <c r="D3753" t="s">
        <v>3581</v>
      </c>
      <c r="E3753" t="s">
        <v>3582</v>
      </c>
      <c r="F3753" t="s">
        <v>94</v>
      </c>
      <c r="G3753" t="s">
        <v>277</v>
      </c>
      <c r="H3753" s="12">
        <v>8.7611000000000008</v>
      </c>
      <c r="I3753" s="12">
        <v>-76.530299999999997</v>
      </c>
      <c r="J3753" t="s">
        <v>3583</v>
      </c>
      <c r="K3753" t="s">
        <v>97</v>
      </c>
      <c r="L3753" t="s">
        <v>1273</v>
      </c>
      <c r="M3753">
        <v>11</v>
      </c>
      <c r="P3753" s="13">
        <v>168</v>
      </c>
      <c r="Q3753" s="13">
        <v>51</v>
      </c>
      <c r="R3753">
        <v>34</v>
      </c>
      <c r="S3753">
        <v>28</v>
      </c>
      <c r="T3753" s="13">
        <v>21</v>
      </c>
      <c r="U3753" s="13">
        <v>36</v>
      </c>
      <c r="V3753" t="s">
        <v>99</v>
      </c>
      <c r="X3753" s="13">
        <v>168</v>
      </c>
    </row>
    <row r="3754" spans="1:24" x14ac:dyDescent="0.25">
      <c r="A3754" t="s">
        <v>3633</v>
      </c>
      <c r="B3754" t="s">
        <v>65</v>
      </c>
      <c r="C3754" t="s">
        <v>3580</v>
      </c>
      <c r="D3754" t="s">
        <v>3581</v>
      </c>
      <c r="E3754" t="s">
        <v>3582</v>
      </c>
      <c r="F3754" t="s">
        <v>94</v>
      </c>
      <c r="G3754" t="s">
        <v>277</v>
      </c>
      <c r="H3754" s="12">
        <v>8.7611000000000008</v>
      </c>
      <c r="I3754" s="12">
        <v>-76.530299999999997</v>
      </c>
      <c r="J3754" t="s">
        <v>3583</v>
      </c>
      <c r="K3754" t="s">
        <v>97</v>
      </c>
      <c r="L3754" t="s">
        <v>1273</v>
      </c>
      <c r="M3754">
        <v>11</v>
      </c>
      <c r="P3754" s="13">
        <v>168</v>
      </c>
      <c r="Q3754" s="13">
        <v>41</v>
      </c>
      <c r="R3754">
        <v>22</v>
      </c>
      <c r="S3754">
        <v>48</v>
      </c>
      <c r="T3754" s="13">
        <v>26</v>
      </c>
      <c r="U3754" s="13">
        <v>25</v>
      </c>
      <c r="V3754" t="s">
        <v>99</v>
      </c>
      <c r="X3754" s="13">
        <v>168</v>
      </c>
    </row>
    <row r="3755" spans="1:24" x14ac:dyDescent="0.25">
      <c r="A3755" t="s">
        <v>3634</v>
      </c>
      <c r="B3755" t="s">
        <v>65</v>
      </c>
      <c r="C3755" t="s">
        <v>3580</v>
      </c>
      <c r="D3755" t="s">
        <v>3581</v>
      </c>
      <c r="E3755" t="s">
        <v>3582</v>
      </c>
      <c r="F3755" t="s">
        <v>94</v>
      </c>
      <c r="G3755" t="s">
        <v>277</v>
      </c>
      <c r="H3755" s="12">
        <v>8.7611000000000008</v>
      </c>
      <c r="I3755" s="12">
        <v>-76.530299999999997</v>
      </c>
      <c r="J3755" t="s">
        <v>3583</v>
      </c>
      <c r="K3755" t="s">
        <v>97</v>
      </c>
      <c r="L3755" t="s">
        <v>1273</v>
      </c>
      <c r="M3755">
        <v>11</v>
      </c>
      <c r="P3755" s="13">
        <v>168</v>
      </c>
      <c r="Q3755" s="13">
        <v>39</v>
      </c>
      <c r="R3755">
        <v>12</v>
      </c>
      <c r="S3755">
        <v>38</v>
      </c>
      <c r="T3755" s="13">
        <v>40</v>
      </c>
      <c r="U3755" s="13">
        <v>51</v>
      </c>
      <c r="V3755" t="s">
        <v>99</v>
      </c>
      <c r="X3755" s="13">
        <v>168</v>
      </c>
    </row>
    <row r="3756" spans="1:24" x14ac:dyDescent="0.25">
      <c r="A3756" t="s">
        <v>3635</v>
      </c>
      <c r="B3756" t="s">
        <v>65</v>
      </c>
      <c r="C3756" t="s">
        <v>3580</v>
      </c>
      <c r="D3756" t="s">
        <v>3581</v>
      </c>
      <c r="E3756" t="s">
        <v>3582</v>
      </c>
      <c r="F3756" t="s">
        <v>94</v>
      </c>
      <c r="G3756" t="s">
        <v>277</v>
      </c>
      <c r="H3756" s="12">
        <v>8.7611000000000008</v>
      </c>
      <c r="I3756" s="12">
        <v>-76.530299999999997</v>
      </c>
      <c r="J3756" t="s">
        <v>3583</v>
      </c>
      <c r="K3756" t="s">
        <v>97</v>
      </c>
      <c r="L3756" t="s">
        <v>1273</v>
      </c>
      <c r="M3756">
        <v>11</v>
      </c>
      <c r="P3756" s="13">
        <v>167</v>
      </c>
      <c r="Q3756" s="13">
        <v>37</v>
      </c>
      <c r="R3756">
        <v>34</v>
      </c>
      <c r="S3756">
        <v>32</v>
      </c>
      <c r="T3756" s="13">
        <v>33</v>
      </c>
      <c r="U3756" s="13">
        <v>29</v>
      </c>
      <c r="V3756" t="s">
        <v>99</v>
      </c>
      <c r="X3756" s="13">
        <v>167</v>
      </c>
    </row>
    <row r="3757" spans="1:24" x14ac:dyDescent="0.25">
      <c r="A3757" t="s">
        <v>3636</v>
      </c>
      <c r="B3757" t="s">
        <v>65</v>
      </c>
      <c r="C3757" t="s">
        <v>3580</v>
      </c>
      <c r="D3757" t="s">
        <v>3581</v>
      </c>
      <c r="E3757" t="s">
        <v>3582</v>
      </c>
      <c r="F3757" t="s">
        <v>94</v>
      </c>
      <c r="G3757" t="s">
        <v>277</v>
      </c>
      <c r="H3757" s="12">
        <v>8.7611000000000008</v>
      </c>
      <c r="I3757" s="12">
        <v>-76.530299999999997</v>
      </c>
      <c r="J3757" t="s">
        <v>3583</v>
      </c>
      <c r="K3757" t="s">
        <v>97</v>
      </c>
      <c r="L3757" t="s">
        <v>1273</v>
      </c>
      <c r="M3757">
        <v>11</v>
      </c>
      <c r="P3757" s="13">
        <v>167</v>
      </c>
      <c r="Q3757" s="13">
        <v>41</v>
      </c>
      <c r="R3757">
        <v>32</v>
      </c>
      <c r="S3757">
        <v>34</v>
      </c>
      <c r="T3757" s="13">
        <v>26</v>
      </c>
      <c r="U3757" s="13">
        <v>35</v>
      </c>
      <c r="V3757" t="s">
        <v>99</v>
      </c>
      <c r="X3757" s="13">
        <v>167</v>
      </c>
    </row>
    <row r="3758" spans="1:24" x14ac:dyDescent="0.25">
      <c r="A3758" t="s">
        <v>3637</v>
      </c>
      <c r="B3758" t="s">
        <v>65</v>
      </c>
      <c r="C3758" t="s">
        <v>3580</v>
      </c>
      <c r="D3758" t="s">
        <v>3581</v>
      </c>
      <c r="E3758" t="s">
        <v>3582</v>
      </c>
      <c r="F3758" t="s">
        <v>94</v>
      </c>
      <c r="G3758" t="s">
        <v>277</v>
      </c>
      <c r="H3758" s="12">
        <v>8.7611000000000008</v>
      </c>
      <c r="I3758" s="12">
        <v>-76.530299999999997</v>
      </c>
      <c r="J3758" t="s">
        <v>3583</v>
      </c>
      <c r="K3758" t="s">
        <v>97</v>
      </c>
      <c r="L3758" t="s">
        <v>1273</v>
      </c>
      <c r="M3758">
        <v>11</v>
      </c>
      <c r="P3758" s="13">
        <v>167</v>
      </c>
      <c r="Q3758" s="13">
        <v>34</v>
      </c>
      <c r="R3758">
        <v>18</v>
      </c>
      <c r="S3758">
        <v>48</v>
      </c>
      <c r="T3758" s="13">
        <v>29</v>
      </c>
      <c r="U3758" s="13">
        <v>45</v>
      </c>
      <c r="V3758" t="s">
        <v>99</v>
      </c>
      <c r="X3758" s="13">
        <v>167</v>
      </c>
    </row>
    <row r="3759" spans="1:24" x14ac:dyDescent="0.25">
      <c r="A3759" t="s">
        <v>3638</v>
      </c>
      <c r="B3759" t="s">
        <v>65</v>
      </c>
      <c r="C3759" t="s">
        <v>3580</v>
      </c>
      <c r="D3759" t="s">
        <v>3581</v>
      </c>
      <c r="E3759" t="s">
        <v>3582</v>
      </c>
      <c r="F3759" t="s">
        <v>94</v>
      </c>
      <c r="G3759" t="s">
        <v>277</v>
      </c>
      <c r="H3759" s="12">
        <v>8.7611000000000008</v>
      </c>
      <c r="I3759" s="12">
        <v>-76.530299999999997</v>
      </c>
      <c r="J3759" t="s">
        <v>3583</v>
      </c>
      <c r="K3759" t="s">
        <v>97</v>
      </c>
      <c r="L3759" t="s">
        <v>1273</v>
      </c>
      <c r="M3759">
        <v>11</v>
      </c>
      <c r="P3759" s="13">
        <v>163</v>
      </c>
      <c r="Q3759" s="13">
        <v>46</v>
      </c>
      <c r="R3759">
        <v>26</v>
      </c>
      <c r="S3759">
        <v>32</v>
      </c>
      <c r="T3759" s="13">
        <v>19</v>
      </c>
      <c r="U3759" s="13">
        <v>55</v>
      </c>
      <c r="V3759" t="s">
        <v>99</v>
      </c>
      <c r="X3759" s="13">
        <v>163</v>
      </c>
    </row>
    <row r="3760" spans="1:24" x14ac:dyDescent="0.25">
      <c r="A3760" t="s">
        <v>3639</v>
      </c>
      <c r="B3760" t="s">
        <v>65</v>
      </c>
      <c r="C3760" t="s">
        <v>3580</v>
      </c>
      <c r="D3760" t="s">
        <v>3581</v>
      </c>
      <c r="E3760" t="s">
        <v>3582</v>
      </c>
      <c r="F3760" t="s">
        <v>94</v>
      </c>
      <c r="G3760" t="s">
        <v>277</v>
      </c>
      <c r="H3760" s="12">
        <v>8.7611000000000008</v>
      </c>
      <c r="I3760" s="12">
        <v>-76.530299999999997</v>
      </c>
      <c r="J3760" t="s">
        <v>3583</v>
      </c>
      <c r="K3760" t="s">
        <v>97</v>
      </c>
      <c r="L3760" t="s">
        <v>1273</v>
      </c>
      <c r="M3760">
        <v>11</v>
      </c>
      <c r="P3760" s="13">
        <v>163</v>
      </c>
      <c r="Q3760" s="13">
        <v>44</v>
      </c>
      <c r="R3760">
        <v>36</v>
      </c>
      <c r="S3760">
        <v>32</v>
      </c>
      <c r="T3760" s="13">
        <v>21</v>
      </c>
      <c r="U3760" s="13">
        <v>25</v>
      </c>
      <c r="V3760" t="s">
        <v>99</v>
      </c>
      <c r="X3760" s="13">
        <v>163</v>
      </c>
    </row>
    <row r="3761" spans="1:24" x14ac:dyDescent="0.25">
      <c r="A3761" t="s">
        <v>3640</v>
      </c>
      <c r="B3761" t="s">
        <v>65</v>
      </c>
      <c r="C3761" t="s">
        <v>3580</v>
      </c>
      <c r="D3761" t="s">
        <v>3581</v>
      </c>
      <c r="E3761" t="s">
        <v>3582</v>
      </c>
      <c r="F3761" t="s">
        <v>94</v>
      </c>
      <c r="G3761" t="s">
        <v>277</v>
      </c>
      <c r="H3761" s="12">
        <v>8.7611000000000008</v>
      </c>
      <c r="I3761" s="12">
        <v>-76.530299999999997</v>
      </c>
      <c r="J3761" t="s">
        <v>3583</v>
      </c>
      <c r="K3761" t="s">
        <v>97</v>
      </c>
      <c r="L3761" t="s">
        <v>1273</v>
      </c>
      <c r="M3761">
        <v>11</v>
      </c>
      <c r="P3761" s="13">
        <v>163</v>
      </c>
      <c r="Q3761" s="13">
        <v>49</v>
      </c>
      <c r="R3761">
        <v>20</v>
      </c>
      <c r="S3761">
        <v>32</v>
      </c>
      <c r="T3761" s="13">
        <v>29</v>
      </c>
      <c r="U3761" s="13">
        <v>33</v>
      </c>
      <c r="V3761" t="s">
        <v>99</v>
      </c>
      <c r="X3761" s="13">
        <v>163</v>
      </c>
    </row>
    <row r="3762" spans="1:24" x14ac:dyDescent="0.25">
      <c r="A3762" t="s">
        <v>3641</v>
      </c>
      <c r="B3762" t="s">
        <v>65</v>
      </c>
      <c r="C3762" t="s">
        <v>3580</v>
      </c>
      <c r="D3762" t="s">
        <v>3581</v>
      </c>
      <c r="E3762" t="s">
        <v>3582</v>
      </c>
      <c r="F3762" t="s">
        <v>94</v>
      </c>
      <c r="G3762" t="s">
        <v>277</v>
      </c>
      <c r="H3762" s="12">
        <v>8.7611000000000008</v>
      </c>
      <c r="I3762" s="12">
        <v>-76.530299999999997</v>
      </c>
      <c r="J3762" t="s">
        <v>3583</v>
      </c>
      <c r="K3762" t="s">
        <v>97</v>
      </c>
      <c r="L3762" t="s">
        <v>1273</v>
      </c>
      <c r="M3762">
        <v>11</v>
      </c>
      <c r="P3762" s="13">
        <v>162</v>
      </c>
      <c r="Q3762" s="13">
        <v>34</v>
      </c>
      <c r="R3762">
        <v>22</v>
      </c>
      <c r="S3762">
        <v>42</v>
      </c>
      <c r="T3762" s="13">
        <v>33</v>
      </c>
      <c r="U3762" s="13">
        <v>27</v>
      </c>
      <c r="V3762" t="s">
        <v>99</v>
      </c>
      <c r="X3762" s="13">
        <v>162</v>
      </c>
    </row>
    <row r="3763" spans="1:24" x14ac:dyDescent="0.25">
      <c r="A3763" t="s">
        <v>3642</v>
      </c>
      <c r="B3763" t="s">
        <v>65</v>
      </c>
      <c r="C3763" t="s">
        <v>3580</v>
      </c>
      <c r="D3763" t="s">
        <v>3581</v>
      </c>
      <c r="E3763" t="s">
        <v>3582</v>
      </c>
      <c r="F3763" t="s">
        <v>94</v>
      </c>
      <c r="G3763" t="s">
        <v>277</v>
      </c>
      <c r="H3763" s="12">
        <v>8.7611000000000008</v>
      </c>
      <c r="I3763" s="12">
        <v>-76.530299999999997</v>
      </c>
      <c r="J3763" t="s">
        <v>3583</v>
      </c>
      <c r="K3763" t="s">
        <v>97</v>
      </c>
      <c r="L3763" t="s">
        <v>1273</v>
      </c>
      <c r="M3763">
        <v>11</v>
      </c>
      <c r="P3763" s="13">
        <v>161</v>
      </c>
      <c r="Q3763" s="13">
        <v>46</v>
      </c>
      <c r="R3763">
        <v>24</v>
      </c>
      <c r="S3763">
        <v>30</v>
      </c>
      <c r="T3763" s="13">
        <v>26</v>
      </c>
      <c r="U3763" s="13">
        <v>40</v>
      </c>
      <c r="V3763" t="s">
        <v>99</v>
      </c>
      <c r="X3763" s="13">
        <v>161</v>
      </c>
    </row>
    <row r="3764" spans="1:24" x14ac:dyDescent="0.25">
      <c r="A3764" t="s">
        <v>3643</v>
      </c>
      <c r="B3764" t="s">
        <v>65</v>
      </c>
      <c r="C3764" t="s">
        <v>3580</v>
      </c>
      <c r="D3764" t="s">
        <v>3581</v>
      </c>
      <c r="E3764" t="s">
        <v>3582</v>
      </c>
      <c r="F3764" t="s">
        <v>94</v>
      </c>
      <c r="G3764" t="s">
        <v>277</v>
      </c>
      <c r="H3764" s="12">
        <v>8.7611000000000008</v>
      </c>
      <c r="I3764" s="12">
        <v>-76.530299999999997</v>
      </c>
      <c r="J3764" t="s">
        <v>3583</v>
      </c>
      <c r="K3764" t="s">
        <v>97</v>
      </c>
      <c r="L3764" t="s">
        <v>1273</v>
      </c>
      <c r="M3764">
        <v>11</v>
      </c>
      <c r="P3764" s="13">
        <v>160</v>
      </c>
      <c r="Q3764" s="13">
        <v>32</v>
      </c>
      <c r="R3764">
        <v>32</v>
      </c>
      <c r="S3764">
        <v>28</v>
      </c>
      <c r="T3764" s="13">
        <v>34</v>
      </c>
      <c r="U3764" s="13">
        <v>36</v>
      </c>
      <c r="V3764" t="s">
        <v>99</v>
      </c>
      <c r="X3764" s="13">
        <v>160</v>
      </c>
    </row>
    <row r="3765" spans="1:24" x14ac:dyDescent="0.25">
      <c r="A3765" t="s">
        <v>3644</v>
      </c>
      <c r="B3765" t="s">
        <v>65</v>
      </c>
      <c r="C3765" t="s">
        <v>3580</v>
      </c>
      <c r="D3765" t="s">
        <v>3581</v>
      </c>
      <c r="E3765" t="s">
        <v>3582</v>
      </c>
      <c r="F3765" t="s">
        <v>94</v>
      </c>
      <c r="G3765" t="s">
        <v>277</v>
      </c>
      <c r="H3765" s="12">
        <v>8.7611000000000008</v>
      </c>
      <c r="I3765" s="12">
        <v>-76.530299999999997</v>
      </c>
      <c r="J3765" t="s">
        <v>3583</v>
      </c>
      <c r="K3765" t="s">
        <v>97</v>
      </c>
      <c r="L3765" t="s">
        <v>1273</v>
      </c>
      <c r="M3765">
        <v>11</v>
      </c>
      <c r="P3765" s="13">
        <v>159</v>
      </c>
      <c r="Q3765" s="13">
        <v>49</v>
      </c>
      <c r="R3765">
        <v>32</v>
      </c>
      <c r="S3765">
        <v>18</v>
      </c>
      <c r="T3765" s="13">
        <v>26</v>
      </c>
      <c r="U3765" s="13">
        <v>40</v>
      </c>
      <c r="V3765" t="s">
        <v>99</v>
      </c>
      <c r="X3765" s="13">
        <v>159</v>
      </c>
    </row>
    <row r="3766" spans="1:24" x14ac:dyDescent="0.25">
      <c r="A3766" t="s">
        <v>3645</v>
      </c>
      <c r="B3766" t="s">
        <v>65</v>
      </c>
      <c r="C3766" t="s">
        <v>3580</v>
      </c>
      <c r="D3766" t="s">
        <v>3581</v>
      </c>
      <c r="E3766" t="s">
        <v>3582</v>
      </c>
      <c r="F3766" t="s">
        <v>94</v>
      </c>
      <c r="G3766" t="s">
        <v>277</v>
      </c>
      <c r="H3766" s="12">
        <v>8.7611000000000008</v>
      </c>
      <c r="I3766" s="12">
        <v>-76.530299999999997</v>
      </c>
      <c r="J3766" t="s">
        <v>3583</v>
      </c>
      <c r="K3766" t="s">
        <v>97</v>
      </c>
      <c r="L3766" t="s">
        <v>1273</v>
      </c>
      <c r="M3766">
        <v>11</v>
      </c>
      <c r="P3766" s="13">
        <v>159</v>
      </c>
      <c r="Q3766" s="13">
        <v>32</v>
      </c>
      <c r="R3766">
        <v>40</v>
      </c>
      <c r="S3766">
        <v>28</v>
      </c>
      <c r="T3766" s="13">
        <v>28</v>
      </c>
      <c r="U3766" s="13">
        <v>31</v>
      </c>
      <c r="V3766" t="s">
        <v>99</v>
      </c>
      <c r="X3766" s="13">
        <v>159</v>
      </c>
    </row>
    <row r="3767" spans="1:24" x14ac:dyDescent="0.25">
      <c r="A3767" t="s">
        <v>3646</v>
      </c>
      <c r="B3767" t="s">
        <v>65</v>
      </c>
      <c r="C3767" t="s">
        <v>3580</v>
      </c>
      <c r="D3767" t="s">
        <v>3581</v>
      </c>
      <c r="E3767" t="s">
        <v>3582</v>
      </c>
      <c r="F3767" t="s">
        <v>94</v>
      </c>
      <c r="G3767" t="s">
        <v>277</v>
      </c>
      <c r="H3767" s="12">
        <v>8.7611000000000008</v>
      </c>
      <c r="I3767" s="12">
        <v>-76.530299999999997</v>
      </c>
      <c r="J3767" t="s">
        <v>3583</v>
      </c>
      <c r="K3767" t="s">
        <v>97</v>
      </c>
      <c r="L3767" t="s">
        <v>1273</v>
      </c>
      <c r="M3767">
        <v>11</v>
      </c>
      <c r="P3767" s="13">
        <v>158</v>
      </c>
      <c r="Q3767" s="13">
        <v>29</v>
      </c>
      <c r="R3767">
        <v>30</v>
      </c>
      <c r="S3767">
        <v>38</v>
      </c>
      <c r="T3767" s="13">
        <v>24</v>
      </c>
      <c r="U3767" s="13">
        <v>47</v>
      </c>
      <c r="V3767" t="s">
        <v>99</v>
      </c>
      <c r="X3767" s="13">
        <v>158</v>
      </c>
    </row>
    <row r="3768" spans="1:24" x14ac:dyDescent="0.25">
      <c r="A3768" t="s">
        <v>3647</v>
      </c>
      <c r="B3768" t="s">
        <v>65</v>
      </c>
      <c r="C3768" t="s">
        <v>3580</v>
      </c>
      <c r="D3768" t="s">
        <v>3581</v>
      </c>
      <c r="E3768" t="s">
        <v>3582</v>
      </c>
      <c r="F3768" t="s">
        <v>94</v>
      </c>
      <c r="G3768" t="s">
        <v>277</v>
      </c>
      <c r="H3768" s="12">
        <v>8.7611000000000008</v>
      </c>
      <c r="I3768" s="12">
        <v>-76.530299999999997</v>
      </c>
      <c r="J3768" t="s">
        <v>3583</v>
      </c>
      <c r="K3768" t="s">
        <v>97</v>
      </c>
      <c r="L3768" t="s">
        <v>1273</v>
      </c>
      <c r="M3768">
        <v>11</v>
      </c>
      <c r="P3768" s="13">
        <v>158</v>
      </c>
      <c r="Q3768" s="13">
        <v>44</v>
      </c>
      <c r="R3768">
        <v>18</v>
      </c>
      <c r="S3768">
        <v>34</v>
      </c>
      <c r="T3768" s="13">
        <v>29</v>
      </c>
      <c r="U3768" s="13">
        <v>35</v>
      </c>
      <c r="V3768" t="s">
        <v>99</v>
      </c>
      <c r="X3768" s="13">
        <v>158</v>
      </c>
    </row>
    <row r="3769" spans="1:24" x14ac:dyDescent="0.25">
      <c r="A3769" t="s">
        <v>3648</v>
      </c>
      <c r="B3769" t="s">
        <v>65</v>
      </c>
      <c r="C3769" t="s">
        <v>3580</v>
      </c>
      <c r="D3769" t="s">
        <v>3581</v>
      </c>
      <c r="E3769" t="s">
        <v>3582</v>
      </c>
      <c r="F3769" t="s">
        <v>94</v>
      </c>
      <c r="G3769" t="s">
        <v>277</v>
      </c>
      <c r="H3769" s="12">
        <v>8.7611000000000008</v>
      </c>
      <c r="I3769" s="12">
        <v>-76.530299999999997</v>
      </c>
      <c r="J3769" t="s">
        <v>3583</v>
      </c>
      <c r="K3769" t="s">
        <v>97</v>
      </c>
      <c r="L3769" t="s">
        <v>1273</v>
      </c>
      <c r="M3769">
        <v>11</v>
      </c>
      <c r="P3769" s="13">
        <v>157</v>
      </c>
      <c r="Q3769" s="13">
        <v>32</v>
      </c>
      <c r="R3769">
        <v>38</v>
      </c>
      <c r="S3769">
        <v>24</v>
      </c>
      <c r="T3769" s="13">
        <v>29</v>
      </c>
      <c r="U3769" s="13">
        <v>38</v>
      </c>
      <c r="V3769" t="s">
        <v>99</v>
      </c>
      <c r="X3769" s="13">
        <v>157</v>
      </c>
    </row>
    <row r="3770" spans="1:24" x14ac:dyDescent="0.25">
      <c r="A3770" t="s">
        <v>3649</v>
      </c>
      <c r="B3770" t="s">
        <v>65</v>
      </c>
      <c r="C3770" t="s">
        <v>3580</v>
      </c>
      <c r="D3770" t="s">
        <v>3581</v>
      </c>
      <c r="E3770" t="s">
        <v>3582</v>
      </c>
      <c r="F3770" t="s">
        <v>94</v>
      </c>
      <c r="G3770" t="s">
        <v>277</v>
      </c>
      <c r="H3770" s="12">
        <v>8.7611000000000008</v>
      </c>
      <c r="I3770" s="12">
        <v>-76.530299999999997</v>
      </c>
      <c r="J3770" t="s">
        <v>3583</v>
      </c>
      <c r="K3770" t="s">
        <v>97</v>
      </c>
      <c r="L3770" t="s">
        <v>1273</v>
      </c>
      <c r="M3770">
        <v>11</v>
      </c>
      <c r="P3770" s="13">
        <v>156</v>
      </c>
      <c r="Q3770" s="13">
        <v>44</v>
      </c>
      <c r="R3770">
        <v>20</v>
      </c>
      <c r="S3770">
        <v>36</v>
      </c>
      <c r="T3770" s="13">
        <v>28</v>
      </c>
      <c r="U3770" s="13">
        <v>24</v>
      </c>
      <c r="V3770" t="s">
        <v>99</v>
      </c>
      <c r="X3770" s="13">
        <v>156</v>
      </c>
    </row>
    <row r="3771" spans="1:24" x14ac:dyDescent="0.25">
      <c r="A3771" t="s">
        <v>3650</v>
      </c>
      <c r="B3771" t="s">
        <v>65</v>
      </c>
      <c r="C3771" t="s">
        <v>3580</v>
      </c>
      <c r="D3771" t="s">
        <v>3581</v>
      </c>
      <c r="E3771" t="s">
        <v>3582</v>
      </c>
      <c r="F3771" t="s">
        <v>94</v>
      </c>
      <c r="G3771" t="s">
        <v>277</v>
      </c>
      <c r="H3771" s="12">
        <v>8.7611000000000008</v>
      </c>
      <c r="I3771" s="12">
        <v>-76.530299999999997</v>
      </c>
      <c r="J3771" t="s">
        <v>3583</v>
      </c>
      <c r="K3771" t="s">
        <v>97</v>
      </c>
      <c r="L3771" t="s">
        <v>1273</v>
      </c>
      <c r="M3771">
        <v>11</v>
      </c>
      <c r="P3771" s="13">
        <v>155</v>
      </c>
      <c r="Q3771" s="13">
        <v>37</v>
      </c>
      <c r="R3771">
        <v>20</v>
      </c>
      <c r="S3771">
        <v>44</v>
      </c>
      <c r="T3771" s="13">
        <v>21</v>
      </c>
      <c r="U3771" s="13">
        <v>38</v>
      </c>
      <c r="V3771" t="s">
        <v>99</v>
      </c>
      <c r="X3771" s="13">
        <v>155</v>
      </c>
    </row>
    <row r="3772" spans="1:24" x14ac:dyDescent="0.25">
      <c r="A3772" t="s">
        <v>3651</v>
      </c>
      <c r="B3772" t="s">
        <v>65</v>
      </c>
      <c r="C3772" t="s">
        <v>3580</v>
      </c>
      <c r="D3772" t="s">
        <v>3581</v>
      </c>
      <c r="E3772" t="s">
        <v>3582</v>
      </c>
      <c r="F3772" t="s">
        <v>94</v>
      </c>
      <c r="G3772" t="s">
        <v>277</v>
      </c>
      <c r="H3772" s="12">
        <v>8.7611000000000008</v>
      </c>
      <c r="I3772" s="12">
        <v>-76.530299999999997</v>
      </c>
      <c r="J3772" t="s">
        <v>3583</v>
      </c>
      <c r="K3772" t="s">
        <v>97</v>
      </c>
      <c r="L3772" t="s">
        <v>1273</v>
      </c>
      <c r="M3772">
        <v>11</v>
      </c>
      <c r="P3772" s="13">
        <v>153</v>
      </c>
      <c r="Q3772" s="13">
        <v>32</v>
      </c>
      <c r="R3772">
        <v>24</v>
      </c>
      <c r="S3772">
        <v>38</v>
      </c>
      <c r="T3772" s="13">
        <v>26</v>
      </c>
      <c r="U3772" s="13">
        <v>40</v>
      </c>
      <c r="V3772" t="s">
        <v>99</v>
      </c>
      <c r="X3772" s="13">
        <v>153</v>
      </c>
    </row>
    <row r="3773" spans="1:24" x14ac:dyDescent="0.25">
      <c r="A3773" t="s">
        <v>3652</v>
      </c>
      <c r="B3773" t="s">
        <v>65</v>
      </c>
      <c r="C3773" t="s">
        <v>3580</v>
      </c>
      <c r="D3773" t="s">
        <v>3581</v>
      </c>
      <c r="E3773" t="s">
        <v>3582</v>
      </c>
      <c r="F3773" t="s">
        <v>94</v>
      </c>
      <c r="G3773" t="s">
        <v>277</v>
      </c>
      <c r="H3773" s="12">
        <v>8.7611000000000008</v>
      </c>
      <c r="I3773" s="12">
        <v>-76.530299999999997</v>
      </c>
      <c r="J3773" t="s">
        <v>3583</v>
      </c>
      <c r="K3773" t="s">
        <v>97</v>
      </c>
      <c r="L3773" t="s">
        <v>1273</v>
      </c>
      <c r="M3773">
        <v>11</v>
      </c>
      <c r="P3773" s="13">
        <v>153</v>
      </c>
      <c r="Q3773" s="13">
        <v>32</v>
      </c>
      <c r="R3773">
        <v>28</v>
      </c>
      <c r="S3773">
        <v>40</v>
      </c>
      <c r="T3773" s="13">
        <v>22</v>
      </c>
      <c r="U3773" s="13">
        <v>31</v>
      </c>
      <c r="V3773" t="s">
        <v>99</v>
      </c>
      <c r="X3773" s="13">
        <v>153</v>
      </c>
    </row>
    <row r="3774" spans="1:24" x14ac:dyDescent="0.25">
      <c r="A3774" t="s">
        <v>3653</v>
      </c>
      <c r="B3774" t="s">
        <v>65</v>
      </c>
      <c r="C3774" t="s">
        <v>3580</v>
      </c>
      <c r="D3774" t="s">
        <v>3581</v>
      </c>
      <c r="E3774" t="s">
        <v>3582</v>
      </c>
      <c r="F3774" t="s">
        <v>94</v>
      </c>
      <c r="G3774" t="s">
        <v>277</v>
      </c>
      <c r="H3774" s="12">
        <v>8.7611000000000008</v>
      </c>
      <c r="I3774" s="12">
        <v>-76.530299999999997</v>
      </c>
      <c r="J3774" t="s">
        <v>3583</v>
      </c>
      <c r="K3774" t="s">
        <v>97</v>
      </c>
      <c r="L3774" t="s">
        <v>1273</v>
      </c>
      <c r="M3774">
        <v>11</v>
      </c>
      <c r="P3774" s="13">
        <v>152</v>
      </c>
      <c r="Q3774" s="13">
        <v>41</v>
      </c>
      <c r="R3774">
        <v>30</v>
      </c>
      <c r="S3774">
        <v>28</v>
      </c>
      <c r="T3774" s="13">
        <v>22</v>
      </c>
      <c r="U3774" s="13">
        <v>29</v>
      </c>
      <c r="V3774" t="s">
        <v>99</v>
      </c>
      <c r="X3774" s="13">
        <v>152</v>
      </c>
    </row>
    <row r="3775" spans="1:24" x14ac:dyDescent="0.25">
      <c r="A3775" t="s">
        <v>3654</v>
      </c>
      <c r="B3775" t="s">
        <v>65</v>
      </c>
      <c r="C3775" t="s">
        <v>3580</v>
      </c>
      <c r="D3775" t="s">
        <v>3581</v>
      </c>
      <c r="E3775" t="s">
        <v>3582</v>
      </c>
      <c r="F3775" t="s">
        <v>94</v>
      </c>
      <c r="G3775" t="s">
        <v>277</v>
      </c>
      <c r="H3775" s="12">
        <v>8.7611000000000008</v>
      </c>
      <c r="I3775" s="12">
        <v>-76.530299999999997</v>
      </c>
      <c r="J3775" t="s">
        <v>3583</v>
      </c>
      <c r="K3775" t="s">
        <v>97</v>
      </c>
      <c r="L3775" t="s">
        <v>1273</v>
      </c>
      <c r="M3775">
        <v>11</v>
      </c>
      <c r="P3775" s="13">
        <v>149</v>
      </c>
      <c r="Q3775" s="13">
        <v>22</v>
      </c>
      <c r="R3775">
        <v>22</v>
      </c>
      <c r="S3775">
        <v>46</v>
      </c>
      <c r="T3775" s="13">
        <v>31</v>
      </c>
      <c r="U3775" s="13">
        <v>25</v>
      </c>
      <c r="V3775" t="s">
        <v>99</v>
      </c>
      <c r="X3775" s="13">
        <v>149</v>
      </c>
    </row>
    <row r="3776" spans="1:24" x14ac:dyDescent="0.25">
      <c r="A3776" t="s">
        <v>3655</v>
      </c>
      <c r="B3776" t="s">
        <v>65</v>
      </c>
      <c r="C3776" t="s">
        <v>3580</v>
      </c>
      <c r="D3776" t="s">
        <v>3581</v>
      </c>
      <c r="E3776" t="s">
        <v>3582</v>
      </c>
      <c r="F3776" t="s">
        <v>94</v>
      </c>
      <c r="G3776" t="s">
        <v>277</v>
      </c>
      <c r="H3776" s="12">
        <v>8.7611000000000008</v>
      </c>
      <c r="I3776" s="12">
        <v>-76.530299999999997</v>
      </c>
      <c r="J3776" t="s">
        <v>3583</v>
      </c>
      <c r="K3776" t="s">
        <v>97</v>
      </c>
      <c r="L3776" t="s">
        <v>1273</v>
      </c>
      <c r="M3776">
        <v>11</v>
      </c>
      <c r="P3776" s="13">
        <v>149</v>
      </c>
      <c r="Q3776" s="13">
        <v>24</v>
      </c>
      <c r="R3776">
        <v>32</v>
      </c>
      <c r="S3776">
        <v>32</v>
      </c>
      <c r="T3776" s="13">
        <v>29</v>
      </c>
      <c r="U3776" s="13">
        <v>35</v>
      </c>
      <c r="V3776" t="s">
        <v>99</v>
      </c>
      <c r="X3776" s="13">
        <v>149</v>
      </c>
    </row>
    <row r="3777" spans="1:24" x14ac:dyDescent="0.25">
      <c r="A3777" t="s">
        <v>3656</v>
      </c>
      <c r="B3777" t="s">
        <v>65</v>
      </c>
      <c r="C3777" t="s">
        <v>3580</v>
      </c>
      <c r="D3777" t="s">
        <v>3581</v>
      </c>
      <c r="E3777" t="s">
        <v>3582</v>
      </c>
      <c r="F3777" t="s">
        <v>94</v>
      </c>
      <c r="G3777" t="s">
        <v>277</v>
      </c>
      <c r="H3777" s="12">
        <v>8.7611000000000008</v>
      </c>
      <c r="I3777" s="12">
        <v>-76.530299999999997</v>
      </c>
      <c r="J3777" t="s">
        <v>3583</v>
      </c>
      <c r="K3777" t="s">
        <v>97</v>
      </c>
      <c r="L3777" t="s">
        <v>1273</v>
      </c>
      <c r="M3777">
        <v>11</v>
      </c>
      <c r="P3777" s="13">
        <v>148</v>
      </c>
      <c r="Q3777" s="13">
        <v>37</v>
      </c>
      <c r="R3777">
        <v>20</v>
      </c>
      <c r="S3777">
        <v>36</v>
      </c>
      <c r="T3777" s="13">
        <v>28</v>
      </c>
      <c r="U3777" s="13">
        <v>25</v>
      </c>
      <c r="V3777" t="s">
        <v>99</v>
      </c>
      <c r="X3777" s="13">
        <v>148</v>
      </c>
    </row>
    <row r="3778" spans="1:24" x14ac:dyDescent="0.25">
      <c r="A3778" t="s">
        <v>3657</v>
      </c>
      <c r="B3778" t="s">
        <v>65</v>
      </c>
      <c r="C3778" t="s">
        <v>3580</v>
      </c>
      <c r="D3778" t="s">
        <v>3581</v>
      </c>
      <c r="E3778" t="s">
        <v>3582</v>
      </c>
      <c r="F3778" t="s">
        <v>94</v>
      </c>
      <c r="G3778" t="s">
        <v>277</v>
      </c>
      <c r="H3778" s="12">
        <v>8.7611000000000008</v>
      </c>
      <c r="I3778" s="12">
        <v>-76.530299999999997</v>
      </c>
      <c r="J3778" t="s">
        <v>3583</v>
      </c>
      <c r="K3778" t="s">
        <v>97</v>
      </c>
      <c r="L3778" t="s">
        <v>1273</v>
      </c>
      <c r="M3778">
        <v>11</v>
      </c>
      <c r="P3778" s="13">
        <v>146</v>
      </c>
      <c r="Q3778" s="13">
        <v>39</v>
      </c>
      <c r="R3778">
        <v>16</v>
      </c>
      <c r="S3778">
        <v>34</v>
      </c>
      <c r="T3778" s="13">
        <v>24</v>
      </c>
      <c r="U3778" s="13">
        <v>40</v>
      </c>
      <c r="V3778" t="s">
        <v>99</v>
      </c>
      <c r="X3778" s="13">
        <v>146</v>
      </c>
    </row>
    <row r="3779" spans="1:24" x14ac:dyDescent="0.25">
      <c r="A3779" t="s">
        <v>3658</v>
      </c>
      <c r="B3779" t="s">
        <v>65</v>
      </c>
      <c r="C3779" t="s">
        <v>3580</v>
      </c>
      <c r="D3779" t="s">
        <v>3581</v>
      </c>
      <c r="E3779" t="s">
        <v>3582</v>
      </c>
      <c r="F3779" t="s">
        <v>94</v>
      </c>
      <c r="G3779" t="s">
        <v>277</v>
      </c>
      <c r="H3779" s="12">
        <v>8.7611000000000008</v>
      </c>
      <c r="I3779" s="12">
        <v>-76.530299999999997</v>
      </c>
      <c r="J3779" t="s">
        <v>3583</v>
      </c>
      <c r="K3779" t="s">
        <v>97</v>
      </c>
      <c r="L3779" t="s">
        <v>1273</v>
      </c>
      <c r="M3779">
        <v>11</v>
      </c>
      <c r="P3779" s="13">
        <v>145</v>
      </c>
      <c r="Q3779" s="13">
        <v>32</v>
      </c>
      <c r="R3779">
        <v>24</v>
      </c>
      <c r="S3779">
        <v>30</v>
      </c>
      <c r="T3779" s="13">
        <v>28</v>
      </c>
      <c r="U3779" s="13">
        <v>36</v>
      </c>
      <c r="V3779" t="s">
        <v>99</v>
      </c>
      <c r="X3779" s="13">
        <v>145</v>
      </c>
    </row>
    <row r="3780" spans="1:24" x14ac:dyDescent="0.25">
      <c r="A3780" t="s">
        <v>3659</v>
      </c>
      <c r="B3780" t="s">
        <v>65</v>
      </c>
      <c r="C3780" t="s">
        <v>3580</v>
      </c>
      <c r="D3780" t="s">
        <v>3581</v>
      </c>
      <c r="E3780" t="s">
        <v>3582</v>
      </c>
      <c r="F3780" t="s">
        <v>94</v>
      </c>
      <c r="G3780" t="s">
        <v>277</v>
      </c>
      <c r="H3780" s="12">
        <v>8.7611000000000008</v>
      </c>
      <c r="I3780" s="12">
        <v>-76.530299999999997</v>
      </c>
      <c r="J3780" t="s">
        <v>3583</v>
      </c>
      <c r="K3780" t="s">
        <v>97</v>
      </c>
      <c r="L3780" t="s">
        <v>1273</v>
      </c>
      <c r="M3780">
        <v>11</v>
      </c>
      <c r="P3780" s="13">
        <v>144</v>
      </c>
      <c r="Q3780" s="13">
        <v>41</v>
      </c>
      <c r="R3780">
        <v>20</v>
      </c>
      <c r="S3780">
        <v>22</v>
      </c>
      <c r="T3780" s="13">
        <v>29</v>
      </c>
      <c r="U3780" s="13">
        <v>36</v>
      </c>
      <c r="V3780" t="s">
        <v>99</v>
      </c>
      <c r="X3780" s="13">
        <v>144</v>
      </c>
    </row>
    <row r="3781" spans="1:24" x14ac:dyDescent="0.25">
      <c r="A3781" t="s">
        <v>3660</v>
      </c>
      <c r="B3781" t="s">
        <v>65</v>
      </c>
      <c r="C3781" t="s">
        <v>3580</v>
      </c>
      <c r="D3781" t="s">
        <v>3581</v>
      </c>
      <c r="E3781" t="s">
        <v>3582</v>
      </c>
      <c r="F3781" t="s">
        <v>94</v>
      </c>
      <c r="G3781" t="s">
        <v>277</v>
      </c>
      <c r="H3781" s="12">
        <v>8.7611000000000008</v>
      </c>
      <c r="I3781" s="12">
        <v>-76.530299999999997</v>
      </c>
      <c r="J3781" t="s">
        <v>3583</v>
      </c>
      <c r="K3781" t="s">
        <v>97</v>
      </c>
      <c r="L3781" t="s">
        <v>1273</v>
      </c>
      <c r="M3781">
        <v>11</v>
      </c>
      <c r="P3781" s="13">
        <v>144</v>
      </c>
      <c r="Q3781" s="13">
        <v>39</v>
      </c>
      <c r="R3781">
        <v>20</v>
      </c>
      <c r="S3781">
        <v>18</v>
      </c>
      <c r="T3781" s="13">
        <v>34</v>
      </c>
      <c r="U3781" s="13">
        <v>40</v>
      </c>
      <c r="V3781" t="s">
        <v>99</v>
      </c>
      <c r="X3781" s="13">
        <v>144</v>
      </c>
    </row>
    <row r="3782" spans="1:24" x14ac:dyDescent="0.25">
      <c r="A3782" t="s">
        <v>3661</v>
      </c>
      <c r="B3782" t="s">
        <v>65</v>
      </c>
      <c r="C3782" t="s">
        <v>3580</v>
      </c>
      <c r="D3782" t="s">
        <v>3581</v>
      </c>
      <c r="E3782" t="s">
        <v>3582</v>
      </c>
      <c r="F3782" t="s">
        <v>94</v>
      </c>
      <c r="G3782" t="s">
        <v>277</v>
      </c>
      <c r="H3782" s="12">
        <v>8.7611000000000008</v>
      </c>
      <c r="I3782" s="12">
        <v>-76.530299999999997</v>
      </c>
      <c r="J3782" t="s">
        <v>3583</v>
      </c>
      <c r="K3782" t="s">
        <v>97</v>
      </c>
      <c r="L3782" t="s">
        <v>1273</v>
      </c>
      <c r="M3782">
        <v>11</v>
      </c>
      <c r="P3782" s="13">
        <v>143</v>
      </c>
      <c r="Q3782" s="13">
        <v>29</v>
      </c>
      <c r="R3782">
        <v>24</v>
      </c>
      <c r="S3782">
        <v>34</v>
      </c>
      <c r="T3782" s="13">
        <v>24</v>
      </c>
      <c r="U3782" s="13">
        <v>38</v>
      </c>
      <c r="V3782" t="s">
        <v>99</v>
      </c>
      <c r="X3782" s="13">
        <v>143</v>
      </c>
    </row>
    <row r="3783" spans="1:24" x14ac:dyDescent="0.25">
      <c r="A3783" t="s">
        <v>3662</v>
      </c>
      <c r="B3783" t="s">
        <v>65</v>
      </c>
      <c r="C3783" t="s">
        <v>3580</v>
      </c>
      <c r="D3783" t="s">
        <v>3581</v>
      </c>
      <c r="E3783" t="s">
        <v>3582</v>
      </c>
      <c r="F3783" t="s">
        <v>94</v>
      </c>
      <c r="G3783" t="s">
        <v>277</v>
      </c>
      <c r="H3783" s="12">
        <v>8.7611000000000008</v>
      </c>
      <c r="I3783" s="12">
        <v>-76.530299999999997</v>
      </c>
      <c r="J3783" t="s">
        <v>3583</v>
      </c>
      <c r="K3783" t="s">
        <v>97</v>
      </c>
      <c r="L3783" t="s">
        <v>1273</v>
      </c>
      <c r="M3783">
        <v>11</v>
      </c>
      <c r="P3783" s="13">
        <v>142</v>
      </c>
      <c r="Q3783" s="13">
        <v>34</v>
      </c>
      <c r="R3783">
        <v>22</v>
      </c>
      <c r="S3783">
        <v>32</v>
      </c>
      <c r="T3783" s="13">
        <v>28</v>
      </c>
      <c r="U3783" s="13">
        <v>22</v>
      </c>
      <c r="V3783" t="s">
        <v>99</v>
      </c>
      <c r="X3783" s="13">
        <v>142</v>
      </c>
    </row>
    <row r="3784" spans="1:24" x14ac:dyDescent="0.25">
      <c r="A3784" t="s">
        <v>3663</v>
      </c>
      <c r="B3784" t="s">
        <v>65</v>
      </c>
      <c r="C3784" t="s">
        <v>3580</v>
      </c>
      <c r="D3784" t="s">
        <v>3581</v>
      </c>
      <c r="E3784" t="s">
        <v>3582</v>
      </c>
      <c r="F3784" t="s">
        <v>94</v>
      </c>
      <c r="G3784" t="s">
        <v>277</v>
      </c>
      <c r="H3784" s="12">
        <v>8.7611000000000008</v>
      </c>
      <c r="I3784" s="12">
        <v>-76.530299999999997</v>
      </c>
      <c r="J3784" t="s">
        <v>3583</v>
      </c>
      <c r="K3784" t="s">
        <v>97</v>
      </c>
      <c r="L3784" t="s">
        <v>1273</v>
      </c>
      <c r="M3784">
        <v>11</v>
      </c>
      <c r="P3784" s="13">
        <v>141</v>
      </c>
      <c r="Q3784" s="13">
        <v>34</v>
      </c>
      <c r="R3784">
        <v>22</v>
      </c>
      <c r="S3784">
        <v>30</v>
      </c>
      <c r="T3784" s="13">
        <v>24</v>
      </c>
      <c r="U3784" s="13">
        <v>36</v>
      </c>
      <c r="V3784" t="s">
        <v>99</v>
      </c>
      <c r="X3784" s="13">
        <v>141</v>
      </c>
    </row>
    <row r="3785" spans="1:24" x14ac:dyDescent="0.25">
      <c r="A3785" t="s">
        <v>3664</v>
      </c>
      <c r="B3785" t="s">
        <v>65</v>
      </c>
      <c r="C3785" t="s">
        <v>3580</v>
      </c>
      <c r="D3785" t="s">
        <v>3581</v>
      </c>
      <c r="E3785" t="s">
        <v>3582</v>
      </c>
      <c r="F3785" t="s">
        <v>94</v>
      </c>
      <c r="G3785" t="s">
        <v>277</v>
      </c>
      <c r="H3785" s="12">
        <v>8.7611000000000008</v>
      </c>
      <c r="I3785" s="12">
        <v>-76.530299999999997</v>
      </c>
      <c r="J3785" t="s">
        <v>3583</v>
      </c>
      <c r="K3785" t="s">
        <v>97</v>
      </c>
      <c r="L3785" t="s">
        <v>1273</v>
      </c>
      <c r="M3785">
        <v>11</v>
      </c>
      <c r="P3785" s="13">
        <v>141</v>
      </c>
      <c r="Q3785" s="13">
        <v>34</v>
      </c>
      <c r="R3785">
        <v>18</v>
      </c>
      <c r="S3785">
        <v>34</v>
      </c>
      <c r="T3785" s="13">
        <v>24</v>
      </c>
      <c r="U3785" s="13">
        <v>35</v>
      </c>
      <c r="V3785" t="s">
        <v>99</v>
      </c>
      <c r="X3785" s="13">
        <v>141</v>
      </c>
    </row>
    <row r="3786" spans="1:24" x14ac:dyDescent="0.25">
      <c r="A3786" t="s">
        <v>3665</v>
      </c>
      <c r="B3786" t="s">
        <v>65</v>
      </c>
      <c r="C3786" t="s">
        <v>3580</v>
      </c>
      <c r="D3786" t="s">
        <v>3581</v>
      </c>
      <c r="E3786" t="s">
        <v>3582</v>
      </c>
      <c r="F3786" t="s">
        <v>94</v>
      </c>
      <c r="G3786" t="s">
        <v>277</v>
      </c>
      <c r="H3786" s="12">
        <v>8.7611000000000008</v>
      </c>
      <c r="I3786" s="12">
        <v>-76.530299999999997</v>
      </c>
      <c r="J3786" t="s">
        <v>3583</v>
      </c>
      <c r="K3786" t="s">
        <v>97</v>
      </c>
      <c r="L3786" t="s">
        <v>1273</v>
      </c>
      <c r="M3786">
        <v>11</v>
      </c>
      <c r="P3786" s="13">
        <v>140</v>
      </c>
      <c r="Q3786" s="13">
        <v>32</v>
      </c>
      <c r="R3786">
        <v>20</v>
      </c>
      <c r="S3786">
        <v>42</v>
      </c>
      <c r="T3786" s="13">
        <v>14</v>
      </c>
      <c r="U3786" s="13">
        <v>42</v>
      </c>
      <c r="V3786" t="s">
        <v>99</v>
      </c>
      <c r="X3786" s="13">
        <v>140</v>
      </c>
    </row>
    <row r="3787" spans="1:24" x14ac:dyDescent="0.25">
      <c r="A3787" t="s">
        <v>3666</v>
      </c>
      <c r="B3787" t="s">
        <v>65</v>
      </c>
      <c r="C3787" t="s">
        <v>3580</v>
      </c>
      <c r="D3787" t="s">
        <v>3581</v>
      </c>
      <c r="E3787" t="s">
        <v>3582</v>
      </c>
      <c r="F3787" t="s">
        <v>94</v>
      </c>
      <c r="G3787" t="s">
        <v>277</v>
      </c>
      <c r="H3787" s="12">
        <v>8.7611000000000008</v>
      </c>
      <c r="I3787" s="12">
        <v>-76.530299999999997</v>
      </c>
      <c r="J3787" t="s">
        <v>3583</v>
      </c>
      <c r="K3787" t="s">
        <v>97</v>
      </c>
      <c r="L3787" t="s">
        <v>1273</v>
      </c>
      <c r="M3787">
        <v>11</v>
      </c>
      <c r="P3787" s="13">
        <v>138</v>
      </c>
      <c r="Q3787" s="13">
        <v>27</v>
      </c>
      <c r="R3787">
        <v>32</v>
      </c>
      <c r="S3787">
        <v>26</v>
      </c>
      <c r="T3787" s="13">
        <v>22</v>
      </c>
      <c r="U3787" s="13">
        <v>36</v>
      </c>
      <c r="V3787" t="s">
        <v>99</v>
      </c>
      <c r="X3787" s="13">
        <v>138</v>
      </c>
    </row>
    <row r="3788" spans="1:24" x14ac:dyDescent="0.25">
      <c r="A3788" t="s">
        <v>3667</v>
      </c>
      <c r="B3788" t="s">
        <v>65</v>
      </c>
      <c r="C3788" t="s">
        <v>3580</v>
      </c>
      <c r="D3788" t="s">
        <v>3581</v>
      </c>
      <c r="E3788" t="s">
        <v>3582</v>
      </c>
      <c r="F3788" t="s">
        <v>94</v>
      </c>
      <c r="G3788" t="s">
        <v>277</v>
      </c>
      <c r="H3788" s="12">
        <v>8.7611000000000008</v>
      </c>
      <c r="I3788" s="12">
        <v>-76.530299999999997</v>
      </c>
      <c r="J3788" t="s">
        <v>3583</v>
      </c>
      <c r="K3788" t="s">
        <v>97</v>
      </c>
      <c r="L3788" t="s">
        <v>1273</v>
      </c>
      <c r="M3788">
        <v>11</v>
      </c>
      <c r="P3788" s="13">
        <v>130</v>
      </c>
      <c r="Q3788" s="13">
        <v>32</v>
      </c>
      <c r="R3788">
        <v>22</v>
      </c>
      <c r="S3788">
        <v>30</v>
      </c>
      <c r="T3788" s="13">
        <v>21</v>
      </c>
      <c r="U3788" s="13">
        <v>25</v>
      </c>
      <c r="V3788" t="s">
        <v>99</v>
      </c>
      <c r="X3788" s="13">
        <v>130</v>
      </c>
    </row>
    <row r="3789" spans="1:24" x14ac:dyDescent="0.25">
      <c r="A3789" t="s">
        <v>3668</v>
      </c>
      <c r="B3789" t="s">
        <v>65</v>
      </c>
      <c r="C3789" t="s">
        <v>3669</v>
      </c>
      <c r="D3789" t="s">
        <v>3670</v>
      </c>
      <c r="E3789" t="s">
        <v>3671</v>
      </c>
      <c r="F3789" t="s">
        <v>94</v>
      </c>
      <c r="G3789" t="s">
        <v>277</v>
      </c>
      <c r="H3789" s="12">
        <v>6.5568999999999997</v>
      </c>
      <c r="I3789" s="12">
        <v>-75.828100000000006</v>
      </c>
      <c r="J3789" t="s">
        <v>3672</v>
      </c>
      <c r="K3789" t="s">
        <v>97</v>
      </c>
      <c r="L3789" t="s">
        <v>1273</v>
      </c>
      <c r="M3789">
        <v>11</v>
      </c>
      <c r="P3789" s="13">
        <v>335</v>
      </c>
      <c r="Q3789" s="13">
        <v>76</v>
      </c>
      <c r="R3789">
        <v>54</v>
      </c>
      <c r="S3789">
        <v>78</v>
      </c>
      <c r="T3789" s="13">
        <v>53</v>
      </c>
      <c r="U3789" s="13">
        <v>87</v>
      </c>
      <c r="V3789" t="s">
        <v>99</v>
      </c>
      <c r="X3789" s="13">
        <v>335</v>
      </c>
    </row>
    <row r="3790" spans="1:24" x14ac:dyDescent="0.25">
      <c r="A3790" t="s">
        <v>3673</v>
      </c>
      <c r="B3790" t="s">
        <v>65</v>
      </c>
      <c r="C3790" t="s">
        <v>3669</v>
      </c>
      <c r="D3790" t="s">
        <v>3670</v>
      </c>
      <c r="E3790" t="s">
        <v>3671</v>
      </c>
      <c r="F3790" t="s">
        <v>94</v>
      </c>
      <c r="G3790" t="s">
        <v>277</v>
      </c>
      <c r="H3790" s="12">
        <v>6.5568999999999997</v>
      </c>
      <c r="I3790" s="12">
        <v>-75.828100000000006</v>
      </c>
      <c r="J3790" t="s">
        <v>3672</v>
      </c>
      <c r="K3790" t="s">
        <v>97</v>
      </c>
      <c r="L3790" t="s">
        <v>1273</v>
      </c>
      <c r="M3790">
        <v>11</v>
      </c>
      <c r="P3790" s="13">
        <v>272</v>
      </c>
      <c r="Q3790" s="13">
        <v>80</v>
      </c>
      <c r="R3790">
        <v>34</v>
      </c>
      <c r="S3790">
        <v>70</v>
      </c>
      <c r="T3790" s="13">
        <v>33</v>
      </c>
      <c r="U3790" s="13">
        <v>56</v>
      </c>
      <c r="V3790" t="s">
        <v>99</v>
      </c>
      <c r="X3790" s="13">
        <v>272</v>
      </c>
    </row>
    <row r="3791" spans="1:24" x14ac:dyDescent="0.25">
      <c r="A3791" t="s">
        <v>3674</v>
      </c>
      <c r="B3791" t="s">
        <v>65</v>
      </c>
      <c r="C3791" t="s">
        <v>3669</v>
      </c>
      <c r="D3791" t="s">
        <v>3670</v>
      </c>
      <c r="E3791" t="s">
        <v>3671</v>
      </c>
      <c r="F3791" t="s">
        <v>94</v>
      </c>
      <c r="G3791" t="s">
        <v>277</v>
      </c>
      <c r="H3791" s="12">
        <v>6.5568999999999997</v>
      </c>
      <c r="I3791" s="12">
        <v>-75.828100000000006</v>
      </c>
      <c r="J3791" t="s">
        <v>3672</v>
      </c>
      <c r="K3791" t="s">
        <v>97</v>
      </c>
      <c r="L3791" t="s">
        <v>1273</v>
      </c>
      <c r="M3791">
        <v>11</v>
      </c>
      <c r="P3791" s="13">
        <v>272</v>
      </c>
      <c r="Q3791" s="13">
        <v>61</v>
      </c>
      <c r="R3791">
        <v>48</v>
      </c>
      <c r="S3791">
        <v>68</v>
      </c>
      <c r="T3791" s="13">
        <v>43</v>
      </c>
      <c r="U3791" s="13">
        <v>47</v>
      </c>
      <c r="V3791" t="s">
        <v>99</v>
      </c>
      <c r="X3791" s="13">
        <v>272</v>
      </c>
    </row>
    <row r="3792" spans="1:24" x14ac:dyDescent="0.25">
      <c r="A3792" t="s">
        <v>3675</v>
      </c>
      <c r="B3792" t="s">
        <v>65</v>
      </c>
      <c r="C3792" t="s">
        <v>3669</v>
      </c>
      <c r="D3792" t="s">
        <v>3670</v>
      </c>
      <c r="E3792" t="s">
        <v>3671</v>
      </c>
      <c r="F3792" t="s">
        <v>94</v>
      </c>
      <c r="G3792" t="s">
        <v>277</v>
      </c>
      <c r="H3792" s="12">
        <v>6.5568999999999997</v>
      </c>
      <c r="I3792" s="12">
        <v>-75.828100000000006</v>
      </c>
      <c r="J3792" t="s">
        <v>3672</v>
      </c>
      <c r="K3792" t="s">
        <v>97</v>
      </c>
      <c r="L3792" t="s">
        <v>1273</v>
      </c>
      <c r="M3792">
        <v>11</v>
      </c>
      <c r="P3792" s="13">
        <v>255</v>
      </c>
      <c r="Q3792" s="13">
        <v>56</v>
      </c>
      <c r="R3792">
        <v>42</v>
      </c>
      <c r="S3792">
        <v>58</v>
      </c>
      <c r="T3792" s="13">
        <v>36</v>
      </c>
      <c r="U3792" s="13">
        <v>87</v>
      </c>
      <c r="V3792" t="s">
        <v>99</v>
      </c>
      <c r="X3792" s="13">
        <v>255</v>
      </c>
    </row>
    <row r="3793" spans="1:24" x14ac:dyDescent="0.25">
      <c r="A3793" t="s">
        <v>3676</v>
      </c>
      <c r="B3793" t="s">
        <v>65</v>
      </c>
      <c r="C3793" t="s">
        <v>3669</v>
      </c>
      <c r="D3793" t="s">
        <v>3670</v>
      </c>
      <c r="E3793" t="s">
        <v>3671</v>
      </c>
      <c r="F3793" t="s">
        <v>94</v>
      </c>
      <c r="G3793" t="s">
        <v>277</v>
      </c>
      <c r="H3793" s="12">
        <v>6.5568999999999997</v>
      </c>
      <c r="I3793" s="12">
        <v>-75.828100000000006</v>
      </c>
      <c r="J3793" t="s">
        <v>3672</v>
      </c>
      <c r="K3793" t="s">
        <v>97</v>
      </c>
      <c r="L3793" t="s">
        <v>1273</v>
      </c>
      <c r="M3793">
        <v>11</v>
      </c>
      <c r="P3793" s="13">
        <v>245</v>
      </c>
      <c r="Q3793" s="13">
        <v>68</v>
      </c>
      <c r="R3793">
        <v>38</v>
      </c>
      <c r="S3793">
        <v>60</v>
      </c>
      <c r="T3793" s="13">
        <v>26</v>
      </c>
      <c r="U3793" s="13">
        <v>60</v>
      </c>
      <c r="V3793" t="s">
        <v>99</v>
      </c>
      <c r="X3793" s="13">
        <v>245</v>
      </c>
    </row>
    <row r="3794" spans="1:24" x14ac:dyDescent="0.25">
      <c r="A3794" t="s">
        <v>3677</v>
      </c>
      <c r="B3794" t="s">
        <v>65</v>
      </c>
      <c r="C3794" t="s">
        <v>3669</v>
      </c>
      <c r="D3794" t="s">
        <v>3670</v>
      </c>
      <c r="E3794" t="s">
        <v>3671</v>
      </c>
      <c r="F3794" t="s">
        <v>94</v>
      </c>
      <c r="G3794" t="s">
        <v>277</v>
      </c>
      <c r="H3794" s="12">
        <v>6.5568999999999997</v>
      </c>
      <c r="I3794" s="12">
        <v>-75.828100000000006</v>
      </c>
      <c r="J3794" t="s">
        <v>3672</v>
      </c>
      <c r="K3794" t="s">
        <v>97</v>
      </c>
      <c r="L3794" t="s">
        <v>1273</v>
      </c>
      <c r="M3794">
        <v>11</v>
      </c>
      <c r="P3794" s="13">
        <v>242</v>
      </c>
      <c r="Q3794" s="13">
        <v>61</v>
      </c>
      <c r="R3794">
        <v>36</v>
      </c>
      <c r="S3794">
        <v>56</v>
      </c>
      <c r="T3794" s="13">
        <v>36</v>
      </c>
      <c r="U3794" s="13">
        <v>62</v>
      </c>
      <c r="V3794" t="s">
        <v>99</v>
      </c>
      <c r="X3794" s="13">
        <v>242</v>
      </c>
    </row>
    <row r="3795" spans="1:24" x14ac:dyDescent="0.25">
      <c r="A3795" t="s">
        <v>3678</v>
      </c>
      <c r="B3795" t="s">
        <v>65</v>
      </c>
      <c r="C3795" t="s">
        <v>3669</v>
      </c>
      <c r="D3795" t="s">
        <v>3670</v>
      </c>
      <c r="E3795" t="s">
        <v>3671</v>
      </c>
      <c r="F3795" t="s">
        <v>94</v>
      </c>
      <c r="G3795" t="s">
        <v>277</v>
      </c>
      <c r="H3795" s="12">
        <v>6.5568999999999997</v>
      </c>
      <c r="I3795" s="12">
        <v>-75.828100000000006</v>
      </c>
      <c r="J3795" t="s">
        <v>3672</v>
      </c>
      <c r="K3795" t="s">
        <v>97</v>
      </c>
      <c r="L3795" t="s">
        <v>1273</v>
      </c>
      <c r="M3795">
        <v>11</v>
      </c>
      <c r="P3795" s="13">
        <v>239</v>
      </c>
      <c r="Q3795" s="13">
        <v>59</v>
      </c>
      <c r="R3795">
        <v>24</v>
      </c>
      <c r="S3795">
        <v>54</v>
      </c>
      <c r="T3795" s="13">
        <v>43</v>
      </c>
      <c r="U3795" s="13">
        <v>84</v>
      </c>
      <c r="V3795" t="s">
        <v>99</v>
      </c>
      <c r="X3795" s="13">
        <v>239</v>
      </c>
    </row>
    <row r="3796" spans="1:24" x14ac:dyDescent="0.25">
      <c r="A3796" t="s">
        <v>3679</v>
      </c>
      <c r="B3796" t="s">
        <v>65</v>
      </c>
      <c r="C3796" t="s">
        <v>3669</v>
      </c>
      <c r="D3796" t="s">
        <v>3670</v>
      </c>
      <c r="E3796" t="s">
        <v>3671</v>
      </c>
      <c r="F3796" t="s">
        <v>94</v>
      </c>
      <c r="G3796" t="s">
        <v>277</v>
      </c>
      <c r="H3796" s="12">
        <v>6.5568999999999997</v>
      </c>
      <c r="I3796" s="12">
        <v>-75.828100000000006</v>
      </c>
      <c r="J3796" t="s">
        <v>3672</v>
      </c>
      <c r="K3796" t="s">
        <v>97</v>
      </c>
      <c r="L3796" t="s">
        <v>1273</v>
      </c>
      <c r="M3796">
        <v>11</v>
      </c>
      <c r="P3796" s="13">
        <v>238</v>
      </c>
      <c r="Q3796" s="13">
        <v>73</v>
      </c>
      <c r="R3796">
        <v>28</v>
      </c>
      <c r="S3796">
        <v>62</v>
      </c>
      <c r="T3796" s="13">
        <v>29</v>
      </c>
      <c r="U3796" s="13">
        <v>42</v>
      </c>
      <c r="V3796" t="s">
        <v>99</v>
      </c>
      <c r="X3796" s="13">
        <v>238</v>
      </c>
    </row>
    <row r="3797" spans="1:24" x14ac:dyDescent="0.25">
      <c r="A3797" t="s">
        <v>3680</v>
      </c>
      <c r="B3797" t="s">
        <v>65</v>
      </c>
      <c r="C3797" t="s">
        <v>3669</v>
      </c>
      <c r="D3797" t="s">
        <v>3670</v>
      </c>
      <c r="E3797" t="s">
        <v>3671</v>
      </c>
      <c r="F3797" t="s">
        <v>94</v>
      </c>
      <c r="G3797" t="s">
        <v>277</v>
      </c>
      <c r="H3797" s="12">
        <v>6.5568999999999997</v>
      </c>
      <c r="I3797" s="12">
        <v>-75.828100000000006</v>
      </c>
      <c r="J3797" t="s">
        <v>3672</v>
      </c>
      <c r="K3797" t="s">
        <v>97</v>
      </c>
      <c r="L3797" t="s">
        <v>1273</v>
      </c>
      <c r="M3797">
        <v>11</v>
      </c>
      <c r="P3797" s="13">
        <v>235</v>
      </c>
      <c r="Q3797" s="13">
        <v>49</v>
      </c>
      <c r="R3797">
        <v>26</v>
      </c>
      <c r="S3797">
        <v>62</v>
      </c>
      <c r="T3797" s="13">
        <v>40</v>
      </c>
      <c r="U3797" s="13">
        <v>82</v>
      </c>
      <c r="V3797" t="s">
        <v>99</v>
      </c>
      <c r="X3797" s="13">
        <v>235</v>
      </c>
    </row>
    <row r="3798" spans="1:24" x14ac:dyDescent="0.25">
      <c r="A3798" t="s">
        <v>3681</v>
      </c>
      <c r="B3798" t="s">
        <v>65</v>
      </c>
      <c r="C3798" t="s">
        <v>3669</v>
      </c>
      <c r="D3798" t="s">
        <v>3670</v>
      </c>
      <c r="E3798" t="s">
        <v>3671</v>
      </c>
      <c r="F3798" t="s">
        <v>94</v>
      </c>
      <c r="G3798" t="s">
        <v>277</v>
      </c>
      <c r="H3798" s="12">
        <v>6.5568999999999997</v>
      </c>
      <c r="I3798" s="12">
        <v>-75.828100000000006</v>
      </c>
      <c r="J3798" t="s">
        <v>3672</v>
      </c>
      <c r="K3798" t="s">
        <v>97</v>
      </c>
      <c r="L3798" t="s">
        <v>1273</v>
      </c>
      <c r="M3798">
        <v>11</v>
      </c>
      <c r="P3798" s="13">
        <v>233</v>
      </c>
      <c r="Q3798" s="13">
        <v>54</v>
      </c>
      <c r="R3798">
        <v>28</v>
      </c>
      <c r="S3798">
        <v>66</v>
      </c>
      <c r="T3798" s="13">
        <v>36</v>
      </c>
      <c r="U3798" s="13">
        <v>55</v>
      </c>
      <c r="V3798" t="s">
        <v>99</v>
      </c>
      <c r="X3798" s="13">
        <v>233</v>
      </c>
    </row>
    <row r="3799" spans="1:24" x14ac:dyDescent="0.25">
      <c r="A3799" t="s">
        <v>3682</v>
      </c>
      <c r="B3799" t="s">
        <v>65</v>
      </c>
      <c r="C3799" t="s">
        <v>3669</v>
      </c>
      <c r="D3799" t="s">
        <v>3670</v>
      </c>
      <c r="E3799" t="s">
        <v>3671</v>
      </c>
      <c r="F3799" t="s">
        <v>94</v>
      </c>
      <c r="G3799" t="s">
        <v>277</v>
      </c>
      <c r="H3799" s="12">
        <v>6.5568999999999997</v>
      </c>
      <c r="I3799" s="12">
        <v>-75.828100000000006</v>
      </c>
      <c r="J3799" t="s">
        <v>3672</v>
      </c>
      <c r="K3799" t="s">
        <v>97</v>
      </c>
      <c r="L3799" t="s">
        <v>1273</v>
      </c>
      <c r="M3799">
        <v>11</v>
      </c>
      <c r="P3799" s="13">
        <v>231</v>
      </c>
      <c r="Q3799" s="13">
        <v>59</v>
      </c>
      <c r="R3799">
        <v>22</v>
      </c>
      <c r="S3799">
        <v>62</v>
      </c>
      <c r="T3799" s="13">
        <v>38</v>
      </c>
      <c r="U3799" s="13">
        <v>58</v>
      </c>
      <c r="V3799" t="s">
        <v>99</v>
      </c>
      <c r="X3799" s="13">
        <v>231</v>
      </c>
    </row>
    <row r="3800" spans="1:24" x14ac:dyDescent="0.25">
      <c r="A3800" t="s">
        <v>3683</v>
      </c>
      <c r="B3800" t="s">
        <v>65</v>
      </c>
      <c r="C3800" t="s">
        <v>3669</v>
      </c>
      <c r="D3800" t="s">
        <v>3670</v>
      </c>
      <c r="E3800" t="s">
        <v>3671</v>
      </c>
      <c r="F3800" t="s">
        <v>94</v>
      </c>
      <c r="G3800" t="s">
        <v>277</v>
      </c>
      <c r="H3800" s="12">
        <v>6.5568999999999997</v>
      </c>
      <c r="I3800" s="12">
        <v>-75.828100000000006</v>
      </c>
      <c r="J3800" t="s">
        <v>3672</v>
      </c>
      <c r="K3800" t="s">
        <v>97</v>
      </c>
      <c r="L3800" t="s">
        <v>1273</v>
      </c>
      <c r="M3800">
        <v>11</v>
      </c>
      <c r="P3800" s="13">
        <v>230</v>
      </c>
      <c r="Q3800" s="13">
        <v>56</v>
      </c>
      <c r="R3800">
        <v>40</v>
      </c>
      <c r="S3800">
        <v>42</v>
      </c>
      <c r="T3800" s="13">
        <v>29</v>
      </c>
      <c r="U3800" s="13">
        <v>95</v>
      </c>
      <c r="V3800" t="s">
        <v>99</v>
      </c>
      <c r="X3800" s="13">
        <v>230</v>
      </c>
    </row>
    <row r="3801" spans="1:24" x14ac:dyDescent="0.25">
      <c r="A3801" t="s">
        <v>3684</v>
      </c>
      <c r="B3801" t="s">
        <v>65</v>
      </c>
      <c r="C3801" t="s">
        <v>3669</v>
      </c>
      <c r="D3801" t="s">
        <v>3670</v>
      </c>
      <c r="E3801" t="s">
        <v>3671</v>
      </c>
      <c r="F3801" t="s">
        <v>94</v>
      </c>
      <c r="G3801" t="s">
        <v>277</v>
      </c>
      <c r="H3801" s="12">
        <v>6.5568999999999997</v>
      </c>
      <c r="I3801" s="12">
        <v>-75.828100000000006</v>
      </c>
      <c r="J3801" t="s">
        <v>3672</v>
      </c>
      <c r="K3801" t="s">
        <v>97</v>
      </c>
      <c r="L3801" t="s">
        <v>1273</v>
      </c>
      <c r="M3801">
        <v>11</v>
      </c>
      <c r="P3801" s="13">
        <v>229</v>
      </c>
      <c r="Q3801" s="13">
        <v>54</v>
      </c>
      <c r="R3801">
        <v>30</v>
      </c>
      <c r="S3801">
        <v>60</v>
      </c>
      <c r="T3801" s="13">
        <v>40</v>
      </c>
      <c r="U3801" s="13">
        <v>45</v>
      </c>
      <c r="V3801" t="s">
        <v>99</v>
      </c>
      <c r="X3801" s="13">
        <v>229</v>
      </c>
    </row>
    <row r="3802" spans="1:24" x14ac:dyDescent="0.25">
      <c r="A3802" t="s">
        <v>3685</v>
      </c>
      <c r="B3802" t="s">
        <v>65</v>
      </c>
      <c r="C3802" t="s">
        <v>3669</v>
      </c>
      <c r="D3802" t="s">
        <v>3670</v>
      </c>
      <c r="E3802" t="s">
        <v>3671</v>
      </c>
      <c r="F3802" t="s">
        <v>94</v>
      </c>
      <c r="G3802" t="s">
        <v>277</v>
      </c>
      <c r="H3802" s="12">
        <v>6.5568999999999997</v>
      </c>
      <c r="I3802" s="12">
        <v>-75.828100000000006</v>
      </c>
      <c r="J3802" t="s">
        <v>3672</v>
      </c>
      <c r="K3802" t="s">
        <v>97</v>
      </c>
      <c r="L3802" t="s">
        <v>1273</v>
      </c>
      <c r="M3802">
        <v>11</v>
      </c>
      <c r="P3802" s="13">
        <v>222</v>
      </c>
      <c r="Q3802" s="13">
        <v>44</v>
      </c>
      <c r="R3802">
        <v>46</v>
      </c>
      <c r="S3802">
        <v>56</v>
      </c>
      <c r="T3802" s="13">
        <v>21</v>
      </c>
      <c r="U3802" s="13">
        <v>78</v>
      </c>
      <c r="V3802" t="s">
        <v>99</v>
      </c>
      <c r="X3802" s="13">
        <v>222</v>
      </c>
    </row>
    <row r="3803" spans="1:24" x14ac:dyDescent="0.25">
      <c r="A3803" t="s">
        <v>3686</v>
      </c>
      <c r="B3803" t="s">
        <v>65</v>
      </c>
      <c r="C3803" t="s">
        <v>3669</v>
      </c>
      <c r="D3803" t="s">
        <v>3670</v>
      </c>
      <c r="E3803" t="s">
        <v>3671</v>
      </c>
      <c r="F3803" t="s">
        <v>94</v>
      </c>
      <c r="G3803" t="s">
        <v>277</v>
      </c>
      <c r="H3803" s="12">
        <v>6.5568999999999997</v>
      </c>
      <c r="I3803" s="12">
        <v>-75.828100000000006</v>
      </c>
      <c r="J3803" t="s">
        <v>3672</v>
      </c>
      <c r="K3803" t="s">
        <v>97</v>
      </c>
      <c r="L3803" t="s">
        <v>1273</v>
      </c>
      <c r="M3803">
        <v>11</v>
      </c>
      <c r="P3803" s="13">
        <v>221</v>
      </c>
      <c r="Q3803" s="13">
        <v>56</v>
      </c>
      <c r="R3803">
        <v>28</v>
      </c>
      <c r="S3803">
        <v>58</v>
      </c>
      <c r="T3803" s="13">
        <v>33</v>
      </c>
      <c r="U3803" s="13">
        <v>51</v>
      </c>
      <c r="V3803" t="s">
        <v>99</v>
      </c>
      <c r="X3803" s="13">
        <v>221</v>
      </c>
    </row>
    <row r="3804" spans="1:24" x14ac:dyDescent="0.25">
      <c r="A3804" t="s">
        <v>3687</v>
      </c>
      <c r="B3804" t="s">
        <v>65</v>
      </c>
      <c r="C3804" t="s">
        <v>3669</v>
      </c>
      <c r="D3804" t="s">
        <v>3670</v>
      </c>
      <c r="E3804" t="s">
        <v>3671</v>
      </c>
      <c r="F3804" t="s">
        <v>94</v>
      </c>
      <c r="G3804" t="s">
        <v>277</v>
      </c>
      <c r="H3804" s="12">
        <v>6.5568999999999997</v>
      </c>
      <c r="I3804" s="12">
        <v>-75.828100000000006</v>
      </c>
      <c r="J3804" t="s">
        <v>3672</v>
      </c>
      <c r="K3804" t="s">
        <v>97</v>
      </c>
      <c r="L3804" t="s">
        <v>1273</v>
      </c>
      <c r="M3804">
        <v>11</v>
      </c>
      <c r="P3804" s="13">
        <v>221</v>
      </c>
      <c r="Q3804" s="13">
        <v>54</v>
      </c>
      <c r="R3804">
        <v>26</v>
      </c>
      <c r="S3804">
        <v>52</v>
      </c>
      <c r="T3804" s="13">
        <v>43</v>
      </c>
      <c r="U3804" s="13">
        <v>51</v>
      </c>
      <c r="V3804" t="s">
        <v>99</v>
      </c>
      <c r="X3804" s="13">
        <v>221</v>
      </c>
    </row>
    <row r="3805" spans="1:24" x14ac:dyDescent="0.25">
      <c r="A3805" t="s">
        <v>3688</v>
      </c>
      <c r="B3805" t="s">
        <v>65</v>
      </c>
      <c r="C3805" t="s">
        <v>3669</v>
      </c>
      <c r="D3805" t="s">
        <v>3670</v>
      </c>
      <c r="E3805" t="s">
        <v>3671</v>
      </c>
      <c r="F3805" t="s">
        <v>94</v>
      </c>
      <c r="G3805" t="s">
        <v>277</v>
      </c>
      <c r="H3805" s="12">
        <v>6.5568999999999997</v>
      </c>
      <c r="I3805" s="12">
        <v>-75.828100000000006</v>
      </c>
      <c r="J3805" t="s">
        <v>3672</v>
      </c>
      <c r="K3805" t="s">
        <v>97</v>
      </c>
      <c r="L3805" t="s">
        <v>1273</v>
      </c>
      <c r="M3805">
        <v>11</v>
      </c>
      <c r="P3805" s="13">
        <v>220</v>
      </c>
      <c r="Q3805" s="13">
        <v>63</v>
      </c>
      <c r="R3805">
        <v>22</v>
      </c>
      <c r="S3805">
        <v>56</v>
      </c>
      <c r="T3805" s="13">
        <v>29</v>
      </c>
      <c r="U3805" s="13">
        <v>60</v>
      </c>
      <c r="V3805" t="s">
        <v>99</v>
      </c>
      <c r="X3805" s="13">
        <v>220</v>
      </c>
    </row>
    <row r="3806" spans="1:24" x14ac:dyDescent="0.25">
      <c r="A3806" t="s">
        <v>3689</v>
      </c>
      <c r="B3806" t="s">
        <v>65</v>
      </c>
      <c r="C3806" t="s">
        <v>3669</v>
      </c>
      <c r="D3806" t="s">
        <v>3670</v>
      </c>
      <c r="E3806" t="s">
        <v>3671</v>
      </c>
      <c r="F3806" t="s">
        <v>94</v>
      </c>
      <c r="G3806" t="s">
        <v>277</v>
      </c>
      <c r="H3806" s="12">
        <v>6.5568999999999997</v>
      </c>
      <c r="I3806" s="12">
        <v>-75.828100000000006</v>
      </c>
      <c r="J3806" t="s">
        <v>3672</v>
      </c>
      <c r="K3806" t="s">
        <v>97</v>
      </c>
      <c r="L3806" t="s">
        <v>1273</v>
      </c>
      <c r="M3806">
        <v>11</v>
      </c>
      <c r="P3806" s="13">
        <v>220</v>
      </c>
      <c r="Q3806" s="13">
        <v>44</v>
      </c>
      <c r="R3806">
        <v>26</v>
      </c>
      <c r="S3806">
        <v>64</v>
      </c>
      <c r="T3806" s="13">
        <v>40</v>
      </c>
      <c r="U3806" s="13">
        <v>51</v>
      </c>
      <c r="V3806" t="s">
        <v>99</v>
      </c>
      <c r="X3806" s="13">
        <v>220</v>
      </c>
    </row>
    <row r="3807" spans="1:24" x14ac:dyDescent="0.25">
      <c r="A3807" t="s">
        <v>3690</v>
      </c>
      <c r="B3807" t="s">
        <v>65</v>
      </c>
      <c r="C3807" t="s">
        <v>3669</v>
      </c>
      <c r="D3807" t="s">
        <v>3670</v>
      </c>
      <c r="E3807" t="s">
        <v>3671</v>
      </c>
      <c r="F3807" t="s">
        <v>94</v>
      </c>
      <c r="G3807" t="s">
        <v>277</v>
      </c>
      <c r="H3807" s="12">
        <v>6.5568999999999997</v>
      </c>
      <c r="I3807" s="12">
        <v>-75.828100000000006</v>
      </c>
      <c r="J3807" t="s">
        <v>3672</v>
      </c>
      <c r="K3807" t="s">
        <v>97</v>
      </c>
      <c r="L3807" t="s">
        <v>1273</v>
      </c>
      <c r="M3807">
        <v>11</v>
      </c>
      <c r="P3807" s="13">
        <v>214</v>
      </c>
      <c r="Q3807" s="13">
        <v>59</v>
      </c>
      <c r="R3807">
        <v>24</v>
      </c>
      <c r="S3807">
        <v>56</v>
      </c>
      <c r="T3807" s="13">
        <v>34</v>
      </c>
      <c r="U3807" s="13">
        <v>38</v>
      </c>
      <c r="V3807" t="s">
        <v>99</v>
      </c>
      <c r="X3807" s="13">
        <v>214</v>
      </c>
    </row>
    <row r="3808" spans="1:24" x14ac:dyDescent="0.25">
      <c r="A3808" t="s">
        <v>3691</v>
      </c>
      <c r="B3808" t="s">
        <v>65</v>
      </c>
      <c r="C3808" t="s">
        <v>3669</v>
      </c>
      <c r="D3808" t="s">
        <v>3670</v>
      </c>
      <c r="E3808" t="s">
        <v>3671</v>
      </c>
      <c r="F3808" t="s">
        <v>94</v>
      </c>
      <c r="G3808" t="s">
        <v>277</v>
      </c>
      <c r="H3808" s="12">
        <v>6.5568999999999997</v>
      </c>
      <c r="I3808" s="12">
        <v>-75.828100000000006</v>
      </c>
      <c r="J3808" t="s">
        <v>3672</v>
      </c>
      <c r="K3808" t="s">
        <v>97</v>
      </c>
      <c r="L3808" t="s">
        <v>1273</v>
      </c>
      <c r="M3808">
        <v>11</v>
      </c>
      <c r="P3808" s="13">
        <v>212</v>
      </c>
      <c r="Q3808" s="13">
        <v>49</v>
      </c>
      <c r="R3808">
        <v>26</v>
      </c>
      <c r="S3808">
        <v>60</v>
      </c>
      <c r="T3808" s="13">
        <v>33</v>
      </c>
      <c r="U3808" s="13">
        <v>49</v>
      </c>
      <c r="V3808" t="s">
        <v>99</v>
      </c>
      <c r="X3808" s="13">
        <v>212</v>
      </c>
    </row>
    <row r="3809" spans="1:24" x14ac:dyDescent="0.25">
      <c r="A3809" t="s">
        <v>3692</v>
      </c>
      <c r="B3809" t="s">
        <v>65</v>
      </c>
      <c r="C3809" t="s">
        <v>3669</v>
      </c>
      <c r="D3809" t="s">
        <v>3670</v>
      </c>
      <c r="E3809" t="s">
        <v>3671</v>
      </c>
      <c r="F3809" t="s">
        <v>94</v>
      </c>
      <c r="G3809" t="s">
        <v>277</v>
      </c>
      <c r="H3809" s="12">
        <v>6.5568999999999997</v>
      </c>
      <c r="I3809" s="12">
        <v>-75.828100000000006</v>
      </c>
      <c r="J3809" t="s">
        <v>3672</v>
      </c>
      <c r="K3809" t="s">
        <v>97</v>
      </c>
      <c r="L3809" t="s">
        <v>1273</v>
      </c>
      <c r="M3809">
        <v>11</v>
      </c>
      <c r="P3809" s="13">
        <v>211</v>
      </c>
      <c r="Q3809" s="13">
        <v>39</v>
      </c>
      <c r="R3809">
        <v>26</v>
      </c>
      <c r="S3809">
        <v>62</v>
      </c>
      <c r="T3809" s="13">
        <v>38</v>
      </c>
      <c r="U3809" s="13">
        <v>53</v>
      </c>
      <c r="V3809" t="s">
        <v>99</v>
      </c>
      <c r="X3809" s="13">
        <v>211</v>
      </c>
    </row>
    <row r="3810" spans="1:24" x14ac:dyDescent="0.25">
      <c r="A3810" t="s">
        <v>3693</v>
      </c>
      <c r="B3810" t="s">
        <v>65</v>
      </c>
      <c r="C3810" t="s">
        <v>3669</v>
      </c>
      <c r="D3810" t="s">
        <v>3670</v>
      </c>
      <c r="E3810" t="s">
        <v>3671</v>
      </c>
      <c r="F3810" t="s">
        <v>94</v>
      </c>
      <c r="G3810" t="s">
        <v>277</v>
      </c>
      <c r="H3810" s="12">
        <v>6.5568999999999997</v>
      </c>
      <c r="I3810" s="12">
        <v>-75.828100000000006</v>
      </c>
      <c r="J3810" t="s">
        <v>3672</v>
      </c>
      <c r="K3810" t="s">
        <v>97</v>
      </c>
      <c r="L3810" t="s">
        <v>1273</v>
      </c>
      <c r="M3810">
        <v>11</v>
      </c>
      <c r="P3810" s="13">
        <v>204</v>
      </c>
      <c r="Q3810" s="13">
        <v>49</v>
      </c>
      <c r="R3810">
        <v>32</v>
      </c>
      <c r="S3810">
        <v>54</v>
      </c>
      <c r="T3810" s="13">
        <v>24</v>
      </c>
      <c r="U3810" s="13">
        <v>55</v>
      </c>
      <c r="V3810" t="s">
        <v>99</v>
      </c>
      <c r="X3810" s="13">
        <v>204</v>
      </c>
    </row>
    <row r="3811" spans="1:24" x14ac:dyDescent="0.25">
      <c r="A3811" t="s">
        <v>3694</v>
      </c>
      <c r="B3811" t="s">
        <v>65</v>
      </c>
      <c r="C3811" t="s">
        <v>3669</v>
      </c>
      <c r="D3811" t="s">
        <v>3670</v>
      </c>
      <c r="E3811" t="s">
        <v>3671</v>
      </c>
      <c r="F3811" t="s">
        <v>94</v>
      </c>
      <c r="G3811" t="s">
        <v>277</v>
      </c>
      <c r="H3811" s="12">
        <v>6.5568999999999997</v>
      </c>
      <c r="I3811" s="12">
        <v>-75.828100000000006</v>
      </c>
      <c r="J3811" t="s">
        <v>3672</v>
      </c>
      <c r="K3811" t="s">
        <v>97</v>
      </c>
      <c r="L3811" t="s">
        <v>1273</v>
      </c>
      <c r="M3811">
        <v>11</v>
      </c>
      <c r="P3811" s="13">
        <v>198</v>
      </c>
      <c r="Q3811" s="13">
        <v>39</v>
      </c>
      <c r="R3811">
        <v>30</v>
      </c>
      <c r="S3811">
        <v>50</v>
      </c>
      <c r="T3811" s="13">
        <v>34</v>
      </c>
      <c r="U3811" s="13">
        <v>55</v>
      </c>
      <c r="V3811" t="s">
        <v>99</v>
      </c>
      <c r="X3811" s="13">
        <v>198</v>
      </c>
    </row>
    <row r="3812" spans="1:24" x14ac:dyDescent="0.25">
      <c r="A3812" t="s">
        <v>3695</v>
      </c>
      <c r="B3812" t="s">
        <v>65</v>
      </c>
      <c r="C3812" t="s">
        <v>3669</v>
      </c>
      <c r="D3812" t="s">
        <v>3670</v>
      </c>
      <c r="E3812" t="s">
        <v>3671</v>
      </c>
      <c r="F3812" t="s">
        <v>94</v>
      </c>
      <c r="G3812" t="s">
        <v>277</v>
      </c>
      <c r="H3812" s="12">
        <v>6.5568999999999997</v>
      </c>
      <c r="I3812" s="12">
        <v>-75.828100000000006</v>
      </c>
      <c r="J3812" t="s">
        <v>3672</v>
      </c>
      <c r="K3812" t="s">
        <v>97</v>
      </c>
      <c r="L3812" t="s">
        <v>1273</v>
      </c>
      <c r="M3812">
        <v>11</v>
      </c>
      <c r="P3812" s="13">
        <v>198</v>
      </c>
      <c r="Q3812" s="13">
        <v>46</v>
      </c>
      <c r="R3812">
        <v>28</v>
      </c>
      <c r="S3812">
        <v>54</v>
      </c>
      <c r="T3812" s="13">
        <v>28</v>
      </c>
      <c r="U3812" s="13">
        <v>47</v>
      </c>
      <c r="V3812" t="s">
        <v>99</v>
      </c>
      <c r="X3812" s="13">
        <v>198</v>
      </c>
    </row>
    <row r="3813" spans="1:24" x14ac:dyDescent="0.25">
      <c r="A3813" t="s">
        <v>3696</v>
      </c>
      <c r="B3813" t="s">
        <v>65</v>
      </c>
      <c r="C3813" t="s">
        <v>3669</v>
      </c>
      <c r="D3813" t="s">
        <v>3670</v>
      </c>
      <c r="E3813" t="s">
        <v>3671</v>
      </c>
      <c r="F3813" t="s">
        <v>94</v>
      </c>
      <c r="G3813" t="s">
        <v>277</v>
      </c>
      <c r="H3813" s="12">
        <v>6.5568999999999997</v>
      </c>
      <c r="I3813" s="12">
        <v>-75.828100000000006</v>
      </c>
      <c r="J3813" t="s">
        <v>3672</v>
      </c>
      <c r="K3813" t="s">
        <v>97</v>
      </c>
      <c r="L3813" t="s">
        <v>1273</v>
      </c>
      <c r="M3813">
        <v>11</v>
      </c>
      <c r="P3813" s="13">
        <v>196</v>
      </c>
      <c r="Q3813" s="13">
        <v>59</v>
      </c>
      <c r="R3813">
        <v>28</v>
      </c>
      <c r="S3813">
        <v>34</v>
      </c>
      <c r="T3813" s="13">
        <v>29</v>
      </c>
      <c r="U3813" s="13">
        <v>60</v>
      </c>
      <c r="V3813" t="s">
        <v>99</v>
      </c>
      <c r="X3813" s="13">
        <v>196</v>
      </c>
    </row>
    <row r="3814" spans="1:24" x14ac:dyDescent="0.25">
      <c r="A3814" t="s">
        <v>3697</v>
      </c>
      <c r="B3814" t="s">
        <v>65</v>
      </c>
      <c r="C3814" t="s">
        <v>3669</v>
      </c>
      <c r="D3814" t="s">
        <v>3670</v>
      </c>
      <c r="E3814" t="s">
        <v>3671</v>
      </c>
      <c r="F3814" t="s">
        <v>94</v>
      </c>
      <c r="G3814" t="s">
        <v>277</v>
      </c>
      <c r="H3814" s="12">
        <v>6.5568999999999997</v>
      </c>
      <c r="I3814" s="12">
        <v>-75.828100000000006</v>
      </c>
      <c r="J3814" t="s">
        <v>3672</v>
      </c>
      <c r="K3814" t="s">
        <v>97</v>
      </c>
      <c r="L3814" t="s">
        <v>1273</v>
      </c>
      <c r="M3814">
        <v>11</v>
      </c>
      <c r="P3814" s="13">
        <v>194</v>
      </c>
      <c r="Q3814" s="13">
        <v>54</v>
      </c>
      <c r="R3814">
        <v>24</v>
      </c>
      <c r="S3814">
        <v>50</v>
      </c>
      <c r="T3814" s="13">
        <v>24</v>
      </c>
      <c r="U3814" s="13">
        <v>49</v>
      </c>
      <c r="V3814" t="s">
        <v>99</v>
      </c>
      <c r="X3814" s="13">
        <v>194</v>
      </c>
    </row>
    <row r="3815" spans="1:24" x14ac:dyDescent="0.25">
      <c r="A3815" t="s">
        <v>3698</v>
      </c>
      <c r="B3815" t="s">
        <v>65</v>
      </c>
      <c r="C3815" t="s">
        <v>3669</v>
      </c>
      <c r="D3815" t="s">
        <v>3670</v>
      </c>
      <c r="E3815" t="s">
        <v>3671</v>
      </c>
      <c r="F3815" t="s">
        <v>94</v>
      </c>
      <c r="G3815" t="s">
        <v>277</v>
      </c>
      <c r="H3815" s="12">
        <v>6.5568999999999997</v>
      </c>
      <c r="I3815" s="12">
        <v>-75.828100000000006</v>
      </c>
      <c r="J3815" t="s">
        <v>3672</v>
      </c>
      <c r="K3815" t="s">
        <v>97</v>
      </c>
      <c r="L3815" t="s">
        <v>1273</v>
      </c>
      <c r="M3815">
        <v>11</v>
      </c>
      <c r="P3815" s="13">
        <v>188</v>
      </c>
      <c r="Q3815" s="13">
        <v>44</v>
      </c>
      <c r="R3815">
        <v>20</v>
      </c>
      <c r="S3815">
        <v>54</v>
      </c>
      <c r="T3815" s="13">
        <v>31</v>
      </c>
      <c r="U3815" s="13">
        <v>42</v>
      </c>
      <c r="V3815" t="s">
        <v>99</v>
      </c>
      <c r="X3815" s="13">
        <v>188</v>
      </c>
    </row>
    <row r="3816" spans="1:24" x14ac:dyDescent="0.25">
      <c r="A3816" t="s">
        <v>3699</v>
      </c>
      <c r="B3816" t="s">
        <v>65</v>
      </c>
      <c r="C3816" t="s">
        <v>3669</v>
      </c>
      <c r="D3816" t="s">
        <v>3670</v>
      </c>
      <c r="E3816" t="s">
        <v>3671</v>
      </c>
      <c r="F3816" t="s">
        <v>94</v>
      </c>
      <c r="G3816" t="s">
        <v>277</v>
      </c>
      <c r="H3816" s="12">
        <v>6.5568999999999997</v>
      </c>
      <c r="I3816" s="12">
        <v>-75.828100000000006</v>
      </c>
      <c r="J3816" t="s">
        <v>3672</v>
      </c>
      <c r="K3816" t="s">
        <v>97</v>
      </c>
      <c r="L3816" t="s">
        <v>1273</v>
      </c>
      <c r="M3816">
        <v>11</v>
      </c>
      <c r="P3816" s="13">
        <v>188</v>
      </c>
      <c r="Q3816" s="13">
        <v>44</v>
      </c>
      <c r="R3816">
        <v>36</v>
      </c>
      <c r="S3816">
        <v>40</v>
      </c>
      <c r="T3816" s="13">
        <v>29</v>
      </c>
      <c r="U3816" s="13">
        <v>40</v>
      </c>
      <c r="V3816" t="s">
        <v>99</v>
      </c>
      <c r="X3816" s="13">
        <v>188</v>
      </c>
    </row>
    <row r="3817" spans="1:24" x14ac:dyDescent="0.25">
      <c r="A3817" t="s">
        <v>3700</v>
      </c>
      <c r="B3817" t="s">
        <v>65</v>
      </c>
      <c r="C3817" t="s">
        <v>3669</v>
      </c>
      <c r="D3817" t="s">
        <v>3670</v>
      </c>
      <c r="E3817" t="s">
        <v>3671</v>
      </c>
      <c r="F3817" t="s">
        <v>94</v>
      </c>
      <c r="G3817" t="s">
        <v>277</v>
      </c>
      <c r="H3817" s="12">
        <v>6.5568999999999997</v>
      </c>
      <c r="I3817" s="12">
        <v>-75.828100000000006</v>
      </c>
      <c r="J3817" t="s">
        <v>3672</v>
      </c>
      <c r="K3817" t="s">
        <v>97</v>
      </c>
      <c r="L3817" t="s">
        <v>1273</v>
      </c>
      <c r="M3817">
        <v>11</v>
      </c>
      <c r="P3817" s="13">
        <v>187</v>
      </c>
      <c r="Q3817" s="13">
        <v>51</v>
      </c>
      <c r="R3817">
        <v>22</v>
      </c>
      <c r="S3817">
        <v>50</v>
      </c>
      <c r="T3817" s="13">
        <v>28</v>
      </c>
      <c r="U3817" s="13">
        <v>35</v>
      </c>
      <c r="V3817" t="s">
        <v>99</v>
      </c>
      <c r="X3817" s="13">
        <v>187</v>
      </c>
    </row>
    <row r="3818" spans="1:24" x14ac:dyDescent="0.25">
      <c r="A3818" t="s">
        <v>3701</v>
      </c>
      <c r="B3818" t="s">
        <v>65</v>
      </c>
      <c r="C3818" t="s">
        <v>3669</v>
      </c>
      <c r="D3818" t="s">
        <v>3670</v>
      </c>
      <c r="E3818" t="s">
        <v>3671</v>
      </c>
      <c r="F3818" t="s">
        <v>94</v>
      </c>
      <c r="G3818" t="s">
        <v>277</v>
      </c>
      <c r="H3818" s="12">
        <v>6.5568999999999997</v>
      </c>
      <c r="I3818" s="12">
        <v>-75.828100000000006</v>
      </c>
      <c r="J3818" t="s">
        <v>3672</v>
      </c>
      <c r="K3818" t="s">
        <v>97</v>
      </c>
      <c r="L3818" t="s">
        <v>1273</v>
      </c>
      <c r="M3818">
        <v>11</v>
      </c>
      <c r="P3818" s="13">
        <v>184</v>
      </c>
      <c r="Q3818" s="13">
        <v>44</v>
      </c>
      <c r="R3818">
        <v>28</v>
      </c>
      <c r="S3818">
        <v>36</v>
      </c>
      <c r="T3818" s="13">
        <v>38</v>
      </c>
      <c r="U3818" s="13">
        <v>42</v>
      </c>
      <c r="V3818" t="s">
        <v>99</v>
      </c>
      <c r="X3818" s="13">
        <v>184</v>
      </c>
    </row>
    <row r="3819" spans="1:24" x14ac:dyDescent="0.25">
      <c r="A3819" t="s">
        <v>3702</v>
      </c>
      <c r="B3819" t="s">
        <v>65</v>
      </c>
      <c r="C3819" t="s">
        <v>3669</v>
      </c>
      <c r="D3819" t="s">
        <v>3670</v>
      </c>
      <c r="E3819" t="s">
        <v>3671</v>
      </c>
      <c r="F3819" t="s">
        <v>94</v>
      </c>
      <c r="G3819" t="s">
        <v>277</v>
      </c>
      <c r="H3819" s="12">
        <v>6.5568999999999997</v>
      </c>
      <c r="I3819" s="12">
        <v>-75.828100000000006</v>
      </c>
      <c r="J3819" t="s">
        <v>3672</v>
      </c>
      <c r="K3819" t="s">
        <v>97</v>
      </c>
      <c r="L3819" t="s">
        <v>1273</v>
      </c>
      <c r="M3819">
        <v>11</v>
      </c>
      <c r="P3819" s="13">
        <v>184</v>
      </c>
      <c r="Q3819" s="13">
        <v>37</v>
      </c>
      <c r="R3819">
        <v>34</v>
      </c>
      <c r="S3819">
        <v>48</v>
      </c>
      <c r="T3819" s="13">
        <v>24</v>
      </c>
      <c r="U3819" s="13">
        <v>49</v>
      </c>
      <c r="V3819" t="s">
        <v>99</v>
      </c>
      <c r="X3819" s="13">
        <v>184</v>
      </c>
    </row>
    <row r="3820" spans="1:24" x14ac:dyDescent="0.25">
      <c r="A3820" t="s">
        <v>3703</v>
      </c>
      <c r="B3820" t="s">
        <v>65</v>
      </c>
      <c r="C3820" t="s">
        <v>3669</v>
      </c>
      <c r="D3820" t="s">
        <v>3670</v>
      </c>
      <c r="E3820" t="s">
        <v>3671</v>
      </c>
      <c r="F3820" t="s">
        <v>94</v>
      </c>
      <c r="G3820" t="s">
        <v>277</v>
      </c>
      <c r="H3820" s="12">
        <v>6.5568999999999997</v>
      </c>
      <c r="I3820" s="12">
        <v>-75.828100000000006</v>
      </c>
      <c r="J3820" t="s">
        <v>3672</v>
      </c>
      <c r="K3820" t="s">
        <v>97</v>
      </c>
      <c r="L3820" t="s">
        <v>1273</v>
      </c>
      <c r="M3820">
        <v>11</v>
      </c>
      <c r="P3820" s="13">
        <v>177</v>
      </c>
      <c r="Q3820" s="13">
        <v>41</v>
      </c>
      <c r="R3820">
        <v>30</v>
      </c>
      <c r="S3820">
        <v>40</v>
      </c>
      <c r="T3820" s="13">
        <v>22</v>
      </c>
      <c r="U3820" s="13">
        <v>58</v>
      </c>
      <c r="V3820" t="s">
        <v>99</v>
      </c>
      <c r="X3820" s="13">
        <v>177</v>
      </c>
    </row>
    <row r="3821" spans="1:24" x14ac:dyDescent="0.25">
      <c r="A3821" t="s">
        <v>3704</v>
      </c>
      <c r="B3821" t="s">
        <v>65</v>
      </c>
      <c r="C3821" t="s">
        <v>3669</v>
      </c>
      <c r="D3821" t="s">
        <v>3670</v>
      </c>
      <c r="E3821" t="s">
        <v>3671</v>
      </c>
      <c r="F3821" t="s">
        <v>94</v>
      </c>
      <c r="G3821" t="s">
        <v>277</v>
      </c>
      <c r="H3821" s="12">
        <v>6.5568999999999997</v>
      </c>
      <c r="I3821" s="12">
        <v>-75.828100000000006</v>
      </c>
      <c r="J3821" t="s">
        <v>3672</v>
      </c>
      <c r="K3821" t="s">
        <v>97</v>
      </c>
      <c r="L3821" t="s">
        <v>1273</v>
      </c>
      <c r="M3821">
        <v>11</v>
      </c>
      <c r="P3821" s="13">
        <v>177</v>
      </c>
      <c r="Q3821" s="13">
        <v>39</v>
      </c>
      <c r="R3821">
        <v>34</v>
      </c>
      <c r="S3821">
        <v>42</v>
      </c>
      <c r="T3821" s="13">
        <v>24</v>
      </c>
      <c r="U3821" s="13">
        <v>42</v>
      </c>
      <c r="V3821" t="s">
        <v>99</v>
      </c>
      <c r="X3821" s="13">
        <v>177</v>
      </c>
    </row>
    <row r="3822" spans="1:24" x14ac:dyDescent="0.25">
      <c r="A3822" t="s">
        <v>3705</v>
      </c>
      <c r="B3822" t="s">
        <v>65</v>
      </c>
      <c r="C3822" t="s">
        <v>3669</v>
      </c>
      <c r="D3822" t="s">
        <v>3670</v>
      </c>
      <c r="E3822" t="s">
        <v>3671</v>
      </c>
      <c r="F3822" t="s">
        <v>94</v>
      </c>
      <c r="G3822" t="s">
        <v>277</v>
      </c>
      <c r="H3822" s="12">
        <v>6.5568999999999997</v>
      </c>
      <c r="I3822" s="12">
        <v>-75.828100000000006</v>
      </c>
      <c r="J3822" t="s">
        <v>3672</v>
      </c>
      <c r="K3822" t="s">
        <v>97</v>
      </c>
      <c r="L3822" t="s">
        <v>1273</v>
      </c>
      <c r="M3822">
        <v>11</v>
      </c>
      <c r="P3822" s="13">
        <v>176</v>
      </c>
      <c r="Q3822" s="13">
        <v>29</v>
      </c>
      <c r="R3822">
        <v>38</v>
      </c>
      <c r="S3822">
        <v>44</v>
      </c>
      <c r="T3822" s="13">
        <v>28</v>
      </c>
      <c r="U3822" s="13">
        <v>40</v>
      </c>
      <c r="V3822" t="s">
        <v>99</v>
      </c>
      <c r="X3822" s="13">
        <v>176</v>
      </c>
    </row>
    <row r="3823" spans="1:24" x14ac:dyDescent="0.25">
      <c r="A3823" t="s">
        <v>3706</v>
      </c>
      <c r="B3823" t="s">
        <v>65</v>
      </c>
      <c r="C3823" t="s">
        <v>3669</v>
      </c>
      <c r="D3823" t="s">
        <v>3670</v>
      </c>
      <c r="E3823" t="s">
        <v>3671</v>
      </c>
      <c r="F3823" t="s">
        <v>94</v>
      </c>
      <c r="G3823" t="s">
        <v>277</v>
      </c>
      <c r="H3823" s="12">
        <v>6.5568999999999997</v>
      </c>
      <c r="I3823" s="12">
        <v>-75.828100000000006</v>
      </c>
      <c r="J3823" t="s">
        <v>3672</v>
      </c>
      <c r="K3823" t="s">
        <v>97</v>
      </c>
      <c r="L3823" t="s">
        <v>1273</v>
      </c>
      <c r="M3823">
        <v>11</v>
      </c>
      <c r="P3823" s="13">
        <v>172</v>
      </c>
      <c r="Q3823" s="13">
        <v>32</v>
      </c>
      <c r="R3823">
        <v>34</v>
      </c>
      <c r="S3823">
        <v>40</v>
      </c>
      <c r="T3823" s="13">
        <v>28</v>
      </c>
      <c r="U3823" s="13">
        <v>47</v>
      </c>
      <c r="V3823" t="s">
        <v>99</v>
      </c>
      <c r="X3823" s="13">
        <v>172</v>
      </c>
    </row>
    <row r="3824" spans="1:24" x14ac:dyDescent="0.25">
      <c r="A3824" t="s">
        <v>3707</v>
      </c>
      <c r="B3824" t="s">
        <v>65</v>
      </c>
      <c r="C3824" t="s">
        <v>3669</v>
      </c>
      <c r="D3824" t="s">
        <v>3670</v>
      </c>
      <c r="E3824" t="s">
        <v>3671</v>
      </c>
      <c r="F3824" t="s">
        <v>94</v>
      </c>
      <c r="G3824" t="s">
        <v>277</v>
      </c>
      <c r="H3824" s="12">
        <v>6.5568999999999997</v>
      </c>
      <c r="I3824" s="12">
        <v>-75.828100000000006</v>
      </c>
      <c r="J3824" t="s">
        <v>3672</v>
      </c>
      <c r="K3824" t="s">
        <v>97</v>
      </c>
      <c r="L3824" t="s">
        <v>1273</v>
      </c>
      <c r="M3824">
        <v>11</v>
      </c>
      <c r="P3824" s="13">
        <v>171</v>
      </c>
      <c r="Q3824" s="13">
        <v>24</v>
      </c>
      <c r="R3824">
        <v>26</v>
      </c>
      <c r="S3824">
        <v>60</v>
      </c>
      <c r="T3824" s="13">
        <v>26</v>
      </c>
      <c r="U3824" s="13">
        <v>35</v>
      </c>
      <c r="V3824" t="s">
        <v>99</v>
      </c>
      <c r="X3824" s="13">
        <v>171</v>
      </c>
    </row>
    <row r="3825" spans="1:24" x14ac:dyDescent="0.25">
      <c r="A3825" t="s">
        <v>3708</v>
      </c>
      <c r="B3825" t="s">
        <v>65</v>
      </c>
      <c r="C3825" t="s">
        <v>3669</v>
      </c>
      <c r="D3825" t="s">
        <v>3670</v>
      </c>
      <c r="E3825" t="s">
        <v>3671</v>
      </c>
      <c r="F3825" t="s">
        <v>94</v>
      </c>
      <c r="G3825" t="s">
        <v>277</v>
      </c>
      <c r="H3825" s="12">
        <v>6.5568999999999997</v>
      </c>
      <c r="I3825" s="12">
        <v>-75.828100000000006</v>
      </c>
      <c r="J3825" t="s">
        <v>3672</v>
      </c>
      <c r="K3825" t="s">
        <v>97</v>
      </c>
      <c r="L3825" t="s">
        <v>1273</v>
      </c>
      <c r="M3825">
        <v>11</v>
      </c>
      <c r="P3825" s="13">
        <v>170</v>
      </c>
      <c r="Q3825" s="13">
        <v>37</v>
      </c>
      <c r="R3825">
        <v>18</v>
      </c>
      <c r="S3825">
        <v>50</v>
      </c>
      <c r="T3825" s="13">
        <v>28</v>
      </c>
      <c r="U3825" s="13">
        <v>45</v>
      </c>
      <c r="V3825" t="s">
        <v>99</v>
      </c>
      <c r="X3825" s="13">
        <v>170</v>
      </c>
    </row>
    <row r="3826" spans="1:24" x14ac:dyDescent="0.25">
      <c r="A3826" t="s">
        <v>3709</v>
      </c>
      <c r="B3826" t="s">
        <v>65</v>
      </c>
      <c r="C3826" t="s">
        <v>3669</v>
      </c>
      <c r="D3826" t="s">
        <v>3670</v>
      </c>
      <c r="E3826" t="s">
        <v>3671</v>
      </c>
      <c r="F3826" t="s">
        <v>94</v>
      </c>
      <c r="G3826" t="s">
        <v>277</v>
      </c>
      <c r="H3826" s="12">
        <v>6.5568999999999997</v>
      </c>
      <c r="I3826" s="12">
        <v>-75.828100000000006</v>
      </c>
      <c r="J3826" t="s">
        <v>3672</v>
      </c>
      <c r="K3826" t="s">
        <v>97</v>
      </c>
      <c r="L3826" t="s">
        <v>1273</v>
      </c>
      <c r="M3826">
        <v>11</v>
      </c>
      <c r="P3826" s="13">
        <v>169</v>
      </c>
      <c r="Q3826" s="13">
        <v>34</v>
      </c>
      <c r="R3826">
        <v>20</v>
      </c>
      <c r="S3826">
        <v>44</v>
      </c>
      <c r="T3826" s="13">
        <v>31</v>
      </c>
      <c r="U3826" s="13">
        <v>51</v>
      </c>
      <c r="V3826" t="s">
        <v>99</v>
      </c>
      <c r="X3826" s="13">
        <v>169</v>
      </c>
    </row>
    <row r="3827" spans="1:24" x14ac:dyDescent="0.25">
      <c r="A3827" t="s">
        <v>3710</v>
      </c>
      <c r="B3827" t="s">
        <v>65</v>
      </c>
      <c r="C3827" t="s">
        <v>3669</v>
      </c>
      <c r="D3827" t="s">
        <v>3670</v>
      </c>
      <c r="E3827" t="s">
        <v>3671</v>
      </c>
      <c r="F3827" t="s">
        <v>94</v>
      </c>
      <c r="G3827" t="s">
        <v>277</v>
      </c>
      <c r="H3827" s="12">
        <v>6.5568999999999997</v>
      </c>
      <c r="I3827" s="12">
        <v>-75.828100000000006</v>
      </c>
      <c r="J3827" t="s">
        <v>3672</v>
      </c>
      <c r="K3827" t="s">
        <v>97</v>
      </c>
      <c r="L3827" t="s">
        <v>1273</v>
      </c>
      <c r="M3827">
        <v>11</v>
      </c>
      <c r="P3827" s="13">
        <v>151</v>
      </c>
      <c r="Q3827" s="13">
        <v>24</v>
      </c>
      <c r="R3827">
        <v>30</v>
      </c>
      <c r="S3827">
        <v>32</v>
      </c>
      <c r="T3827" s="13">
        <v>34</v>
      </c>
      <c r="U3827" s="13">
        <v>29</v>
      </c>
      <c r="V3827" t="s">
        <v>99</v>
      </c>
      <c r="X3827" s="13">
        <v>151</v>
      </c>
    </row>
    <row r="3828" spans="1:24" x14ac:dyDescent="0.25">
      <c r="A3828" t="s">
        <v>3711</v>
      </c>
      <c r="B3828" t="s">
        <v>65</v>
      </c>
      <c r="C3828" t="s">
        <v>3712</v>
      </c>
      <c r="D3828" t="s">
        <v>3713</v>
      </c>
      <c r="E3828" t="s">
        <v>1951</v>
      </c>
      <c r="F3828" t="s">
        <v>94</v>
      </c>
      <c r="G3828" t="s">
        <v>277</v>
      </c>
      <c r="H3828" s="12">
        <v>8.2750000000000004</v>
      </c>
      <c r="I3828" s="12">
        <v>-76.369</v>
      </c>
      <c r="J3828" t="s">
        <v>3714</v>
      </c>
      <c r="K3828" t="s">
        <v>97</v>
      </c>
      <c r="L3828" t="s">
        <v>1273</v>
      </c>
      <c r="M3828">
        <v>11</v>
      </c>
      <c r="P3828" s="13">
        <v>220</v>
      </c>
      <c r="Q3828" s="13">
        <v>51</v>
      </c>
      <c r="R3828">
        <v>34</v>
      </c>
      <c r="S3828">
        <v>60</v>
      </c>
      <c r="T3828" s="13">
        <v>31</v>
      </c>
      <c r="U3828" s="13">
        <v>44</v>
      </c>
      <c r="V3828" t="s">
        <v>99</v>
      </c>
      <c r="X3828" s="13">
        <v>220</v>
      </c>
    </row>
    <row r="3829" spans="1:24" x14ac:dyDescent="0.25">
      <c r="A3829" t="s">
        <v>3715</v>
      </c>
      <c r="B3829" t="s">
        <v>65</v>
      </c>
      <c r="C3829" t="s">
        <v>3712</v>
      </c>
      <c r="D3829" t="s">
        <v>3713</v>
      </c>
      <c r="E3829" t="s">
        <v>1951</v>
      </c>
      <c r="F3829" t="s">
        <v>94</v>
      </c>
      <c r="G3829" t="s">
        <v>277</v>
      </c>
      <c r="H3829" s="12">
        <v>8.2750000000000004</v>
      </c>
      <c r="I3829" s="12">
        <v>-76.369</v>
      </c>
      <c r="J3829" t="s">
        <v>3714</v>
      </c>
      <c r="K3829" t="s">
        <v>97</v>
      </c>
      <c r="L3829" t="s">
        <v>1273</v>
      </c>
      <c r="M3829">
        <v>11</v>
      </c>
      <c r="P3829" s="13">
        <v>214</v>
      </c>
      <c r="Q3829" s="13">
        <v>61</v>
      </c>
      <c r="R3829">
        <v>22</v>
      </c>
      <c r="S3829">
        <v>52</v>
      </c>
      <c r="T3829" s="13">
        <v>34</v>
      </c>
      <c r="U3829" s="13">
        <v>49</v>
      </c>
      <c r="V3829" t="s">
        <v>99</v>
      </c>
      <c r="X3829" s="13">
        <v>214</v>
      </c>
    </row>
    <row r="3830" spans="1:24" x14ac:dyDescent="0.25">
      <c r="A3830" t="s">
        <v>3716</v>
      </c>
      <c r="B3830" t="s">
        <v>65</v>
      </c>
      <c r="C3830" t="s">
        <v>3712</v>
      </c>
      <c r="D3830" t="s">
        <v>3713</v>
      </c>
      <c r="E3830" t="s">
        <v>1951</v>
      </c>
      <c r="F3830" t="s">
        <v>94</v>
      </c>
      <c r="G3830" t="s">
        <v>277</v>
      </c>
      <c r="H3830" s="12">
        <v>8.2750000000000004</v>
      </c>
      <c r="I3830" s="12">
        <v>-76.369</v>
      </c>
      <c r="J3830" t="s">
        <v>3714</v>
      </c>
      <c r="K3830" t="s">
        <v>97</v>
      </c>
      <c r="L3830" t="s">
        <v>1273</v>
      </c>
      <c r="M3830">
        <v>11</v>
      </c>
      <c r="P3830" s="13">
        <v>209</v>
      </c>
      <c r="Q3830" s="13">
        <v>54</v>
      </c>
      <c r="R3830">
        <v>18</v>
      </c>
      <c r="S3830">
        <v>56</v>
      </c>
      <c r="T3830" s="13">
        <v>38</v>
      </c>
      <c r="U3830" s="13">
        <v>45</v>
      </c>
      <c r="V3830" t="s">
        <v>99</v>
      </c>
      <c r="X3830" s="13">
        <v>209</v>
      </c>
    </row>
    <row r="3831" spans="1:24" x14ac:dyDescent="0.25">
      <c r="A3831" t="s">
        <v>3717</v>
      </c>
      <c r="B3831" t="s">
        <v>65</v>
      </c>
      <c r="C3831" t="s">
        <v>3712</v>
      </c>
      <c r="D3831" t="s">
        <v>3713</v>
      </c>
      <c r="E3831" t="s">
        <v>1951</v>
      </c>
      <c r="F3831" t="s">
        <v>94</v>
      </c>
      <c r="G3831" t="s">
        <v>277</v>
      </c>
      <c r="H3831" s="12">
        <v>8.2750000000000004</v>
      </c>
      <c r="I3831" s="12">
        <v>-76.369</v>
      </c>
      <c r="J3831" t="s">
        <v>3714</v>
      </c>
      <c r="K3831" t="s">
        <v>97</v>
      </c>
      <c r="L3831" t="s">
        <v>1273</v>
      </c>
      <c r="M3831">
        <v>11</v>
      </c>
      <c r="P3831" s="13">
        <v>196</v>
      </c>
      <c r="Q3831" s="13">
        <v>49</v>
      </c>
      <c r="R3831">
        <v>16</v>
      </c>
      <c r="S3831">
        <v>56</v>
      </c>
      <c r="T3831" s="13">
        <v>29</v>
      </c>
      <c r="U3831" s="13">
        <v>60</v>
      </c>
      <c r="V3831" t="s">
        <v>99</v>
      </c>
      <c r="X3831" s="13">
        <v>196</v>
      </c>
    </row>
    <row r="3832" spans="1:24" x14ac:dyDescent="0.25">
      <c r="A3832" t="s">
        <v>3718</v>
      </c>
      <c r="B3832" t="s">
        <v>65</v>
      </c>
      <c r="C3832" t="s">
        <v>3712</v>
      </c>
      <c r="D3832" t="s">
        <v>3713</v>
      </c>
      <c r="E3832" t="s">
        <v>1951</v>
      </c>
      <c r="F3832" t="s">
        <v>94</v>
      </c>
      <c r="G3832" t="s">
        <v>277</v>
      </c>
      <c r="H3832" s="12">
        <v>8.2750000000000004</v>
      </c>
      <c r="I3832" s="12">
        <v>-76.369</v>
      </c>
      <c r="J3832" t="s">
        <v>3714</v>
      </c>
      <c r="K3832" t="s">
        <v>97</v>
      </c>
      <c r="L3832" t="s">
        <v>1273</v>
      </c>
      <c r="M3832">
        <v>11</v>
      </c>
      <c r="P3832" s="13">
        <v>193</v>
      </c>
      <c r="Q3832" s="13">
        <v>39</v>
      </c>
      <c r="R3832">
        <v>28</v>
      </c>
      <c r="S3832">
        <v>52</v>
      </c>
      <c r="T3832" s="13">
        <v>34</v>
      </c>
      <c r="U3832" s="13">
        <v>42</v>
      </c>
      <c r="V3832" t="s">
        <v>99</v>
      </c>
      <c r="X3832" s="13">
        <v>193</v>
      </c>
    </row>
    <row r="3833" spans="1:24" x14ac:dyDescent="0.25">
      <c r="A3833" t="s">
        <v>3719</v>
      </c>
      <c r="B3833" t="s">
        <v>65</v>
      </c>
      <c r="C3833" t="s">
        <v>3712</v>
      </c>
      <c r="D3833" t="s">
        <v>3713</v>
      </c>
      <c r="E3833" t="s">
        <v>1951</v>
      </c>
      <c r="F3833" t="s">
        <v>94</v>
      </c>
      <c r="G3833" t="s">
        <v>277</v>
      </c>
      <c r="H3833" s="12">
        <v>8.2750000000000004</v>
      </c>
      <c r="I3833" s="12">
        <v>-76.369</v>
      </c>
      <c r="J3833" t="s">
        <v>3714</v>
      </c>
      <c r="K3833" t="s">
        <v>97</v>
      </c>
      <c r="L3833" t="s">
        <v>1273</v>
      </c>
      <c r="M3833">
        <v>11</v>
      </c>
      <c r="P3833" s="13">
        <v>193</v>
      </c>
      <c r="Q3833" s="13">
        <v>49</v>
      </c>
      <c r="R3833">
        <v>16</v>
      </c>
      <c r="S3833">
        <v>58</v>
      </c>
      <c r="T3833" s="13">
        <v>28</v>
      </c>
      <c r="U3833" s="13">
        <v>51</v>
      </c>
      <c r="V3833" t="s">
        <v>99</v>
      </c>
      <c r="X3833" s="13">
        <v>193</v>
      </c>
    </row>
    <row r="3834" spans="1:24" x14ac:dyDescent="0.25">
      <c r="A3834" t="s">
        <v>3720</v>
      </c>
      <c r="B3834" t="s">
        <v>65</v>
      </c>
      <c r="C3834" t="s">
        <v>3712</v>
      </c>
      <c r="D3834" t="s">
        <v>3713</v>
      </c>
      <c r="E3834" t="s">
        <v>1951</v>
      </c>
      <c r="F3834" t="s">
        <v>94</v>
      </c>
      <c r="G3834" t="s">
        <v>277</v>
      </c>
      <c r="H3834" s="12">
        <v>8.2750000000000004</v>
      </c>
      <c r="I3834" s="12">
        <v>-76.369</v>
      </c>
      <c r="J3834" t="s">
        <v>3714</v>
      </c>
      <c r="K3834" t="s">
        <v>97</v>
      </c>
      <c r="L3834" t="s">
        <v>1273</v>
      </c>
      <c r="M3834">
        <v>11</v>
      </c>
      <c r="P3834" s="13">
        <v>187</v>
      </c>
      <c r="Q3834" s="13">
        <v>54</v>
      </c>
      <c r="R3834">
        <v>26</v>
      </c>
      <c r="S3834">
        <v>52</v>
      </c>
      <c r="T3834" s="13">
        <v>16</v>
      </c>
      <c r="U3834" s="13">
        <v>45</v>
      </c>
      <c r="V3834" t="s">
        <v>99</v>
      </c>
      <c r="X3834" s="13">
        <v>187</v>
      </c>
    </row>
    <row r="3835" spans="1:24" x14ac:dyDescent="0.25">
      <c r="A3835" t="s">
        <v>3721</v>
      </c>
      <c r="B3835" t="s">
        <v>65</v>
      </c>
      <c r="C3835" t="s">
        <v>3712</v>
      </c>
      <c r="D3835" t="s">
        <v>3713</v>
      </c>
      <c r="E3835" t="s">
        <v>1951</v>
      </c>
      <c r="F3835" t="s">
        <v>94</v>
      </c>
      <c r="G3835" t="s">
        <v>277</v>
      </c>
      <c r="H3835" s="12">
        <v>8.2750000000000004</v>
      </c>
      <c r="I3835" s="12">
        <v>-76.369</v>
      </c>
      <c r="J3835" t="s">
        <v>3714</v>
      </c>
      <c r="K3835" t="s">
        <v>97</v>
      </c>
      <c r="L3835" t="s">
        <v>1273</v>
      </c>
      <c r="M3835">
        <v>11</v>
      </c>
      <c r="P3835" s="13">
        <v>185</v>
      </c>
      <c r="Q3835" s="13">
        <v>41</v>
      </c>
      <c r="R3835">
        <v>28</v>
      </c>
      <c r="S3835">
        <v>44</v>
      </c>
      <c r="T3835" s="13">
        <v>36</v>
      </c>
      <c r="U3835" s="13">
        <v>33</v>
      </c>
      <c r="V3835" t="s">
        <v>99</v>
      </c>
      <c r="X3835" s="13">
        <v>185</v>
      </c>
    </row>
    <row r="3836" spans="1:24" x14ac:dyDescent="0.25">
      <c r="A3836" t="s">
        <v>3722</v>
      </c>
      <c r="B3836" t="s">
        <v>65</v>
      </c>
      <c r="C3836" t="s">
        <v>3712</v>
      </c>
      <c r="D3836" t="s">
        <v>3713</v>
      </c>
      <c r="E3836" t="s">
        <v>1951</v>
      </c>
      <c r="F3836" t="s">
        <v>94</v>
      </c>
      <c r="G3836" t="s">
        <v>277</v>
      </c>
      <c r="H3836" s="12">
        <v>8.2750000000000004</v>
      </c>
      <c r="I3836" s="12">
        <v>-76.369</v>
      </c>
      <c r="J3836" t="s">
        <v>3714</v>
      </c>
      <c r="K3836" t="s">
        <v>97</v>
      </c>
      <c r="L3836" t="s">
        <v>1273</v>
      </c>
      <c r="M3836">
        <v>11</v>
      </c>
      <c r="P3836" s="13">
        <v>182</v>
      </c>
      <c r="Q3836" s="13">
        <v>46</v>
      </c>
      <c r="R3836">
        <v>32</v>
      </c>
      <c r="S3836">
        <v>44</v>
      </c>
      <c r="T3836" s="13">
        <v>24</v>
      </c>
      <c r="U3836" s="13">
        <v>35</v>
      </c>
      <c r="V3836" t="s">
        <v>99</v>
      </c>
      <c r="X3836" s="13">
        <v>182</v>
      </c>
    </row>
    <row r="3837" spans="1:24" x14ac:dyDescent="0.25">
      <c r="A3837" t="s">
        <v>3723</v>
      </c>
      <c r="B3837" t="s">
        <v>65</v>
      </c>
      <c r="C3837" t="s">
        <v>3712</v>
      </c>
      <c r="D3837" t="s">
        <v>3713</v>
      </c>
      <c r="E3837" t="s">
        <v>1951</v>
      </c>
      <c r="F3837" t="s">
        <v>94</v>
      </c>
      <c r="G3837" t="s">
        <v>277</v>
      </c>
      <c r="H3837" s="12">
        <v>8.2750000000000004</v>
      </c>
      <c r="I3837" s="12">
        <v>-76.369</v>
      </c>
      <c r="J3837" t="s">
        <v>3714</v>
      </c>
      <c r="K3837" t="s">
        <v>97</v>
      </c>
      <c r="L3837" t="s">
        <v>1273</v>
      </c>
      <c r="M3837">
        <v>11</v>
      </c>
      <c r="P3837" s="13">
        <v>180</v>
      </c>
      <c r="Q3837" s="13">
        <v>39</v>
      </c>
      <c r="R3837">
        <v>30</v>
      </c>
      <c r="S3837">
        <v>44</v>
      </c>
      <c r="T3837" s="13">
        <v>26</v>
      </c>
      <c r="U3837" s="13">
        <v>51</v>
      </c>
      <c r="V3837" t="s">
        <v>99</v>
      </c>
      <c r="X3837" s="13">
        <v>180</v>
      </c>
    </row>
    <row r="3838" spans="1:24" x14ac:dyDescent="0.25">
      <c r="A3838" t="s">
        <v>3724</v>
      </c>
      <c r="B3838" t="s">
        <v>65</v>
      </c>
      <c r="C3838" t="s">
        <v>3712</v>
      </c>
      <c r="D3838" t="s">
        <v>3713</v>
      </c>
      <c r="E3838" t="s">
        <v>1951</v>
      </c>
      <c r="F3838" t="s">
        <v>94</v>
      </c>
      <c r="G3838" t="s">
        <v>277</v>
      </c>
      <c r="H3838" s="12">
        <v>8.2750000000000004</v>
      </c>
      <c r="I3838" s="12">
        <v>-76.369</v>
      </c>
      <c r="J3838" t="s">
        <v>3714</v>
      </c>
      <c r="K3838" t="s">
        <v>97</v>
      </c>
      <c r="L3838" t="s">
        <v>1273</v>
      </c>
      <c r="M3838">
        <v>11</v>
      </c>
      <c r="P3838" s="13">
        <v>175</v>
      </c>
      <c r="Q3838" s="13">
        <v>41</v>
      </c>
      <c r="R3838">
        <v>24</v>
      </c>
      <c r="S3838">
        <v>44</v>
      </c>
      <c r="T3838" s="13">
        <v>26</v>
      </c>
      <c r="U3838" s="13">
        <v>49</v>
      </c>
      <c r="V3838" t="s">
        <v>99</v>
      </c>
      <c r="X3838" s="13">
        <v>175</v>
      </c>
    </row>
    <row r="3839" spans="1:24" x14ac:dyDescent="0.25">
      <c r="A3839" t="s">
        <v>3725</v>
      </c>
      <c r="B3839" t="s">
        <v>65</v>
      </c>
      <c r="C3839" t="s">
        <v>3712</v>
      </c>
      <c r="D3839" t="s">
        <v>3713</v>
      </c>
      <c r="E3839" t="s">
        <v>1951</v>
      </c>
      <c r="F3839" t="s">
        <v>94</v>
      </c>
      <c r="G3839" t="s">
        <v>277</v>
      </c>
      <c r="H3839" s="12">
        <v>8.2750000000000004</v>
      </c>
      <c r="I3839" s="12">
        <v>-76.369</v>
      </c>
      <c r="J3839" t="s">
        <v>3714</v>
      </c>
      <c r="K3839" t="s">
        <v>97</v>
      </c>
      <c r="L3839" t="s">
        <v>1273</v>
      </c>
      <c r="M3839">
        <v>11</v>
      </c>
      <c r="P3839" s="13">
        <v>166</v>
      </c>
      <c r="Q3839" s="13">
        <v>44</v>
      </c>
      <c r="R3839">
        <v>28</v>
      </c>
      <c r="S3839">
        <v>38</v>
      </c>
      <c r="T3839" s="13">
        <v>22</v>
      </c>
      <c r="U3839" s="13">
        <v>35</v>
      </c>
      <c r="V3839" t="s">
        <v>99</v>
      </c>
      <c r="X3839" s="13">
        <v>166</v>
      </c>
    </row>
    <row r="3840" spans="1:24" x14ac:dyDescent="0.25">
      <c r="A3840" t="s">
        <v>3726</v>
      </c>
      <c r="B3840" t="s">
        <v>65</v>
      </c>
      <c r="C3840" t="s">
        <v>3712</v>
      </c>
      <c r="D3840" t="s">
        <v>3713</v>
      </c>
      <c r="E3840" t="s">
        <v>1951</v>
      </c>
      <c r="F3840" t="s">
        <v>94</v>
      </c>
      <c r="G3840" t="s">
        <v>277</v>
      </c>
      <c r="H3840" s="12">
        <v>8.2750000000000004</v>
      </c>
      <c r="I3840" s="12">
        <v>-76.369</v>
      </c>
      <c r="J3840" t="s">
        <v>3714</v>
      </c>
      <c r="K3840" t="s">
        <v>97</v>
      </c>
      <c r="L3840" t="s">
        <v>1273</v>
      </c>
      <c r="M3840">
        <v>11</v>
      </c>
      <c r="P3840" s="13">
        <v>165</v>
      </c>
      <c r="Q3840" s="13">
        <v>51</v>
      </c>
      <c r="R3840">
        <v>18</v>
      </c>
      <c r="S3840">
        <v>32</v>
      </c>
      <c r="T3840" s="13">
        <v>33</v>
      </c>
      <c r="U3840" s="13">
        <v>27</v>
      </c>
      <c r="V3840" t="s">
        <v>99</v>
      </c>
      <c r="X3840" s="13">
        <v>165</v>
      </c>
    </row>
    <row r="3841" spans="1:24" x14ac:dyDescent="0.25">
      <c r="A3841" t="s">
        <v>3727</v>
      </c>
      <c r="B3841" t="s">
        <v>65</v>
      </c>
      <c r="C3841" t="s">
        <v>3712</v>
      </c>
      <c r="D3841" t="s">
        <v>3713</v>
      </c>
      <c r="E3841" t="s">
        <v>1951</v>
      </c>
      <c r="F3841" t="s">
        <v>94</v>
      </c>
      <c r="G3841" t="s">
        <v>277</v>
      </c>
      <c r="H3841" s="12">
        <v>8.2750000000000004</v>
      </c>
      <c r="I3841" s="12">
        <v>-76.369</v>
      </c>
      <c r="J3841" t="s">
        <v>3714</v>
      </c>
      <c r="K3841" t="s">
        <v>97</v>
      </c>
      <c r="L3841" t="s">
        <v>1273</v>
      </c>
      <c r="M3841">
        <v>11</v>
      </c>
      <c r="P3841" s="13">
        <v>159</v>
      </c>
      <c r="Q3841" s="13">
        <v>41</v>
      </c>
      <c r="R3841">
        <v>30</v>
      </c>
      <c r="S3841">
        <v>28</v>
      </c>
      <c r="T3841" s="13">
        <v>28</v>
      </c>
      <c r="U3841" s="13">
        <v>33</v>
      </c>
      <c r="V3841" t="s">
        <v>99</v>
      </c>
      <c r="X3841" s="13">
        <v>159</v>
      </c>
    </row>
    <row r="3842" spans="1:24" x14ac:dyDescent="0.25">
      <c r="A3842" t="s">
        <v>3728</v>
      </c>
      <c r="B3842" t="s">
        <v>65</v>
      </c>
      <c r="C3842" t="s">
        <v>3712</v>
      </c>
      <c r="D3842" t="s">
        <v>3713</v>
      </c>
      <c r="E3842" t="s">
        <v>1951</v>
      </c>
      <c r="F3842" t="s">
        <v>94</v>
      </c>
      <c r="G3842" t="s">
        <v>277</v>
      </c>
      <c r="H3842" s="12">
        <v>8.2750000000000004</v>
      </c>
      <c r="I3842" s="12">
        <v>-76.369</v>
      </c>
      <c r="J3842" t="s">
        <v>3714</v>
      </c>
      <c r="K3842" t="s">
        <v>97</v>
      </c>
      <c r="L3842" t="s">
        <v>1273</v>
      </c>
      <c r="M3842">
        <v>11</v>
      </c>
      <c r="P3842" s="13">
        <v>159</v>
      </c>
      <c r="Q3842" s="13">
        <v>37</v>
      </c>
      <c r="R3842">
        <v>24</v>
      </c>
      <c r="S3842">
        <v>36</v>
      </c>
      <c r="T3842" s="13">
        <v>29</v>
      </c>
      <c r="U3842" s="13">
        <v>35</v>
      </c>
      <c r="V3842" t="s">
        <v>99</v>
      </c>
      <c r="X3842" s="13">
        <v>159</v>
      </c>
    </row>
    <row r="3843" spans="1:24" x14ac:dyDescent="0.25">
      <c r="A3843" t="s">
        <v>3729</v>
      </c>
      <c r="B3843" t="s">
        <v>65</v>
      </c>
      <c r="C3843" t="s">
        <v>3712</v>
      </c>
      <c r="D3843" t="s">
        <v>3713</v>
      </c>
      <c r="E3843" t="s">
        <v>1951</v>
      </c>
      <c r="F3843" t="s">
        <v>94</v>
      </c>
      <c r="G3843" t="s">
        <v>277</v>
      </c>
      <c r="H3843" s="12">
        <v>8.2750000000000004</v>
      </c>
      <c r="I3843" s="12">
        <v>-76.369</v>
      </c>
      <c r="J3843" t="s">
        <v>3714</v>
      </c>
      <c r="K3843" t="s">
        <v>97</v>
      </c>
      <c r="L3843" t="s">
        <v>1273</v>
      </c>
      <c r="M3843">
        <v>11</v>
      </c>
      <c r="P3843" s="13">
        <v>156</v>
      </c>
      <c r="Q3843" s="13">
        <v>32</v>
      </c>
      <c r="R3843">
        <v>22</v>
      </c>
      <c r="S3843">
        <v>48</v>
      </c>
      <c r="T3843" s="13">
        <v>26</v>
      </c>
      <c r="U3843" s="13">
        <v>22</v>
      </c>
      <c r="V3843" t="s">
        <v>99</v>
      </c>
      <c r="X3843" s="13">
        <v>156</v>
      </c>
    </row>
    <row r="3844" spans="1:24" x14ac:dyDescent="0.25">
      <c r="A3844" t="s">
        <v>3730</v>
      </c>
      <c r="B3844" t="s">
        <v>65</v>
      </c>
      <c r="C3844" t="s">
        <v>3712</v>
      </c>
      <c r="D3844" t="s">
        <v>3713</v>
      </c>
      <c r="E3844" t="s">
        <v>1951</v>
      </c>
      <c r="F3844" t="s">
        <v>94</v>
      </c>
      <c r="G3844" t="s">
        <v>277</v>
      </c>
      <c r="H3844" s="12">
        <v>8.2750000000000004</v>
      </c>
      <c r="I3844" s="12">
        <v>-76.369</v>
      </c>
      <c r="J3844" t="s">
        <v>3714</v>
      </c>
      <c r="K3844" t="s">
        <v>97</v>
      </c>
      <c r="L3844" t="s">
        <v>1273</v>
      </c>
      <c r="M3844">
        <v>11</v>
      </c>
      <c r="P3844" s="13">
        <v>150</v>
      </c>
      <c r="Q3844" s="13">
        <v>34</v>
      </c>
      <c r="R3844">
        <v>20</v>
      </c>
      <c r="S3844">
        <v>34</v>
      </c>
      <c r="T3844" s="13">
        <v>29</v>
      </c>
      <c r="U3844" s="13">
        <v>36</v>
      </c>
      <c r="V3844" t="s">
        <v>99</v>
      </c>
      <c r="X3844" s="13">
        <v>150</v>
      </c>
    </row>
    <row r="3845" spans="1:24" x14ac:dyDescent="0.25">
      <c r="A3845" t="s">
        <v>3731</v>
      </c>
      <c r="B3845" t="s">
        <v>65</v>
      </c>
      <c r="C3845" t="s">
        <v>3712</v>
      </c>
      <c r="D3845" t="s">
        <v>3713</v>
      </c>
      <c r="E3845" t="s">
        <v>1951</v>
      </c>
      <c r="F3845" t="s">
        <v>94</v>
      </c>
      <c r="G3845" t="s">
        <v>277</v>
      </c>
      <c r="H3845" s="12">
        <v>8.2750000000000004</v>
      </c>
      <c r="I3845" s="12">
        <v>-76.369</v>
      </c>
      <c r="J3845" t="s">
        <v>3714</v>
      </c>
      <c r="K3845" t="s">
        <v>97</v>
      </c>
      <c r="L3845" t="s">
        <v>1273</v>
      </c>
      <c r="M3845">
        <v>11</v>
      </c>
      <c r="P3845" s="13">
        <v>144</v>
      </c>
      <c r="Q3845" s="13">
        <v>34</v>
      </c>
      <c r="R3845">
        <v>22</v>
      </c>
      <c r="S3845">
        <v>32</v>
      </c>
      <c r="T3845" s="13">
        <v>28</v>
      </c>
      <c r="U3845" s="13">
        <v>27</v>
      </c>
      <c r="V3845" t="s">
        <v>99</v>
      </c>
      <c r="X3845" s="13">
        <v>144</v>
      </c>
    </row>
    <row r="3846" spans="1:24" x14ac:dyDescent="0.25">
      <c r="A3846" t="s">
        <v>3732</v>
      </c>
      <c r="B3846" t="s">
        <v>65</v>
      </c>
      <c r="C3846" t="s">
        <v>3712</v>
      </c>
      <c r="D3846" t="s">
        <v>3713</v>
      </c>
      <c r="E3846" t="s">
        <v>1951</v>
      </c>
      <c r="F3846" t="s">
        <v>94</v>
      </c>
      <c r="G3846" t="s">
        <v>277</v>
      </c>
      <c r="H3846" s="12">
        <v>8.2750000000000004</v>
      </c>
      <c r="I3846" s="12">
        <v>-76.369</v>
      </c>
      <c r="J3846" t="s">
        <v>3714</v>
      </c>
      <c r="K3846" t="s">
        <v>97</v>
      </c>
      <c r="L3846" t="s">
        <v>1273</v>
      </c>
      <c r="M3846">
        <v>11</v>
      </c>
      <c r="P3846" s="13">
        <v>144</v>
      </c>
      <c r="Q3846" s="13">
        <v>22</v>
      </c>
      <c r="R3846">
        <v>18</v>
      </c>
      <c r="S3846">
        <v>48</v>
      </c>
      <c r="T3846" s="13">
        <v>28</v>
      </c>
      <c r="U3846" s="13">
        <v>27</v>
      </c>
      <c r="V3846" t="s">
        <v>99</v>
      </c>
      <c r="X3846" s="13">
        <v>144</v>
      </c>
    </row>
    <row r="3847" spans="1:24" x14ac:dyDescent="0.25">
      <c r="A3847" t="s">
        <v>3733</v>
      </c>
      <c r="B3847" t="s">
        <v>65</v>
      </c>
      <c r="C3847" t="s">
        <v>3712</v>
      </c>
      <c r="D3847" t="s">
        <v>3713</v>
      </c>
      <c r="E3847" t="s">
        <v>1951</v>
      </c>
      <c r="F3847" t="s">
        <v>94</v>
      </c>
      <c r="G3847" t="s">
        <v>277</v>
      </c>
      <c r="H3847" s="12">
        <v>8.2750000000000004</v>
      </c>
      <c r="I3847" s="12">
        <v>-76.369</v>
      </c>
      <c r="J3847" t="s">
        <v>3714</v>
      </c>
      <c r="K3847" t="s">
        <v>97</v>
      </c>
      <c r="L3847" t="s">
        <v>1273</v>
      </c>
      <c r="M3847">
        <v>11</v>
      </c>
      <c r="P3847" s="13">
        <v>136</v>
      </c>
      <c r="Q3847" s="13">
        <v>32</v>
      </c>
      <c r="R3847">
        <v>22</v>
      </c>
      <c r="S3847">
        <v>30</v>
      </c>
      <c r="T3847" s="13">
        <v>24</v>
      </c>
      <c r="U3847" s="13">
        <v>31</v>
      </c>
      <c r="V3847" t="s">
        <v>99</v>
      </c>
      <c r="X3847" s="13">
        <v>136</v>
      </c>
    </row>
    <row r="3848" spans="1:24" x14ac:dyDescent="0.25">
      <c r="A3848" t="s">
        <v>3734</v>
      </c>
      <c r="B3848" t="s">
        <v>65</v>
      </c>
      <c r="C3848" t="s">
        <v>3712</v>
      </c>
      <c r="D3848" t="s">
        <v>3713</v>
      </c>
      <c r="E3848" t="s">
        <v>1951</v>
      </c>
      <c r="F3848" t="s">
        <v>94</v>
      </c>
      <c r="G3848" t="s">
        <v>277</v>
      </c>
      <c r="H3848" s="12">
        <v>8.2750000000000004</v>
      </c>
      <c r="I3848" s="12">
        <v>-76.369</v>
      </c>
      <c r="J3848" t="s">
        <v>3714</v>
      </c>
      <c r="K3848" t="s">
        <v>97</v>
      </c>
      <c r="L3848" t="s">
        <v>1273</v>
      </c>
      <c r="M3848">
        <v>11</v>
      </c>
      <c r="P3848" s="13">
        <v>130</v>
      </c>
      <c r="Q3848" s="13">
        <v>22</v>
      </c>
      <c r="R3848">
        <v>24</v>
      </c>
      <c r="S3848">
        <v>40</v>
      </c>
      <c r="T3848" s="13">
        <v>17</v>
      </c>
      <c r="U3848" s="13">
        <v>29</v>
      </c>
      <c r="V3848" t="s">
        <v>99</v>
      </c>
      <c r="X3848" s="13">
        <v>130</v>
      </c>
    </row>
    <row r="3849" spans="1:24" x14ac:dyDescent="0.25">
      <c r="A3849" t="s">
        <v>3735</v>
      </c>
      <c r="B3849" t="s">
        <v>65</v>
      </c>
      <c r="C3849" t="s">
        <v>3712</v>
      </c>
      <c r="D3849" t="s">
        <v>3713</v>
      </c>
      <c r="E3849" t="s">
        <v>1951</v>
      </c>
      <c r="F3849" t="s">
        <v>94</v>
      </c>
      <c r="G3849" t="s">
        <v>277</v>
      </c>
      <c r="H3849" s="12">
        <v>8.2750000000000004</v>
      </c>
      <c r="I3849" s="12">
        <v>-76.369</v>
      </c>
      <c r="J3849" t="s">
        <v>3714</v>
      </c>
      <c r="K3849" t="s">
        <v>97</v>
      </c>
      <c r="L3849" t="s">
        <v>1273</v>
      </c>
      <c r="M3849">
        <v>11</v>
      </c>
      <c r="P3849" s="13">
        <v>109</v>
      </c>
      <c r="Q3849" s="13">
        <v>49</v>
      </c>
      <c r="R3849">
        <v>12</v>
      </c>
      <c r="S3849">
        <v>18</v>
      </c>
      <c r="T3849" s="13">
        <v>16</v>
      </c>
      <c r="U3849" s="13">
        <v>0</v>
      </c>
      <c r="V3849" t="s">
        <v>99</v>
      </c>
      <c r="X3849" s="13">
        <v>109</v>
      </c>
    </row>
    <row r="3850" spans="1:24" x14ac:dyDescent="0.25">
      <c r="A3850" t="s">
        <v>3736</v>
      </c>
      <c r="B3850" t="s">
        <v>65</v>
      </c>
      <c r="C3850" t="s">
        <v>3737</v>
      </c>
      <c r="D3850" t="s">
        <v>3738</v>
      </c>
      <c r="E3850" t="s">
        <v>3739</v>
      </c>
      <c r="F3850" t="s">
        <v>94</v>
      </c>
      <c r="G3850" t="s">
        <v>277</v>
      </c>
      <c r="H3850" s="12">
        <v>5.7319000000000004</v>
      </c>
      <c r="I3850" s="12">
        <v>-75.143100000000004</v>
      </c>
      <c r="J3850" t="s">
        <v>3740</v>
      </c>
      <c r="K3850" t="s">
        <v>97</v>
      </c>
      <c r="L3850" t="s">
        <v>1273</v>
      </c>
      <c r="M3850">
        <v>11</v>
      </c>
      <c r="P3850" s="13">
        <v>266</v>
      </c>
      <c r="Q3850" s="13">
        <v>56</v>
      </c>
      <c r="R3850">
        <v>42</v>
      </c>
      <c r="S3850">
        <v>58</v>
      </c>
      <c r="T3850" s="13">
        <v>50</v>
      </c>
      <c r="U3850" s="13">
        <v>73</v>
      </c>
      <c r="V3850" t="s">
        <v>99</v>
      </c>
      <c r="X3850" s="13">
        <v>266</v>
      </c>
    </row>
    <row r="3851" spans="1:24" x14ac:dyDescent="0.25">
      <c r="A3851" t="s">
        <v>3741</v>
      </c>
      <c r="B3851" t="s">
        <v>65</v>
      </c>
      <c r="C3851" t="s">
        <v>3737</v>
      </c>
      <c r="D3851" t="s">
        <v>3738</v>
      </c>
      <c r="E3851" t="s">
        <v>3739</v>
      </c>
      <c r="F3851" t="s">
        <v>94</v>
      </c>
      <c r="G3851" t="s">
        <v>277</v>
      </c>
      <c r="H3851" s="12">
        <v>5.7319000000000004</v>
      </c>
      <c r="I3851" s="12">
        <v>-75.143100000000004</v>
      </c>
      <c r="J3851" t="s">
        <v>3740</v>
      </c>
      <c r="K3851" t="s">
        <v>97</v>
      </c>
      <c r="L3851" t="s">
        <v>1273</v>
      </c>
      <c r="M3851">
        <v>11</v>
      </c>
      <c r="P3851" s="13">
        <v>261</v>
      </c>
      <c r="Q3851" s="13">
        <v>54</v>
      </c>
      <c r="R3851">
        <v>46</v>
      </c>
      <c r="S3851">
        <v>56</v>
      </c>
      <c r="T3851" s="13">
        <v>45</v>
      </c>
      <c r="U3851" s="13">
        <v>78</v>
      </c>
      <c r="V3851" t="s">
        <v>99</v>
      </c>
      <c r="X3851" s="13">
        <v>261</v>
      </c>
    </row>
    <row r="3852" spans="1:24" x14ac:dyDescent="0.25">
      <c r="A3852" t="s">
        <v>3742</v>
      </c>
      <c r="B3852" t="s">
        <v>65</v>
      </c>
      <c r="C3852" t="s">
        <v>3737</v>
      </c>
      <c r="D3852" t="s">
        <v>3738</v>
      </c>
      <c r="E3852" t="s">
        <v>3739</v>
      </c>
      <c r="F3852" t="s">
        <v>94</v>
      </c>
      <c r="G3852" t="s">
        <v>277</v>
      </c>
      <c r="H3852" s="12">
        <v>5.7319000000000004</v>
      </c>
      <c r="I3852" s="12">
        <v>-75.143100000000004</v>
      </c>
      <c r="J3852" t="s">
        <v>3740</v>
      </c>
      <c r="K3852" t="s">
        <v>97</v>
      </c>
      <c r="L3852" t="s">
        <v>1273</v>
      </c>
      <c r="M3852">
        <v>11</v>
      </c>
      <c r="P3852" s="13">
        <v>256</v>
      </c>
      <c r="Q3852" s="13">
        <v>61</v>
      </c>
      <c r="R3852">
        <v>38</v>
      </c>
      <c r="S3852">
        <v>68</v>
      </c>
      <c r="T3852" s="13">
        <v>31</v>
      </c>
      <c r="U3852" s="13">
        <v>73</v>
      </c>
      <c r="V3852" t="s">
        <v>99</v>
      </c>
      <c r="X3852" s="13">
        <v>256</v>
      </c>
    </row>
    <row r="3853" spans="1:24" x14ac:dyDescent="0.25">
      <c r="A3853" t="s">
        <v>3743</v>
      </c>
      <c r="B3853" t="s">
        <v>65</v>
      </c>
      <c r="C3853" t="s">
        <v>3737</v>
      </c>
      <c r="D3853" t="s">
        <v>3738</v>
      </c>
      <c r="E3853" t="s">
        <v>3739</v>
      </c>
      <c r="F3853" t="s">
        <v>94</v>
      </c>
      <c r="G3853" t="s">
        <v>277</v>
      </c>
      <c r="H3853" s="12">
        <v>5.7319000000000004</v>
      </c>
      <c r="I3853" s="12">
        <v>-75.143100000000004</v>
      </c>
      <c r="J3853" t="s">
        <v>3740</v>
      </c>
      <c r="K3853" t="s">
        <v>97</v>
      </c>
      <c r="L3853" t="s">
        <v>1273</v>
      </c>
      <c r="M3853">
        <v>11</v>
      </c>
      <c r="P3853" s="13">
        <v>256</v>
      </c>
      <c r="Q3853" s="13">
        <v>51</v>
      </c>
      <c r="R3853">
        <v>46</v>
      </c>
      <c r="S3853">
        <v>54</v>
      </c>
      <c r="T3853" s="13">
        <v>45</v>
      </c>
      <c r="U3853" s="13">
        <v>76</v>
      </c>
      <c r="V3853" t="s">
        <v>99</v>
      </c>
      <c r="X3853" s="13">
        <v>256</v>
      </c>
    </row>
    <row r="3854" spans="1:24" x14ac:dyDescent="0.25">
      <c r="A3854" t="s">
        <v>3744</v>
      </c>
      <c r="B3854" t="s">
        <v>65</v>
      </c>
      <c r="C3854" t="s">
        <v>3737</v>
      </c>
      <c r="D3854" t="s">
        <v>3738</v>
      </c>
      <c r="E3854" t="s">
        <v>3739</v>
      </c>
      <c r="F3854" t="s">
        <v>94</v>
      </c>
      <c r="G3854" t="s">
        <v>277</v>
      </c>
      <c r="H3854" s="12">
        <v>5.7319000000000004</v>
      </c>
      <c r="I3854" s="12">
        <v>-75.143100000000004</v>
      </c>
      <c r="J3854" t="s">
        <v>3740</v>
      </c>
      <c r="K3854" t="s">
        <v>97</v>
      </c>
      <c r="L3854" t="s">
        <v>1273</v>
      </c>
      <c r="M3854">
        <v>11</v>
      </c>
      <c r="P3854" s="13">
        <v>249</v>
      </c>
      <c r="Q3854" s="13">
        <v>54</v>
      </c>
      <c r="R3854">
        <v>42</v>
      </c>
      <c r="S3854">
        <v>52</v>
      </c>
      <c r="T3854" s="13">
        <v>43</v>
      </c>
      <c r="U3854" s="13">
        <v>75</v>
      </c>
      <c r="V3854" t="s">
        <v>99</v>
      </c>
      <c r="X3854" s="13">
        <v>249</v>
      </c>
    </row>
    <row r="3855" spans="1:24" x14ac:dyDescent="0.25">
      <c r="A3855" t="s">
        <v>3745</v>
      </c>
      <c r="B3855" t="s">
        <v>65</v>
      </c>
      <c r="C3855" t="s">
        <v>3737</v>
      </c>
      <c r="D3855" t="s">
        <v>3738</v>
      </c>
      <c r="E3855" t="s">
        <v>3739</v>
      </c>
      <c r="F3855" t="s">
        <v>94</v>
      </c>
      <c r="G3855" t="s">
        <v>277</v>
      </c>
      <c r="H3855" s="12">
        <v>5.7319000000000004</v>
      </c>
      <c r="I3855" s="12">
        <v>-75.143100000000004</v>
      </c>
      <c r="J3855" t="s">
        <v>3740</v>
      </c>
      <c r="K3855" t="s">
        <v>97</v>
      </c>
      <c r="L3855" t="s">
        <v>1273</v>
      </c>
      <c r="M3855">
        <v>11</v>
      </c>
      <c r="P3855" s="13">
        <v>246</v>
      </c>
      <c r="Q3855" s="13">
        <v>49</v>
      </c>
      <c r="R3855">
        <v>38</v>
      </c>
      <c r="S3855">
        <v>52</v>
      </c>
      <c r="T3855" s="13">
        <v>48</v>
      </c>
      <c r="U3855" s="13">
        <v>78</v>
      </c>
      <c r="V3855" t="s">
        <v>99</v>
      </c>
      <c r="X3855" s="13">
        <v>246</v>
      </c>
    </row>
    <row r="3856" spans="1:24" x14ac:dyDescent="0.25">
      <c r="A3856" t="s">
        <v>3746</v>
      </c>
      <c r="B3856" t="s">
        <v>65</v>
      </c>
      <c r="C3856" t="s">
        <v>3737</v>
      </c>
      <c r="D3856" t="s">
        <v>3738</v>
      </c>
      <c r="E3856" t="s">
        <v>3739</v>
      </c>
      <c r="F3856" t="s">
        <v>94</v>
      </c>
      <c r="G3856" t="s">
        <v>277</v>
      </c>
      <c r="H3856" s="12">
        <v>5.7319000000000004</v>
      </c>
      <c r="I3856" s="12">
        <v>-75.143100000000004</v>
      </c>
      <c r="J3856" t="s">
        <v>3740</v>
      </c>
      <c r="K3856" t="s">
        <v>97</v>
      </c>
      <c r="L3856" t="s">
        <v>1273</v>
      </c>
      <c r="M3856">
        <v>11</v>
      </c>
      <c r="P3856" s="13">
        <v>243</v>
      </c>
      <c r="Q3856" s="13">
        <v>63</v>
      </c>
      <c r="R3856">
        <v>26</v>
      </c>
      <c r="S3856">
        <v>56</v>
      </c>
      <c r="T3856" s="13">
        <v>43</v>
      </c>
      <c r="U3856" s="13">
        <v>65</v>
      </c>
      <c r="V3856" t="s">
        <v>99</v>
      </c>
      <c r="X3856" s="13">
        <v>243</v>
      </c>
    </row>
    <row r="3857" spans="1:24" x14ac:dyDescent="0.25">
      <c r="A3857" t="s">
        <v>3747</v>
      </c>
      <c r="B3857" t="s">
        <v>65</v>
      </c>
      <c r="C3857" t="s">
        <v>3737</v>
      </c>
      <c r="D3857" t="s">
        <v>3738</v>
      </c>
      <c r="E3857" t="s">
        <v>3739</v>
      </c>
      <c r="F3857" t="s">
        <v>94</v>
      </c>
      <c r="G3857" t="s">
        <v>277</v>
      </c>
      <c r="H3857" s="12">
        <v>5.7319000000000004</v>
      </c>
      <c r="I3857" s="12">
        <v>-75.143100000000004</v>
      </c>
      <c r="J3857" t="s">
        <v>3740</v>
      </c>
      <c r="K3857" t="s">
        <v>97</v>
      </c>
      <c r="L3857" t="s">
        <v>1273</v>
      </c>
      <c r="M3857">
        <v>11</v>
      </c>
      <c r="P3857" s="13">
        <v>242</v>
      </c>
      <c r="Q3857" s="13">
        <v>49</v>
      </c>
      <c r="R3857">
        <v>38</v>
      </c>
      <c r="S3857">
        <v>48</v>
      </c>
      <c r="T3857" s="13">
        <v>47</v>
      </c>
      <c r="U3857" s="13">
        <v>85</v>
      </c>
      <c r="V3857" t="s">
        <v>99</v>
      </c>
      <c r="X3857" s="13">
        <v>242</v>
      </c>
    </row>
    <row r="3858" spans="1:24" x14ac:dyDescent="0.25">
      <c r="A3858" t="s">
        <v>3748</v>
      </c>
      <c r="B3858" t="s">
        <v>65</v>
      </c>
      <c r="C3858" t="s">
        <v>3737</v>
      </c>
      <c r="D3858" t="s">
        <v>3738</v>
      </c>
      <c r="E3858" t="s">
        <v>3739</v>
      </c>
      <c r="F3858" t="s">
        <v>94</v>
      </c>
      <c r="G3858" t="s">
        <v>277</v>
      </c>
      <c r="H3858" s="12">
        <v>5.7319000000000004</v>
      </c>
      <c r="I3858" s="12">
        <v>-75.143100000000004</v>
      </c>
      <c r="J3858" t="s">
        <v>3740</v>
      </c>
      <c r="K3858" t="s">
        <v>97</v>
      </c>
      <c r="L3858" t="s">
        <v>1273</v>
      </c>
      <c r="M3858">
        <v>11</v>
      </c>
      <c r="P3858" s="13">
        <v>242</v>
      </c>
      <c r="Q3858" s="13">
        <v>44</v>
      </c>
      <c r="R3858">
        <v>38</v>
      </c>
      <c r="S3858">
        <v>50</v>
      </c>
      <c r="T3858" s="13">
        <v>50</v>
      </c>
      <c r="U3858" s="13">
        <v>84</v>
      </c>
      <c r="V3858" t="s">
        <v>99</v>
      </c>
      <c r="X3858" s="13">
        <v>242</v>
      </c>
    </row>
    <row r="3859" spans="1:24" x14ac:dyDescent="0.25">
      <c r="A3859" t="s">
        <v>3749</v>
      </c>
      <c r="B3859" t="s">
        <v>65</v>
      </c>
      <c r="C3859" t="s">
        <v>3737</v>
      </c>
      <c r="D3859" t="s">
        <v>3738</v>
      </c>
      <c r="E3859" t="s">
        <v>3739</v>
      </c>
      <c r="F3859" t="s">
        <v>94</v>
      </c>
      <c r="G3859" t="s">
        <v>277</v>
      </c>
      <c r="H3859" s="12">
        <v>5.7319000000000004</v>
      </c>
      <c r="I3859" s="12">
        <v>-75.143100000000004</v>
      </c>
      <c r="J3859" t="s">
        <v>3740</v>
      </c>
      <c r="K3859" t="s">
        <v>97</v>
      </c>
      <c r="L3859" t="s">
        <v>1273</v>
      </c>
      <c r="M3859">
        <v>11</v>
      </c>
      <c r="P3859" s="13">
        <v>239</v>
      </c>
      <c r="Q3859" s="13">
        <v>46</v>
      </c>
      <c r="R3859">
        <v>40</v>
      </c>
      <c r="S3859">
        <v>48</v>
      </c>
      <c r="T3859" s="13">
        <v>45</v>
      </c>
      <c r="U3859" s="13">
        <v>84</v>
      </c>
      <c r="V3859" t="s">
        <v>99</v>
      </c>
      <c r="X3859" s="13">
        <v>239</v>
      </c>
    </row>
    <row r="3860" spans="1:24" x14ac:dyDescent="0.25">
      <c r="A3860" t="s">
        <v>3750</v>
      </c>
      <c r="B3860" t="s">
        <v>65</v>
      </c>
      <c r="C3860" t="s">
        <v>3737</v>
      </c>
      <c r="D3860" t="s">
        <v>3738</v>
      </c>
      <c r="E3860" t="s">
        <v>3739</v>
      </c>
      <c r="F3860" t="s">
        <v>94</v>
      </c>
      <c r="G3860" t="s">
        <v>277</v>
      </c>
      <c r="H3860" s="12">
        <v>5.7319000000000004</v>
      </c>
      <c r="I3860" s="12">
        <v>-75.143100000000004</v>
      </c>
      <c r="J3860" t="s">
        <v>3740</v>
      </c>
      <c r="K3860" t="s">
        <v>97</v>
      </c>
      <c r="L3860" t="s">
        <v>1273</v>
      </c>
      <c r="M3860">
        <v>11</v>
      </c>
      <c r="P3860" s="13">
        <v>238</v>
      </c>
      <c r="Q3860" s="13">
        <v>61</v>
      </c>
      <c r="R3860">
        <v>26</v>
      </c>
      <c r="S3860">
        <v>58</v>
      </c>
      <c r="T3860" s="13">
        <v>36</v>
      </c>
      <c r="U3860" s="13">
        <v>75</v>
      </c>
      <c r="V3860" t="s">
        <v>99</v>
      </c>
      <c r="X3860" s="13">
        <v>238</v>
      </c>
    </row>
    <row r="3861" spans="1:24" x14ac:dyDescent="0.25">
      <c r="A3861" t="s">
        <v>3751</v>
      </c>
      <c r="B3861" t="s">
        <v>65</v>
      </c>
      <c r="C3861" t="s">
        <v>3737</v>
      </c>
      <c r="D3861" t="s">
        <v>3738</v>
      </c>
      <c r="E3861" t="s">
        <v>3739</v>
      </c>
      <c r="F3861" t="s">
        <v>94</v>
      </c>
      <c r="G3861" t="s">
        <v>277</v>
      </c>
      <c r="H3861" s="12">
        <v>5.7319000000000004</v>
      </c>
      <c r="I3861" s="12">
        <v>-75.143100000000004</v>
      </c>
      <c r="J3861" t="s">
        <v>3740</v>
      </c>
      <c r="K3861" t="s">
        <v>97</v>
      </c>
      <c r="L3861" t="s">
        <v>1273</v>
      </c>
      <c r="M3861">
        <v>11</v>
      </c>
      <c r="P3861" s="13">
        <v>229</v>
      </c>
      <c r="Q3861" s="13">
        <v>32</v>
      </c>
      <c r="R3861">
        <v>44</v>
      </c>
      <c r="S3861">
        <v>66</v>
      </c>
      <c r="T3861" s="13">
        <v>33</v>
      </c>
      <c r="U3861" s="13">
        <v>73</v>
      </c>
      <c r="V3861" t="s">
        <v>99</v>
      </c>
      <c r="X3861" s="13">
        <v>229</v>
      </c>
    </row>
    <row r="3862" spans="1:24" x14ac:dyDescent="0.25">
      <c r="A3862" t="s">
        <v>3752</v>
      </c>
      <c r="B3862" t="s">
        <v>65</v>
      </c>
      <c r="C3862" t="s">
        <v>3737</v>
      </c>
      <c r="D3862" t="s">
        <v>3738</v>
      </c>
      <c r="E3862" t="s">
        <v>3739</v>
      </c>
      <c r="F3862" t="s">
        <v>94</v>
      </c>
      <c r="G3862" t="s">
        <v>277</v>
      </c>
      <c r="H3862" s="12">
        <v>5.7319000000000004</v>
      </c>
      <c r="I3862" s="12">
        <v>-75.143100000000004</v>
      </c>
      <c r="J3862" t="s">
        <v>3740</v>
      </c>
      <c r="K3862" t="s">
        <v>97</v>
      </c>
      <c r="L3862" t="s">
        <v>1273</v>
      </c>
      <c r="M3862">
        <v>11</v>
      </c>
      <c r="P3862" s="13">
        <v>228</v>
      </c>
      <c r="Q3862" s="13">
        <v>34</v>
      </c>
      <c r="R3862">
        <v>38</v>
      </c>
      <c r="S3862">
        <v>50</v>
      </c>
      <c r="T3862" s="13">
        <v>48</v>
      </c>
      <c r="U3862" s="13">
        <v>82</v>
      </c>
      <c r="V3862" t="s">
        <v>99</v>
      </c>
      <c r="X3862" s="13">
        <v>228</v>
      </c>
    </row>
    <row r="3863" spans="1:24" x14ac:dyDescent="0.25">
      <c r="A3863" t="s">
        <v>3753</v>
      </c>
      <c r="B3863" t="s">
        <v>65</v>
      </c>
      <c r="C3863" t="s">
        <v>3737</v>
      </c>
      <c r="D3863" t="s">
        <v>3738</v>
      </c>
      <c r="E3863" t="s">
        <v>3739</v>
      </c>
      <c r="F3863" t="s">
        <v>94</v>
      </c>
      <c r="G3863" t="s">
        <v>277</v>
      </c>
      <c r="H3863" s="12">
        <v>5.7319000000000004</v>
      </c>
      <c r="I3863" s="12">
        <v>-75.143100000000004</v>
      </c>
      <c r="J3863" t="s">
        <v>3740</v>
      </c>
      <c r="K3863" t="s">
        <v>97</v>
      </c>
      <c r="L3863" t="s">
        <v>1273</v>
      </c>
      <c r="M3863">
        <v>11</v>
      </c>
      <c r="P3863" s="13">
        <v>228</v>
      </c>
      <c r="Q3863" s="13">
        <v>49</v>
      </c>
      <c r="R3863">
        <v>40</v>
      </c>
      <c r="S3863">
        <v>40</v>
      </c>
      <c r="T3863" s="13">
        <v>43</v>
      </c>
      <c r="U3863" s="13">
        <v>76</v>
      </c>
      <c r="V3863" t="s">
        <v>99</v>
      </c>
      <c r="X3863" s="13">
        <v>228</v>
      </c>
    </row>
    <row r="3864" spans="1:24" x14ac:dyDescent="0.25">
      <c r="A3864" t="s">
        <v>3754</v>
      </c>
      <c r="B3864" t="s">
        <v>65</v>
      </c>
      <c r="C3864" t="s">
        <v>3737</v>
      </c>
      <c r="D3864" t="s">
        <v>3738</v>
      </c>
      <c r="E3864" t="s">
        <v>3739</v>
      </c>
      <c r="F3864" t="s">
        <v>94</v>
      </c>
      <c r="G3864" t="s">
        <v>277</v>
      </c>
      <c r="H3864" s="12">
        <v>5.7319000000000004</v>
      </c>
      <c r="I3864" s="12">
        <v>-75.143100000000004</v>
      </c>
      <c r="J3864" t="s">
        <v>3740</v>
      </c>
      <c r="K3864" t="s">
        <v>97</v>
      </c>
      <c r="L3864" t="s">
        <v>1273</v>
      </c>
      <c r="M3864">
        <v>11</v>
      </c>
      <c r="P3864" s="13">
        <v>228</v>
      </c>
      <c r="Q3864" s="13">
        <v>51</v>
      </c>
      <c r="R3864">
        <v>34</v>
      </c>
      <c r="S3864">
        <v>44</v>
      </c>
      <c r="T3864" s="13">
        <v>43</v>
      </c>
      <c r="U3864" s="13">
        <v>75</v>
      </c>
      <c r="V3864" t="s">
        <v>99</v>
      </c>
      <c r="X3864" s="13">
        <v>228</v>
      </c>
    </row>
    <row r="3865" spans="1:24" x14ac:dyDescent="0.25">
      <c r="A3865" t="s">
        <v>3755</v>
      </c>
      <c r="B3865" t="s">
        <v>65</v>
      </c>
      <c r="C3865" t="s">
        <v>3737</v>
      </c>
      <c r="D3865" t="s">
        <v>3738</v>
      </c>
      <c r="E3865" t="s">
        <v>3739</v>
      </c>
      <c r="F3865" t="s">
        <v>94</v>
      </c>
      <c r="G3865" t="s">
        <v>277</v>
      </c>
      <c r="H3865" s="12">
        <v>5.7319000000000004</v>
      </c>
      <c r="I3865" s="12">
        <v>-75.143100000000004</v>
      </c>
      <c r="J3865" t="s">
        <v>3740</v>
      </c>
      <c r="K3865" t="s">
        <v>97</v>
      </c>
      <c r="L3865" t="s">
        <v>1273</v>
      </c>
      <c r="M3865">
        <v>11</v>
      </c>
      <c r="P3865" s="13">
        <v>211</v>
      </c>
      <c r="Q3865" s="13">
        <v>49</v>
      </c>
      <c r="R3865">
        <v>40</v>
      </c>
      <c r="S3865">
        <v>56</v>
      </c>
      <c r="T3865" s="13">
        <v>24</v>
      </c>
      <c r="U3865" s="13">
        <v>42</v>
      </c>
      <c r="V3865" t="s">
        <v>99</v>
      </c>
      <c r="X3865" s="13">
        <v>211</v>
      </c>
    </row>
    <row r="3866" spans="1:24" x14ac:dyDescent="0.25">
      <c r="A3866" t="s">
        <v>3756</v>
      </c>
      <c r="B3866" t="s">
        <v>65</v>
      </c>
      <c r="C3866" t="s">
        <v>3737</v>
      </c>
      <c r="D3866" t="s">
        <v>3738</v>
      </c>
      <c r="E3866" t="s">
        <v>3739</v>
      </c>
      <c r="F3866" t="s">
        <v>94</v>
      </c>
      <c r="G3866" t="s">
        <v>277</v>
      </c>
      <c r="H3866" s="12">
        <v>5.7319000000000004</v>
      </c>
      <c r="I3866" s="12">
        <v>-75.143100000000004</v>
      </c>
      <c r="J3866" t="s">
        <v>3740</v>
      </c>
      <c r="K3866" t="s">
        <v>97</v>
      </c>
      <c r="L3866" t="s">
        <v>1273</v>
      </c>
      <c r="M3866">
        <v>11</v>
      </c>
      <c r="P3866" s="13">
        <v>210</v>
      </c>
      <c r="Q3866" s="13">
        <v>49</v>
      </c>
      <c r="R3866">
        <v>28</v>
      </c>
      <c r="S3866">
        <v>60</v>
      </c>
      <c r="T3866" s="13">
        <v>21</v>
      </c>
      <c r="U3866" s="13">
        <v>73</v>
      </c>
      <c r="V3866" t="s">
        <v>99</v>
      </c>
      <c r="X3866" s="13">
        <v>210</v>
      </c>
    </row>
    <row r="3867" spans="1:24" x14ac:dyDescent="0.25">
      <c r="A3867" t="s">
        <v>3757</v>
      </c>
      <c r="B3867" t="s">
        <v>65</v>
      </c>
      <c r="C3867" t="s">
        <v>3737</v>
      </c>
      <c r="D3867" t="s">
        <v>3738</v>
      </c>
      <c r="E3867" t="s">
        <v>3739</v>
      </c>
      <c r="F3867" t="s">
        <v>94</v>
      </c>
      <c r="G3867" t="s">
        <v>277</v>
      </c>
      <c r="H3867" s="12">
        <v>5.7319000000000004</v>
      </c>
      <c r="I3867" s="12">
        <v>-75.143100000000004</v>
      </c>
      <c r="J3867" t="s">
        <v>3740</v>
      </c>
      <c r="K3867" t="s">
        <v>97</v>
      </c>
      <c r="L3867" t="s">
        <v>1273</v>
      </c>
      <c r="M3867">
        <v>11</v>
      </c>
      <c r="P3867" s="13">
        <v>203</v>
      </c>
      <c r="Q3867" s="13">
        <v>41</v>
      </c>
      <c r="R3867">
        <v>40</v>
      </c>
      <c r="S3867">
        <v>48</v>
      </c>
      <c r="T3867" s="13">
        <v>29</v>
      </c>
      <c r="U3867" s="13">
        <v>53</v>
      </c>
      <c r="V3867" t="s">
        <v>99</v>
      </c>
      <c r="X3867" s="13">
        <v>203</v>
      </c>
    </row>
    <row r="3868" spans="1:24" x14ac:dyDescent="0.25">
      <c r="A3868" t="s">
        <v>3758</v>
      </c>
      <c r="B3868" t="s">
        <v>65</v>
      </c>
      <c r="C3868" t="s">
        <v>3737</v>
      </c>
      <c r="D3868" t="s">
        <v>3738</v>
      </c>
      <c r="E3868" t="s">
        <v>3739</v>
      </c>
      <c r="F3868" t="s">
        <v>94</v>
      </c>
      <c r="G3868" t="s">
        <v>277</v>
      </c>
      <c r="H3868" s="12">
        <v>5.7319000000000004</v>
      </c>
      <c r="I3868" s="12">
        <v>-75.143100000000004</v>
      </c>
      <c r="J3868" t="s">
        <v>3740</v>
      </c>
      <c r="K3868" t="s">
        <v>97</v>
      </c>
      <c r="L3868" t="s">
        <v>1273</v>
      </c>
      <c r="M3868">
        <v>11</v>
      </c>
      <c r="P3868" s="13">
        <v>200</v>
      </c>
      <c r="Q3868" s="13">
        <v>39</v>
      </c>
      <c r="R3868">
        <v>36</v>
      </c>
      <c r="S3868">
        <v>60</v>
      </c>
      <c r="T3868" s="13">
        <v>28</v>
      </c>
      <c r="U3868" s="13">
        <v>33</v>
      </c>
      <c r="V3868" t="s">
        <v>99</v>
      </c>
      <c r="X3868" s="13">
        <v>200</v>
      </c>
    </row>
    <row r="3869" spans="1:24" x14ac:dyDescent="0.25">
      <c r="A3869" t="s">
        <v>3759</v>
      </c>
      <c r="B3869" t="s">
        <v>65</v>
      </c>
      <c r="C3869" t="s">
        <v>3737</v>
      </c>
      <c r="D3869" t="s">
        <v>3738</v>
      </c>
      <c r="E3869" t="s">
        <v>3739</v>
      </c>
      <c r="F3869" t="s">
        <v>94</v>
      </c>
      <c r="G3869" t="s">
        <v>277</v>
      </c>
      <c r="H3869" s="12">
        <v>5.7319000000000004</v>
      </c>
      <c r="I3869" s="12">
        <v>-75.143100000000004</v>
      </c>
      <c r="J3869" t="s">
        <v>3740</v>
      </c>
      <c r="K3869" t="s">
        <v>97</v>
      </c>
      <c r="L3869" t="s">
        <v>1273</v>
      </c>
      <c r="M3869">
        <v>11</v>
      </c>
      <c r="P3869" s="13">
        <v>197</v>
      </c>
      <c r="Q3869" s="13">
        <v>20</v>
      </c>
      <c r="R3869">
        <v>36</v>
      </c>
      <c r="S3869">
        <v>60</v>
      </c>
      <c r="T3869" s="13">
        <v>34</v>
      </c>
      <c r="U3869" s="13">
        <v>62</v>
      </c>
      <c r="V3869" t="s">
        <v>99</v>
      </c>
      <c r="X3869" s="13">
        <v>197</v>
      </c>
    </row>
    <row r="3870" spans="1:24" x14ac:dyDescent="0.25">
      <c r="A3870" t="s">
        <v>3760</v>
      </c>
      <c r="B3870" t="s">
        <v>65</v>
      </c>
      <c r="C3870" t="s">
        <v>3737</v>
      </c>
      <c r="D3870" t="s">
        <v>3738</v>
      </c>
      <c r="E3870" t="s">
        <v>3739</v>
      </c>
      <c r="F3870" t="s">
        <v>94</v>
      </c>
      <c r="G3870" t="s">
        <v>277</v>
      </c>
      <c r="H3870" s="12">
        <v>5.7319000000000004</v>
      </c>
      <c r="I3870" s="12">
        <v>-75.143100000000004</v>
      </c>
      <c r="J3870" t="s">
        <v>3740</v>
      </c>
      <c r="K3870" t="s">
        <v>97</v>
      </c>
      <c r="L3870" t="s">
        <v>1273</v>
      </c>
      <c r="M3870">
        <v>11</v>
      </c>
      <c r="P3870" s="13">
        <v>195</v>
      </c>
      <c r="Q3870" s="13">
        <v>22</v>
      </c>
      <c r="R3870">
        <v>38</v>
      </c>
      <c r="S3870">
        <v>58</v>
      </c>
      <c r="T3870" s="13">
        <v>31</v>
      </c>
      <c r="U3870" s="13">
        <v>60</v>
      </c>
      <c r="V3870" t="s">
        <v>99</v>
      </c>
      <c r="X3870" s="13">
        <v>195</v>
      </c>
    </row>
    <row r="3871" spans="1:24" x14ac:dyDescent="0.25">
      <c r="A3871" t="s">
        <v>3761</v>
      </c>
      <c r="B3871" t="s">
        <v>65</v>
      </c>
      <c r="C3871" t="s">
        <v>3737</v>
      </c>
      <c r="D3871" t="s">
        <v>3738</v>
      </c>
      <c r="E3871" t="s">
        <v>3739</v>
      </c>
      <c r="F3871" t="s">
        <v>94</v>
      </c>
      <c r="G3871" t="s">
        <v>277</v>
      </c>
      <c r="H3871" s="12">
        <v>5.7319000000000004</v>
      </c>
      <c r="I3871" s="12">
        <v>-75.143100000000004</v>
      </c>
      <c r="J3871" t="s">
        <v>3740</v>
      </c>
      <c r="K3871" t="s">
        <v>97</v>
      </c>
      <c r="L3871" t="s">
        <v>1273</v>
      </c>
      <c r="M3871">
        <v>11</v>
      </c>
      <c r="P3871" s="13">
        <v>195</v>
      </c>
      <c r="Q3871" s="13">
        <v>37</v>
      </c>
      <c r="R3871">
        <v>36</v>
      </c>
      <c r="S3871">
        <v>56</v>
      </c>
      <c r="T3871" s="13">
        <v>28</v>
      </c>
      <c r="U3871" s="13">
        <v>38</v>
      </c>
      <c r="V3871" t="s">
        <v>99</v>
      </c>
      <c r="X3871" s="13">
        <v>195</v>
      </c>
    </row>
    <row r="3872" spans="1:24" x14ac:dyDescent="0.25">
      <c r="A3872" t="s">
        <v>3762</v>
      </c>
      <c r="B3872" t="s">
        <v>65</v>
      </c>
      <c r="C3872" t="s">
        <v>3737</v>
      </c>
      <c r="D3872" t="s">
        <v>3738</v>
      </c>
      <c r="E3872" t="s">
        <v>3739</v>
      </c>
      <c r="F3872" t="s">
        <v>94</v>
      </c>
      <c r="G3872" t="s">
        <v>277</v>
      </c>
      <c r="H3872" s="12">
        <v>5.7319000000000004</v>
      </c>
      <c r="I3872" s="12">
        <v>-75.143100000000004</v>
      </c>
      <c r="J3872" t="s">
        <v>3740</v>
      </c>
      <c r="K3872" t="s">
        <v>97</v>
      </c>
      <c r="L3872" t="s">
        <v>1273</v>
      </c>
      <c r="M3872">
        <v>11</v>
      </c>
      <c r="P3872" s="13">
        <v>194</v>
      </c>
      <c r="Q3872" s="13">
        <v>41</v>
      </c>
      <c r="R3872">
        <v>18</v>
      </c>
      <c r="S3872">
        <v>54</v>
      </c>
      <c r="T3872" s="13">
        <v>38</v>
      </c>
      <c r="U3872" s="13">
        <v>49</v>
      </c>
      <c r="V3872" t="s">
        <v>99</v>
      </c>
      <c r="X3872" s="13">
        <v>194</v>
      </c>
    </row>
    <row r="3873" spans="1:24" x14ac:dyDescent="0.25">
      <c r="A3873" t="s">
        <v>3763</v>
      </c>
      <c r="B3873" t="s">
        <v>65</v>
      </c>
      <c r="C3873" t="s">
        <v>3737</v>
      </c>
      <c r="D3873" t="s">
        <v>3738</v>
      </c>
      <c r="E3873" t="s">
        <v>3739</v>
      </c>
      <c r="F3873" t="s">
        <v>94</v>
      </c>
      <c r="G3873" t="s">
        <v>277</v>
      </c>
      <c r="H3873" s="12">
        <v>5.7319000000000004</v>
      </c>
      <c r="I3873" s="12">
        <v>-75.143100000000004</v>
      </c>
      <c r="J3873" t="s">
        <v>3740</v>
      </c>
      <c r="K3873" t="s">
        <v>97</v>
      </c>
      <c r="L3873" t="s">
        <v>1273</v>
      </c>
      <c r="M3873">
        <v>11</v>
      </c>
      <c r="P3873" s="13">
        <v>191</v>
      </c>
      <c r="Q3873" s="13">
        <v>46</v>
      </c>
      <c r="R3873">
        <v>18</v>
      </c>
      <c r="S3873">
        <v>50</v>
      </c>
      <c r="T3873" s="13">
        <v>38</v>
      </c>
      <c r="U3873" s="13">
        <v>40</v>
      </c>
      <c r="V3873" t="s">
        <v>99</v>
      </c>
      <c r="X3873" s="13">
        <v>191</v>
      </c>
    </row>
    <row r="3874" spans="1:24" x14ac:dyDescent="0.25">
      <c r="A3874" t="s">
        <v>3764</v>
      </c>
      <c r="B3874" t="s">
        <v>65</v>
      </c>
      <c r="C3874" t="s">
        <v>3737</v>
      </c>
      <c r="D3874" t="s">
        <v>3738</v>
      </c>
      <c r="E3874" t="s">
        <v>3739</v>
      </c>
      <c r="F3874" t="s">
        <v>94</v>
      </c>
      <c r="G3874" t="s">
        <v>277</v>
      </c>
      <c r="H3874" s="12">
        <v>5.7319000000000004</v>
      </c>
      <c r="I3874" s="12">
        <v>-75.143100000000004</v>
      </c>
      <c r="J3874" t="s">
        <v>3740</v>
      </c>
      <c r="K3874" t="s">
        <v>97</v>
      </c>
      <c r="L3874" t="s">
        <v>1273</v>
      </c>
      <c r="M3874">
        <v>11</v>
      </c>
      <c r="P3874" s="13">
        <v>190</v>
      </c>
      <c r="Q3874" s="13">
        <v>34</v>
      </c>
      <c r="R3874">
        <v>26</v>
      </c>
      <c r="S3874">
        <v>44</v>
      </c>
      <c r="T3874" s="13">
        <v>40</v>
      </c>
      <c r="U3874" s="13">
        <v>62</v>
      </c>
      <c r="V3874" t="s">
        <v>99</v>
      </c>
      <c r="X3874" s="13">
        <v>190</v>
      </c>
    </row>
    <row r="3875" spans="1:24" x14ac:dyDescent="0.25">
      <c r="A3875" t="s">
        <v>3765</v>
      </c>
      <c r="B3875" t="s">
        <v>65</v>
      </c>
      <c r="C3875" t="s">
        <v>3737</v>
      </c>
      <c r="D3875" t="s">
        <v>3738</v>
      </c>
      <c r="E3875" t="s">
        <v>3739</v>
      </c>
      <c r="F3875" t="s">
        <v>94</v>
      </c>
      <c r="G3875" t="s">
        <v>277</v>
      </c>
      <c r="H3875" s="12">
        <v>5.7319000000000004</v>
      </c>
      <c r="I3875" s="12">
        <v>-75.143100000000004</v>
      </c>
      <c r="J3875" t="s">
        <v>3740</v>
      </c>
      <c r="K3875" t="s">
        <v>97</v>
      </c>
      <c r="L3875" t="s">
        <v>1273</v>
      </c>
      <c r="M3875">
        <v>11</v>
      </c>
      <c r="P3875" s="13">
        <v>185</v>
      </c>
      <c r="Q3875" s="13">
        <v>39</v>
      </c>
      <c r="R3875">
        <v>28</v>
      </c>
      <c r="S3875">
        <v>36</v>
      </c>
      <c r="T3875" s="13">
        <v>31</v>
      </c>
      <c r="U3875" s="13">
        <v>78</v>
      </c>
      <c r="V3875" t="s">
        <v>99</v>
      </c>
      <c r="X3875" s="13">
        <v>185</v>
      </c>
    </row>
    <row r="3876" spans="1:24" x14ac:dyDescent="0.25">
      <c r="A3876" t="s">
        <v>3766</v>
      </c>
      <c r="B3876" t="s">
        <v>65</v>
      </c>
      <c r="C3876" t="s">
        <v>3737</v>
      </c>
      <c r="D3876" t="s">
        <v>3738</v>
      </c>
      <c r="E3876" t="s">
        <v>3739</v>
      </c>
      <c r="F3876" t="s">
        <v>94</v>
      </c>
      <c r="G3876" t="s">
        <v>277</v>
      </c>
      <c r="H3876" s="12">
        <v>5.7319000000000004</v>
      </c>
      <c r="I3876" s="12">
        <v>-75.143100000000004</v>
      </c>
      <c r="J3876" t="s">
        <v>3740</v>
      </c>
      <c r="K3876" t="s">
        <v>97</v>
      </c>
      <c r="L3876" t="s">
        <v>1273</v>
      </c>
      <c r="M3876">
        <v>11</v>
      </c>
      <c r="P3876" s="13">
        <v>183</v>
      </c>
      <c r="Q3876" s="13">
        <v>49</v>
      </c>
      <c r="R3876">
        <v>26</v>
      </c>
      <c r="S3876">
        <v>52</v>
      </c>
      <c r="T3876" s="13">
        <v>21</v>
      </c>
      <c r="U3876" s="13">
        <v>35</v>
      </c>
      <c r="V3876" t="s">
        <v>99</v>
      </c>
      <c r="X3876" s="13">
        <v>183</v>
      </c>
    </row>
    <row r="3877" spans="1:24" x14ac:dyDescent="0.25">
      <c r="A3877" t="s">
        <v>3767</v>
      </c>
      <c r="B3877" t="s">
        <v>65</v>
      </c>
      <c r="C3877" t="s">
        <v>3737</v>
      </c>
      <c r="D3877" t="s">
        <v>3738</v>
      </c>
      <c r="E3877" t="s">
        <v>3739</v>
      </c>
      <c r="F3877" t="s">
        <v>94</v>
      </c>
      <c r="G3877" t="s">
        <v>277</v>
      </c>
      <c r="H3877" s="12">
        <v>5.7319000000000004</v>
      </c>
      <c r="I3877" s="12">
        <v>-75.143100000000004</v>
      </c>
      <c r="J3877" t="s">
        <v>3740</v>
      </c>
      <c r="K3877" t="s">
        <v>97</v>
      </c>
      <c r="L3877" t="s">
        <v>1273</v>
      </c>
      <c r="M3877">
        <v>11</v>
      </c>
      <c r="P3877" s="13">
        <v>183</v>
      </c>
      <c r="Q3877" s="13">
        <v>32</v>
      </c>
      <c r="R3877">
        <v>28</v>
      </c>
      <c r="S3877">
        <v>44</v>
      </c>
      <c r="T3877" s="13">
        <v>38</v>
      </c>
      <c r="U3877" s="13">
        <v>51</v>
      </c>
      <c r="V3877" t="s">
        <v>99</v>
      </c>
      <c r="X3877" s="13">
        <v>183</v>
      </c>
    </row>
    <row r="3878" spans="1:24" x14ac:dyDescent="0.25">
      <c r="A3878" t="s">
        <v>3768</v>
      </c>
      <c r="B3878" t="s">
        <v>65</v>
      </c>
      <c r="C3878" t="s">
        <v>3737</v>
      </c>
      <c r="D3878" t="s">
        <v>3738</v>
      </c>
      <c r="E3878" t="s">
        <v>3739</v>
      </c>
      <c r="F3878" t="s">
        <v>94</v>
      </c>
      <c r="G3878" t="s">
        <v>277</v>
      </c>
      <c r="H3878" s="12">
        <v>5.7319000000000004</v>
      </c>
      <c r="I3878" s="12">
        <v>-75.143100000000004</v>
      </c>
      <c r="J3878" t="s">
        <v>3740</v>
      </c>
      <c r="K3878" t="s">
        <v>97</v>
      </c>
      <c r="L3878" t="s">
        <v>1273</v>
      </c>
      <c r="M3878">
        <v>11</v>
      </c>
      <c r="P3878" s="13">
        <v>180</v>
      </c>
      <c r="Q3878" s="13">
        <v>44</v>
      </c>
      <c r="R3878">
        <v>40</v>
      </c>
      <c r="S3878">
        <v>28</v>
      </c>
      <c r="T3878" s="13">
        <v>31</v>
      </c>
      <c r="U3878" s="13">
        <v>38</v>
      </c>
      <c r="V3878" t="s">
        <v>99</v>
      </c>
      <c r="X3878" s="13">
        <v>180</v>
      </c>
    </row>
    <row r="3879" spans="1:24" x14ac:dyDescent="0.25">
      <c r="A3879" t="s">
        <v>3769</v>
      </c>
      <c r="B3879" t="s">
        <v>65</v>
      </c>
      <c r="C3879" t="s">
        <v>3737</v>
      </c>
      <c r="D3879" t="s">
        <v>3738</v>
      </c>
      <c r="E3879" t="s">
        <v>3739</v>
      </c>
      <c r="F3879" t="s">
        <v>94</v>
      </c>
      <c r="G3879" t="s">
        <v>277</v>
      </c>
      <c r="H3879" s="12">
        <v>5.7319000000000004</v>
      </c>
      <c r="I3879" s="12">
        <v>-75.143100000000004</v>
      </c>
      <c r="J3879" t="s">
        <v>3740</v>
      </c>
      <c r="K3879" t="s">
        <v>97</v>
      </c>
      <c r="L3879" t="s">
        <v>1273</v>
      </c>
      <c r="M3879">
        <v>11</v>
      </c>
      <c r="P3879" s="13">
        <v>175</v>
      </c>
      <c r="Q3879" s="13">
        <v>37</v>
      </c>
      <c r="R3879">
        <v>26</v>
      </c>
      <c r="S3879">
        <v>44</v>
      </c>
      <c r="T3879" s="13">
        <v>28</v>
      </c>
      <c r="U3879" s="13">
        <v>53</v>
      </c>
      <c r="V3879" t="s">
        <v>99</v>
      </c>
      <c r="X3879" s="13">
        <v>175</v>
      </c>
    </row>
    <row r="3880" spans="1:24" x14ac:dyDescent="0.25">
      <c r="A3880" t="s">
        <v>3770</v>
      </c>
      <c r="B3880" t="s">
        <v>65</v>
      </c>
      <c r="C3880" t="s">
        <v>3737</v>
      </c>
      <c r="D3880" t="s">
        <v>3738</v>
      </c>
      <c r="E3880" t="s">
        <v>3739</v>
      </c>
      <c r="F3880" t="s">
        <v>94</v>
      </c>
      <c r="G3880" t="s">
        <v>277</v>
      </c>
      <c r="H3880" s="12">
        <v>5.7319000000000004</v>
      </c>
      <c r="I3880" s="12">
        <v>-75.143100000000004</v>
      </c>
      <c r="J3880" t="s">
        <v>3740</v>
      </c>
      <c r="K3880" t="s">
        <v>97</v>
      </c>
      <c r="L3880" t="s">
        <v>1273</v>
      </c>
      <c r="M3880">
        <v>11</v>
      </c>
      <c r="P3880" s="13">
        <v>175</v>
      </c>
      <c r="Q3880" s="13">
        <v>41</v>
      </c>
      <c r="R3880">
        <v>30</v>
      </c>
      <c r="S3880">
        <v>32</v>
      </c>
      <c r="T3880" s="13">
        <v>33</v>
      </c>
      <c r="U3880" s="13">
        <v>45</v>
      </c>
      <c r="V3880" t="s">
        <v>99</v>
      </c>
      <c r="X3880" s="13">
        <v>175</v>
      </c>
    </row>
    <row r="3881" spans="1:24" x14ac:dyDescent="0.25">
      <c r="A3881" t="s">
        <v>3771</v>
      </c>
      <c r="B3881" t="s">
        <v>65</v>
      </c>
      <c r="C3881" t="s">
        <v>3737</v>
      </c>
      <c r="D3881" t="s">
        <v>3738</v>
      </c>
      <c r="E3881" t="s">
        <v>3739</v>
      </c>
      <c r="F3881" t="s">
        <v>94</v>
      </c>
      <c r="G3881" t="s">
        <v>277</v>
      </c>
      <c r="H3881" s="12">
        <v>5.7319000000000004</v>
      </c>
      <c r="I3881" s="12">
        <v>-75.143100000000004</v>
      </c>
      <c r="J3881" t="s">
        <v>3740</v>
      </c>
      <c r="K3881" t="s">
        <v>97</v>
      </c>
      <c r="L3881" t="s">
        <v>1273</v>
      </c>
      <c r="M3881">
        <v>11</v>
      </c>
      <c r="P3881" s="13">
        <v>175</v>
      </c>
      <c r="Q3881" s="13">
        <v>39</v>
      </c>
      <c r="R3881">
        <v>34</v>
      </c>
      <c r="S3881">
        <v>36</v>
      </c>
      <c r="T3881" s="13">
        <v>24</v>
      </c>
      <c r="U3881" s="13">
        <v>55</v>
      </c>
      <c r="V3881" t="s">
        <v>99</v>
      </c>
      <c r="X3881" s="13">
        <v>175</v>
      </c>
    </row>
    <row r="3882" spans="1:24" x14ac:dyDescent="0.25">
      <c r="A3882" t="s">
        <v>3772</v>
      </c>
      <c r="B3882" t="s">
        <v>65</v>
      </c>
      <c r="C3882" t="s">
        <v>3737</v>
      </c>
      <c r="D3882" t="s">
        <v>3738</v>
      </c>
      <c r="E3882" t="s">
        <v>3739</v>
      </c>
      <c r="F3882" t="s">
        <v>94</v>
      </c>
      <c r="G3882" t="s">
        <v>277</v>
      </c>
      <c r="H3882" s="12">
        <v>5.7319000000000004</v>
      </c>
      <c r="I3882" s="12">
        <v>-75.143100000000004</v>
      </c>
      <c r="J3882" t="s">
        <v>3740</v>
      </c>
      <c r="K3882" t="s">
        <v>97</v>
      </c>
      <c r="L3882" t="s">
        <v>1273</v>
      </c>
      <c r="M3882">
        <v>11</v>
      </c>
      <c r="P3882" s="13">
        <v>174</v>
      </c>
      <c r="Q3882" s="13">
        <v>39</v>
      </c>
      <c r="R3882">
        <v>16</v>
      </c>
      <c r="S3882">
        <v>54</v>
      </c>
      <c r="T3882" s="13">
        <v>29</v>
      </c>
      <c r="U3882" s="13">
        <v>38</v>
      </c>
      <c r="V3882" t="s">
        <v>99</v>
      </c>
      <c r="X3882" s="13">
        <v>174</v>
      </c>
    </row>
    <row r="3883" spans="1:24" x14ac:dyDescent="0.25">
      <c r="A3883" t="s">
        <v>3773</v>
      </c>
      <c r="B3883" t="s">
        <v>65</v>
      </c>
      <c r="C3883" t="s">
        <v>3737</v>
      </c>
      <c r="D3883" t="s">
        <v>3738</v>
      </c>
      <c r="E3883" t="s">
        <v>3739</v>
      </c>
      <c r="F3883" t="s">
        <v>94</v>
      </c>
      <c r="G3883" t="s">
        <v>277</v>
      </c>
      <c r="H3883" s="12">
        <v>5.7319000000000004</v>
      </c>
      <c r="I3883" s="12">
        <v>-75.143100000000004</v>
      </c>
      <c r="J3883" t="s">
        <v>3740</v>
      </c>
      <c r="K3883" t="s">
        <v>97</v>
      </c>
      <c r="L3883" t="s">
        <v>1273</v>
      </c>
      <c r="M3883">
        <v>11</v>
      </c>
      <c r="P3883" s="13">
        <v>173</v>
      </c>
      <c r="Q3883" s="13">
        <v>39</v>
      </c>
      <c r="R3883">
        <v>28</v>
      </c>
      <c r="S3883">
        <v>36</v>
      </c>
      <c r="T3883" s="13">
        <v>34</v>
      </c>
      <c r="U3883" s="13">
        <v>38</v>
      </c>
      <c r="V3883" t="s">
        <v>99</v>
      </c>
      <c r="X3883" s="13">
        <v>173</v>
      </c>
    </row>
    <row r="3884" spans="1:24" x14ac:dyDescent="0.25">
      <c r="A3884" t="s">
        <v>3774</v>
      </c>
      <c r="B3884" t="s">
        <v>65</v>
      </c>
      <c r="C3884" t="s">
        <v>3737</v>
      </c>
      <c r="D3884" t="s">
        <v>3738</v>
      </c>
      <c r="E3884" t="s">
        <v>3739</v>
      </c>
      <c r="F3884" t="s">
        <v>94</v>
      </c>
      <c r="G3884" t="s">
        <v>277</v>
      </c>
      <c r="H3884" s="12">
        <v>5.7319000000000004</v>
      </c>
      <c r="I3884" s="12">
        <v>-75.143100000000004</v>
      </c>
      <c r="J3884" t="s">
        <v>3740</v>
      </c>
      <c r="K3884" t="s">
        <v>97</v>
      </c>
      <c r="L3884" t="s">
        <v>1273</v>
      </c>
      <c r="M3884">
        <v>11</v>
      </c>
      <c r="P3884" s="13">
        <v>171</v>
      </c>
      <c r="Q3884" s="13">
        <v>46</v>
      </c>
      <c r="R3884">
        <v>22</v>
      </c>
      <c r="S3884">
        <v>38</v>
      </c>
      <c r="T3884" s="13">
        <v>31</v>
      </c>
      <c r="U3884" s="13">
        <v>33</v>
      </c>
      <c r="V3884" t="s">
        <v>99</v>
      </c>
      <c r="X3884" s="13">
        <v>171</v>
      </c>
    </row>
    <row r="3885" spans="1:24" x14ac:dyDescent="0.25">
      <c r="A3885" t="s">
        <v>3775</v>
      </c>
      <c r="B3885" t="s">
        <v>65</v>
      </c>
      <c r="C3885" t="s">
        <v>3737</v>
      </c>
      <c r="D3885" t="s">
        <v>3738</v>
      </c>
      <c r="E3885" t="s">
        <v>3739</v>
      </c>
      <c r="F3885" t="s">
        <v>94</v>
      </c>
      <c r="G3885" t="s">
        <v>277</v>
      </c>
      <c r="H3885" s="12">
        <v>5.7319000000000004</v>
      </c>
      <c r="I3885" s="12">
        <v>-75.143100000000004</v>
      </c>
      <c r="J3885" t="s">
        <v>3740</v>
      </c>
      <c r="K3885" t="s">
        <v>97</v>
      </c>
      <c r="L3885" t="s">
        <v>1273</v>
      </c>
      <c r="M3885">
        <v>11</v>
      </c>
      <c r="P3885" s="13">
        <v>170</v>
      </c>
      <c r="Q3885" s="13">
        <v>34</v>
      </c>
      <c r="R3885">
        <v>38</v>
      </c>
      <c r="S3885">
        <v>38</v>
      </c>
      <c r="T3885" s="13">
        <v>26</v>
      </c>
      <c r="U3885" s="13">
        <v>35</v>
      </c>
      <c r="V3885" t="s">
        <v>99</v>
      </c>
      <c r="X3885" s="13">
        <v>170</v>
      </c>
    </row>
    <row r="3886" spans="1:24" x14ac:dyDescent="0.25">
      <c r="A3886" t="s">
        <v>3776</v>
      </c>
      <c r="B3886" t="s">
        <v>65</v>
      </c>
      <c r="C3886" t="s">
        <v>3737</v>
      </c>
      <c r="D3886" t="s">
        <v>3738</v>
      </c>
      <c r="E3886" t="s">
        <v>3739</v>
      </c>
      <c r="F3886" t="s">
        <v>94</v>
      </c>
      <c r="G3886" t="s">
        <v>277</v>
      </c>
      <c r="H3886" s="12">
        <v>5.7319000000000004</v>
      </c>
      <c r="I3886" s="12">
        <v>-75.143100000000004</v>
      </c>
      <c r="J3886" t="s">
        <v>3740</v>
      </c>
      <c r="K3886" t="s">
        <v>97</v>
      </c>
      <c r="L3886" t="s">
        <v>1273</v>
      </c>
      <c r="M3886">
        <v>11</v>
      </c>
      <c r="P3886" s="13">
        <v>147</v>
      </c>
      <c r="Q3886" s="13">
        <v>29</v>
      </c>
      <c r="R3886">
        <v>30</v>
      </c>
      <c r="S3886">
        <v>32</v>
      </c>
      <c r="T3886" s="13">
        <v>29</v>
      </c>
      <c r="U3886" s="13">
        <v>20</v>
      </c>
      <c r="V3886" t="s">
        <v>99</v>
      </c>
      <c r="X3886" s="13">
        <v>147</v>
      </c>
    </row>
    <row r="3887" spans="1:24" x14ac:dyDescent="0.25">
      <c r="A3887" t="s">
        <v>3777</v>
      </c>
      <c r="B3887" t="s">
        <v>65</v>
      </c>
      <c r="C3887" t="s">
        <v>3737</v>
      </c>
      <c r="D3887" t="s">
        <v>3738</v>
      </c>
      <c r="E3887" t="s">
        <v>3739</v>
      </c>
      <c r="F3887" t="s">
        <v>94</v>
      </c>
      <c r="G3887" t="s">
        <v>277</v>
      </c>
      <c r="H3887" s="12">
        <v>5.7319000000000004</v>
      </c>
      <c r="I3887" s="12">
        <v>-75.143100000000004</v>
      </c>
      <c r="J3887" t="s">
        <v>3740</v>
      </c>
      <c r="K3887" t="s">
        <v>97</v>
      </c>
      <c r="L3887" t="s">
        <v>1273</v>
      </c>
      <c r="M3887">
        <v>11</v>
      </c>
      <c r="P3887" s="13">
        <v>141</v>
      </c>
      <c r="Q3887" s="13">
        <v>37</v>
      </c>
      <c r="R3887">
        <v>24</v>
      </c>
      <c r="S3887">
        <v>22</v>
      </c>
      <c r="T3887" s="13">
        <v>26</v>
      </c>
      <c r="U3887" s="13">
        <v>40</v>
      </c>
      <c r="V3887" t="s">
        <v>99</v>
      </c>
      <c r="X3887" s="13">
        <v>141</v>
      </c>
    </row>
    <row r="3888" spans="1:24" x14ac:dyDescent="0.25">
      <c r="A3888" t="s">
        <v>3778</v>
      </c>
      <c r="B3888" t="s">
        <v>65</v>
      </c>
      <c r="C3888" t="s">
        <v>3737</v>
      </c>
      <c r="D3888" t="s">
        <v>3738</v>
      </c>
      <c r="E3888" t="s">
        <v>3739</v>
      </c>
      <c r="F3888" t="s">
        <v>94</v>
      </c>
      <c r="G3888" t="s">
        <v>277</v>
      </c>
      <c r="H3888" s="12">
        <v>5.7319000000000004</v>
      </c>
      <c r="I3888" s="12">
        <v>-75.143100000000004</v>
      </c>
      <c r="J3888" t="s">
        <v>3740</v>
      </c>
      <c r="K3888" t="s">
        <v>97</v>
      </c>
      <c r="L3888" t="s">
        <v>1273</v>
      </c>
      <c r="M3888">
        <v>11</v>
      </c>
      <c r="P3888" s="13">
        <v>138</v>
      </c>
      <c r="Q3888" s="13">
        <v>24</v>
      </c>
      <c r="R3888">
        <v>20</v>
      </c>
      <c r="S3888">
        <v>44</v>
      </c>
      <c r="T3888" s="13">
        <v>21</v>
      </c>
      <c r="U3888" s="13">
        <v>31</v>
      </c>
      <c r="V3888" t="s">
        <v>99</v>
      </c>
      <c r="X3888" s="13">
        <v>138</v>
      </c>
    </row>
    <row r="3889" spans="1:24" x14ac:dyDescent="0.25">
      <c r="A3889" t="s">
        <v>3779</v>
      </c>
      <c r="B3889" t="s">
        <v>65</v>
      </c>
      <c r="C3889" t="s">
        <v>3737</v>
      </c>
      <c r="D3889" t="s">
        <v>3738</v>
      </c>
      <c r="E3889" t="s">
        <v>3739</v>
      </c>
      <c r="F3889" t="s">
        <v>94</v>
      </c>
      <c r="G3889" t="s">
        <v>277</v>
      </c>
      <c r="H3889" s="12">
        <v>5.7319000000000004</v>
      </c>
      <c r="I3889" s="12">
        <v>-75.143100000000004</v>
      </c>
      <c r="J3889" t="s">
        <v>3740</v>
      </c>
      <c r="K3889" t="s">
        <v>97</v>
      </c>
      <c r="L3889" t="s">
        <v>1273</v>
      </c>
      <c r="M3889">
        <v>11</v>
      </c>
      <c r="P3889" s="13">
        <v>135</v>
      </c>
      <c r="Q3889" s="13">
        <v>20</v>
      </c>
      <c r="R3889">
        <v>32</v>
      </c>
      <c r="S3889">
        <v>36</v>
      </c>
      <c r="T3889" s="13">
        <v>17</v>
      </c>
      <c r="U3889" s="13">
        <v>36</v>
      </c>
      <c r="V3889" t="s">
        <v>99</v>
      </c>
      <c r="X3889" s="13">
        <v>135</v>
      </c>
    </row>
    <row r="3890" spans="1:24" x14ac:dyDescent="0.25">
      <c r="A3890" t="s">
        <v>3780</v>
      </c>
      <c r="B3890" t="s">
        <v>65</v>
      </c>
      <c r="C3890" t="s">
        <v>3781</v>
      </c>
      <c r="D3890" t="s">
        <v>3782</v>
      </c>
      <c r="E3890" t="s">
        <v>3783</v>
      </c>
      <c r="F3890" t="s">
        <v>94</v>
      </c>
      <c r="G3890" t="s">
        <v>277</v>
      </c>
      <c r="H3890" s="12">
        <v>7.9869000000000003</v>
      </c>
      <c r="I3890" s="12">
        <v>-75.197199999999995</v>
      </c>
      <c r="J3890" t="s">
        <v>3784</v>
      </c>
      <c r="K3890" t="s">
        <v>97</v>
      </c>
      <c r="L3890" t="s">
        <v>1273</v>
      </c>
      <c r="M3890">
        <v>11</v>
      </c>
      <c r="P3890" s="13">
        <v>217</v>
      </c>
      <c r="Q3890" s="13">
        <v>63</v>
      </c>
      <c r="R3890">
        <v>32</v>
      </c>
      <c r="S3890">
        <v>48</v>
      </c>
      <c r="T3890" s="13">
        <v>31</v>
      </c>
      <c r="U3890" s="13">
        <v>42</v>
      </c>
      <c r="V3890" t="s">
        <v>99</v>
      </c>
      <c r="X3890" s="13">
        <v>217</v>
      </c>
    </row>
    <row r="3891" spans="1:24" x14ac:dyDescent="0.25">
      <c r="A3891" t="s">
        <v>3785</v>
      </c>
      <c r="B3891" t="s">
        <v>65</v>
      </c>
      <c r="C3891" t="s">
        <v>3781</v>
      </c>
      <c r="D3891" t="s">
        <v>3782</v>
      </c>
      <c r="E3891" t="s">
        <v>3783</v>
      </c>
      <c r="F3891" t="s">
        <v>94</v>
      </c>
      <c r="G3891" t="s">
        <v>277</v>
      </c>
      <c r="H3891" s="12">
        <v>7.9869000000000003</v>
      </c>
      <c r="I3891" s="12">
        <v>-75.197199999999995</v>
      </c>
      <c r="J3891" t="s">
        <v>3784</v>
      </c>
      <c r="K3891" t="s">
        <v>97</v>
      </c>
      <c r="L3891" t="s">
        <v>1273</v>
      </c>
      <c r="M3891">
        <v>11</v>
      </c>
      <c r="P3891" s="13">
        <v>202</v>
      </c>
      <c r="Q3891" s="13">
        <v>56</v>
      </c>
      <c r="R3891">
        <v>20</v>
      </c>
      <c r="S3891">
        <v>50</v>
      </c>
      <c r="T3891" s="13">
        <v>34</v>
      </c>
      <c r="U3891" s="13">
        <v>44</v>
      </c>
      <c r="V3891" t="s">
        <v>99</v>
      </c>
      <c r="X3891" s="13">
        <v>202</v>
      </c>
    </row>
    <row r="3892" spans="1:24" x14ac:dyDescent="0.25">
      <c r="A3892" t="s">
        <v>3786</v>
      </c>
      <c r="B3892" t="s">
        <v>65</v>
      </c>
      <c r="C3892" t="s">
        <v>3781</v>
      </c>
      <c r="D3892" t="s">
        <v>3782</v>
      </c>
      <c r="E3892" t="s">
        <v>3783</v>
      </c>
      <c r="F3892" t="s">
        <v>94</v>
      </c>
      <c r="G3892" t="s">
        <v>277</v>
      </c>
      <c r="H3892" s="12">
        <v>7.9869000000000003</v>
      </c>
      <c r="I3892" s="12">
        <v>-75.197199999999995</v>
      </c>
      <c r="J3892" t="s">
        <v>3784</v>
      </c>
      <c r="K3892" t="s">
        <v>97</v>
      </c>
      <c r="L3892" t="s">
        <v>1273</v>
      </c>
      <c r="M3892">
        <v>11</v>
      </c>
      <c r="P3892" s="13">
        <v>190</v>
      </c>
      <c r="Q3892" s="13">
        <v>54</v>
      </c>
      <c r="R3892">
        <v>32</v>
      </c>
      <c r="S3892">
        <v>38</v>
      </c>
      <c r="T3892" s="13">
        <v>26</v>
      </c>
      <c r="U3892" s="13">
        <v>45</v>
      </c>
      <c r="V3892" t="s">
        <v>99</v>
      </c>
      <c r="X3892" s="13">
        <v>190</v>
      </c>
    </row>
    <row r="3893" spans="1:24" x14ac:dyDescent="0.25">
      <c r="A3893" t="s">
        <v>3787</v>
      </c>
      <c r="B3893" t="s">
        <v>65</v>
      </c>
      <c r="C3893" t="s">
        <v>3781</v>
      </c>
      <c r="D3893" t="s">
        <v>3782</v>
      </c>
      <c r="E3893" t="s">
        <v>3783</v>
      </c>
      <c r="F3893" t="s">
        <v>94</v>
      </c>
      <c r="G3893" t="s">
        <v>277</v>
      </c>
      <c r="H3893" s="12">
        <v>7.9869000000000003</v>
      </c>
      <c r="I3893" s="12">
        <v>-75.197199999999995</v>
      </c>
      <c r="J3893" t="s">
        <v>3784</v>
      </c>
      <c r="K3893" t="s">
        <v>97</v>
      </c>
      <c r="L3893" t="s">
        <v>1273</v>
      </c>
      <c r="M3893">
        <v>11</v>
      </c>
      <c r="P3893" s="13">
        <v>184</v>
      </c>
      <c r="Q3893" s="13">
        <v>34</v>
      </c>
      <c r="R3893">
        <v>24</v>
      </c>
      <c r="S3893">
        <v>56</v>
      </c>
      <c r="T3893" s="13">
        <v>34</v>
      </c>
      <c r="U3893" s="13">
        <v>33</v>
      </c>
      <c r="V3893" t="s">
        <v>99</v>
      </c>
      <c r="X3893" s="13">
        <v>184</v>
      </c>
    </row>
    <row r="3894" spans="1:24" x14ac:dyDescent="0.25">
      <c r="A3894" t="s">
        <v>3788</v>
      </c>
      <c r="B3894" t="s">
        <v>65</v>
      </c>
      <c r="C3894" t="s">
        <v>3781</v>
      </c>
      <c r="D3894" t="s">
        <v>3782</v>
      </c>
      <c r="E3894" t="s">
        <v>3783</v>
      </c>
      <c r="F3894" t="s">
        <v>94</v>
      </c>
      <c r="G3894" t="s">
        <v>277</v>
      </c>
      <c r="H3894" s="12">
        <v>7.9869000000000003</v>
      </c>
      <c r="I3894" s="12">
        <v>-75.197199999999995</v>
      </c>
      <c r="J3894" t="s">
        <v>3784</v>
      </c>
      <c r="K3894" t="s">
        <v>97</v>
      </c>
      <c r="L3894" t="s">
        <v>1273</v>
      </c>
      <c r="M3894">
        <v>11</v>
      </c>
      <c r="P3894" s="13">
        <v>178</v>
      </c>
      <c r="Q3894" s="13">
        <v>49</v>
      </c>
      <c r="R3894">
        <v>26</v>
      </c>
      <c r="S3894">
        <v>46</v>
      </c>
      <c r="T3894" s="13">
        <v>21</v>
      </c>
      <c r="U3894" s="13">
        <v>38</v>
      </c>
      <c r="V3894" t="s">
        <v>99</v>
      </c>
      <c r="X3894" s="13">
        <v>178</v>
      </c>
    </row>
    <row r="3895" spans="1:24" x14ac:dyDescent="0.25">
      <c r="A3895" t="s">
        <v>3789</v>
      </c>
      <c r="B3895" t="s">
        <v>65</v>
      </c>
      <c r="C3895" t="s">
        <v>3781</v>
      </c>
      <c r="D3895" t="s">
        <v>3782</v>
      </c>
      <c r="E3895" t="s">
        <v>3783</v>
      </c>
      <c r="F3895" t="s">
        <v>94</v>
      </c>
      <c r="G3895" t="s">
        <v>277</v>
      </c>
      <c r="H3895" s="12">
        <v>7.9869000000000003</v>
      </c>
      <c r="I3895" s="12">
        <v>-75.197199999999995</v>
      </c>
      <c r="J3895" t="s">
        <v>3784</v>
      </c>
      <c r="K3895" t="s">
        <v>97</v>
      </c>
      <c r="L3895" t="s">
        <v>1273</v>
      </c>
      <c r="M3895">
        <v>11</v>
      </c>
      <c r="P3895" s="13">
        <v>163</v>
      </c>
      <c r="Q3895" s="13">
        <v>32</v>
      </c>
      <c r="R3895">
        <v>16</v>
      </c>
      <c r="S3895">
        <v>42</v>
      </c>
      <c r="T3895" s="13">
        <v>34</v>
      </c>
      <c r="U3895" s="13">
        <v>51</v>
      </c>
      <c r="V3895" t="s">
        <v>99</v>
      </c>
      <c r="X3895" s="13">
        <v>163</v>
      </c>
    </row>
    <row r="3896" spans="1:24" x14ac:dyDescent="0.25">
      <c r="A3896" t="s">
        <v>3790</v>
      </c>
      <c r="B3896" t="s">
        <v>65</v>
      </c>
      <c r="C3896" t="s">
        <v>3781</v>
      </c>
      <c r="D3896" t="s">
        <v>3782</v>
      </c>
      <c r="E3896" t="s">
        <v>3783</v>
      </c>
      <c r="F3896" t="s">
        <v>94</v>
      </c>
      <c r="G3896" t="s">
        <v>277</v>
      </c>
      <c r="H3896" s="12">
        <v>7.9869000000000003</v>
      </c>
      <c r="I3896" s="12">
        <v>-75.197199999999995</v>
      </c>
      <c r="J3896" t="s">
        <v>3784</v>
      </c>
      <c r="K3896" t="s">
        <v>97</v>
      </c>
      <c r="L3896" t="s">
        <v>1273</v>
      </c>
      <c r="M3896">
        <v>11</v>
      </c>
      <c r="P3896" s="13">
        <v>159</v>
      </c>
      <c r="Q3896" s="13">
        <v>29</v>
      </c>
      <c r="R3896">
        <v>24</v>
      </c>
      <c r="S3896">
        <v>28</v>
      </c>
      <c r="T3896" s="13">
        <v>47</v>
      </c>
      <c r="U3896" s="13">
        <v>29</v>
      </c>
      <c r="V3896" t="s">
        <v>99</v>
      </c>
      <c r="X3896" s="13">
        <v>159</v>
      </c>
    </row>
    <row r="3897" spans="1:24" x14ac:dyDescent="0.25">
      <c r="A3897" t="s">
        <v>3791</v>
      </c>
      <c r="B3897" t="s">
        <v>65</v>
      </c>
      <c r="C3897" t="s">
        <v>3781</v>
      </c>
      <c r="D3897" t="s">
        <v>3782</v>
      </c>
      <c r="E3897" t="s">
        <v>3783</v>
      </c>
      <c r="F3897" t="s">
        <v>94</v>
      </c>
      <c r="G3897" t="s">
        <v>277</v>
      </c>
      <c r="H3897" s="12">
        <v>7.9869000000000003</v>
      </c>
      <c r="I3897" s="12">
        <v>-75.197199999999995</v>
      </c>
      <c r="J3897" t="s">
        <v>3784</v>
      </c>
      <c r="K3897" t="s">
        <v>97</v>
      </c>
      <c r="L3897" t="s">
        <v>1273</v>
      </c>
      <c r="M3897">
        <v>11</v>
      </c>
      <c r="P3897" s="13">
        <v>158</v>
      </c>
      <c r="Q3897" s="13">
        <v>46</v>
      </c>
      <c r="R3897">
        <v>24</v>
      </c>
      <c r="S3897">
        <v>30</v>
      </c>
      <c r="T3897" s="13">
        <v>26</v>
      </c>
      <c r="U3897" s="13">
        <v>33</v>
      </c>
      <c r="V3897" t="s">
        <v>99</v>
      </c>
      <c r="X3897" s="13">
        <v>158</v>
      </c>
    </row>
    <row r="3898" spans="1:24" x14ac:dyDescent="0.25">
      <c r="A3898" t="s">
        <v>3792</v>
      </c>
      <c r="B3898" t="s">
        <v>65</v>
      </c>
      <c r="C3898" t="s">
        <v>3781</v>
      </c>
      <c r="D3898" t="s">
        <v>3782</v>
      </c>
      <c r="E3898" t="s">
        <v>3783</v>
      </c>
      <c r="F3898" t="s">
        <v>94</v>
      </c>
      <c r="G3898" t="s">
        <v>277</v>
      </c>
      <c r="H3898" s="12">
        <v>7.9869000000000003</v>
      </c>
      <c r="I3898" s="12">
        <v>-75.197199999999995</v>
      </c>
      <c r="J3898" t="s">
        <v>3784</v>
      </c>
      <c r="K3898" t="s">
        <v>97</v>
      </c>
      <c r="L3898" t="s">
        <v>1273</v>
      </c>
      <c r="M3898">
        <v>11</v>
      </c>
      <c r="P3898" s="13">
        <v>157</v>
      </c>
      <c r="Q3898" s="13">
        <v>37</v>
      </c>
      <c r="R3898">
        <v>24</v>
      </c>
      <c r="S3898">
        <v>32</v>
      </c>
      <c r="T3898" s="13">
        <v>33</v>
      </c>
      <c r="U3898" s="13">
        <v>33</v>
      </c>
      <c r="V3898" t="s">
        <v>99</v>
      </c>
      <c r="X3898" s="13">
        <v>157</v>
      </c>
    </row>
    <row r="3899" spans="1:24" x14ac:dyDescent="0.25">
      <c r="A3899" t="s">
        <v>3793</v>
      </c>
      <c r="B3899" t="s">
        <v>65</v>
      </c>
      <c r="C3899" t="s">
        <v>3781</v>
      </c>
      <c r="D3899" t="s">
        <v>3782</v>
      </c>
      <c r="E3899" t="s">
        <v>3783</v>
      </c>
      <c r="F3899" t="s">
        <v>94</v>
      </c>
      <c r="G3899" t="s">
        <v>277</v>
      </c>
      <c r="H3899" s="12">
        <v>7.9869000000000003</v>
      </c>
      <c r="I3899" s="12">
        <v>-75.197199999999995</v>
      </c>
      <c r="J3899" t="s">
        <v>3784</v>
      </c>
      <c r="K3899" t="s">
        <v>97</v>
      </c>
      <c r="L3899" t="s">
        <v>1273</v>
      </c>
      <c r="M3899">
        <v>11</v>
      </c>
      <c r="P3899" s="13">
        <v>157</v>
      </c>
      <c r="Q3899" s="13">
        <v>39</v>
      </c>
      <c r="R3899">
        <v>26</v>
      </c>
      <c r="S3899">
        <v>38</v>
      </c>
      <c r="T3899" s="13">
        <v>22</v>
      </c>
      <c r="U3899" s="13">
        <v>31</v>
      </c>
      <c r="V3899" t="s">
        <v>99</v>
      </c>
      <c r="X3899" s="13">
        <v>157</v>
      </c>
    </row>
    <row r="3900" spans="1:24" x14ac:dyDescent="0.25">
      <c r="A3900" t="s">
        <v>3794</v>
      </c>
      <c r="B3900" t="s">
        <v>65</v>
      </c>
      <c r="C3900" t="s">
        <v>3781</v>
      </c>
      <c r="D3900" t="s">
        <v>3782</v>
      </c>
      <c r="E3900" t="s">
        <v>3783</v>
      </c>
      <c r="F3900" t="s">
        <v>94</v>
      </c>
      <c r="G3900" t="s">
        <v>277</v>
      </c>
      <c r="H3900" s="12">
        <v>7.9869000000000003</v>
      </c>
      <c r="I3900" s="12">
        <v>-75.197199999999995</v>
      </c>
      <c r="J3900" t="s">
        <v>3784</v>
      </c>
      <c r="K3900" t="s">
        <v>97</v>
      </c>
      <c r="L3900" t="s">
        <v>1273</v>
      </c>
      <c r="M3900">
        <v>11</v>
      </c>
      <c r="P3900" s="13">
        <v>156</v>
      </c>
      <c r="Q3900" s="13">
        <v>24</v>
      </c>
      <c r="R3900">
        <v>28</v>
      </c>
      <c r="S3900">
        <v>38</v>
      </c>
      <c r="T3900" s="13">
        <v>31</v>
      </c>
      <c r="U3900" s="13">
        <v>42</v>
      </c>
      <c r="V3900" t="s">
        <v>99</v>
      </c>
      <c r="X3900" s="13">
        <v>156</v>
      </c>
    </row>
    <row r="3901" spans="1:24" x14ac:dyDescent="0.25">
      <c r="A3901" t="s">
        <v>3795</v>
      </c>
      <c r="B3901" t="s">
        <v>65</v>
      </c>
      <c r="C3901" t="s">
        <v>3781</v>
      </c>
      <c r="D3901" t="s">
        <v>3782</v>
      </c>
      <c r="E3901" t="s">
        <v>3783</v>
      </c>
      <c r="F3901" t="s">
        <v>94</v>
      </c>
      <c r="G3901" t="s">
        <v>277</v>
      </c>
      <c r="H3901" s="12">
        <v>7.9869000000000003</v>
      </c>
      <c r="I3901" s="12">
        <v>-75.197199999999995</v>
      </c>
      <c r="J3901" t="s">
        <v>3784</v>
      </c>
      <c r="K3901" t="s">
        <v>97</v>
      </c>
      <c r="L3901" t="s">
        <v>1273</v>
      </c>
      <c r="M3901">
        <v>11</v>
      </c>
      <c r="P3901" s="13">
        <v>154</v>
      </c>
      <c r="Q3901" s="13">
        <v>37</v>
      </c>
      <c r="R3901">
        <v>30</v>
      </c>
      <c r="S3901">
        <v>30</v>
      </c>
      <c r="T3901" s="13">
        <v>28</v>
      </c>
      <c r="U3901" s="13">
        <v>29</v>
      </c>
      <c r="V3901" t="s">
        <v>99</v>
      </c>
      <c r="X3901" s="13">
        <v>154</v>
      </c>
    </row>
    <row r="3902" spans="1:24" x14ac:dyDescent="0.25">
      <c r="A3902" t="s">
        <v>3796</v>
      </c>
      <c r="B3902" t="s">
        <v>65</v>
      </c>
      <c r="C3902" t="s">
        <v>3781</v>
      </c>
      <c r="D3902" t="s">
        <v>3782</v>
      </c>
      <c r="E3902" t="s">
        <v>3783</v>
      </c>
      <c r="F3902" t="s">
        <v>94</v>
      </c>
      <c r="G3902" t="s">
        <v>277</v>
      </c>
      <c r="H3902" s="12">
        <v>7.9869000000000003</v>
      </c>
      <c r="I3902" s="12">
        <v>-75.197199999999995</v>
      </c>
      <c r="J3902" t="s">
        <v>3784</v>
      </c>
      <c r="K3902" t="s">
        <v>97</v>
      </c>
      <c r="L3902" t="s">
        <v>1273</v>
      </c>
      <c r="M3902">
        <v>11</v>
      </c>
      <c r="P3902" s="13">
        <v>153</v>
      </c>
      <c r="Q3902" s="13">
        <v>34</v>
      </c>
      <c r="R3902">
        <v>28</v>
      </c>
      <c r="S3902">
        <v>26</v>
      </c>
      <c r="T3902" s="13">
        <v>34</v>
      </c>
      <c r="U3902" s="13">
        <v>31</v>
      </c>
      <c r="V3902" t="s">
        <v>99</v>
      </c>
      <c r="X3902" s="13">
        <v>153</v>
      </c>
    </row>
    <row r="3903" spans="1:24" x14ac:dyDescent="0.25">
      <c r="A3903" t="s">
        <v>3797</v>
      </c>
      <c r="B3903" t="s">
        <v>65</v>
      </c>
      <c r="C3903" t="s">
        <v>3781</v>
      </c>
      <c r="D3903" t="s">
        <v>3782</v>
      </c>
      <c r="E3903" t="s">
        <v>3783</v>
      </c>
      <c r="F3903" t="s">
        <v>94</v>
      </c>
      <c r="G3903" t="s">
        <v>277</v>
      </c>
      <c r="H3903" s="12">
        <v>7.9869000000000003</v>
      </c>
      <c r="I3903" s="12">
        <v>-75.197199999999995</v>
      </c>
      <c r="J3903" t="s">
        <v>3784</v>
      </c>
      <c r="K3903" t="s">
        <v>97</v>
      </c>
      <c r="L3903" t="s">
        <v>1273</v>
      </c>
      <c r="M3903">
        <v>11</v>
      </c>
      <c r="P3903" s="13">
        <v>148</v>
      </c>
      <c r="Q3903" s="13">
        <v>39</v>
      </c>
      <c r="R3903">
        <v>22</v>
      </c>
      <c r="S3903">
        <v>32</v>
      </c>
      <c r="T3903" s="13">
        <v>26</v>
      </c>
      <c r="U3903" s="13">
        <v>29</v>
      </c>
      <c r="V3903" t="s">
        <v>99</v>
      </c>
      <c r="X3903" s="13">
        <v>148</v>
      </c>
    </row>
    <row r="3904" spans="1:24" x14ac:dyDescent="0.25">
      <c r="A3904" t="s">
        <v>3798</v>
      </c>
      <c r="B3904" t="s">
        <v>65</v>
      </c>
      <c r="C3904" t="s">
        <v>3781</v>
      </c>
      <c r="D3904" t="s">
        <v>3782</v>
      </c>
      <c r="E3904" t="s">
        <v>3783</v>
      </c>
      <c r="F3904" t="s">
        <v>94</v>
      </c>
      <c r="G3904" t="s">
        <v>277</v>
      </c>
      <c r="H3904" s="12">
        <v>7.9869000000000003</v>
      </c>
      <c r="I3904" s="12">
        <v>-75.197199999999995</v>
      </c>
      <c r="J3904" t="s">
        <v>3784</v>
      </c>
      <c r="K3904" t="s">
        <v>97</v>
      </c>
      <c r="L3904" t="s">
        <v>1273</v>
      </c>
      <c r="M3904">
        <v>11</v>
      </c>
      <c r="P3904" s="13">
        <v>148</v>
      </c>
      <c r="Q3904" s="13">
        <v>37</v>
      </c>
      <c r="R3904">
        <v>26</v>
      </c>
      <c r="S3904">
        <v>30</v>
      </c>
      <c r="T3904" s="13">
        <v>28</v>
      </c>
      <c r="U3904" s="13">
        <v>24</v>
      </c>
      <c r="V3904" t="s">
        <v>99</v>
      </c>
      <c r="X3904" s="13">
        <v>148</v>
      </c>
    </row>
    <row r="3905" spans="1:24" x14ac:dyDescent="0.25">
      <c r="A3905" t="s">
        <v>3799</v>
      </c>
      <c r="B3905" t="s">
        <v>65</v>
      </c>
      <c r="C3905" t="s">
        <v>3781</v>
      </c>
      <c r="D3905" t="s">
        <v>3782</v>
      </c>
      <c r="E3905" t="s">
        <v>3783</v>
      </c>
      <c r="F3905" t="s">
        <v>94</v>
      </c>
      <c r="G3905" t="s">
        <v>277</v>
      </c>
      <c r="H3905" s="12">
        <v>7.9869000000000003</v>
      </c>
      <c r="I3905" s="12">
        <v>-75.197199999999995</v>
      </c>
      <c r="J3905" t="s">
        <v>3784</v>
      </c>
      <c r="K3905" t="s">
        <v>97</v>
      </c>
      <c r="L3905" t="s">
        <v>1273</v>
      </c>
      <c r="M3905">
        <v>11</v>
      </c>
      <c r="P3905" s="13">
        <v>145</v>
      </c>
      <c r="Q3905" s="13">
        <v>24</v>
      </c>
      <c r="R3905">
        <v>22</v>
      </c>
      <c r="S3905">
        <v>38</v>
      </c>
      <c r="T3905" s="13">
        <v>33</v>
      </c>
      <c r="U3905" s="13">
        <v>25</v>
      </c>
      <c r="V3905" t="s">
        <v>99</v>
      </c>
      <c r="X3905" s="13">
        <v>145</v>
      </c>
    </row>
    <row r="3906" spans="1:24" x14ac:dyDescent="0.25">
      <c r="A3906" t="s">
        <v>3800</v>
      </c>
      <c r="B3906" t="s">
        <v>65</v>
      </c>
      <c r="C3906" t="s">
        <v>3781</v>
      </c>
      <c r="D3906" t="s">
        <v>3782</v>
      </c>
      <c r="E3906" t="s">
        <v>3783</v>
      </c>
      <c r="F3906" t="s">
        <v>94</v>
      </c>
      <c r="G3906" t="s">
        <v>277</v>
      </c>
      <c r="H3906" s="12">
        <v>7.9869000000000003</v>
      </c>
      <c r="I3906" s="12">
        <v>-75.197199999999995</v>
      </c>
      <c r="J3906" t="s">
        <v>3784</v>
      </c>
      <c r="K3906" t="s">
        <v>97</v>
      </c>
      <c r="L3906" t="s">
        <v>1273</v>
      </c>
      <c r="M3906">
        <v>11</v>
      </c>
      <c r="P3906" s="13">
        <v>143</v>
      </c>
      <c r="Q3906" s="13">
        <v>34</v>
      </c>
      <c r="R3906">
        <v>24</v>
      </c>
      <c r="S3906">
        <v>42</v>
      </c>
      <c r="T3906" s="13">
        <v>14</v>
      </c>
      <c r="U3906" s="13">
        <v>31</v>
      </c>
      <c r="V3906" t="s">
        <v>99</v>
      </c>
      <c r="X3906" s="13">
        <v>143</v>
      </c>
    </row>
    <row r="3907" spans="1:24" x14ac:dyDescent="0.25">
      <c r="A3907" t="s">
        <v>3801</v>
      </c>
      <c r="B3907" t="s">
        <v>65</v>
      </c>
      <c r="C3907" t="s">
        <v>3781</v>
      </c>
      <c r="D3907" t="s">
        <v>3782</v>
      </c>
      <c r="E3907" t="s">
        <v>3783</v>
      </c>
      <c r="F3907" t="s">
        <v>94</v>
      </c>
      <c r="G3907" t="s">
        <v>277</v>
      </c>
      <c r="H3907" s="12">
        <v>7.9869000000000003</v>
      </c>
      <c r="I3907" s="12">
        <v>-75.197199999999995</v>
      </c>
      <c r="J3907" t="s">
        <v>3784</v>
      </c>
      <c r="K3907" t="s">
        <v>97</v>
      </c>
      <c r="L3907" t="s">
        <v>1273</v>
      </c>
      <c r="M3907">
        <v>11</v>
      </c>
      <c r="P3907" s="13">
        <v>142</v>
      </c>
      <c r="Q3907" s="13">
        <v>27</v>
      </c>
      <c r="R3907">
        <v>22</v>
      </c>
      <c r="S3907">
        <v>28</v>
      </c>
      <c r="T3907" s="13">
        <v>34</v>
      </c>
      <c r="U3907" s="13">
        <v>35</v>
      </c>
      <c r="V3907" t="s">
        <v>99</v>
      </c>
      <c r="X3907" s="13">
        <v>142</v>
      </c>
    </row>
    <row r="3908" spans="1:24" x14ac:dyDescent="0.25">
      <c r="A3908" t="s">
        <v>3802</v>
      </c>
      <c r="B3908" t="s">
        <v>65</v>
      </c>
      <c r="C3908" t="s">
        <v>3781</v>
      </c>
      <c r="D3908" t="s">
        <v>3782</v>
      </c>
      <c r="E3908" t="s">
        <v>3783</v>
      </c>
      <c r="F3908" t="s">
        <v>94</v>
      </c>
      <c r="G3908" t="s">
        <v>277</v>
      </c>
      <c r="H3908" s="12">
        <v>7.9869000000000003</v>
      </c>
      <c r="I3908" s="12">
        <v>-75.197199999999995</v>
      </c>
      <c r="J3908" t="s">
        <v>3784</v>
      </c>
      <c r="K3908" t="s">
        <v>97</v>
      </c>
      <c r="L3908" t="s">
        <v>1273</v>
      </c>
      <c r="M3908">
        <v>11</v>
      </c>
      <c r="P3908" s="13">
        <v>138</v>
      </c>
      <c r="Q3908" s="13">
        <v>39</v>
      </c>
      <c r="R3908">
        <v>20</v>
      </c>
      <c r="S3908">
        <v>34</v>
      </c>
      <c r="T3908" s="13">
        <v>17</v>
      </c>
      <c r="U3908" s="13">
        <v>29</v>
      </c>
      <c r="V3908" t="s">
        <v>99</v>
      </c>
      <c r="X3908" s="13">
        <v>138</v>
      </c>
    </row>
    <row r="3909" spans="1:24" x14ac:dyDescent="0.25">
      <c r="A3909" t="s">
        <v>3803</v>
      </c>
      <c r="B3909" t="s">
        <v>65</v>
      </c>
      <c r="C3909" t="s">
        <v>3781</v>
      </c>
      <c r="D3909" t="s">
        <v>3782</v>
      </c>
      <c r="E3909" t="s">
        <v>3783</v>
      </c>
      <c r="F3909" t="s">
        <v>94</v>
      </c>
      <c r="G3909" t="s">
        <v>277</v>
      </c>
      <c r="H3909" s="12">
        <v>7.9869000000000003</v>
      </c>
      <c r="I3909" s="12">
        <v>-75.197199999999995</v>
      </c>
      <c r="J3909" t="s">
        <v>3784</v>
      </c>
      <c r="K3909" t="s">
        <v>97</v>
      </c>
      <c r="L3909" t="s">
        <v>1273</v>
      </c>
      <c r="M3909">
        <v>11</v>
      </c>
      <c r="P3909" s="13">
        <v>134</v>
      </c>
      <c r="Q3909" s="13">
        <v>32</v>
      </c>
      <c r="R3909">
        <v>22</v>
      </c>
      <c r="S3909">
        <v>26</v>
      </c>
      <c r="T3909" s="13">
        <v>24</v>
      </c>
      <c r="U3909" s="13">
        <v>36</v>
      </c>
      <c r="V3909" t="s">
        <v>99</v>
      </c>
      <c r="X3909" s="13">
        <v>134</v>
      </c>
    </row>
    <row r="3910" spans="1:24" x14ac:dyDescent="0.25">
      <c r="A3910" t="s">
        <v>3804</v>
      </c>
      <c r="B3910" t="s">
        <v>65</v>
      </c>
      <c r="C3910" t="s">
        <v>3781</v>
      </c>
      <c r="D3910" t="s">
        <v>3782</v>
      </c>
      <c r="E3910" t="s">
        <v>3783</v>
      </c>
      <c r="F3910" t="s">
        <v>94</v>
      </c>
      <c r="G3910" t="s">
        <v>277</v>
      </c>
      <c r="H3910" s="12">
        <v>7.9869000000000003</v>
      </c>
      <c r="I3910" s="12">
        <v>-75.197199999999995</v>
      </c>
      <c r="J3910" t="s">
        <v>3784</v>
      </c>
      <c r="K3910" t="s">
        <v>97</v>
      </c>
      <c r="L3910" t="s">
        <v>1273</v>
      </c>
      <c r="M3910">
        <v>11</v>
      </c>
      <c r="P3910" s="13">
        <v>130</v>
      </c>
      <c r="Q3910" s="13">
        <v>24</v>
      </c>
      <c r="R3910">
        <v>30</v>
      </c>
      <c r="S3910">
        <v>18</v>
      </c>
      <c r="T3910" s="13">
        <v>29</v>
      </c>
      <c r="U3910" s="13">
        <v>33</v>
      </c>
      <c r="V3910" t="s">
        <v>99</v>
      </c>
      <c r="X3910" s="13">
        <v>130</v>
      </c>
    </row>
    <row r="3911" spans="1:24" x14ac:dyDescent="0.25">
      <c r="A3911" t="s">
        <v>3805</v>
      </c>
      <c r="B3911" t="s">
        <v>65</v>
      </c>
      <c r="C3911" t="s">
        <v>3781</v>
      </c>
      <c r="D3911" t="s">
        <v>3782</v>
      </c>
      <c r="E3911" t="s">
        <v>3783</v>
      </c>
      <c r="F3911" t="s">
        <v>94</v>
      </c>
      <c r="G3911" t="s">
        <v>277</v>
      </c>
      <c r="H3911" s="12">
        <v>7.9869000000000003</v>
      </c>
      <c r="I3911" s="12">
        <v>-75.197199999999995</v>
      </c>
      <c r="J3911" t="s">
        <v>3784</v>
      </c>
      <c r="K3911" t="s">
        <v>97</v>
      </c>
      <c r="L3911" t="s">
        <v>1273</v>
      </c>
      <c r="M3911">
        <v>11</v>
      </c>
      <c r="P3911" s="13">
        <v>129</v>
      </c>
      <c r="Q3911" s="13">
        <v>34</v>
      </c>
      <c r="R3911">
        <v>22</v>
      </c>
      <c r="S3911">
        <v>28</v>
      </c>
      <c r="T3911" s="13">
        <v>21</v>
      </c>
      <c r="U3911" s="13">
        <v>22</v>
      </c>
      <c r="V3911" t="s">
        <v>99</v>
      </c>
      <c r="X3911" s="13">
        <v>129</v>
      </c>
    </row>
    <row r="3912" spans="1:24" x14ac:dyDescent="0.25">
      <c r="A3912" t="s">
        <v>3806</v>
      </c>
      <c r="B3912" t="s">
        <v>65</v>
      </c>
      <c r="C3912" t="s">
        <v>3781</v>
      </c>
      <c r="D3912" t="s">
        <v>3782</v>
      </c>
      <c r="E3912" t="s">
        <v>3783</v>
      </c>
      <c r="F3912" t="s">
        <v>94</v>
      </c>
      <c r="G3912" t="s">
        <v>277</v>
      </c>
      <c r="H3912" s="12">
        <v>7.9869000000000003</v>
      </c>
      <c r="I3912" s="12">
        <v>-75.197199999999995</v>
      </c>
      <c r="J3912" t="s">
        <v>3784</v>
      </c>
      <c r="K3912" t="s">
        <v>97</v>
      </c>
      <c r="L3912" t="s">
        <v>1273</v>
      </c>
      <c r="M3912">
        <v>11</v>
      </c>
      <c r="P3912" s="13">
        <v>128</v>
      </c>
      <c r="Q3912" s="13">
        <v>41</v>
      </c>
      <c r="R3912">
        <v>26</v>
      </c>
      <c r="S3912">
        <v>22</v>
      </c>
      <c r="T3912" s="13">
        <v>12</v>
      </c>
      <c r="U3912" s="13">
        <v>27</v>
      </c>
      <c r="V3912" t="s">
        <v>99</v>
      </c>
      <c r="X3912" s="13">
        <v>128</v>
      </c>
    </row>
    <row r="3913" spans="1:24" x14ac:dyDescent="0.25">
      <c r="A3913" t="s">
        <v>3807</v>
      </c>
      <c r="B3913" t="s">
        <v>65</v>
      </c>
      <c r="C3913" t="s">
        <v>3781</v>
      </c>
      <c r="D3913" t="s">
        <v>3782</v>
      </c>
      <c r="E3913" t="s">
        <v>3783</v>
      </c>
      <c r="F3913" t="s">
        <v>94</v>
      </c>
      <c r="G3913" t="s">
        <v>277</v>
      </c>
      <c r="H3913" s="12">
        <v>7.9869000000000003</v>
      </c>
      <c r="I3913" s="12">
        <v>-75.197199999999995</v>
      </c>
      <c r="J3913" t="s">
        <v>3784</v>
      </c>
      <c r="K3913" t="s">
        <v>97</v>
      </c>
      <c r="L3913" t="s">
        <v>1273</v>
      </c>
      <c r="M3913">
        <v>11</v>
      </c>
      <c r="P3913" s="13">
        <v>123</v>
      </c>
      <c r="Q3913" s="13">
        <v>32</v>
      </c>
      <c r="R3913">
        <v>24</v>
      </c>
      <c r="S3913">
        <v>22</v>
      </c>
      <c r="T3913" s="13">
        <v>19</v>
      </c>
      <c r="U3913" s="13">
        <v>31</v>
      </c>
      <c r="V3913" t="s">
        <v>99</v>
      </c>
      <c r="X3913" s="13">
        <v>123</v>
      </c>
    </row>
    <row r="3914" spans="1:24" x14ac:dyDescent="0.25">
      <c r="A3914" t="s">
        <v>3808</v>
      </c>
      <c r="B3914" t="s">
        <v>65</v>
      </c>
      <c r="C3914" t="s">
        <v>3781</v>
      </c>
      <c r="D3914" t="s">
        <v>3782</v>
      </c>
      <c r="E3914" t="s">
        <v>3783</v>
      </c>
      <c r="F3914" t="s">
        <v>94</v>
      </c>
      <c r="G3914" t="s">
        <v>277</v>
      </c>
      <c r="H3914" s="12">
        <v>7.9869000000000003</v>
      </c>
      <c r="I3914" s="12">
        <v>-75.197199999999995</v>
      </c>
      <c r="J3914" t="s">
        <v>3784</v>
      </c>
      <c r="K3914" t="s">
        <v>97</v>
      </c>
      <c r="L3914" t="s">
        <v>1273</v>
      </c>
      <c r="M3914">
        <v>11</v>
      </c>
      <c r="P3914" s="13">
        <v>123</v>
      </c>
      <c r="Q3914" s="13">
        <v>17</v>
      </c>
      <c r="R3914">
        <v>24</v>
      </c>
      <c r="S3914">
        <v>34</v>
      </c>
      <c r="T3914" s="13">
        <v>22</v>
      </c>
      <c r="U3914" s="13">
        <v>27</v>
      </c>
      <c r="V3914" t="s">
        <v>99</v>
      </c>
      <c r="X3914" s="13">
        <v>123</v>
      </c>
    </row>
    <row r="3915" spans="1:24" x14ac:dyDescent="0.25">
      <c r="A3915" t="s">
        <v>3809</v>
      </c>
      <c r="B3915" t="s">
        <v>65</v>
      </c>
      <c r="C3915" t="s">
        <v>3781</v>
      </c>
      <c r="D3915" t="s">
        <v>3782</v>
      </c>
      <c r="E3915" t="s">
        <v>3783</v>
      </c>
      <c r="F3915" t="s">
        <v>94</v>
      </c>
      <c r="G3915" t="s">
        <v>277</v>
      </c>
      <c r="H3915" s="12">
        <v>7.9869000000000003</v>
      </c>
      <c r="I3915" s="12">
        <v>-75.197199999999995</v>
      </c>
      <c r="J3915" t="s">
        <v>3784</v>
      </c>
      <c r="K3915" t="s">
        <v>97</v>
      </c>
      <c r="L3915" t="s">
        <v>1273</v>
      </c>
      <c r="M3915">
        <v>11</v>
      </c>
      <c r="P3915" s="13">
        <v>123</v>
      </c>
      <c r="Q3915" s="13">
        <v>24</v>
      </c>
      <c r="R3915">
        <v>34</v>
      </c>
      <c r="S3915">
        <v>20</v>
      </c>
      <c r="T3915" s="13">
        <v>19</v>
      </c>
      <c r="U3915" s="13">
        <v>27</v>
      </c>
      <c r="V3915" t="s">
        <v>99</v>
      </c>
      <c r="X3915" s="13">
        <v>123</v>
      </c>
    </row>
    <row r="3916" spans="1:24" x14ac:dyDescent="0.25">
      <c r="A3916" t="s">
        <v>3810</v>
      </c>
      <c r="B3916" t="s">
        <v>65</v>
      </c>
      <c r="C3916" t="s">
        <v>3781</v>
      </c>
      <c r="D3916" t="s">
        <v>3782</v>
      </c>
      <c r="E3916" t="s">
        <v>3783</v>
      </c>
      <c r="F3916" t="s">
        <v>94</v>
      </c>
      <c r="G3916" t="s">
        <v>277</v>
      </c>
      <c r="H3916" s="12">
        <v>7.9869000000000003</v>
      </c>
      <c r="I3916" s="12">
        <v>-75.197199999999995</v>
      </c>
      <c r="J3916" t="s">
        <v>3784</v>
      </c>
      <c r="K3916" t="s">
        <v>97</v>
      </c>
      <c r="L3916" t="s">
        <v>1273</v>
      </c>
      <c r="M3916">
        <v>11</v>
      </c>
      <c r="P3916" s="13">
        <v>123</v>
      </c>
      <c r="Q3916" s="13">
        <v>32</v>
      </c>
      <c r="R3916">
        <v>16</v>
      </c>
      <c r="S3916">
        <v>38</v>
      </c>
      <c r="T3916" s="13">
        <v>14</v>
      </c>
      <c r="U3916" s="13">
        <v>20</v>
      </c>
      <c r="V3916" t="s">
        <v>99</v>
      </c>
      <c r="X3916" s="13">
        <v>123</v>
      </c>
    </row>
    <row r="3917" spans="1:24" x14ac:dyDescent="0.25">
      <c r="A3917" t="s">
        <v>3811</v>
      </c>
      <c r="B3917" t="s">
        <v>65</v>
      </c>
      <c r="C3917" t="s">
        <v>3781</v>
      </c>
      <c r="D3917" t="s">
        <v>3782</v>
      </c>
      <c r="E3917" t="s">
        <v>3783</v>
      </c>
      <c r="F3917" t="s">
        <v>94</v>
      </c>
      <c r="G3917" t="s">
        <v>277</v>
      </c>
      <c r="H3917" s="12">
        <v>7.9869000000000003</v>
      </c>
      <c r="I3917" s="12">
        <v>-75.197199999999995</v>
      </c>
      <c r="J3917" t="s">
        <v>3784</v>
      </c>
      <c r="K3917" t="s">
        <v>97</v>
      </c>
      <c r="L3917" t="s">
        <v>1273</v>
      </c>
      <c r="M3917">
        <v>11</v>
      </c>
      <c r="P3917" s="13">
        <v>122</v>
      </c>
      <c r="Q3917" s="13">
        <v>27</v>
      </c>
      <c r="R3917">
        <v>16</v>
      </c>
      <c r="S3917">
        <v>34</v>
      </c>
      <c r="T3917" s="13">
        <v>19</v>
      </c>
      <c r="U3917" s="13">
        <v>29</v>
      </c>
      <c r="V3917" t="s">
        <v>99</v>
      </c>
      <c r="X3917" s="13">
        <v>122</v>
      </c>
    </row>
    <row r="3918" spans="1:24" x14ac:dyDescent="0.25">
      <c r="A3918" t="s">
        <v>3812</v>
      </c>
      <c r="B3918" t="s">
        <v>65</v>
      </c>
      <c r="C3918" t="s">
        <v>3781</v>
      </c>
      <c r="D3918" t="s">
        <v>3782</v>
      </c>
      <c r="E3918" t="s">
        <v>3783</v>
      </c>
      <c r="F3918" t="s">
        <v>94</v>
      </c>
      <c r="G3918" t="s">
        <v>277</v>
      </c>
      <c r="H3918" s="12">
        <v>7.9869000000000003</v>
      </c>
      <c r="I3918" s="12">
        <v>-75.197199999999995</v>
      </c>
      <c r="J3918" t="s">
        <v>3784</v>
      </c>
      <c r="K3918" t="s">
        <v>97</v>
      </c>
      <c r="L3918" t="s">
        <v>1273</v>
      </c>
      <c r="M3918">
        <v>11</v>
      </c>
      <c r="P3918" s="13">
        <v>119</v>
      </c>
      <c r="Q3918" s="13">
        <v>32</v>
      </c>
      <c r="R3918">
        <v>22</v>
      </c>
      <c r="S3918">
        <v>26</v>
      </c>
      <c r="T3918" s="13">
        <v>14</v>
      </c>
      <c r="U3918" s="13">
        <v>29</v>
      </c>
      <c r="V3918" t="s">
        <v>99</v>
      </c>
      <c r="X3918" s="13">
        <v>119</v>
      </c>
    </row>
    <row r="3919" spans="1:24" x14ac:dyDescent="0.25">
      <c r="A3919" t="s">
        <v>3813</v>
      </c>
      <c r="B3919" t="s">
        <v>65</v>
      </c>
      <c r="C3919" t="s">
        <v>3781</v>
      </c>
      <c r="D3919" t="s">
        <v>3782</v>
      </c>
      <c r="E3919" t="s">
        <v>3783</v>
      </c>
      <c r="F3919" t="s">
        <v>94</v>
      </c>
      <c r="G3919" t="s">
        <v>277</v>
      </c>
      <c r="H3919" s="12">
        <v>7.9869000000000003</v>
      </c>
      <c r="I3919" s="12">
        <v>-75.197199999999995</v>
      </c>
      <c r="J3919" t="s">
        <v>3784</v>
      </c>
      <c r="K3919" t="s">
        <v>97</v>
      </c>
      <c r="L3919" t="s">
        <v>1273</v>
      </c>
      <c r="M3919">
        <v>11</v>
      </c>
      <c r="P3919" s="13">
        <v>115</v>
      </c>
      <c r="Q3919" s="13">
        <v>12</v>
      </c>
      <c r="R3919">
        <v>36</v>
      </c>
      <c r="S3919">
        <v>16</v>
      </c>
      <c r="T3919" s="13">
        <v>26</v>
      </c>
      <c r="U3919" s="13">
        <v>29</v>
      </c>
      <c r="V3919" t="s">
        <v>99</v>
      </c>
      <c r="X3919" s="13">
        <v>115</v>
      </c>
    </row>
    <row r="3920" spans="1:24" x14ac:dyDescent="0.25">
      <c r="A3920" t="s">
        <v>3814</v>
      </c>
      <c r="B3920" t="s">
        <v>65</v>
      </c>
      <c r="C3920" t="s">
        <v>3781</v>
      </c>
      <c r="D3920" t="s">
        <v>3782</v>
      </c>
      <c r="E3920" t="s">
        <v>3783</v>
      </c>
      <c r="F3920" t="s">
        <v>94</v>
      </c>
      <c r="G3920" t="s">
        <v>277</v>
      </c>
      <c r="H3920" s="12">
        <v>7.9869000000000003</v>
      </c>
      <c r="I3920" s="12">
        <v>-75.197199999999995</v>
      </c>
      <c r="J3920" t="s">
        <v>3784</v>
      </c>
      <c r="K3920" t="s">
        <v>97</v>
      </c>
      <c r="L3920" t="s">
        <v>1273</v>
      </c>
      <c r="M3920">
        <v>11</v>
      </c>
      <c r="P3920" s="13">
        <v>77</v>
      </c>
      <c r="Q3920" s="13">
        <v>29</v>
      </c>
      <c r="R3920">
        <v>14</v>
      </c>
      <c r="S3920">
        <v>20</v>
      </c>
      <c r="T3920" s="13">
        <v>3</v>
      </c>
      <c r="U3920" s="13">
        <v>0</v>
      </c>
      <c r="V3920" t="s">
        <v>99</v>
      </c>
      <c r="X3920" s="13">
        <v>77</v>
      </c>
    </row>
    <row r="3921" spans="1:24" x14ac:dyDescent="0.25">
      <c r="A3921" t="s">
        <v>3815</v>
      </c>
      <c r="B3921" t="s">
        <v>65</v>
      </c>
      <c r="C3921" t="s">
        <v>3816</v>
      </c>
      <c r="D3921" t="s">
        <v>3817</v>
      </c>
      <c r="E3921" t="s">
        <v>3818</v>
      </c>
      <c r="F3921" t="s">
        <v>94</v>
      </c>
      <c r="G3921" t="s">
        <v>277</v>
      </c>
      <c r="H3921" s="12">
        <v>6.3266999999999998</v>
      </c>
      <c r="I3921" s="12">
        <v>-75.768600000000006</v>
      </c>
      <c r="J3921" t="s">
        <v>3819</v>
      </c>
      <c r="K3921" t="s">
        <v>97</v>
      </c>
      <c r="L3921" t="s">
        <v>1273</v>
      </c>
      <c r="M3921">
        <v>11</v>
      </c>
      <c r="P3921" s="13">
        <v>297</v>
      </c>
      <c r="Q3921" s="13">
        <v>76</v>
      </c>
      <c r="R3921">
        <v>36</v>
      </c>
      <c r="S3921">
        <v>64</v>
      </c>
      <c r="T3921" s="13">
        <v>50</v>
      </c>
      <c r="U3921" s="13">
        <v>95</v>
      </c>
      <c r="V3921" t="s">
        <v>99</v>
      </c>
      <c r="X3921" s="13">
        <v>297</v>
      </c>
    </row>
    <row r="3922" spans="1:24" x14ac:dyDescent="0.25">
      <c r="A3922" t="s">
        <v>3820</v>
      </c>
      <c r="B3922" t="s">
        <v>65</v>
      </c>
      <c r="C3922" t="s">
        <v>3816</v>
      </c>
      <c r="D3922" t="s">
        <v>3817</v>
      </c>
      <c r="E3922" t="s">
        <v>3818</v>
      </c>
      <c r="F3922" t="s">
        <v>94</v>
      </c>
      <c r="G3922" t="s">
        <v>277</v>
      </c>
      <c r="H3922" s="12">
        <v>6.3266999999999998</v>
      </c>
      <c r="I3922" s="12">
        <v>-75.768600000000006</v>
      </c>
      <c r="J3922" t="s">
        <v>3819</v>
      </c>
      <c r="K3922" t="s">
        <v>97</v>
      </c>
      <c r="L3922" t="s">
        <v>1273</v>
      </c>
      <c r="M3922">
        <v>11</v>
      </c>
      <c r="P3922" s="13">
        <v>292</v>
      </c>
      <c r="Q3922" s="13">
        <v>56</v>
      </c>
      <c r="R3922">
        <v>40</v>
      </c>
      <c r="S3922">
        <v>70</v>
      </c>
      <c r="T3922" s="13">
        <v>55</v>
      </c>
      <c r="U3922" s="13">
        <v>95</v>
      </c>
      <c r="V3922" t="s">
        <v>99</v>
      </c>
      <c r="X3922" s="13">
        <v>292</v>
      </c>
    </row>
    <row r="3923" spans="1:24" x14ac:dyDescent="0.25">
      <c r="A3923" t="s">
        <v>3821</v>
      </c>
      <c r="B3923" t="s">
        <v>65</v>
      </c>
      <c r="C3923" t="s">
        <v>3816</v>
      </c>
      <c r="D3923" t="s">
        <v>3817</v>
      </c>
      <c r="E3923" t="s">
        <v>3818</v>
      </c>
      <c r="F3923" t="s">
        <v>94</v>
      </c>
      <c r="G3923" t="s">
        <v>277</v>
      </c>
      <c r="H3923" s="12">
        <v>6.3266999999999998</v>
      </c>
      <c r="I3923" s="12">
        <v>-75.768600000000006</v>
      </c>
      <c r="J3923" t="s">
        <v>3819</v>
      </c>
      <c r="K3923" t="s">
        <v>97</v>
      </c>
      <c r="L3923" t="s">
        <v>1273</v>
      </c>
      <c r="M3923">
        <v>11</v>
      </c>
      <c r="P3923" s="13">
        <v>274</v>
      </c>
      <c r="Q3923" s="13">
        <v>56</v>
      </c>
      <c r="R3923">
        <v>38</v>
      </c>
      <c r="S3923">
        <v>68</v>
      </c>
      <c r="T3923" s="13">
        <v>57</v>
      </c>
      <c r="U3923" s="13">
        <v>56</v>
      </c>
      <c r="V3923" t="s">
        <v>99</v>
      </c>
      <c r="X3923" s="13">
        <v>274</v>
      </c>
    </row>
    <row r="3924" spans="1:24" x14ac:dyDescent="0.25">
      <c r="A3924" t="s">
        <v>3822</v>
      </c>
      <c r="B3924" t="s">
        <v>65</v>
      </c>
      <c r="C3924" t="s">
        <v>3816</v>
      </c>
      <c r="D3924" t="s">
        <v>3817</v>
      </c>
      <c r="E3924" t="s">
        <v>3818</v>
      </c>
      <c r="F3924" t="s">
        <v>94</v>
      </c>
      <c r="G3924" t="s">
        <v>277</v>
      </c>
      <c r="H3924" s="12">
        <v>6.3266999999999998</v>
      </c>
      <c r="I3924" s="12">
        <v>-75.768600000000006</v>
      </c>
      <c r="J3924" t="s">
        <v>3819</v>
      </c>
      <c r="K3924" t="s">
        <v>97</v>
      </c>
      <c r="L3924" t="s">
        <v>1273</v>
      </c>
      <c r="M3924">
        <v>11</v>
      </c>
      <c r="P3924" s="13">
        <v>272</v>
      </c>
      <c r="Q3924" s="13">
        <v>56</v>
      </c>
      <c r="R3924">
        <v>38</v>
      </c>
      <c r="S3924">
        <v>64</v>
      </c>
      <c r="T3924" s="13">
        <v>59</v>
      </c>
      <c r="U3924" s="13">
        <v>56</v>
      </c>
      <c r="V3924" t="s">
        <v>99</v>
      </c>
      <c r="X3924" s="13">
        <v>272</v>
      </c>
    </row>
    <row r="3925" spans="1:24" x14ac:dyDescent="0.25">
      <c r="A3925" t="s">
        <v>3823</v>
      </c>
      <c r="B3925" t="s">
        <v>65</v>
      </c>
      <c r="C3925" t="s">
        <v>3816</v>
      </c>
      <c r="D3925" t="s">
        <v>3817</v>
      </c>
      <c r="E3925" t="s">
        <v>3818</v>
      </c>
      <c r="F3925" t="s">
        <v>94</v>
      </c>
      <c r="G3925" t="s">
        <v>277</v>
      </c>
      <c r="H3925" s="12">
        <v>6.3266999999999998</v>
      </c>
      <c r="I3925" s="12">
        <v>-75.768600000000006</v>
      </c>
      <c r="J3925" t="s">
        <v>3819</v>
      </c>
      <c r="K3925" t="s">
        <v>97</v>
      </c>
      <c r="L3925" t="s">
        <v>1273</v>
      </c>
      <c r="M3925">
        <v>11</v>
      </c>
      <c r="P3925" s="13">
        <v>264</v>
      </c>
      <c r="Q3925" s="13">
        <v>78</v>
      </c>
      <c r="R3925">
        <v>26</v>
      </c>
      <c r="S3925">
        <v>56</v>
      </c>
      <c r="T3925" s="13">
        <v>55</v>
      </c>
      <c r="U3925" s="13">
        <v>40</v>
      </c>
      <c r="V3925" t="s">
        <v>99</v>
      </c>
      <c r="X3925" s="13">
        <v>264</v>
      </c>
    </row>
    <row r="3926" spans="1:24" x14ac:dyDescent="0.25">
      <c r="A3926" t="s">
        <v>3824</v>
      </c>
      <c r="B3926" t="s">
        <v>65</v>
      </c>
      <c r="C3926" t="s">
        <v>3816</v>
      </c>
      <c r="D3926" t="s">
        <v>3817</v>
      </c>
      <c r="E3926" t="s">
        <v>3818</v>
      </c>
      <c r="F3926" t="s">
        <v>94</v>
      </c>
      <c r="G3926" t="s">
        <v>277</v>
      </c>
      <c r="H3926" s="12">
        <v>6.3266999999999998</v>
      </c>
      <c r="I3926" s="12">
        <v>-75.768600000000006</v>
      </c>
      <c r="J3926" t="s">
        <v>3819</v>
      </c>
      <c r="K3926" t="s">
        <v>97</v>
      </c>
      <c r="L3926" t="s">
        <v>1273</v>
      </c>
      <c r="M3926">
        <v>11</v>
      </c>
      <c r="P3926" s="13">
        <v>261</v>
      </c>
      <c r="Q3926" s="13">
        <v>44</v>
      </c>
      <c r="R3926">
        <v>36</v>
      </c>
      <c r="S3926">
        <v>68</v>
      </c>
      <c r="T3926" s="13">
        <v>55</v>
      </c>
      <c r="U3926" s="13">
        <v>69</v>
      </c>
      <c r="V3926" t="s">
        <v>99</v>
      </c>
      <c r="X3926" s="13">
        <v>261</v>
      </c>
    </row>
    <row r="3927" spans="1:24" x14ac:dyDescent="0.25">
      <c r="A3927" t="s">
        <v>3825</v>
      </c>
      <c r="B3927" t="s">
        <v>65</v>
      </c>
      <c r="C3927" t="s">
        <v>3816</v>
      </c>
      <c r="D3927" t="s">
        <v>3817</v>
      </c>
      <c r="E3927" t="s">
        <v>3818</v>
      </c>
      <c r="F3927" t="s">
        <v>94</v>
      </c>
      <c r="G3927" t="s">
        <v>277</v>
      </c>
      <c r="H3927" s="12">
        <v>6.3266999999999998</v>
      </c>
      <c r="I3927" s="12">
        <v>-75.768600000000006</v>
      </c>
      <c r="J3927" t="s">
        <v>3819</v>
      </c>
      <c r="K3927" t="s">
        <v>97</v>
      </c>
      <c r="L3927" t="s">
        <v>1273</v>
      </c>
      <c r="M3927">
        <v>11</v>
      </c>
      <c r="P3927" s="13">
        <v>260</v>
      </c>
      <c r="Q3927" s="13">
        <v>63</v>
      </c>
      <c r="R3927">
        <v>38</v>
      </c>
      <c r="S3927">
        <v>76</v>
      </c>
      <c r="T3927" s="13">
        <v>29</v>
      </c>
      <c r="U3927" s="13">
        <v>56</v>
      </c>
      <c r="V3927" t="s">
        <v>99</v>
      </c>
      <c r="X3927" s="13">
        <v>260</v>
      </c>
    </row>
    <row r="3928" spans="1:24" x14ac:dyDescent="0.25">
      <c r="A3928" t="s">
        <v>3826</v>
      </c>
      <c r="B3928" t="s">
        <v>65</v>
      </c>
      <c r="C3928" t="s">
        <v>3816</v>
      </c>
      <c r="D3928" t="s">
        <v>3817</v>
      </c>
      <c r="E3928" t="s">
        <v>3818</v>
      </c>
      <c r="F3928" t="s">
        <v>94</v>
      </c>
      <c r="G3928" t="s">
        <v>277</v>
      </c>
      <c r="H3928" s="12">
        <v>6.3266999999999998</v>
      </c>
      <c r="I3928" s="12">
        <v>-75.768600000000006</v>
      </c>
      <c r="J3928" t="s">
        <v>3819</v>
      </c>
      <c r="K3928" t="s">
        <v>97</v>
      </c>
      <c r="L3928" t="s">
        <v>1273</v>
      </c>
      <c r="M3928">
        <v>11</v>
      </c>
      <c r="P3928" s="13">
        <v>255</v>
      </c>
      <c r="Q3928" s="13">
        <v>56</v>
      </c>
      <c r="R3928">
        <v>38</v>
      </c>
      <c r="S3928">
        <v>52</v>
      </c>
      <c r="T3928" s="13">
        <v>53</v>
      </c>
      <c r="U3928" s="13">
        <v>65</v>
      </c>
      <c r="V3928" t="s">
        <v>99</v>
      </c>
      <c r="X3928" s="13">
        <v>255</v>
      </c>
    </row>
    <row r="3929" spans="1:24" x14ac:dyDescent="0.25">
      <c r="A3929" t="s">
        <v>3827</v>
      </c>
      <c r="B3929" t="s">
        <v>65</v>
      </c>
      <c r="C3929" t="s">
        <v>3816</v>
      </c>
      <c r="D3929" t="s">
        <v>3817</v>
      </c>
      <c r="E3929" t="s">
        <v>3818</v>
      </c>
      <c r="F3929" t="s">
        <v>94</v>
      </c>
      <c r="G3929" t="s">
        <v>277</v>
      </c>
      <c r="H3929" s="12">
        <v>6.3266999999999998</v>
      </c>
      <c r="I3929" s="12">
        <v>-75.768600000000006</v>
      </c>
      <c r="J3929" t="s">
        <v>3819</v>
      </c>
      <c r="K3929" t="s">
        <v>97</v>
      </c>
      <c r="L3929" t="s">
        <v>1273</v>
      </c>
      <c r="M3929">
        <v>11</v>
      </c>
      <c r="P3929" s="13">
        <v>250</v>
      </c>
      <c r="Q3929" s="13">
        <v>63</v>
      </c>
      <c r="R3929">
        <v>38</v>
      </c>
      <c r="S3929">
        <v>56</v>
      </c>
      <c r="T3929" s="13">
        <v>38</v>
      </c>
      <c r="U3929" s="13">
        <v>64</v>
      </c>
      <c r="V3929" t="s">
        <v>99</v>
      </c>
      <c r="X3929" s="13">
        <v>250</v>
      </c>
    </row>
    <row r="3930" spans="1:24" x14ac:dyDescent="0.25">
      <c r="A3930" t="s">
        <v>3828</v>
      </c>
      <c r="B3930" t="s">
        <v>65</v>
      </c>
      <c r="C3930" t="s">
        <v>3816</v>
      </c>
      <c r="D3930" t="s">
        <v>3817</v>
      </c>
      <c r="E3930" t="s">
        <v>3818</v>
      </c>
      <c r="F3930" t="s">
        <v>94</v>
      </c>
      <c r="G3930" t="s">
        <v>277</v>
      </c>
      <c r="H3930" s="12">
        <v>6.3266999999999998</v>
      </c>
      <c r="I3930" s="12">
        <v>-75.768600000000006</v>
      </c>
      <c r="J3930" t="s">
        <v>3819</v>
      </c>
      <c r="K3930" t="s">
        <v>97</v>
      </c>
      <c r="L3930" t="s">
        <v>1273</v>
      </c>
      <c r="M3930">
        <v>11</v>
      </c>
      <c r="P3930" s="13">
        <v>245</v>
      </c>
      <c r="Q3930" s="13">
        <v>66</v>
      </c>
      <c r="R3930">
        <v>26</v>
      </c>
      <c r="S3930">
        <v>68</v>
      </c>
      <c r="T3930" s="13">
        <v>33</v>
      </c>
      <c r="U3930" s="13">
        <v>58</v>
      </c>
      <c r="V3930" t="s">
        <v>99</v>
      </c>
      <c r="X3930" s="13">
        <v>245</v>
      </c>
    </row>
    <row r="3931" spans="1:24" x14ac:dyDescent="0.25">
      <c r="A3931" t="s">
        <v>3829</v>
      </c>
      <c r="B3931" t="s">
        <v>65</v>
      </c>
      <c r="C3931" t="s">
        <v>3816</v>
      </c>
      <c r="D3931" t="s">
        <v>3817</v>
      </c>
      <c r="E3931" t="s">
        <v>3818</v>
      </c>
      <c r="F3931" t="s">
        <v>94</v>
      </c>
      <c r="G3931" t="s">
        <v>277</v>
      </c>
      <c r="H3931" s="12">
        <v>6.3266999999999998</v>
      </c>
      <c r="I3931" s="12">
        <v>-75.768600000000006</v>
      </c>
      <c r="J3931" t="s">
        <v>3819</v>
      </c>
      <c r="K3931" t="s">
        <v>97</v>
      </c>
      <c r="L3931" t="s">
        <v>1273</v>
      </c>
      <c r="M3931">
        <v>11</v>
      </c>
      <c r="P3931" s="13">
        <v>240</v>
      </c>
      <c r="Q3931" s="13">
        <v>59</v>
      </c>
      <c r="R3931">
        <v>28</v>
      </c>
      <c r="S3931">
        <v>66</v>
      </c>
      <c r="T3931" s="13">
        <v>36</v>
      </c>
      <c r="U3931" s="13">
        <v>58</v>
      </c>
      <c r="V3931" t="s">
        <v>99</v>
      </c>
      <c r="X3931" s="13">
        <v>240</v>
      </c>
    </row>
    <row r="3932" spans="1:24" x14ac:dyDescent="0.25">
      <c r="A3932" t="s">
        <v>3830</v>
      </c>
      <c r="B3932" t="s">
        <v>65</v>
      </c>
      <c r="C3932" t="s">
        <v>3816</v>
      </c>
      <c r="D3932" t="s">
        <v>3817</v>
      </c>
      <c r="E3932" t="s">
        <v>3818</v>
      </c>
      <c r="F3932" t="s">
        <v>94</v>
      </c>
      <c r="G3932" t="s">
        <v>277</v>
      </c>
      <c r="H3932" s="12">
        <v>6.3266999999999998</v>
      </c>
      <c r="I3932" s="12">
        <v>-75.768600000000006</v>
      </c>
      <c r="J3932" t="s">
        <v>3819</v>
      </c>
      <c r="K3932" t="s">
        <v>97</v>
      </c>
      <c r="L3932" t="s">
        <v>1273</v>
      </c>
      <c r="M3932">
        <v>11</v>
      </c>
      <c r="P3932" s="13">
        <v>240</v>
      </c>
      <c r="Q3932" s="13">
        <v>59</v>
      </c>
      <c r="R3932">
        <v>36</v>
      </c>
      <c r="S3932">
        <v>56</v>
      </c>
      <c r="T3932" s="13">
        <v>40</v>
      </c>
      <c r="U3932" s="13">
        <v>53</v>
      </c>
      <c r="V3932" t="s">
        <v>99</v>
      </c>
      <c r="X3932" s="13">
        <v>240</v>
      </c>
    </row>
    <row r="3933" spans="1:24" x14ac:dyDescent="0.25">
      <c r="A3933" t="s">
        <v>3831</v>
      </c>
      <c r="B3933" t="s">
        <v>65</v>
      </c>
      <c r="C3933" t="s">
        <v>3816</v>
      </c>
      <c r="D3933" t="s">
        <v>3817</v>
      </c>
      <c r="E3933" t="s">
        <v>3818</v>
      </c>
      <c r="F3933" t="s">
        <v>94</v>
      </c>
      <c r="G3933" t="s">
        <v>277</v>
      </c>
      <c r="H3933" s="12">
        <v>6.3266999999999998</v>
      </c>
      <c r="I3933" s="12">
        <v>-75.768600000000006</v>
      </c>
      <c r="J3933" t="s">
        <v>3819</v>
      </c>
      <c r="K3933" t="s">
        <v>97</v>
      </c>
      <c r="L3933" t="s">
        <v>1273</v>
      </c>
      <c r="M3933">
        <v>11</v>
      </c>
      <c r="P3933" s="13">
        <v>239</v>
      </c>
      <c r="Q3933" s="13">
        <v>59</v>
      </c>
      <c r="R3933">
        <v>26</v>
      </c>
      <c r="S3933">
        <v>58</v>
      </c>
      <c r="T3933" s="13">
        <v>47</v>
      </c>
      <c r="U3933" s="13">
        <v>55</v>
      </c>
      <c r="V3933" t="s">
        <v>99</v>
      </c>
      <c r="X3933" s="13">
        <v>239</v>
      </c>
    </row>
    <row r="3934" spans="1:24" x14ac:dyDescent="0.25">
      <c r="A3934" t="s">
        <v>3832</v>
      </c>
      <c r="B3934" t="s">
        <v>65</v>
      </c>
      <c r="C3934" t="s">
        <v>3816</v>
      </c>
      <c r="D3934" t="s">
        <v>3817</v>
      </c>
      <c r="E3934" t="s">
        <v>3818</v>
      </c>
      <c r="F3934" t="s">
        <v>94</v>
      </c>
      <c r="G3934" t="s">
        <v>277</v>
      </c>
      <c r="H3934" s="12">
        <v>6.3266999999999998</v>
      </c>
      <c r="I3934" s="12">
        <v>-75.768600000000006</v>
      </c>
      <c r="J3934" t="s">
        <v>3819</v>
      </c>
      <c r="K3934" t="s">
        <v>97</v>
      </c>
      <c r="L3934" t="s">
        <v>1273</v>
      </c>
      <c r="M3934">
        <v>11</v>
      </c>
      <c r="P3934" s="13">
        <v>238</v>
      </c>
      <c r="Q3934" s="13">
        <v>63</v>
      </c>
      <c r="R3934">
        <v>30</v>
      </c>
      <c r="S3934">
        <v>52</v>
      </c>
      <c r="T3934" s="13">
        <v>41</v>
      </c>
      <c r="U3934" s="13">
        <v>58</v>
      </c>
      <c r="V3934" t="s">
        <v>99</v>
      </c>
      <c r="X3934" s="13">
        <v>238</v>
      </c>
    </row>
    <row r="3935" spans="1:24" x14ac:dyDescent="0.25">
      <c r="A3935" t="s">
        <v>3833</v>
      </c>
      <c r="B3935" t="s">
        <v>65</v>
      </c>
      <c r="C3935" t="s">
        <v>3816</v>
      </c>
      <c r="D3935" t="s">
        <v>3817</v>
      </c>
      <c r="E3935" t="s">
        <v>3818</v>
      </c>
      <c r="F3935" t="s">
        <v>94</v>
      </c>
      <c r="G3935" t="s">
        <v>277</v>
      </c>
      <c r="H3935" s="12">
        <v>6.3266999999999998</v>
      </c>
      <c r="I3935" s="12">
        <v>-75.768600000000006</v>
      </c>
      <c r="J3935" t="s">
        <v>3819</v>
      </c>
      <c r="K3935" t="s">
        <v>97</v>
      </c>
      <c r="L3935" t="s">
        <v>1273</v>
      </c>
      <c r="M3935">
        <v>11</v>
      </c>
      <c r="P3935" s="13">
        <v>237</v>
      </c>
      <c r="Q3935" s="13">
        <v>56</v>
      </c>
      <c r="R3935">
        <v>38</v>
      </c>
      <c r="S3935">
        <v>58</v>
      </c>
      <c r="T3935" s="13">
        <v>38</v>
      </c>
      <c r="U3935" s="13">
        <v>45</v>
      </c>
      <c r="V3935" t="s">
        <v>99</v>
      </c>
      <c r="X3935" s="13">
        <v>237</v>
      </c>
    </row>
    <row r="3936" spans="1:24" x14ac:dyDescent="0.25">
      <c r="A3936" t="s">
        <v>3834</v>
      </c>
      <c r="B3936" t="s">
        <v>65</v>
      </c>
      <c r="C3936" t="s">
        <v>3816</v>
      </c>
      <c r="D3936" t="s">
        <v>3817</v>
      </c>
      <c r="E3936" t="s">
        <v>3818</v>
      </c>
      <c r="F3936" t="s">
        <v>94</v>
      </c>
      <c r="G3936" t="s">
        <v>277</v>
      </c>
      <c r="H3936" s="12">
        <v>6.3266999999999998</v>
      </c>
      <c r="I3936" s="12">
        <v>-75.768600000000006</v>
      </c>
      <c r="J3936" t="s">
        <v>3819</v>
      </c>
      <c r="K3936" t="s">
        <v>97</v>
      </c>
      <c r="L3936" t="s">
        <v>1273</v>
      </c>
      <c r="M3936">
        <v>11</v>
      </c>
      <c r="P3936" s="13">
        <v>234</v>
      </c>
      <c r="Q3936" s="13">
        <v>59</v>
      </c>
      <c r="R3936">
        <v>24</v>
      </c>
      <c r="S3936">
        <v>56</v>
      </c>
      <c r="T3936" s="13">
        <v>41</v>
      </c>
      <c r="U3936" s="13">
        <v>69</v>
      </c>
      <c r="V3936" t="s">
        <v>99</v>
      </c>
      <c r="X3936" s="13">
        <v>234</v>
      </c>
    </row>
    <row r="3937" spans="1:24" x14ac:dyDescent="0.25">
      <c r="A3937" t="s">
        <v>3835</v>
      </c>
      <c r="B3937" t="s">
        <v>65</v>
      </c>
      <c r="C3937" t="s">
        <v>3816</v>
      </c>
      <c r="D3937" t="s">
        <v>3817</v>
      </c>
      <c r="E3937" t="s">
        <v>3818</v>
      </c>
      <c r="F3937" t="s">
        <v>94</v>
      </c>
      <c r="G3937" t="s">
        <v>277</v>
      </c>
      <c r="H3937" s="12">
        <v>6.3266999999999998</v>
      </c>
      <c r="I3937" s="12">
        <v>-75.768600000000006</v>
      </c>
      <c r="J3937" t="s">
        <v>3819</v>
      </c>
      <c r="K3937" t="s">
        <v>97</v>
      </c>
      <c r="L3937" t="s">
        <v>1273</v>
      </c>
      <c r="M3937">
        <v>11</v>
      </c>
      <c r="P3937" s="13">
        <v>230</v>
      </c>
      <c r="Q3937" s="13">
        <v>56</v>
      </c>
      <c r="R3937">
        <v>38</v>
      </c>
      <c r="S3937">
        <v>46</v>
      </c>
      <c r="T3937" s="13">
        <v>43</v>
      </c>
      <c r="U3937" s="13">
        <v>47</v>
      </c>
      <c r="V3937" t="s">
        <v>99</v>
      </c>
      <c r="X3937" s="13">
        <v>230</v>
      </c>
    </row>
    <row r="3938" spans="1:24" x14ac:dyDescent="0.25">
      <c r="A3938" t="s">
        <v>3836</v>
      </c>
      <c r="B3938" t="s">
        <v>65</v>
      </c>
      <c r="C3938" t="s">
        <v>3816</v>
      </c>
      <c r="D3938" t="s">
        <v>3817</v>
      </c>
      <c r="E3938" t="s">
        <v>3818</v>
      </c>
      <c r="F3938" t="s">
        <v>94</v>
      </c>
      <c r="G3938" t="s">
        <v>277</v>
      </c>
      <c r="H3938" s="12">
        <v>6.3266999999999998</v>
      </c>
      <c r="I3938" s="12">
        <v>-75.768600000000006</v>
      </c>
      <c r="J3938" t="s">
        <v>3819</v>
      </c>
      <c r="K3938" t="s">
        <v>97</v>
      </c>
      <c r="L3938" t="s">
        <v>1273</v>
      </c>
      <c r="M3938">
        <v>11</v>
      </c>
      <c r="P3938" s="13">
        <v>226</v>
      </c>
      <c r="Q3938" s="13">
        <v>51</v>
      </c>
      <c r="R3938">
        <v>36</v>
      </c>
      <c r="S3938">
        <v>58</v>
      </c>
      <c r="T3938" s="13">
        <v>41</v>
      </c>
      <c r="U3938" s="13">
        <v>29</v>
      </c>
      <c r="V3938" t="s">
        <v>99</v>
      </c>
      <c r="X3938" s="13">
        <v>226</v>
      </c>
    </row>
    <row r="3939" spans="1:24" x14ac:dyDescent="0.25">
      <c r="A3939" t="s">
        <v>3837</v>
      </c>
      <c r="B3939" t="s">
        <v>65</v>
      </c>
      <c r="C3939" t="s">
        <v>3816</v>
      </c>
      <c r="D3939" t="s">
        <v>3817</v>
      </c>
      <c r="E3939" t="s">
        <v>3818</v>
      </c>
      <c r="F3939" t="s">
        <v>94</v>
      </c>
      <c r="G3939" t="s">
        <v>277</v>
      </c>
      <c r="H3939" s="12">
        <v>6.3266999999999998</v>
      </c>
      <c r="I3939" s="12">
        <v>-75.768600000000006</v>
      </c>
      <c r="J3939" t="s">
        <v>3819</v>
      </c>
      <c r="K3939" t="s">
        <v>97</v>
      </c>
      <c r="L3939" t="s">
        <v>1273</v>
      </c>
      <c r="M3939">
        <v>11</v>
      </c>
      <c r="P3939" s="13">
        <v>224</v>
      </c>
      <c r="Q3939" s="13">
        <v>61</v>
      </c>
      <c r="R3939">
        <v>22</v>
      </c>
      <c r="S3939">
        <v>52</v>
      </c>
      <c r="T3939" s="13">
        <v>45</v>
      </c>
      <c r="U3939" s="13">
        <v>42</v>
      </c>
      <c r="V3939" t="s">
        <v>99</v>
      </c>
      <c r="X3939" s="13">
        <v>224</v>
      </c>
    </row>
    <row r="3940" spans="1:24" x14ac:dyDescent="0.25">
      <c r="A3940" t="s">
        <v>3838</v>
      </c>
      <c r="B3940" t="s">
        <v>65</v>
      </c>
      <c r="C3940" t="s">
        <v>3816</v>
      </c>
      <c r="D3940" t="s">
        <v>3817</v>
      </c>
      <c r="E3940" t="s">
        <v>3818</v>
      </c>
      <c r="F3940" t="s">
        <v>94</v>
      </c>
      <c r="G3940" t="s">
        <v>277</v>
      </c>
      <c r="H3940" s="12">
        <v>6.3266999999999998</v>
      </c>
      <c r="I3940" s="12">
        <v>-75.768600000000006</v>
      </c>
      <c r="J3940" t="s">
        <v>3819</v>
      </c>
      <c r="K3940" t="s">
        <v>97</v>
      </c>
      <c r="L3940" t="s">
        <v>1273</v>
      </c>
      <c r="M3940">
        <v>11</v>
      </c>
      <c r="P3940" s="13">
        <v>215</v>
      </c>
      <c r="Q3940" s="13">
        <v>49</v>
      </c>
      <c r="R3940">
        <v>24</v>
      </c>
      <c r="S3940">
        <v>64</v>
      </c>
      <c r="T3940" s="13">
        <v>29</v>
      </c>
      <c r="U3940" s="13">
        <v>60</v>
      </c>
      <c r="V3940" t="s">
        <v>99</v>
      </c>
      <c r="X3940" s="13">
        <v>215</v>
      </c>
    </row>
    <row r="3941" spans="1:24" x14ac:dyDescent="0.25">
      <c r="A3941" t="s">
        <v>3839</v>
      </c>
      <c r="B3941" t="s">
        <v>65</v>
      </c>
      <c r="C3941" t="s">
        <v>3816</v>
      </c>
      <c r="D3941" t="s">
        <v>3817</v>
      </c>
      <c r="E3941" t="s">
        <v>3818</v>
      </c>
      <c r="F3941" t="s">
        <v>94</v>
      </c>
      <c r="G3941" t="s">
        <v>277</v>
      </c>
      <c r="H3941" s="12">
        <v>6.3266999999999998</v>
      </c>
      <c r="I3941" s="12">
        <v>-75.768600000000006</v>
      </c>
      <c r="J3941" t="s">
        <v>3819</v>
      </c>
      <c r="K3941" t="s">
        <v>97</v>
      </c>
      <c r="L3941" t="s">
        <v>1273</v>
      </c>
      <c r="M3941">
        <v>11</v>
      </c>
      <c r="P3941" s="13">
        <v>209</v>
      </c>
      <c r="Q3941" s="13">
        <v>39</v>
      </c>
      <c r="R3941">
        <v>26</v>
      </c>
      <c r="S3941">
        <v>54</v>
      </c>
      <c r="T3941" s="13">
        <v>43</v>
      </c>
      <c r="U3941" s="13">
        <v>56</v>
      </c>
      <c r="V3941" t="s">
        <v>99</v>
      </c>
      <c r="X3941" s="13">
        <v>209</v>
      </c>
    </row>
    <row r="3942" spans="1:24" x14ac:dyDescent="0.25">
      <c r="A3942" t="s">
        <v>3840</v>
      </c>
      <c r="B3942" t="s">
        <v>65</v>
      </c>
      <c r="C3942" t="s">
        <v>3816</v>
      </c>
      <c r="D3942" t="s">
        <v>3817</v>
      </c>
      <c r="E3942" t="s">
        <v>3818</v>
      </c>
      <c r="F3942" t="s">
        <v>94</v>
      </c>
      <c r="G3942" t="s">
        <v>277</v>
      </c>
      <c r="H3942" s="12">
        <v>6.3266999999999998</v>
      </c>
      <c r="I3942" s="12">
        <v>-75.768600000000006</v>
      </c>
      <c r="J3942" t="s">
        <v>3819</v>
      </c>
      <c r="K3942" t="s">
        <v>97</v>
      </c>
      <c r="L3942" t="s">
        <v>1273</v>
      </c>
      <c r="M3942">
        <v>11</v>
      </c>
      <c r="P3942" s="13">
        <v>208</v>
      </c>
      <c r="Q3942" s="13">
        <v>51</v>
      </c>
      <c r="R3942">
        <v>34</v>
      </c>
      <c r="S3942">
        <v>40</v>
      </c>
      <c r="T3942" s="13">
        <v>41</v>
      </c>
      <c r="U3942" s="13">
        <v>42</v>
      </c>
      <c r="V3942" t="s">
        <v>99</v>
      </c>
      <c r="X3942" s="13">
        <v>208</v>
      </c>
    </row>
    <row r="3943" spans="1:24" x14ac:dyDescent="0.25">
      <c r="A3943" t="s">
        <v>3841</v>
      </c>
      <c r="B3943" t="s">
        <v>65</v>
      </c>
      <c r="C3943" t="s">
        <v>3816</v>
      </c>
      <c r="D3943" t="s">
        <v>3817</v>
      </c>
      <c r="E3943" t="s">
        <v>3818</v>
      </c>
      <c r="F3943" t="s">
        <v>94</v>
      </c>
      <c r="G3943" t="s">
        <v>277</v>
      </c>
      <c r="H3943" s="12">
        <v>6.3266999999999998</v>
      </c>
      <c r="I3943" s="12">
        <v>-75.768600000000006</v>
      </c>
      <c r="J3943" t="s">
        <v>3819</v>
      </c>
      <c r="K3943" t="s">
        <v>97</v>
      </c>
      <c r="L3943" t="s">
        <v>1273</v>
      </c>
      <c r="M3943">
        <v>11</v>
      </c>
      <c r="P3943" s="13">
        <v>201</v>
      </c>
      <c r="Q3943" s="13">
        <v>46</v>
      </c>
      <c r="R3943">
        <v>32</v>
      </c>
      <c r="S3943">
        <v>44</v>
      </c>
      <c r="T3943" s="13">
        <v>33</v>
      </c>
      <c r="U3943" s="13">
        <v>58</v>
      </c>
      <c r="V3943" t="s">
        <v>99</v>
      </c>
      <c r="X3943" s="13">
        <v>201</v>
      </c>
    </row>
    <row r="3944" spans="1:24" x14ac:dyDescent="0.25">
      <c r="A3944" t="s">
        <v>3842</v>
      </c>
      <c r="B3944" t="s">
        <v>65</v>
      </c>
      <c r="C3944" t="s">
        <v>3816</v>
      </c>
      <c r="D3944" t="s">
        <v>3817</v>
      </c>
      <c r="E3944" t="s">
        <v>3818</v>
      </c>
      <c r="F3944" t="s">
        <v>94</v>
      </c>
      <c r="G3944" t="s">
        <v>277</v>
      </c>
      <c r="H3944" s="12">
        <v>6.3266999999999998</v>
      </c>
      <c r="I3944" s="12">
        <v>-75.768600000000006</v>
      </c>
      <c r="J3944" t="s">
        <v>3819</v>
      </c>
      <c r="K3944" t="s">
        <v>97</v>
      </c>
      <c r="L3944" t="s">
        <v>1273</v>
      </c>
      <c r="M3944">
        <v>11</v>
      </c>
      <c r="P3944" s="13">
        <v>196</v>
      </c>
      <c r="Q3944" s="13">
        <v>37</v>
      </c>
      <c r="R3944">
        <v>38</v>
      </c>
      <c r="S3944">
        <v>40</v>
      </c>
      <c r="T3944" s="13">
        <v>38</v>
      </c>
      <c r="U3944" s="13">
        <v>51</v>
      </c>
      <c r="V3944" t="s">
        <v>99</v>
      </c>
      <c r="X3944" s="13">
        <v>196</v>
      </c>
    </row>
    <row r="3945" spans="1:24" x14ac:dyDescent="0.25">
      <c r="A3945" t="s">
        <v>3843</v>
      </c>
      <c r="B3945" t="s">
        <v>65</v>
      </c>
      <c r="C3945" t="s">
        <v>3816</v>
      </c>
      <c r="D3945" t="s">
        <v>3817</v>
      </c>
      <c r="E3945" t="s">
        <v>3818</v>
      </c>
      <c r="F3945" t="s">
        <v>94</v>
      </c>
      <c r="G3945" t="s">
        <v>277</v>
      </c>
      <c r="H3945" s="12">
        <v>6.3266999999999998</v>
      </c>
      <c r="I3945" s="12">
        <v>-75.768600000000006</v>
      </c>
      <c r="J3945" t="s">
        <v>3819</v>
      </c>
      <c r="K3945" t="s">
        <v>97</v>
      </c>
      <c r="L3945" t="s">
        <v>1273</v>
      </c>
      <c r="M3945">
        <v>11</v>
      </c>
      <c r="P3945" s="13">
        <v>192</v>
      </c>
      <c r="Q3945" s="13">
        <v>46</v>
      </c>
      <c r="R3945">
        <v>26</v>
      </c>
      <c r="S3945">
        <v>48</v>
      </c>
      <c r="T3945" s="13">
        <v>28</v>
      </c>
      <c r="U3945" s="13">
        <v>56</v>
      </c>
      <c r="V3945" t="s">
        <v>99</v>
      </c>
      <c r="X3945" s="13">
        <v>192</v>
      </c>
    </row>
    <row r="3946" spans="1:24" x14ac:dyDescent="0.25">
      <c r="A3946" t="s">
        <v>3844</v>
      </c>
      <c r="B3946" t="s">
        <v>65</v>
      </c>
      <c r="C3946" t="s">
        <v>3816</v>
      </c>
      <c r="D3946" t="s">
        <v>3817</v>
      </c>
      <c r="E3946" t="s">
        <v>3818</v>
      </c>
      <c r="F3946" t="s">
        <v>94</v>
      </c>
      <c r="G3946" t="s">
        <v>277</v>
      </c>
      <c r="H3946" s="12">
        <v>6.3266999999999998</v>
      </c>
      <c r="I3946" s="12">
        <v>-75.768600000000006</v>
      </c>
      <c r="J3946" t="s">
        <v>3819</v>
      </c>
      <c r="K3946" t="s">
        <v>97</v>
      </c>
      <c r="L3946" t="s">
        <v>1273</v>
      </c>
      <c r="M3946">
        <v>11</v>
      </c>
      <c r="P3946" s="13">
        <v>189</v>
      </c>
      <c r="Q3946" s="13">
        <v>46</v>
      </c>
      <c r="R3946">
        <v>22</v>
      </c>
      <c r="S3946">
        <v>42</v>
      </c>
      <c r="T3946" s="13">
        <v>34</v>
      </c>
      <c r="U3946" s="13">
        <v>58</v>
      </c>
      <c r="V3946" t="s">
        <v>99</v>
      </c>
      <c r="X3946" s="13">
        <v>189</v>
      </c>
    </row>
    <row r="3947" spans="1:24" x14ac:dyDescent="0.25">
      <c r="A3947" t="s">
        <v>3845</v>
      </c>
      <c r="B3947" t="s">
        <v>65</v>
      </c>
      <c r="C3947" t="s">
        <v>3816</v>
      </c>
      <c r="D3947" t="s">
        <v>3817</v>
      </c>
      <c r="E3947" t="s">
        <v>3818</v>
      </c>
      <c r="F3947" t="s">
        <v>94</v>
      </c>
      <c r="G3947" t="s">
        <v>277</v>
      </c>
      <c r="H3947" s="12">
        <v>6.3266999999999998</v>
      </c>
      <c r="I3947" s="12">
        <v>-75.768600000000006</v>
      </c>
      <c r="J3947" t="s">
        <v>3819</v>
      </c>
      <c r="K3947" t="s">
        <v>97</v>
      </c>
      <c r="L3947" t="s">
        <v>1273</v>
      </c>
      <c r="M3947">
        <v>11</v>
      </c>
      <c r="P3947" s="13">
        <v>184</v>
      </c>
      <c r="Q3947" s="13">
        <v>39</v>
      </c>
      <c r="R3947">
        <v>24</v>
      </c>
      <c r="S3947">
        <v>46</v>
      </c>
      <c r="T3947" s="13">
        <v>38</v>
      </c>
      <c r="U3947" s="13">
        <v>38</v>
      </c>
      <c r="V3947" t="s">
        <v>99</v>
      </c>
      <c r="X3947" s="13">
        <v>184</v>
      </c>
    </row>
    <row r="3948" spans="1:24" x14ac:dyDescent="0.25">
      <c r="A3948" t="s">
        <v>3846</v>
      </c>
      <c r="B3948" t="s">
        <v>65</v>
      </c>
      <c r="C3948" t="s">
        <v>3816</v>
      </c>
      <c r="D3948" t="s">
        <v>3817</v>
      </c>
      <c r="E3948" t="s">
        <v>3818</v>
      </c>
      <c r="F3948" t="s">
        <v>94</v>
      </c>
      <c r="G3948" t="s">
        <v>277</v>
      </c>
      <c r="H3948" s="12">
        <v>6.3266999999999998</v>
      </c>
      <c r="I3948" s="12">
        <v>-75.768600000000006</v>
      </c>
      <c r="J3948" t="s">
        <v>3819</v>
      </c>
      <c r="K3948" t="s">
        <v>97</v>
      </c>
      <c r="L3948" t="s">
        <v>1273</v>
      </c>
      <c r="M3948">
        <v>11</v>
      </c>
      <c r="P3948" s="13">
        <v>184</v>
      </c>
      <c r="Q3948" s="13">
        <v>44</v>
      </c>
      <c r="R3948">
        <v>26</v>
      </c>
      <c r="S3948">
        <v>40</v>
      </c>
      <c r="T3948" s="13">
        <v>34</v>
      </c>
      <c r="U3948" s="13">
        <v>45</v>
      </c>
      <c r="V3948" t="s">
        <v>99</v>
      </c>
      <c r="X3948" s="13">
        <v>184</v>
      </c>
    </row>
    <row r="3949" spans="1:24" x14ac:dyDescent="0.25">
      <c r="A3949" t="s">
        <v>3847</v>
      </c>
      <c r="B3949" t="s">
        <v>65</v>
      </c>
      <c r="C3949" t="s">
        <v>3816</v>
      </c>
      <c r="D3949" t="s">
        <v>3817</v>
      </c>
      <c r="E3949" t="s">
        <v>3818</v>
      </c>
      <c r="F3949" t="s">
        <v>94</v>
      </c>
      <c r="G3949" t="s">
        <v>277</v>
      </c>
      <c r="H3949" s="12">
        <v>6.3266999999999998</v>
      </c>
      <c r="I3949" s="12">
        <v>-75.768600000000006</v>
      </c>
      <c r="J3949" t="s">
        <v>3819</v>
      </c>
      <c r="K3949" t="s">
        <v>97</v>
      </c>
      <c r="L3949" t="s">
        <v>1273</v>
      </c>
      <c r="M3949">
        <v>11</v>
      </c>
      <c r="P3949" s="13">
        <v>182</v>
      </c>
      <c r="Q3949" s="13">
        <v>34</v>
      </c>
      <c r="R3949">
        <v>20</v>
      </c>
      <c r="S3949">
        <v>58</v>
      </c>
      <c r="T3949" s="13">
        <v>34</v>
      </c>
      <c r="U3949" s="13">
        <v>33</v>
      </c>
      <c r="V3949" t="s">
        <v>99</v>
      </c>
      <c r="X3949" s="13">
        <v>182</v>
      </c>
    </row>
    <row r="3950" spans="1:24" x14ac:dyDescent="0.25">
      <c r="A3950" t="s">
        <v>3848</v>
      </c>
      <c r="B3950" t="s">
        <v>65</v>
      </c>
      <c r="C3950" t="s">
        <v>3816</v>
      </c>
      <c r="D3950" t="s">
        <v>3817</v>
      </c>
      <c r="E3950" t="s">
        <v>3818</v>
      </c>
      <c r="F3950" t="s">
        <v>94</v>
      </c>
      <c r="G3950" t="s">
        <v>277</v>
      </c>
      <c r="H3950" s="12">
        <v>6.3266999999999998</v>
      </c>
      <c r="I3950" s="12">
        <v>-75.768600000000006</v>
      </c>
      <c r="J3950" t="s">
        <v>3819</v>
      </c>
      <c r="K3950" t="s">
        <v>97</v>
      </c>
      <c r="L3950" t="s">
        <v>1273</v>
      </c>
      <c r="M3950">
        <v>11</v>
      </c>
      <c r="P3950" s="13">
        <v>180</v>
      </c>
      <c r="Q3950" s="13">
        <v>51</v>
      </c>
      <c r="R3950">
        <v>32</v>
      </c>
      <c r="S3950">
        <v>40</v>
      </c>
      <c r="T3950" s="13">
        <v>28</v>
      </c>
      <c r="U3950" s="13">
        <v>16</v>
      </c>
      <c r="V3950" t="s">
        <v>99</v>
      </c>
      <c r="X3950" s="13">
        <v>180</v>
      </c>
    </row>
    <row r="3951" spans="1:24" x14ac:dyDescent="0.25">
      <c r="A3951" t="s">
        <v>3849</v>
      </c>
      <c r="B3951" t="s">
        <v>65</v>
      </c>
      <c r="C3951" t="s">
        <v>3816</v>
      </c>
      <c r="D3951" t="s">
        <v>3817</v>
      </c>
      <c r="E3951" t="s">
        <v>3818</v>
      </c>
      <c r="F3951" t="s">
        <v>94</v>
      </c>
      <c r="G3951" t="s">
        <v>277</v>
      </c>
      <c r="H3951" s="12">
        <v>6.3266999999999998</v>
      </c>
      <c r="I3951" s="12">
        <v>-75.768600000000006</v>
      </c>
      <c r="J3951" t="s">
        <v>3819</v>
      </c>
      <c r="K3951" t="s">
        <v>97</v>
      </c>
      <c r="L3951" t="s">
        <v>1273</v>
      </c>
      <c r="M3951">
        <v>11</v>
      </c>
      <c r="P3951" s="13">
        <v>176</v>
      </c>
      <c r="Q3951" s="13">
        <v>46</v>
      </c>
      <c r="R3951">
        <v>36</v>
      </c>
      <c r="S3951">
        <v>42</v>
      </c>
      <c r="T3951" s="13">
        <v>19</v>
      </c>
      <c r="U3951" s="13">
        <v>27</v>
      </c>
      <c r="V3951" t="s">
        <v>99</v>
      </c>
      <c r="X3951" s="13">
        <v>176</v>
      </c>
    </row>
    <row r="3952" spans="1:24" x14ac:dyDescent="0.25">
      <c r="A3952" t="s">
        <v>3850</v>
      </c>
      <c r="B3952" t="s">
        <v>65</v>
      </c>
      <c r="C3952" t="s">
        <v>3816</v>
      </c>
      <c r="D3952" t="s">
        <v>3817</v>
      </c>
      <c r="E3952" t="s">
        <v>3818</v>
      </c>
      <c r="F3952" t="s">
        <v>94</v>
      </c>
      <c r="G3952" t="s">
        <v>277</v>
      </c>
      <c r="H3952" s="12">
        <v>6.3266999999999998</v>
      </c>
      <c r="I3952" s="12">
        <v>-75.768600000000006</v>
      </c>
      <c r="J3952" t="s">
        <v>3819</v>
      </c>
      <c r="K3952" t="s">
        <v>97</v>
      </c>
      <c r="L3952" t="s">
        <v>1273</v>
      </c>
      <c r="M3952">
        <v>11</v>
      </c>
      <c r="P3952" s="13">
        <v>171</v>
      </c>
      <c r="Q3952" s="13">
        <v>41</v>
      </c>
      <c r="R3952">
        <v>22</v>
      </c>
      <c r="S3952">
        <v>42</v>
      </c>
      <c r="T3952" s="13">
        <v>31</v>
      </c>
      <c r="U3952" s="13">
        <v>36</v>
      </c>
      <c r="V3952" t="s">
        <v>99</v>
      </c>
      <c r="X3952" s="13">
        <v>171</v>
      </c>
    </row>
    <row r="3953" spans="1:24" x14ac:dyDescent="0.25">
      <c r="A3953" t="s">
        <v>3851</v>
      </c>
      <c r="B3953" t="s">
        <v>65</v>
      </c>
      <c r="C3953" t="s">
        <v>3816</v>
      </c>
      <c r="D3953" t="s">
        <v>3817</v>
      </c>
      <c r="E3953" t="s">
        <v>3818</v>
      </c>
      <c r="F3953" t="s">
        <v>94</v>
      </c>
      <c r="G3953" t="s">
        <v>277</v>
      </c>
      <c r="H3953" s="12">
        <v>6.3266999999999998</v>
      </c>
      <c r="I3953" s="12">
        <v>-75.768600000000006</v>
      </c>
      <c r="J3953" t="s">
        <v>3819</v>
      </c>
      <c r="K3953" t="s">
        <v>97</v>
      </c>
      <c r="L3953" t="s">
        <v>1273</v>
      </c>
      <c r="M3953">
        <v>11</v>
      </c>
      <c r="P3953" s="13">
        <v>133</v>
      </c>
      <c r="Q3953" s="13">
        <v>32</v>
      </c>
      <c r="R3953">
        <v>18</v>
      </c>
      <c r="S3953">
        <v>44</v>
      </c>
      <c r="T3953" s="13">
        <v>16</v>
      </c>
      <c r="U3953" s="13">
        <v>18</v>
      </c>
      <c r="V3953" t="s">
        <v>99</v>
      </c>
      <c r="X3953" s="13">
        <v>133</v>
      </c>
    </row>
    <row r="3954" spans="1:24" x14ac:dyDescent="0.25">
      <c r="A3954" t="s">
        <v>3852</v>
      </c>
      <c r="B3954" t="s">
        <v>65</v>
      </c>
      <c r="C3954" t="s">
        <v>3816</v>
      </c>
      <c r="D3954" t="s">
        <v>3817</v>
      </c>
      <c r="E3954" t="s">
        <v>3818</v>
      </c>
      <c r="F3954" t="s">
        <v>94</v>
      </c>
      <c r="G3954" t="s">
        <v>277</v>
      </c>
      <c r="H3954" s="12">
        <v>6.3266999999999998</v>
      </c>
      <c r="I3954" s="12">
        <v>-75.768600000000006</v>
      </c>
      <c r="J3954" t="s">
        <v>3819</v>
      </c>
      <c r="K3954" t="s">
        <v>97</v>
      </c>
      <c r="L3954" t="s">
        <v>1273</v>
      </c>
      <c r="M3954">
        <v>11</v>
      </c>
      <c r="P3954" s="13">
        <v>126</v>
      </c>
      <c r="Q3954" s="13">
        <v>29</v>
      </c>
      <c r="R3954">
        <v>22</v>
      </c>
      <c r="S3954">
        <v>22</v>
      </c>
      <c r="T3954" s="13">
        <v>26</v>
      </c>
      <c r="U3954" s="13">
        <v>29</v>
      </c>
      <c r="V3954" t="s">
        <v>99</v>
      </c>
      <c r="X3954" s="13">
        <v>126</v>
      </c>
    </row>
    <row r="3955" spans="1:24" x14ac:dyDescent="0.25">
      <c r="A3955" t="s">
        <v>3853</v>
      </c>
      <c r="B3955" t="s">
        <v>65</v>
      </c>
      <c r="C3955" t="s">
        <v>3816</v>
      </c>
      <c r="D3955" t="s">
        <v>3817</v>
      </c>
      <c r="E3955" t="s">
        <v>3818</v>
      </c>
      <c r="F3955" t="s">
        <v>94</v>
      </c>
      <c r="G3955" t="s">
        <v>277</v>
      </c>
      <c r="H3955" s="12">
        <v>6.3266999999999998</v>
      </c>
      <c r="I3955" s="12">
        <v>-75.768600000000006</v>
      </c>
      <c r="J3955" t="s">
        <v>3819</v>
      </c>
      <c r="K3955" t="s">
        <v>97</v>
      </c>
      <c r="L3955" t="s">
        <v>1273</v>
      </c>
      <c r="M3955">
        <v>11</v>
      </c>
      <c r="P3955" s="13">
        <v>99</v>
      </c>
      <c r="Q3955" s="13">
        <v>37</v>
      </c>
      <c r="R3955">
        <v>16</v>
      </c>
      <c r="S3955">
        <v>16</v>
      </c>
      <c r="T3955" s="13">
        <v>17</v>
      </c>
      <c r="U3955" s="13">
        <v>0</v>
      </c>
      <c r="V3955" t="s">
        <v>99</v>
      </c>
      <c r="X3955" s="13">
        <v>99</v>
      </c>
    </row>
    <row r="3956" spans="1:24" x14ac:dyDescent="0.25">
      <c r="A3956" t="s">
        <v>3854</v>
      </c>
      <c r="B3956" t="s">
        <v>65</v>
      </c>
      <c r="C3956" t="s">
        <v>3816</v>
      </c>
      <c r="D3956" t="s">
        <v>3817</v>
      </c>
      <c r="E3956" t="s">
        <v>3818</v>
      </c>
      <c r="F3956" t="s">
        <v>94</v>
      </c>
      <c r="G3956" t="s">
        <v>277</v>
      </c>
      <c r="H3956" s="12">
        <v>6.3266999999999998</v>
      </c>
      <c r="I3956" s="12">
        <v>-75.768600000000006</v>
      </c>
      <c r="J3956" t="s">
        <v>3819</v>
      </c>
      <c r="K3956" t="s">
        <v>97</v>
      </c>
      <c r="L3956" t="s">
        <v>1273</v>
      </c>
      <c r="M3956">
        <v>11</v>
      </c>
      <c r="P3956" s="13">
        <v>85</v>
      </c>
      <c r="Q3956" s="13">
        <v>0</v>
      </c>
      <c r="R3956">
        <v>16</v>
      </c>
      <c r="S3956">
        <v>20</v>
      </c>
      <c r="T3956" s="13">
        <v>16</v>
      </c>
      <c r="U3956" s="13">
        <v>67</v>
      </c>
      <c r="V3956" t="s">
        <v>99</v>
      </c>
      <c r="X3956" s="13">
        <v>85</v>
      </c>
    </row>
    <row r="3957" spans="1:24" x14ac:dyDescent="0.25">
      <c r="A3957" t="s">
        <v>3855</v>
      </c>
      <c r="B3957" t="s">
        <v>65</v>
      </c>
      <c r="C3957" t="s">
        <v>3856</v>
      </c>
      <c r="D3957" t="s">
        <v>3857</v>
      </c>
      <c r="E3957" t="s">
        <v>3858</v>
      </c>
      <c r="F3957" t="s">
        <v>94</v>
      </c>
      <c r="G3957" t="s">
        <v>277</v>
      </c>
      <c r="H3957" s="12">
        <v>6.5861000000000001</v>
      </c>
      <c r="I3957" s="12">
        <v>-76.886399999999995</v>
      </c>
      <c r="J3957" t="s">
        <v>3859</v>
      </c>
      <c r="K3957" t="s">
        <v>97</v>
      </c>
      <c r="L3957" t="s">
        <v>1273</v>
      </c>
      <c r="M3957">
        <v>11</v>
      </c>
      <c r="P3957" s="13">
        <v>212</v>
      </c>
      <c r="Q3957" s="13">
        <v>51</v>
      </c>
      <c r="R3957">
        <v>26</v>
      </c>
      <c r="S3957">
        <v>54</v>
      </c>
      <c r="T3957" s="13">
        <v>40</v>
      </c>
      <c r="U3957" s="13">
        <v>38</v>
      </c>
      <c r="V3957" t="s">
        <v>99</v>
      </c>
      <c r="X3957" s="13">
        <v>212</v>
      </c>
    </row>
    <row r="3958" spans="1:24" x14ac:dyDescent="0.25">
      <c r="A3958" t="s">
        <v>3860</v>
      </c>
      <c r="B3958" t="s">
        <v>65</v>
      </c>
      <c r="C3958" t="s">
        <v>3856</v>
      </c>
      <c r="D3958" t="s">
        <v>3857</v>
      </c>
      <c r="E3958" t="s">
        <v>3858</v>
      </c>
      <c r="F3958" t="s">
        <v>94</v>
      </c>
      <c r="G3958" t="s">
        <v>277</v>
      </c>
      <c r="H3958" s="12">
        <v>6.5861000000000001</v>
      </c>
      <c r="I3958" s="12">
        <v>-76.886399999999995</v>
      </c>
      <c r="J3958" t="s">
        <v>3859</v>
      </c>
      <c r="K3958" t="s">
        <v>97</v>
      </c>
      <c r="L3958" t="s">
        <v>1273</v>
      </c>
      <c r="M3958">
        <v>11</v>
      </c>
      <c r="P3958" s="13">
        <v>193</v>
      </c>
      <c r="Q3958" s="13">
        <v>46</v>
      </c>
      <c r="R3958">
        <v>30</v>
      </c>
      <c r="S3958">
        <v>38</v>
      </c>
      <c r="T3958" s="13">
        <v>36</v>
      </c>
      <c r="U3958" s="13">
        <v>49</v>
      </c>
      <c r="V3958" t="s">
        <v>99</v>
      </c>
      <c r="X3958" s="13">
        <v>193</v>
      </c>
    </row>
    <row r="3959" spans="1:24" x14ac:dyDescent="0.25">
      <c r="A3959" t="s">
        <v>3861</v>
      </c>
      <c r="B3959" t="s">
        <v>65</v>
      </c>
      <c r="C3959" t="s">
        <v>3856</v>
      </c>
      <c r="D3959" t="s">
        <v>3857</v>
      </c>
      <c r="E3959" t="s">
        <v>3858</v>
      </c>
      <c r="F3959" t="s">
        <v>94</v>
      </c>
      <c r="G3959" t="s">
        <v>277</v>
      </c>
      <c r="H3959" s="12">
        <v>6.5861000000000001</v>
      </c>
      <c r="I3959" s="12">
        <v>-76.886399999999995</v>
      </c>
      <c r="J3959" t="s">
        <v>3859</v>
      </c>
      <c r="K3959" t="s">
        <v>97</v>
      </c>
      <c r="L3959" t="s">
        <v>1273</v>
      </c>
      <c r="M3959">
        <v>11</v>
      </c>
      <c r="P3959" s="13">
        <v>185</v>
      </c>
      <c r="Q3959" s="13">
        <v>44</v>
      </c>
      <c r="R3959">
        <v>40</v>
      </c>
      <c r="S3959">
        <v>34</v>
      </c>
      <c r="T3959" s="13">
        <v>29</v>
      </c>
      <c r="U3959" s="13">
        <v>38</v>
      </c>
      <c r="V3959" t="s">
        <v>99</v>
      </c>
      <c r="X3959" s="13">
        <v>185</v>
      </c>
    </row>
    <row r="3960" spans="1:24" x14ac:dyDescent="0.25">
      <c r="A3960" t="s">
        <v>3862</v>
      </c>
      <c r="B3960" t="s">
        <v>65</v>
      </c>
      <c r="C3960" t="s">
        <v>3856</v>
      </c>
      <c r="D3960" t="s">
        <v>3857</v>
      </c>
      <c r="E3960" t="s">
        <v>3858</v>
      </c>
      <c r="F3960" t="s">
        <v>94</v>
      </c>
      <c r="G3960" t="s">
        <v>277</v>
      </c>
      <c r="H3960" s="12">
        <v>6.5861000000000001</v>
      </c>
      <c r="I3960" s="12">
        <v>-76.886399999999995</v>
      </c>
      <c r="J3960" t="s">
        <v>3859</v>
      </c>
      <c r="K3960" t="s">
        <v>97</v>
      </c>
      <c r="L3960" t="s">
        <v>1273</v>
      </c>
      <c r="M3960">
        <v>11</v>
      </c>
      <c r="P3960" s="13">
        <v>179</v>
      </c>
      <c r="Q3960" s="13">
        <v>41</v>
      </c>
      <c r="R3960">
        <v>32</v>
      </c>
      <c r="S3960">
        <v>40</v>
      </c>
      <c r="T3960" s="13">
        <v>31</v>
      </c>
      <c r="U3960" s="13">
        <v>33</v>
      </c>
      <c r="V3960" t="s">
        <v>99</v>
      </c>
      <c r="X3960" s="13">
        <v>179</v>
      </c>
    </row>
    <row r="3961" spans="1:24" x14ac:dyDescent="0.25">
      <c r="A3961" t="s">
        <v>3863</v>
      </c>
      <c r="B3961" t="s">
        <v>65</v>
      </c>
      <c r="C3961" t="s">
        <v>3856</v>
      </c>
      <c r="D3961" t="s">
        <v>3857</v>
      </c>
      <c r="E3961" t="s">
        <v>3858</v>
      </c>
      <c r="F3961" t="s">
        <v>94</v>
      </c>
      <c r="G3961" t="s">
        <v>277</v>
      </c>
      <c r="H3961" s="12">
        <v>6.5861000000000001</v>
      </c>
      <c r="I3961" s="12">
        <v>-76.886399999999995</v>
      </c>
      <c r="J3961" t="s">
        <v>3859</v>
      </c>
      <c r="K3961" t="s">
        <v>97</v>
      </c>
      <c r="L3961" t="s">
        <v>1273</v>
      </c>
      <c r="M3961">
        <v>11</v>
      </c>
      <c r="P3961" s="13">
        <v>175</v>
      </c>
      <c r="Q3961" s="13">
        <v>56</v>
      </c>
      <c r="R3961">
        <v>28</v>
      </c>
      <c r="S3961">
        <v>40</v>
      </c>
      <c r="T3961" s="13">
        <v>17</v>
      </c>
      <c r="U3961" s="13">
        <v>31</v>
      </c>
      <c r="V3961" t="s">
        <v>99</v>
      </c>
      <c r="X3961" s="13">
        <v>175</v>
      </c>
    </row>
    <row r="3962" spans="1:24" x14ac:dyDescent="0.25">
      <c r="A3962" t="s">
        <v>3864</v>
      </c>
      <c r="B3962" t="s">
        <v>65</v>
      </c>
      <c r="C3962" t="s">
        <v>3856</v>
      </c>
      <c r="D3962" t="s">
        <v>3857</v>
      </c>
      <c r="E3962" t="s">
        <v>3858</v>
      </c>
      <c r="F3962" t="s">
        <v>94</v>
      </c>
      <c r="G3962" t="s">
        <v>277</v>
      </c>
      <c r="H3962" s="12">
        <v>6.5861000000000001</v>
      </c>
      <c r="I3962" s="12">
        <v>-76.886399999999995</v>
      </c>
      <c r="J3962" t="s">
        <v>3859</v>
      </c>
      <c r="K3962" t="s">
        <v>97</v>
      </c>
      <c r="L3962" t="s">
        <v>1273</v>
      </c>
      <c r="M3962">
        <v>11</v>
      </c>
      <c r="P3962" s="13">
        <v>169</v>
      </c>
      <c r="Q3962" s="13">
        <v>39</v>
      </c>
      <c r="R3962">
        <v>24</v>
      </c>
      <c r="S3962">
        <v>40</v>
      </c>
      <c r="T3962" s="13">
        <v>28</v>
      </c>
      <c r="U3962" s="13">
        <v>47</v>
      </c>
      <c r="V3962" t="s">
        <v>99</v>
      </c>
      <c r="X3962" s="13">
        <v>169</v>
      </c>
    </row>
    <row r="3963" spans="1:24" x14ac:dyDescent="0.25">
      <c r="A3963" t="s">
        <v>3865</v>
      </c>
      <c r="B3963" t="s">
        <v>65</v>
      </c>
      <c r="C3963" t="s">
        <v>3856</v>
      </c>
      <c r="D3963" t="s">
        <v>3857</v>
      </c>
      <c r="E3963" t="s">
        <v>3858</v>
      </c>
      <c r="F3963" t="s">
        <v>94</v>
      </c>
      <c r="G3963" t="s">
        <v>277</v>
      </c>
      <c r="H3963" s="12">
        <v>6.5861000000000001</v>
      </c>
      <c r="I3963" s="12">
        <v>-76.886399999999995</v>
      </c>
      <c r="J3963" t="s">
        <v>3859</v>
      </c>
      <c r="K3963" t="s">
        <v>97</v>
      </c>
      <c r="L3963" t="s">
        <v>1273</v>
      </c>
      <c r="M3963">
        <v>11</v>
      </c>
      <c r="P3963" s="13">
        <v>169</v>
      </c>
      <c r="Q3963" s="13">
        <v>24</v>
      </c>
      <c r="R3963">
        <v>26</v>
      </c>
      <c r="S3963">
        <v>52</v>
      </c>
      <c r="T3963" s="13">
        <v>28</v>
      </c>
      <c r="U3963" s="13">
        <v>49</v>
      </c>
      <c r="V3963" t="s">
        <v>99</v>
      </c>
      <c r="X3963" s="13">
        <v>169</v>
      </c>
    </row>
    <row r="3964" spans="1:24" x14ac:dyDescent="0.25">
      <c r="A3964" t="s">
        <v>3866</v>
      </c>
      <c r="B3964" t="s">
        <v>65</v>
      </c>
      <c r="C3964" t="s">
        <v>3856</v>
      </c>
      <c r="D3964" t="s">
        <v>3857</v>
      </c>
      <c r="E3964" t="s">
        <v>3858</v>
      </c>
      <c r="F3964" t="s">
        <v>94</v>
      </c>
      <c r="G3964" t="s">
        <v>277</v>
      </c>
      <c r="H3964" s="12">
        <v>6.5861000000000001</v>
      </c>
      <c r="I3964" s="12">
        <v>-76.886399999999995</v>
      </c>
      <c r="J3964" t="s">
        <v>3859</v>
      </c>
      <c r="K3964" t="s">
        <v>97</v>
      </c>
      <c r="L3964" t="s">
        <v>1273</v>
      </c>
      <c r="M3964">
        <v>11</v>
      </c>
      <c r="P3964" s="13">
        <v>161</v>
      </c>
      <c r="Q3964" s="13">
        <v>39</v>
      </c>
      <c r="R3964">
        <v>28</v>
      </c>
      <c r="S3964">
        <v>34</v>
      </c>
      <c r="T3964" s="13">
        <v>28</v>
      </c>
      <c r="U3964" s="13">
        <v>33</v>
      </c>
      <c r="V3964" t="s">
        <v>99</v>
      </c>
      <c r="X3964" s="13">
        <v>161</v>
      </c>
    </row>
    <row r="3965" spans="1:24" x14ac:dyDescent="0.25">
      <c r="A3965" t="s">
        <v>3867</v>
      </c>
      <c r="B3965" t="s">
        <v>65</v>
      </c>
      <c r="C3965" t="s">
        <v>3856</v>
      </c>
      <c r="D3965" t="s">
        <v>3857</v>
      </c>
      <c r="E3965" t="s">
        <v>3858</v>
      </c>
      <c r="F3965" t="s">
        <v>94</v>
      </c>
      <c r="G3965" t="s">
        <v>277</v>
      </c>
      <c r="H3965" s="12">
        <v>6.5861000000000001</v>
      </c>
      <c r="I3965" s="12">
        <v>-76.886399999999995</v>
      </c>
      <c r="J3965" t="s">
        <v>3859</v>
      </c>
      <c r="K3965" t="s">
        <v>97</v>
      </c>
      <c r="L3965" t="s">
        <v>1273</v>
      </c>
      <c r="M3965">
        <v>11</v>
      </c>
      <c r="P3965" s="13">
        <v>160</v>
      </c>
      <c r="Q3965" s="13">
        <v>29</v>
      </c>
      <c r="R3965">
        <v>26</v>
      </c>
      <c r="S3965">
        <v>48</v>
      </c>
      <c r="T3965" s="13">
        <v>22</v>
      </c>
      <c r="U3965" s="13">
        <v>40</v>
      </c>
      <c r="V3965" t="s">
        <v>99</v>
      </c>
      <c r="X3965" s="13">
        <v>160</v>
      </c>
    </row>
    <row r="3966" spans="1:24" x14ac:dyDescent="0.25">
      <c r="A3966" t="s">
        <v>3868</v>
      </c>
      <c r="B3966" t="s">
        <v>65</v>
      </c>
      <c r="C3966" t="s">
        <v>3856</v>
      </c>
      <c r="D3966" t="s">
        <v>3857</v>
      </c>
      <c r="E3966" t="s">
        <v>3858</v>
      </c>
      <c r="F3966" t="s">
        <v>94</v>
      </c>
      <c r="G3966" t="s">
        <v>277</v>
      </c>
      <c r="H3966" s="12">
        <v>6.5861000000000001</v>
      </c>
      <c r="I3966" s="12">
        <v>-76.886399999999995</v>
      </c>
      <c r="J3966" t="s">
        <v>3859</v>
      </c>
      <c r="K3966" t="s">
        <v>97</v>
      </c>
      <c r="L3966" t="s">
        <v>1273</v>
      </c>
      <c r="M3966">
        <v>11</v>
      </c>
      <c r="P3966" s="13">
        <v>154</v>
      </c>
      <c r="Q3966" s="13">
        <v>41</v>
      </c>
      <c r="R3966">
        <v>26</v>
      </c>
      <c r="S3966">
        <v>28</v>
      </c>
      <c r="T3966" s="13">
        <v>29</v>
      </c>
      <c r="U3966" s="13">
        <v>27</v>
      </c>
      <c r="V3966" t="s">
        <v>99</v>
      </c>
      <c r="X3966" s="13">
        <v>154</v>
      </c>
    </row>
    <row r="3967" spans="1:24" x14ac:dyDescent="0.25">
      <c r="A3967" t="s">
        <v>3869</v>
      </c>
      <c r="B3967" t="s">
        <v>65</v>
      </c>
      <c r="C3967" t="s">
        <v>3856</v>
      </c>
      <c r="D3967" t="s">
        <v>3857</v>
      </c>
      <c r="E3967" t="s">
        <v>3858</v>
      </c>
      <c r="F3967" t="s">
        <v>94</v>
      </c>
      <c r="G3967" t="s">
        <v>277</v>
      </c>
      <c r="H3967" s="12">
        <v>6.5861000000000001</v>
      </c>
      <c r="I3967" s="12">
        <v>-76.886399999999995</v>
      </c>
      <c r="J3967" t="s">
        <v>3859</v>
      </c>
      <c r="K3967" t="s">
        <v>97</v>
      </c>
      <c r="L3967" t="s">
        <v>1273</v>
      </c>
      <c r="M3967">
        <v>11</v>
      </c>
      <c r="P3967" s="13">
        <v>148</v>
      </c>
      <c r="Q3967" s="13">
        <v>37</v>
      </c>
      <c r="R3967">
        <v>18</v>
      </c>
      <c r="S3967">
        <v>36</v>
      </c>
      <c r="T3967" s="13">
        <v>28</v>
      </c>
      <c r="U3967" s="13">
        <v>31</v>
      </c>
      <c r="V3967" t="s">
        <v>99</v>
      </c>
      <c r="X3967" s="13">
        <v>148</v>
      </c>
    </row>
    <row r="3968" spans="1:24" x14ac:dyDescent="0.25">
      <c r="A3968" t="s">
        <v>3870</v>
      </c>
      <c r="B3968" t="s">
        <v>65</v>
      </c>
      <c r="C3968" t="s">
        <v>3856</v>
      </c>
      <c r="D3968" t="s">
        <v>3857</v>
      </c>
      <c r="E3968" t="s">
        <v>3858</v>
      </c>
      <c r="F3968" t="s">
        <v>94</v>
      </c>
      <c r="G3968" t="s">
        <v>277</v>
      </c>
      <c r="H3968" s="12">
        <v>6.5861000000000001</v>
      </c>
      <c r="I3968" s="12">
        <v>-76.886399999999995</v>
      </c>
      <c r="J3968" t="s">
        <v>3859</v>
      </c>
      <c r="K3968" t="s">
        <v>97</v>
      </c>
      <c r="L3968" t="s">
        <v>1273</v>
      </c>
      <c r="M3968">
        <v>11</v>
      </c>
      <c r="P3968" s="13">
        <v>147</v>
      </c>
      <c r="Q3968" s="13">
        <v>41</v>
      </c>
      <c r="R3968">
        <v>26</v>
      </c>
      <c r="S3968">
        <v>26</v>
      </c>
      <c r="T3968" s="13">
        <v>19</v>
      </c>
      <c r="U3968" s="13">
        <v>45</v>
      </c>
      <c r="V3968" t="s">
        <v>99</v>
      </c>
      <c r="X3968" s="13">
        <v>147</v>
      </c>
    </row>
    <row r="3969" spans="1:24" x14ac:dyDescent="0.25">
      <c r="A3969" t="s">
        <v>3871</v>
      </c>
      <c r="B3969" t="s">
        <v>65</v>
      </c>
      <c r="C3969" t="s">
        <v>3856</v>
      </c>
      <c r="D3969" t="s">
        <v>3857</v>
      </c>
      <c r="E3969" t="s">
        <v>3858</v>
      </c>
      <c r="F3969" t="s">
        <v>94</v>
      </c>
      <c r="G3969" t="s">
        <v>277</v>
      </c>
      <c r="H3969" s="12">
        <v>6.5861000000000001</v>
      </c>
      <c r="I3969" s="12">
        <v>-76.886399999999995</v>
      </c>
      <c r="J3969" t="s">
        <v>3859</v>
      </c>
      <c r="K3969" t="s">
        <v>97</v>
      </c>
      <c r="L3969" t="s">
        <v>1273</v>
      </c>
      <c r="M3969">
        <v>11</v>
      </c>
      <c r="P3969" s="13">
        <v>142</v>
      </c>
      <c r="Q3969" s="13">
        <v>39</v>
      </c>
      <c r="R3969">
        <v>22</v>
      </c>
      <c r="S3969">
        <v>26</v>
      </c>
      <c r="T3969" s="13">
        <v>22</v>
      </c>
      <c r="U3969" s="13">
        <v>40</v>
      </c>
      <c r="V3969" t="s">
        <v>99</v>
      </c>
      <c r="X3969" s="13">
        <v>142</v>
      </c>
    </row>
    <row r="3970" spans="1:24" x14ac:dyDescent="0.25">
      <c r="A3970" t="s">
        <v>3872</v>
      </c>
      <c r="B3970" t="s">
        <v>65</v>
      </c>
      <c r="C3970" t="s">
        <v>3856</v>
      </c>
      <c r="D3970" t="s">
        <v>3857</v>
      </c>
      <c r="E3970" t="s">
        <v>3858</v>
      </c>
      <c r="F3970" t="s">
        <v>94</v>
      </c>
      <c r="G3970" t="s">
        <v>277</v>
      </c>
      <c r="H3970" s="12">
        <v>6.5861000000000001</v>
      </c>
      <c r="I3970" s="12">
        <v>-76.886399999999995</v>
      </c>
      <c r="J3970" t="s">
        <v>3859</v>
      </c>
      <c r="K3970" t="s">
        <v>97</v>
      </c>
      <c r="L3970" t="s">
        <v>1273</v>
      </c>
      <c r="M3970">
        <v>11</v>
      </c>
      <c r="P3970" s="13">
        <v>141</v>
      </c>
      <c r="Q3970" s="13">
        <v>32</v>
      </c>
      <c r="R3970">
        <v>14</v>
      </c>
      <c r="S3970">
        <v>34</v>
      </c>
      <c r="T3970" s="13">
        <v>36</v>
      </c>
      <c r="U3970" s="13">
        <v>20</v>
      </c>
      <c r="V3970" t="s">
        <v>99</v>
      </c>
      <c r="X3970" s="13">
        <v>141</v>
      </c>
    </row>
    <row r="3971" spans="1:24" x14ac:dyDescent="0.25">
      <c r="A3971" t="s">
        <v>3873</v>
      </c>
      <c r="B3971" t="s">
        <v>65</v>
      </c>
      <c r="C3971" t="s">
        <v>3856</v>
      </c>
      <c r="D3971" t="s">
        <v>3857</v>
      </c>
      <c r="E3971" t="s">
        <v>3858</v>
      </c>
      <c r="F3971" t="s">
        <v>94</v>
      </c>
      <c r="G3971" t="s">
        <v>277</v>
      </c>
      <c r="H3971" s="12">
        <v>6.5861000000000001</v>
      </c>
      <c r="I3971" s="12">
        <v>-76.886399999999995</v>
      </c>
      <c r="J3971" t="s">
        <v>3859</v>
      </c>
      <c r="K3971" t="s">
        <v>97</v>
      </c>
      <c r="L3971" t="s">
        <v>1273</v>
      </c>
      <c r="M3971">
        <v>11</v>
      </c>
      <c r="P3971" s="13">
        <v>141</v>
      </c>
      <c r="Q3971" s="13">
        <v>34</v>
      </c>
      <c r="R3971">
        <v>20</v>
      </c>
      <c r="S3971">
        <v>30</v>
      </c>
      <c r="T3971" s="13">
        <v>24</v>
      </c>
      <c r="U3971" s="13">
        <v>42</v>
      </c>
      <c r="V3971" t="s">
        <v>99</v>
      </c>
      <c r="X3971" s="13">
        <v>141</v>
      </c>
    </row>
    <row r="3972" spans="1:24" x14ac:dyDescent="0.25">
      <c r="A3972" t="s">
        <v>3874</v>
      </c>
      <c r="B3972" t="s">
        <v>65</v>
      </c>
      <c r="C3972" t="s">
        <v>3856</v>
      </c>
      <c r="D3972" t="s">
        <v>3857</v>
      </c>
      <c r="E3972" t="s">
        <v>3858</v>
      </c>
      <c r="F3972" t="s">
        <v>94</v>
      </c>
      <c r="G3972" t="s">
        <v>277</v>
      </c>
      <c r="H3972" s="12">
        <v>6.5861000000000001</v>
      </c>
      <c r="I3972" s="12">
        <v>-76.886399999999995</v>
      </c>
      <c r="J3972" t="s">
        <v>3859</v>
      </c>
      <c r="K3972" t="s">
        <v>97</v>
      </c>
      <c r="L3972" t="s">
        <v>1273</v>
      </c>
      <c r="M3972">
        <v>11</v>
      </c>
      <c r="P3972" s="13">
        <v>141</v>
      </c>
      <c r="Q3972" s="13">
        <v>44</v>
      </c>
      <c r="R3972">
        <v>22</v>
      </c>
      <c r="S3972">
        <v>18</v>
      </c>
      <c r="T3972" s="13">
        <v>24</v>
      </c>
      <c r="U3972" s="13">
        <v>42</v>
      </c>
      <c r="V3972" t="s">
        <v>99</v>
      </c>
      <c r="X3972" s="13">
        <v>141</v>
      </c>
    </row>
    <row r="3973" spans="1:24" x14ac:dyDescent="0.25">
      <c r="A3973" t="s">
        <v>3875</v>
      </c>
      <c r="B3973" t="s">
        <v>65</v>
      </c>
      <c r="C3973" t="s">
        <v>3856</v>
      </c>
      <c r="D3973" t="s">
        <v>3857</v>
      </c>
      <c r="E3973" t="s">
        <v>3858</v>
      </c>
      <c r="F3973" t="s">
        <v>94</v>
      </c>
      <c r="G3973" t="s">
        <v>277</v>
      </c>
      <c r="H3973" s="12">
        <v>6.5861000000000001</v>
      </c>
      <c r="I3973" s="12">
        <v>-76.886399999999995</v>
      </c>
      <c r="J3973" t="s">
        <v>3859</v>
      </c>
      <c r="K3973" t="s">
        <v>97</v>
      </c>
      <c r="L3973" t="s">
        <v>1273</v>
      </c>
      <c r="M3973">
        <v>11</v>
      </c>
      <c r="P3973" s="13">
        <v>138</v>
      </c>
      <c r="Q3973" s="13">
        <v>29</v>
      </c>
      <c r="R3973">
        <v>26</v>
      </c>
      <c r="S3973">
        <v>32</v>
      </c>
      <c r="T3973" s="13">
        <v>26</v>
      </c>
      <c r="U3973" s="13">
        <v>18</v>
      </c>
      <c r="V3973" t="s">
        <v>99</v>
      </c>
      <c r="X3973" s="13">
        <v>138</v>
      </c>
    </row>
    <row r="3974" spans="1:24" x14ac:dyDescent="0.25">
      <c r="A3974" t="s">
        <v>3876</v>
      </c>
      <c r="B3974" t="s">
        <v>65</v>
      </c>
      <c r="C3974" t="s">
        <v>3856</v>
      </c>
      <c r="D3974" t="s">
        <v>3857</v>
      </c>
      <c r="E3974" t="s">
        <v>3858</v>
      </c>
      <c r="F3974" t="s">
        <v>94</v>
      </c>
      <c r="G3974" t="s">
        <v>277</v>
      </c>
      <c r="H3974" s="12">
        <v>6.5861000000000001</v>
      </c>
      <c r="I3974" s="12">
        <v>-76.886399999999995</v>
      </c>
      <c r="J3974" t="s">
        <v>3859</v>
      </c>
      <c r="K3974" t="s">
        <v>97</v>
      </c>
      <c r="L3974" t="s">
        <v>1273</v>
      </c>
      <c r="M3974">
        <v>11</v>
      </c>
      <c r="P3974" s="13">
        <v>137</v>
      </c>
      <c r="Q3974" s="13">
        <v>32</v>
      </c>
      <c r="R3974">
        <v>28</v>
      </c>
      <c r="S3974">
        <v>18</v>
      </c>
      <c r="T3974" s="13">
        <v>31</v>
      </c>
      <c r="U3974" s="13">
        <v>31</v>
      </c>
      <c r="V3974" t="s">
        <v>99</v>
      </c>
      <c r="X3974" s="13">
        <v>137</v>
      </c>
    </row>
    <row r="3975" spans="1:24" x14ac:dyDescent="0.25">
      <c r="A3975" t="s">
        <v>3877</v>
      </c>
      <c r="B3975" t="s">
        <v>65</v>
      </c>
      <c r="C3975" t="s">
        <v>3856</v>
      </c>
      <c r="D3975" t="s">
        <v>3857</v>
      </c>
      <c r="E3975" t="s">
        <v>3858</v>
      </c>
      <c r="F3975" t="s">
        <v>94</v>
      </c>
      <c r="G3975" t="s">
        <v>277</v>
      </c>
      <c r="H3975" s="12">
        <v>6.5861000000000001</v>
      </c>
      <c r="I3975" s="12">
        <v>-76.886399999999995</v>
      </c>
      <c r="J3975" t="s">
        <v>3859</v>
      </c>
      <c r="K3975" t="s">
        <v>97</v>
      </c>
      <c r="L3975" t="s">
        <v>1273</v>
      </c>
      <c r="M3975">
        <v>11</v>
      </c>
      <c r="P3975" s="13">
        <v>133</v>
      </c>
      <c r="Q3975" s="13">
        <v>37</v>
      </c>
      <c r="R3975">
        <v>22</v>
      </c>
      <c r="S3975">
        <v>20</v>
      </c>
      <c r="T3975" s="13">
        <v>24</v>
      </c>
      <c r="U3975" s="13">
        <v>36</v>
      </c>
      <c r="V3975" t="s">
        <v>99</v>
      </c>
      <c r="X3975" s="13">
        <v>133</v>
      </c>
    </row>
    <row r="3976" spans="1:24" x14ac:dyDescent="0.25">
      <c r="A3976" t="s">
        <v>3878</v>
      </c>
      <c r="B3976" t="s">
        <v>65</v>
      </c>
      <c r="C3976" t="s">
        <v>3856</v>
      </c>
      <c r="D3976" t="s">
        <v>3857</v>
      </c>
      <c r="E3976" t="s">
        <v>3858</v>
      </c>
      <c r="F3976" t="s">
        <v>94</v>
      </c>
      <c r="G3976" t="s">
        <v>277</v>
      </c>
      <c r="H3976" s="12">
        <v>6.5861000000000001</v>
      </c>
      <c r="I3976" s="12">
        <v>-76.886399999999995</v>
      </c>
      <c r="J3976" t="s">
        <v>3859</v>
      </c>
      <c r="K3976" t="s">
        <v>97</v>
      </c>
      <c r="L3976" t="s">
        <v>1273</v>
      </c>
      <c r="M3976">
        <v>11</v>
      </c>
      <c r="P3976" s="13">
        <v>132</v>
      </c>
      <c r="Q3976" s="13">
        <v>32</v>
      </c>
      <c r="R3976">
        <v>22</v>
      </c>
      <c r="S3976">
        <v>28</v>
      </c>
      <c r="T3976" s="13">
        <v>22</v>
      </c>
      <c r="U3976" s="13">
        <v>31</v>
      </c>
      <c r="V3976" t="s">
        <v>99</v>
      </c>
      <c r="X3976" s="13">
        <v>132</v>
      </c>
    </row>
    <row r="3977" spans="1:24" x14ac:dyDescent="0.25">
      <c r="A3977" t="s">
        <v>3879</v>
      </c>
      <c r="B3977" t="s">
        <v>65</v>
      </c>
      <c r="C3977" t="s">
        <v>3856</v>
      </c>
      <c r="D3977" t="s">
        <v>3857</v>
      </c>
      <c r="E3977" t="s">
        <v>3858</v>
      </c>
      <c r="F3977" t="s">
        <v>94</v>
      </c>
      <c r="G3977" t="s">
        <v>277</v>
      </c>
      <c r="H3977" s="12">
        <v>6.5861000000000001</v>
      </c>
      <c r="I3977" s="12">
        <v>-76.886399999999995</v>
      </c>
      <c r="J3977" t="s">
        <v>3859</v>
      </c>
      <c r="K3977" t="s">
        <v>97</v>
      </c>
      <c r="L3977" t="s">
        <v>1273</v>
      </c>
      <c r="M3977">
        <v>11</v>
      </c>
      <c r="P3977" s="13">
        <v>131</v>
      </c>
      <c r="Q3977" s="13">
        <v>27</v>
      </c>
      <c r="R3977">
        <v>24</v>
      </c>
      <c r="S3977">
        <v>22</v>
      </c>
      <c r="T3977" s="13">
        <v>26</v>
      </c>
      <c r="U3977" s="13">
        <v>45</v>
      </c>
      <c r="V3977" t="s">
        <v>99</v>
      </c>
      <c r="X3977" s="13">
        <v>131</v>
      </c>
    </row>
    <row r="3978" spans="1:24" x14ac:dyDescent="0.25">
      <c r="A3978" t="s">
        <v>3880</v>
      </c>
      <c r="B3978" t="s">
        <v>65</v>
      </c>
      <c r="C3978" t="s">
        <v>3856</v>
      </c>
      <c r="D3978" t="s">
        <v>3857</v>
      </c>
      <c r="E3978" t="s">
        <v>3858</v>
      </c>
      <c r="F3978" t="s">
        <v>94</v>
      </c>
      <c r="G3978" t="s">
        <v>277</v>
      </c>
      <c r="H3978" s="12">
        <v>6.5861000000000001</v>
      </c>
      <c r="I3978" s="12">
        <v>-76.886399999999995</v>
      </c>
      <c r="J3978" t="s">
        <v>3859</v>
      </c>
      <c r="K3978" t="s">
        <v>97</v>
      </c>
      <c r="L3978" t="s">
        <v>1273</v>
      </c>
      <c r="M3978">
        <v>11</v>
      </c>
      <c r="P3978" s="13">
        <v>131</v>
      </c>
      <c r="Q3978" s="13">
        <v>32</v>
      </c>
      <c r="R3978">
        <v>28</v>
      </c>
      <c r="S3978">
        <v>22</v>
      </c>
      <c r="T3978" s="13">
        <v>21</v>
      </c>
      <c r="U3978" s="13">
        <v>33</v>
      </c>
      <c r="V3978" t="s">
        <v>99</v>
      </c>
      <c r="X3978" s="13">
        <v>131</v>
      </c>
    </row>
    <row r="3979" spans="1:24" x14ac:dyDescent="0.25">
      <c r="A3979" t="s">
        <v>3881</v>
      </c>
      <c r="B3979" t="s">
        <v>65</v>
      </c>
      <c r="C3979" t="s">
        <v>3856</v>
      </c>
      <c r="D3979" t="s">
        <v>3857</v>
      </c>
      <c r="E3979" t="s">
        <v>3858</v>
      </c>
      <c r="F3979" t="s">
        <v>94</v>
      </c>
      <c r="G3979" t="s">
        <v>277</v>
      </c>
      <c r="H3979" s="12">
        <v>6.5861000000000001</v>
      </c>
      <c r="I3979" s="12">
        <v>-76.886399999999995</v>
      </c>
      <c r="J3979" t="s">
        <v>3859</v>
      </c>
      <c r="K3979" t="s">
        <v>97</v>
      </c>
      <c r="L3979" t="s">
        <v>1273</v>
      </c>
      <c r="M3979">
        <v>11</v>
      </c>
      <c r="P3979" s="13">
        <v>130</v>
      </c>
      <c r="Q3979" s="13">
        <v>20</v>
      </c>
      <c r="R3979">
        <v>16</v>
      </c>
      <c r="S3979">
        <v>32</v>
      </c>
      <c r="T3979" s="13">
        <v>34</v>
      </c>
      <c r="U3979" s="13">
        <v>31</v>
      </c>
      <c r="V3979" t="s">
        <v>99</v>
      </c>
      <c r="X3979" s="13">
        <v>130</v>
      </c>
    </row>
    <row r="3980" spans="1:24" x14ac:dyDescent="0.25">
      <c r="A3980" t="s">
        <v>3882</v>
      </c>
      <c r="B3980" t="s">
        <v>65</v>
      </c>
      <c r="C3980" t="s">
        <v>3856</v>
      </c>
      <c r="D3980" t="s">
        <v>3857</v>
      </c>
      <c r="E3980" t="s">
        <v>3858</v>
      </c>
      <c r="F3980" t="s">
        <v>94</v>
      </c>
      <c r="G3980" t="s">
        <v>277</v>
      </c>
      <c r="H3980" s="12">
        <v>6.5861000000000001</v>
      </c>
      <c r="I3980" s="12">
        <v>-76.886399999999995</v>
      </c>
      <c r="J3980" t="s">
        <v>3859</v>
      </c>
      <c r="K3980" t="s">
        <v>97</v>
      </c>
      <c r="L3980" t="s">
        <v>1273</v>
      </c>
      <c r="M3980">
        <v>11</v>
      </c>
      <c r="P3980" s="13">
        <v>129</v>
      </c>
      <c r="Q3980" s="13">
        <v>32</v>
      </c>
      <c r="R3980">
        <v>28</v>
      </c>
      <c r="S3980">
        <v>22</v>
      </c>
      <c r="T3980" s="13">
        <v>12</v>
      </c>
      <c r="U3980" s="13">
        <v>55</v>
      </c>
      <c r="V3980" t="s">
        <v>99</v>
      </c>
      <c r="X3980" s="13">
        <v>129</v>
      </c>
    </row>
    <row r="3981" spans="1:24" x14ac:dyDescent="0.25">
      <c r="A3981" t="s">
        <v>3883</v>
      </c>
      <c r="B3981" t="s">
        <v>65</v>
      </c>
      <c r="C3981" t="s">
        <v>3856</v>
      </c>
      <c r="D3981" t="s">
        <v>3857</v>
      </c>
      <c r="E3981" t="s">
        <v>3858</v>
      </c>
      <c r="F3981" t="s">
        <v>94</v>
      </c>
      <c r="G3981" t="s">
        <v>277</v>
      </c>
      <c r="H3981" s="12">
        <v>6.5861000000000001</v>
      </c>
      <c r="I3981" s="12">
        <v>-76.886399999999995</v>
      </c>
      <c r="J3981" t="s">
        <v>3859</v>
      </c>
      <c r="K3981" t="s">
        <v>97</v>
      </c>
      <c r="L3981" t="s">
        <v>1273</v>
      </c>
      <c r="M3981">
        <v>11</v>
      </c>
      <c r="P3981" s="13">
        <v>126</v>
      </c>
      <c r="Q3981" s="13">
        <v>22</v>
      </c>
      <c r="R3981">
        <v>24</v>
      </c>
      <c r="S3981">
        <v>26</v>
      </c>
      <c r="T3981" s="13">
        <v>21</v>
      </c>
      <c r="U3981" s="13">
        <v>51</v>
      </c>
      <c r="V3981" t="s">
        <v>99</v>
      </c>
      <c r="X3981" s="13">
        <v>126</v>
      </c>
    </row>
    <row r="3982" spans="1:24" x14ac:dyDescent="0.25">
      <c r="A3982" t="s">
        <v>3884</v>
      </c>
      <c r="B3982" t="s">
        <v>65</v>
      </c>
      <c r="C3982" t="s">
        <v>3856</v>
      </c>
      <c r="D3982" t="s">
        <v>3857</v>
      </c>
      <c r="E3982" t="s">
        <v>3858</v>
      </c>
      <c r="F3982" t="s">
        <v>94</v>
      </c>
      <c r="G3982" t="s">
        <v>277</v>
      </c>
      <c r="H3982" s="12">
        <v>6.5861000000000001</v>
      </c>
      <c r="I3982" s="12">
        <v>-76.886399999999995</v>
      </c>
      <c r="J3982" t="s">
        <v>3859</v>
      </c>
      <c r="K3982" t="s">
        <v>97</v>
      </c>
      <c r="L3982" t="s">
        <v>1273</v>
      </c>
      <c r="M3982">
        <v>11</v>
      </c>
      <c r="P3982" s="13">
        <v>121</v>
      </c>
      <c r="Q3982" s="13">
        <v>34</v>
      </c>
      <c r="R3982">
        <v>16</v>
      </c>
      <c r="S3982">
        <v>26</v>
      </c>
      <c r="T3982" s="13">
        <v>19</v>
      </c>
      <c r="U3982" s="13">
        <v>29</v>
      </c>
      <c r="V3982" t="s">
        <v>99</v>
      </c>
      <c r="X3982" s="13">
        <v>121</v>
      </c>
    </row>
    <row r="3983" spans="1:24" x14ac:dyDescent="0.25">
      <c r="A3983" t="s">
        <v>3885</v>
      </c>
      <c r="B3983" t="s">
        <v>65</v>
      </c>
      <c r="C3983" t="s">
        <v>3856</v>
      </c>
      <c r="D3983" t="s">
        <v>3857</v>
      </c>
      <c r="E3983" t="s">
        <v>3858</v>
      </c>
      <c r="F3983" t="s">
        <v>94</v>
      </c>
      <c r="G3983" t="s">
        <v>277</v>
      </c>
      <c r="H3983" s="12">
        <v>6.5861000000000001</v>
      </c>
      <c r="I3983" s="12">
        <v>-76.886399999999995</v>
      </c>
      <c r="J3983" t="s">
        <v>3859</v>
      </c>
      <c r="K3983" t="s">
        <v>97</v>
      </c>
      <c r="L3983" t="s">
        <v>1273</v>
      </c>
      <c r="M3983">
        <v>11</v>
      </c>
      <c r="P3983" s="13">
        <v>120</v>
      </c>
      <c r="Q3983" s="13">
        <v>32</v>
      </c>
      <c r="R3983">
        <v>18</v>
      </c>
      <c r="S3983">
        <v>22</v>
      </c>
      <c r="T3983" s="13">
        <v>22</v>
      </c>
      <c r="U3983" s="13">
        <v>31</v>
      </c>
      <c r="V3983" t="s">
        <v>99</v>
      </c>
      <c r="X3983" s="13">
        <v>120</v>
      </c>
    </row>
    <row r="3984" spans="1:24" x14ac:dyDescent="0.25">
      <c r="A3984" t="s">
        <v>3886</v>
      </c>
      <c r="B3984" t="s">
        <v>65</v>
      </c>
      <c r="C3984" t="s">
        <v>3856</v>
      </c>
      <c r="D3984" t="s">
        <v>3857</v>
      </c>
      <c r="E3984" t="s">
        <v>3858</v>
      </c>
      <c r="F3984" t="s">
        <v>94</v>
      </c>
      <c r="G3984" t="s">
        <v>277</v>
      </c>
      <c r="H3984" s="12">
        <v>6.5861000000000001</v>
      </c>
      <c r="I3984" s="12">
        <v>-76.886399999999995</v>
      </c>
      <c r="J3984" t="s">
        <v>3859</v>
      </c>
      <c r="K3984" t="s">
        <v>97</v>
      </c>
      <c r="L3984" t="s">
        <v>1273</v>
      </c>
      <c r="M3984">
        <v>11</v>
      </c>
      <c r="P3984" s="13">
        <v>120</v>
      </c>
      <c r="Q3984" s="13">
        <v>24</v>
      </c>
      <c r="R3984">
        <v>22</v>
      </c>
      <c r="S3984">
        <v>30</v>
      </c>
      <c r="T3984" s="13">
        <v>21</v>
      </c>
      <c r="U3984" s="13">
        <v>22</v>
      </c>
      <c r="V3984" t="s">
        <v>99</v>
      </c>
      <c r="X3984" s="13">
        <v>120</v>
      </c>
    </row>
    <row r="3985" spans="1:24" x14ac:dyDescent="0.25">
      <c r="A3985" t="s">
        <v>3887</v>
      </c>
      <c r="B3985" t="s">
        <v>65</v>
      </c>
      <c r="C3985" t="s">
        <v>3856</v>
      </c>
      <c r="D3985" t="s">
        <v>3857</v>
      </c>
      <c r="E3985" t="s">
        <v>3858</v>
      </c>
      <c r="F3985" t="s">
        <v>94</v>
      </c>
      <c r="G3985" t="s">
        <v>277</v>
      </c>
      <c r="H3985" s="12">
        <v>6.5861000000000001</v>
      </c>
      <c r="I3985" s="12">
        <v>-76.886399999999995</v>
      </c>
      <c r="J3985" t="s">
        <v>3859</v>
      </c>
      <c r="K3985" t="s">
        <v>97</v>
      </c>
      <c r="L3985" t="s">
        <v>1273</v>
      </c>
      <c r="M3985">
        <v>11</v>
      </c>
      <c r="P3985" s="13">
        <v>120</v>
      </c>
      <c r="Q3985" s="13">
        <v>39</v>
      </c>
      <c r="R3985">
        <v>16</v>
      </c>
      <c r="S3985">
        <v>18</v>
      </c>
      <c r="T3985" s="13">
        <v>12</v>
      </c>
      <c r="U3985" s="13">
        <v>56</v>
      </c>
      <c r="V3985" t="s">
        <v>99</v>
      </c>
      <c r="X3985" s="13">
        <v>120</v>
      </c>
    </row>
    <row r="3986" spans="1:24" x14ac:dyDescent="0.25">
      <c r="A3986" t="s">
        <v>3888</v>
      </c>
      <c r="B3986" t="s">
        <v>65</v>
      </c>
      <c r="C3986" t="s">
        <v>3856</v>
      </c>
      <c r="D3986" t="s">
        <v>3857</v>
      </c>
      <c r="E3986" t="s">
        <v>3858</v>
      </c>
      <c r="F3986" t="s">
        <v>94</v>
      </c>
      <c r="G3986" t="s">
        <v>277</v>
      </c>
      <c r="H3986" s="12">
        <v>6.5861000000000001</v>
      </c>
      <c r="I3986" s="12">
        <v>-76.886399999999995</v>
      </c>
      <c r="J3986" t="s">
        <v>3859</v>
      </c>
      <c r="K3986" t="s">
        <v>97</v>
      </c>
      <c r="L3986" t="s">
        <v>1273</v>
      </c>
      <c r="M3986">
        <v>11</v>
      </c>
      <c r="P3986" s="13">
        <v>117</v>
      </c>
      <c r="Q3986" s="13">
        <v>27</v>
      </c>
      <c r="R3986">
        <v>12</v>
      </c>
      <c r="S3986">
        <v>32</v>
      </c>
      <c r="T3986" s="13">
        <v>16</v>
      </c>
      <c r="U3986" s="13">
        <v>45</v>
      </c>
      <c r="V3986" t="s">
        <v>99</v>
      </c>
      <c r="X3986" s="13">
        <v>117</v>
      </c>
    </row>
    <row r="3987" spans="1:24" x14ac:dyDescent="0.25">
      <c r="A3987" t="s">
        <v>3889</v>
      </c>
      <c r="B3987" t="s">
        <v>65</v>
      </c>
      <c r="C3987" t="s">
        <v>3856</v>
      </c>
      <c r="D3987" t="s">
        <v>3857</v>
      </c>
      <c r="E3987" t="s">
        <v>3858</v>
      </c>
      <c r="F3987" t="s">
        <v>94</v>
      </c>
      <c r="G3987" t="s">
        <v>277</v>
      </c>
      <c r="H3987" s="12">
        <v>6.5861000000000001</v>
      </c>
      <c r="I3987" s="12">
        <v>-76.886399999999995</v>
      </c>
      <c r="J3987" t="s">
        <v>3859</v>
      </c>
      <c r="K3987" t="s">
        <v>97</v>
      </c>
      <c r="L3987" t="s">
        <v>1273</v>
      </c>
      <c r="M3987">
        <v>11</v>
      </c>
      <c r="P3987" s="13">
        <v>113</v>
      </c>
      <c r="Q3987" s="13">
        <v>17</v>
      </c>
      <c r="R3987">
        <v>24</v>
      </c>
      <c r="S3987">
        <v>28</v>
      </c>
      <c r="T3987" s="13">
        <v>21</v>
      </c>
      <c r="U3987" s="13">
        <v>24</v>
      </c>
      <c r="V3987" t="s">
        <v>99</v>
      </c>
      <c r="X3987" s="13">
        <v>113</v>
      </c>
    </row>
    <row r="3988" spans="1:24" x14ac:dyDescent="0.25">
      <c r="A3988" t="s">
        <v>3890</v>
      </c>
      <c r="B3988" t="s">
        <v>65</v>
      </c>
      <c r="C3988" t="s">
        <v>3856</v>
      </c>
      <c r="D3988" t="s">
        <v>3857</v>
      </c>
      <c r="E3988" t="s">
        <v>3858</v>
      </c>
      <c r="F3988" t="s">
        <v>94</v>
      </c>
      <c r="G3988" t="s">
        <v>277</v>
      </c>
      <c r="H3988" s="12">
        <v>6.5861000000000001</v>
      </c>
      <c r="I3988" s="12">
        <v>-76.886399999999995</v>
      </c>
      <c r="J3988" t="s">
        <v>3859</v>
      </c>
      <c r="K3988" t="s">
        <v>97</v>
      </c>
      <c r="L3988" t="s">
        <v>1273</v>
      </c>
      <c r="M3988">
        <v>11</v>
      </c>
      <c r="P3988" s="13">
        <v>107</v>
      </c>
      <c r="Q3988" s="13">
        <v>29</v>
      </c>
      <c r="R3988">
        <v>18</v>
      </c>
      <c r="S3988">
        <v>28</v>
      </c>
      <c r="T3988" s="13">
        <v>9</v>
      </c>
      <c r="U3988" s="13">
        <v>25</v>
      </c>
      <c r="V3988" t="s">
        <v>99</v>
      </c>
      <c r="X3988" s="13">
        <v>107</v>
      </c>
    </row>
    <row r="3989" spans="1:24" x14ac:dyDescent="0.25">
      <c r="A3989" t="s">
        <v>3891</v>
      </c>
      <c r="B3989" t="s">
        <v>65</v>
      </c>
      <c r="C3989" t="s">
        <v>3856</v>
      </c>
      <c r="D3989" t="s">
        <v>3857</v>
      </c>
      <c r="E3989" t="s">
        <v>3858</v>
      </c>
      <c r="F3989" t="s">
        <v>94</v>
      </c>
      <c r="G3989" t="s">
        <v>277</v>
      </c>
      <c r="H3989" s="12">
        <v>6.5861000000000001</v>
      </c>
      <c r="I3989" s="12">
        <v>-76.886399999999995</v>
      </c>
      <c r="J3989" t="s">
        <v>3859</v>
      </c>
      <c r="K3989" t="s">
        <v>97</v>
      </c>
      <c r="L3989" t="s">
        <v>1273</v>
      </c>
      <c r="M3989">
        <v>11</v>
      </c>
      <c r="P3989" s="13">
        <v>97</v>
      </c>
      <c r="Q3989" s="13">
        <v>17</v>
      </c>
      <c r="R3989">
        <v>20</v>
      </c>
      <c r="S3989">
        <v>24</v>
      </c>
      <c r="T3989" s="13">
        <v>16</v>
      </c>
      <c r="U3989" s="13">
        <v>24</v>
      </c>
      <c r="V3989" t="s">
        <v>99</v>
      </c>
      <c r="X3989" s="13">
        <v>97</v>
      </c>
    </row>
    <row r="3990" spans="1:24" x14ac:dyDescent="0.25">
      <c r="A3990" t="s">
        <v>3892</v>
      </c>
      <c r="B3990" t="s">
        <v>65</v>
      </c>
      <c r="C3990" t="s">
        <v>3856</v>
      </c>
      <c r="D3990" t="s">
        <v>3857</v>
      </c>
      <c r="E3990" t="s">
        <v>3858</v>
      </c>
      <c r="F3990" t="s">
        <v>94</v>
      </c>
      <c r="G3990" t="s">
        <v>277</v>
      </c>
      <c r="H3990" s="12">
        <v>6.5861000000000001</v>
      </c>
      <c r="I3990" s="12">
        <v>-76.886399999999995</v>
      </c>
      <c r="J3990" t="s">
        <v>3859</v>
      </c>
      <c r="K3990" t="s">
        <v>97</v>
      </c>
      <c r="L3990" t="s">
        <v>1273</v>
      </c>
      <c r="M3990">
        <v>11</v>
      </c>
      <c r="P3990" s="13">
        <v>69</v>
      </c>
      <c r="Q3990" s="13">
        <v>34</v>
      </c>
      <c r="R3990">
        <v>14</v>
      </c>
      <c r="S3990">
        <v>8</v>
      </c>
      <c r="T3990" s="13">
        <v>3</v>
      </c>
      <c r="U3990" s="13">
        <v>0</v>
      </c>
      <c r="V3990" t="s">
        <v>99</v>
      </c>
      <c r="X3990" s="13">
        <v>69</v>
      </c>
    </row>
    <row r="3991" spans="1:24" x14ac:dyDescent="0.25">
      <c r="A3991" t="s">
        <v>3893</v>
      </c>
      <c r="B3991" t="s">
        <v>65</v>
      </c>
      <c r="C3991" t="s">
        <v>3894</v>
      </c>
      <c r="D3991" t="s">
        <v>3895</v>
      </c>
      <c r="E3991" t="s">
        <v>3896</v>
      </c>
      <c r="F3991" t="s">
        <v>94</v>
      </c>
      <c r="G3991" t="s">
        <v>277</v>
      </c>
      <c r="H3991" s="12">
        <v>5.7916999999999996</v>
      </c>
      <c r="I3991" s="12">
        <v>-75.839399999999998</v>
      </c>
      <c r="J3991" t="s">
        <v>3897</v>
      </c>
      <c r="K3991" t="s">
        <v>97</v>
      </c>
      <c r="L3991" t="s">
        <v>1273</v>
      </c>
      <c r="M3991">
        <v>11</v>
      </c>
      <c r="P3991" s="13">
        <v>257</v>
      </c>
      <c r="Q3991" s="13">
        <v>51</v>
      </c>
      <c r="R3991">
        <v>42</v>
      </c>
      <c r="S3991">
        <v>68</v>
      </c>
      <c r="T3991" s="13">
        <v>45</v>
      </c>
      <c r="U3991" s="13">
        <v>51</v>
      </c>
      <c r="V3991" t="s">
        <v>99</v>
      </c>
      <c r="X3991" s="13">
        <v>257</v>
      </c>
    </row>
    <row r="3992" spans="1:24" x14ac:dyDescent="0.25">
      <c r="A3992" t="s">
        <v>3898</v>
      </c>
      <c r="B3992" t="s">
        <v>65</v>
      </c>
      <c r="C3992" t="s">
        <v>3894</v>
      </c>
      <c r="D3992" t="s">
        <v>3895</v>
      </c>
      <c r="E3992" t="s">
        <v>3896</v>
      </c>
      <c r="F3992" t="s">
        <v>94</v>
      </c>
      <c r="G3992" t="s">
        <v>277</v>
      </c>
      <c r="H3992" s="12">
        <v>5.7916999999999996</v>
      </c>
      <c r="I3992" s="12">
        <v>-75.839399999999998</v>
      </c>
      <c r="J3992" t="s">
        <v>3897</v>
      </c>
      <c r="K3992" t="s">
        <v>97</v>
      </c>
      <c r="L3992" t="s">
        <v>1273</v>
      </c>
      <c r="M3992">
        <v>11</v>
      </c>
      <c r="P3992" s="13">
        <v>237</v>
      </c>
      <c r="Q3992" s="13">
        <v>59</v>
      </c>
      <c r="R3992">
        <v>36</v>
      </c>
      <c r="S3992">
        <v>52</v>
      </c>
      <c r="T3992" s="13">
        <v>33</v>
      </c>
      <c r="U3992" s="13">
        <v>78</v>
      </c>
      <c r="V3992" t="s">
        <v>99</v>
      </c>
      <c r="X3992" s="13">
        <v>237</v>
      </c>
    </row>
    <row r="3993" spans="1:24" x14ac:dyDescent="0.25">
      <c r="A3993" t="s">
        <v>3899</v>
      </c>
      <c r="B3993" t="s">
        <v>65</v>
      </c>
      <c r="C3993" t="s">
        <v>3894</v>
      </c>
      <c r="D3993" t="s">
        <v>3895</v>
      </c>
      <c r="E3993" t="s">
        <v>3896</v>
      </c>
      <c r="F3993" t="s">
        <v>94</v>
      </c>
      <c r="G3993" t="s">
        <v>277</v>
      </c>
      <c r="H3993" s="12">
        <v>5.7916999999999996</v>
      </c>
      <c r="I3993" s="12">
        <v>-75.839399999999998</v>
      </c>
      <c r="J3993" t="s">
        <v>3897</v>
      </c>
      <c r="K3993" t="s">
        <v>97</v>
      </c>
      <c r="L3993" t="s">
        <v>1273</v>
      </c>
      <c r="M3993">
        <v>11</v>
      </c>
      <c r="P3993" s="13">
        <v>226</v>
      </c>
      <c r="Q3993" s="13">
        <v>44</v>
      </c>
      <c r="R3993">
        <v>44</v>
      </c>
      <c r="S3993">
        <v>40</v>
      </c>
      <c r="T3993" s="13">
        <v>40</v>
      </c>
      <c r="U3993" s="13">
        <v>84</v>
      </c>
      <c r="V3993" t="s">
        <v>99</v>
      </c>
      <c r="X3993" s="13">
        <v>226</v>
      </c>
    </row>
    <row r="3994" spans="1:24" x14ac:dyDescent="0.25">
      <c r="A3994" t="s">
        <v>3900</v>
      </c>
      <c r="B3994" t="s">
        <v>65</v>
      </c>
      <c r="C3994" t="s">
        <v>3894</v>
      </c>
      <c r="D3994" t="s">
        <v>3895</v>
      </c>
      <c r="E3994" t="s">
        <v>3896</v>
      </c>
      <c r="F3994" t="s">
        <v>94</v>
      </c>
      <c r="G3994" t="s">
        <v>277</v>
      </c>
      <c r="H3994" s="12">
        <v>5.7916999999999996</v>
      </c>
      <c r="I3994" s="12">
        <v>-75.839399999999998</v>
      </c>
      <c r="J3994" t="s">
        <v>3897</v>
      </c>
      <c r="K3994" t="s">
        <v>97</v>
      </c>
      <c r="L3994" t="s">
        <v>1273</v>
      </c>
      <c r="M3994">
        <v>11</v>
      </c>
      <c r="P3994" s="13">
        <v>219</v>
      </c>
      <c r="Q3994" s="13">
        <v>41</v>
      </c>
      <c r="R3994">
        <v>44</v>
      </c>
      <c r="S3994">
        <v>46</v>
      </c>
      <c r="T3994" s="13">
        <v>43</v>
      </c>
      <c r="U3994" s="13">
        <v>45</v>
      </c>
      <c r="V3994" t="s">
        <v>99</v>
      </c>
      <c r="X3994" s="13">
        <v>219</v>
      </c>
    </row>
    <row r="3995" spans="1:24" x14ac:dyDescent="0.25">
      <c r="A3995" t="s">
        <v>3901</v>
      </c>
      <c r="B3995" t="s">
        <v>65</v>
      </c>
      <c r="C3995" t="s">
        <v>3894</v>
      </c>
      <c r="D3995" t="s">
        <v>3895</v>
      </c>
      <c r="E3995" t="s">
        <v>3896</v>
      </c>
      <c r="F3995" t="s">
        <v>94</v>
      </c>
      <c r="G3995" t="s">
        <v>277</v>
      </c>
      <c r="H3995" s="12">
        <v>5.7916999999999996</v>
      </c>
      <c r="I3995" s="12">
        <v>-75.839399999999998</v>
      </c>
      <c r="J3995" t="s">
        <v>3897</v>
      </c>
      <c r="K3995" t="s">
        <v>97</v>
      </c>
      <c r="L3995" t="s">
        <v>1273</v>
      </c>
      <c r="M3995">
        <v>11</v>
      </c>
      <c r="P3995" s="13">
        <v>216</v>
      </c>
      <c r="Q3995" s="13">
        <v>61</v>
      </c>
      <c r="R3995">
        <v>36</v>
      </c>
      <c r="S3995">
        <v>38</v>
      </c>
      <c r="T3995" s="13">
        <v>28</v>
      </c>
      <c r="U3995" s="13">
        <v>73</v>
      </c>
      <c r="V3995" t="s">
        <v>99</v>
      </c>
      <c r="X3995" s="13">
        <v>216</v>
      </c>
    </row>
    <row r="3996" spans="1:24" x14ac:dyDescent="0.25">
      <c r="A3996" t="s">
        <v>3902</v>
      </c>
      <c r="B3996" t="s">
        <v>65</v>
      </c>
      <c r="C3996" t="s">
        <v>3894</v>
      </c>
      <c r="D3996" t="s">
        <v>3895</v>
      </c>
      <c r="E3996" t="s">
        <v>3896</v>
      </c>
      <c r="F3996" t="s">
        <v>94</v>
      </c>
      <c r="G3996" t="s">
        <v>277</v>
      </c>
      <c r="H3996" s="12">
        <v>5.7916999999999996</v>
      </c>
      <c r="I3996" s="12">
        <v>-75.839399999999998</v>
      </c>
      <c r="J3996" t="s">
        <v>3897</v>
      </c>
      <c r="K3996" t="s">
        <v>97</v>
      </c>
      <c r="L3996" t="s">
        <v>1273</v>
      </c>
      <c r="M3996">
        <v>11</v>
      </c>
      <c r="P3996" s="13">
        <v>211</v>
      </c>
      <c r="Q3996" s="13">
        <v>44</v>
      </c>
      <c r="R3996">
        <v>30</v>
      </c>
      <c r="S3996">
        <v>50</v>
      </c>
      <c r="T3996" s="13">
        <v>38</v>
      </c>
      <c r="U3996" s="13">
        <v>64</v>
      </c>
      <c r="V3996" t="s">
        <v>99</v>
      </c>
      <c r="X3996" s="13">
        <v>211</v>
      </c>
    </row>
    <row r="3997" spans="1:24" x14ac:dyDescent="0.25">
      <c r="A3997" t="s">
        <v>3903</v>
      </c>
      <c r="B3997" t="s">
        <v>65</v>
      </c>
      <c r="C3997" t="s">
        <v>3894</v>
      </c>
      <c r="D3997" t="s">
        <v>3895</v>
      </c>
      <c r="E3997" t="s">
        <v>3896</v>
      </c>
      <c r="F3997" t="s">
        <v>94</v>
      </c>
      <c r="G3997" t="s">
        <v>277</v>
      </c>
      <c r="H3997" s="12">
        <v>5.7916999999999996</v>
      </c>
      <c r="I3997" s="12">
        <v>-75.839399999999998</v>
      </c>
      <c r="J3997" t="s">
        <v>3897</v>
      </c>
      <c r="K3997" t="s">
        <v>97</v>
      </c>
      <c r="L3997" t="s">
        <v>1273</v>
      </c>
      <c r="M3997">
        <v>11</v>
      </c>
      <c r="P3997" s="13">
        <v>211</v>
      </c>
      <c r="Q3997" s="13">
        <v>56</v>
      </c>
      <c r="R3997">
        <v>28</v>
      </c>
      <c r="S3997">
        <v>46</v>
      </c>
      <c r="T3997" s="13">
        <v>34</v>
      </c>
      <c r="U3997" s="13">
        <v>55</v>
      </c>
      <c r="V3997" t="s">
        <v>99</v>
      </c>
      <c r="X3997" s="13">
        <v>211</v>
      </c>
    </row>
    <row r="3998" spans="1:24" x14ac:dyDescent="0.25">
      <c r="A3998" t="s">
        <v>3904</v>
      </c>
      <c r="B3998" t="s">
        <v>65</v>
      </c>
      <c r="C3998" t="s">
        <v>3894</v>
      </c>
      <c r="D3998" t="s">
        <v>3895</v>
      </c>
      <c r="E3998" t="s">
        <v>3896</v>
      </c>
      <c r="F3998" t="s">
        <v>94</v>
      </c>
      <c r="G3998" t="s">
        <v>277</v>
      </c>
      <c r="H3998" s="12">
        <v>5.7916999999999996</v>
      </c>
      <c r="I3998" s="12">
        <v>-75.839399999999998</v>
      </c>
      <c r="J3998" t="s">
        <v>3897</v>
      </c>
      <c r="K3998" t="s">
        <v>97</v>
      </c>
      <c r="L3998" t="s">
        <v>1273</v>
      </c>
      <c r="M3998">
        <v>11</v>
      </c>
      <c r="P3998" s="13">
        <v>200</v>
      </c>
      <c r="Q3998" s="13">
        <v>44</v>
      </c>
      <c r="R3998">
        <v>36</v>
      </c>
      <c r="S3998">
        <v>46</v>
      </c>
      <c r="T3998" s="13">
        <v>34</v>
      </c>
      <c r="U3998" s="13">
        <v>38</v>
      </c>
      <c r="V3998" t="s">
        <v>99</v>
      </c>
      <c r="X3998" s="13">
        <v>200</v>
      </c>
    </row>
    <row r="3999" spans="1:24" x14ac:dyDescent="0.25">
      <c r="A3999" t="s">
        <v>3905</v>
      </c>
      <c r="B3999" t="s">
        <v>65</v>
      </c>
      <c r="C3999" t="s">
        <v>3894</v>
      </c>
      <c r="D3999" t="s">
        <v>3895</v>
      </c>
      <c r="E3999" t="s">
        <v>3896</v>
      </c>
      <c r="F3999" t="s">
        <v>94</v>
      </c>
      <c r="G3999" t="s">
        <v>277</v>
      </c>
      <c r="H3999" s="12">
        <v>5.7916999999999996</v>
      </c>
      <c r="I3999" s="12">
        <v>-75.839399999999998</v>
      </c>
      <c r="J3999" t="s">
        <v>3897</v>
      </c>
      <c r="K3999" t="s">
        <v>97</v>
      </c>
      <c r="L3999" t="s">
        <v>1273</v>
      </c>
      <c r="M3999">
        <v>11</v>
      </c>
      <c r="P3999" s="13">
        <v>194</v>
      </c>
      <c r="Q3999" s="13">
        <v>41</v>
      </c>
      <c r="R3999">
        <v>24</v>
      </c>
      <c r="S3999">
        <v>56</v>
      </c>
      <c r="T3999" s="13">
        <v>29</v>
      </c>
      <c r="U3999" s="13">
        <v>51</v>
      </c>
      <c r="V3999" t="s">
        <v>99</v>
      </c>
      <c r="X3999" s="13">
        <v>194</v>
      </c>
    </row>
    <row r="4000" spans="1:24" x14ac:dyDescent="0.25">
      <c r="A4000" t="s">
        <v>3906</v>
      </c>
      <c r="B4000" t="s">
        <v>65</v>
      </c>
      <c r="C4000" t="s">
        <v>3894</v>
      </c>
      <c r="D4000" t="s">
        <v>3895</v>
      </c>
      <c r="E4000" t="s">
        <v>3896</v>
      </c>
      <c r="F4000" t="s">
        <v>94</v>
      </c>
      <c r="G4000" t="s">
        <v>277</v>
      </c>
      <c r="H4000" s="12">
        <v>5.7916999999999996</v>
      </c>
      <c r="I4000" s="12">
        <v>-75.839399999999998</v>
      </c>
      <c r="J4000" t="s">
        <v>3897</v>
      </c>
      <c r="K4000" t="s">
        <v>97</v>
      </c>
      <c r="L4000" t="s">
        <v>1273</v>
      </c>
      <c r="M4000">
        <v>11</v>
      </c>
      <c r="P4000" s="13">
        <v>186</v>
      </c>
      <c r="Q4000" s="13">
        <v>51</v>
      </c>
      <c r="R4000">
        <v>26</v>
      </c>
      <c r="S4000">
        <v>34</v>
      </c>
      <c r="T4000" s="13">
        <v>38</v>
      </c>
      <c r="U4000" s="13">
        <v>36</v>
      </c>
      <c r="V4000" t="s">
        <v>99</v>
      </c>
      <c r="X4000" s="13">
        <v>186</v>
      </c>
    </row>
    <row r="4001" spans="1:24" x14ac:dyDescent="0.25">
      <c r="A4001" t="s">
        <v>3907</v>
      </c>
      <c r="B4001" t="s">
        <v>65</v>
      </c>
      <c r="C4001" t="s">
        <v>3894</v>
      </c>
      <c r="D4001" t="s">
        <v>3895</v>
      </c>
      <c r="E4001" t="s">
        <v>3896</v>
      </c>
      <c r="F4001" t="s">
        <v>94</v>
      </c>
      <c r="G4001" t="s">
        <v>277</v>
      </c>
      <c r="H4001" s="12">
        <v>5.7916999999999996</v>
      </c>
      <c r="I4001" s="12">
        <v>-75.839399999999998</v>
      </c>
      <c r="J4001" t="s">
        <v>3897</v>
      </c>
      <c r="K4001" t="s">
        <v>97</v>
      </c>
      <c r="L4001" t="s">
        <v>1273</v>
      </c>
      <c r="M4001">
        <v>11</v>
      </c>
      <c r="P4001" s="13">
        <v>184</v>
      </c>
      <c r="Q4001" s="13">
        <v>41</v>
      </c>
      <c r="R4001">
        <v>24</v>
      </c>
      <c r="S4001">
        <v>46</v>
      </c>
      <c r="T4001" s="13">
        <v>34</v>
      </c>
      <c r="U4001" s="13">
        <v>42</v>
      </c>
      <c r="V4001" t="s">
        <v>99</v>
      </c>
      <c r="X4001" s="13">
        <v>184</v>
      </c>
    </row>
    <row r="4002" spans="1:24" x14ac:dyDescent="0.25">
      <c r="A4002" t="s">
        <v>3908</v>
      </c>
      <c r="B4002" t="s">
        <v>65</v>
      </c>
      <c r="C4002" t="s">
        <v>3894</v>
      </c>
      <c r="D4002" t="s">
        <v>3895</v>
      </c>
      <c r="E4002" t="s">
        <v>3896</v>
      </c>
      <c r="F4002" t="s">
        <v>94</v>
      </c>
      <c r="G4002" t="s">
        <v>277</v>
      </c>
      <c r="H4002" s="12">
        <v>5.7916999999999996</v>
      </c>
      <c r="I4002" s="12">
        <v>-75.839399999999998</v>
      </c>
      <c r="J4002" t="s">
        <v>3897</v>
      </c>
      <c r="K4002" t="s">
        <v>97</v>
      </c>
      <c r="L4002" t="s">
        <v>1273</v>
      </c>
      <c r="M4002">
        <v>11</v>
      </c>
      <c r="P4002" s="13">
        <v>182</v>
      </c>
      <c r="Q4002" s="13">
        <v>24</v>
      </c>
      <c r="R4002">
        <v>36</v>
      </c>
      <c r="S4002">
        <v>46</v>
      </c>
      <c r="T4002" s="13">
        <v>33</v>
      </c>
      <c r="U4002" s="13">
        <v>55</v>
      </c>
      <c r="V4002" t="s">
        <v>99</v>
      </c>
      <c r="X4002" s="13">
        <v>182</v>
      </c>
    </row>
    <row r="4003" spans="1:24" x14ac:dyDescent="0.25">
      <c r="A4003" t="s">
        <v>3909</v>
      </c>
      <c r="B4003" t="s">
        <v>65</v>
      </c>
      <c r="C4003" t="s">
        <v>3894</v>
      </c>
      <c r="D4003" t="s">
        <v>3895</v>
      </c>
      <c r="E4003" t="s">
        <v>3896</v>
      </c>
      <c r="F4003" t="s">
        <v>94</v>
      </c>
      <c r="G4003" t="s">
        <v>277</v>
      </c>
      <c r="H4003" s="12">
        <v>5.7916999999999996</v>
      </c>
      <c r="I4003" s="12">
        <v>-75.839399999999998</v>
      </c>
      <c r="J4003" t="s">
        <v>3897</v>
      </c>
      <c r="K4003" t="s">
        <v>97</v>
      </c>
      <c r="L4003" t="s">
        <v>1273</v>
      </c>
      <c r="M4003">
        <v>11</v>
      </c>
      <c r="P4003" s="13">
        <v>181</v>
      </c>
      <c r="Q4003" s="13">
        <v>56</v>
      </c>
      <c r="R4003">
        <v>32</v>
      </c>
      <c r="S4003">
        <v>30</v>
      </c>
      <c r="T4003" s="13">
        <v>26</v>
      </c>
      <c r="U4003" s="13">
        <v>40</v>
      </c>
      <c r="V4003" t="s">
        <v>99</v>
      </c>
      <c r="X4003" s="13">
        <v>181</v>
      </c>
    </row>
    <row r="4004" spans="1:24" x14ac:dyDescent="0.25">
      <c r="A4004" t="s">
        <v>3910</v>
      </c>
      <c r="B4004" t="s">
        <v>65</v>
      </c>
      <c r="C4004" t="s">
        <v>3894</v>
      </c>
      <c r="D4004" t="s">
        <v>3895</v>
      </c>
      <c r="E4004" t="s">
        <v>3896</v>
      </c>
      <c r="F4004" t="s">
        <v>94</v>
      </c>
      <c r="G4004" t="s">
        <v>277</v>
      </c>
      <c r="H4004" s="12">
        <v>5.7916999999999996</v>
      </c>
      <c r="I4004" s="12">
        <v>-75.839399999999998</v>
      </c>
      <c r="J4004" t="s">
        <v>3897</v>
      </c>
      <c r="K4004" t="s">
        <v>97</v>
      </c>
      <c r="L4004" t="s">
        <v>1273</v>
      </c>
      <c r="M4004">
        <v>11</v>
      </c>
      <c r="P4004" s="13">
        <v>177</v>
      </c>
      <c r="Q4004" s="13">
        <v>32</v>
      </c>
      <c r="R4004">
        <v>28</v>
      </c>
      <c r="S4004">
        <v>54</v>
      </c>
      <c r="T4004" s="13">
        <v>21</v>
      </c>
      <c r="U4004" s="13">
        <v>58</v>
      </c>
      <c r="V4004" t="s">
        <v>99</v>
      </c>
      <c r="X4004" s="13">
        <v>177</v>
      </c>
    </row>
    <row r="4005" spans="1:24" x14ac:dyDescent="0.25">
      <c r="A4005" t="s">
        <v>3911</v>
      </c>
      <c r="B4005" t="s">
        <v>65</v>
      </c>
      <c r="C4005" t="s">
        <v>3894</v>
      </c>
      <c r="D4005" t="s">
        <v>3895</v>
      </c>
      <c r="E4005" t="s">
        <v>3896</v>
      </c>
      <c r="F4005" t="s">
        <v>94</v>
      </c>
      <c r="G4005" t="s">
        <v>277</v>
      </c>
      <c r="H4005" s="12">
        <v>5.7916999999999996</v>
      </c>
      <c r="I4005" s="12">
        <v>-75.839399999999998</v>
      </c>
      <c r="J4005" t="s">
        <v>3897</v>
      </c>
      <c r="K4005" t="s">
        <v>97</v>
      </c>
      <c r="L4005" t="s">
        <v>1273</v>
      </c>
      <c r="M4005">
        <v>11</v>
      </c>
      <c r="P4005" s="13">
        <v>176</v>
      </c>
      <c r="Q4005" s="13">
        <v>32</v>
      </c>
      <c r="R4005">
        <v>26</v>
      </c>
      <c r="S4005">
        <v>46</v>
      </c>
      <c r="T4005" s="13">
        <v>33</v>
      </c>
      <c r="U4005" s="13">
        <v>49</v>
      </c>
      <c r="V4005" t="s">
        <v>99</v>
      </c>
      <c r="X4005" s="13">
        <v>176</v>
      </c>
    </row>
    <row r="4006" spans="1:24" x14ac:dyDescent="0.25">
      <c r="A4006" t="s">
        <v>3912</v>
      </c>
      <c r="B4006" t="s">
        <v>65</v>
      </c>
      <c r="C4006" t="s">
        <v>3894</v>
      </c>
      <c r="D4006" t="s">
        <v>3895</v>
      </c>
      <c r="E4006" t="s">
        <v>3896</v>
      </c>
      <c r="F4006" t="s">
        <v>94</v>
      </c>
      <c r="G4006" t="s">
        <v>277</v>
      </c>
      <c r="H4006" s="12">
        <v>5.7916999999999996</v>
      </c>
      <c r="I4006" s="12">
        <v>-75.839399999999998</v>
      </c>
      <c r="J4006" t="s">
        <v>3897</v>
      </c>
      <c r="K4006" t="s">
        <v>97</v>
      </c>
      <c r="L4006" t="s">
        <v>1273</v>
      </c>
      <c r="M4006">
        <v>11</v>
      </c>
      <c r="P4006" s="13">
        <v>174</v>
      </c>
      <c r="Q4006" s="13">
        <v>34</v>
      </c>
      <c r="R4006">
        <v>36</v>
      </c>
      <c r="S4006">
        <v>40</v>
      </c>
      <c r="T4006" s="13">
        <v>28</v>
      </c>
      <c r="U4006" s="13">
        <v>40</v>
      </c>
      <c r="V4006" t="s">
        <v>99</v>
      </c>
      <c r="X4006" s="13">
        <v>174</v>
      </c>
    </row>
    <row r="4007" spans="1:24" x14ac:dyDescent="0.25">
      <c r="A4007" t="s">
        <v>3913</v>
      </c>
      <c r="B4007" t="s">
        <v>65</v>
      </c>
      <c r="C4007" t="s">
        <v>3894</v>
      </c>
      <c r="D4007" t="s">
        <v>3895</v>
      </c>
      <c r="E4007" t="s">
        <v>3896</v>
      </c>
      <c r="F4007" t="s">
        <v>94</v>
      </c>
      <c r="G4007" t="s">
        <v>277</v>
      </c>
      <c r="H4007" s="12">
        <v>5.7916999999999996</v>
      </c>
      <c r="I4007" s="12">
        <v>-75.839399999999998</v>
      </c>
      <c r="J4007" t="s">
        <v>3897</v>
      </c>
      <c r="K4007" t="s">
        <v>97</v>
      </c>
      <c r="L4007" t="s">
        <v>1273</v>
      </c>
      <c r="M4007">
        <v>11</v>
      </c>
      <c r="P4007" s="13">
        <v>172</v>
      </c>
      <c r="Q4007" s="13">
        <v>39</v>
      </c>
      <c r="R4007">
        <v>24</v>
      </c>
      <c r="S4007">
        <v>50</v>
      </c>
      <c r="T4007" s="13">
        <v>22</v>
      </c>
      <c r="U4007" s="13">
        <v>42</v>
      </c>
      <c r="V4007" t="s">
        <v>99</v>
      </c>
      <c r="X4007" s="13">
        <v>172</v>
      </c>
    </row>
    <row r="4008" spans="1:24" x14ac:dyDescent="0.25">
      <c r="A4008" t="s">
        <v>3914</v>
      </c>
      <c r="B4008" t="s">
        <v>65</v>
      </c>
      <c r="C4008" t="s">
        <v>3894</v>
      </c>
      <c r="D4008" t="s">
        <v>3895</v>
      </c>
      <c r="E4008" t="s">
        <v>3896</v>
      </c>
      <c r="F4008" t="s">
        <v>94</v>
      </c>
      <c r="G4008" t="s">
        <v>277</v>
      </c>
      <c r="H4008" s="12">
        <v>5.7916999999999996</v>
      </c>
      <c r="I4008" s="12">
        <v>-75.839399999999998</v>
      </c>
      <c r="J4008" t="s">
        <v>3897</v>
      </c>
      <c r="K4008" t="s">
        <v>97</v>
      </c>
      <c r="L4008" t="s">
        <v>1273</v>
      </c>
      <c r="M4008">
        <v>11</v>
      </c>
      <c r="P4008" s="13">
        <v>172</v>
      </c>
      <c r="Q4008" s="13">
        <v>37</v>
      </c>
      <c r="R4008">
        <v>26</v>
      </c>
      <c r="S4008">
        <v>34</v>
      </c>
      <c r="T4008" s="13">
        <v>40</v>
      </c>
      <c r="U4008" s="13">
        <v>38</v>
      </c>
      <c r="V4008" t="s">
        <v>99</v>
      </c>
      <c r="X4008" s="13">
        <v>172</v>
      </c>
    </row>
    <row r="4009" spans="1:24" x14ac:dyDescent="0.25">
      <c r="A4009" t="s">
        <v>3915</v>
      </c>
      <c r="B4009" t="s">
        <v>65</v>
      </c>
      <c r="C4009" t="s">
        <v>3894</v>
      </c>
      <c r="D4009" t="s">
        <v>3895</v>
      </c>
      <c r="E4009" t="s">
        <v>3896</v>
      </c>
      <c r="F4009" t="s">
        <v>94</v>
      </c>
      <c r="G4009" t="s">
        <v>277</v>
      </c>
      <c r="H4009" s="12">
        <v>5.7916999999999996</v>
      </c>
      <c r="I4009" s="12">
        <v>-75.839399999999998</v>
      </c>
      <c r="J4009" t="s">
        <v>3897</v>
      </c>
      <c r="K4009" t="s">
        <v>97</v>
      </c>
      <c r="L4009" t="s">
        <v>1273</v>
      </c>
      <c r="M4009">
        <v>11</v>
      </c>
      <c r="P4009" s="13">
        <v>172</v>
      </c>
      <c r="Q4009" s="13">
        <v>32</v>
      </c>
      <c r="R4009">
        <v>24</v>
      </c>
      <c r="S4009">
        <v>50</v>
      </c>
      <c r="T4009" s="13">
        <v>29</v>
      </c>
      <c r="U4009" s="13">
        <v>42</v>
      </c>
      <c r="V4009" t="s">
        <v>99</v>
      </c>
      <c r="X4009" s="13">
        <v>172</v>
      </c>
    </row>
    <row r="4010" spans="1:24" x14ac:dyDescent="0.25">
      <c r="A4010" t="s">
        <v>3916</v>
      </c>
      <c r="B4010" t="s">
        <v>65</v>
      </c>
      <c r="C4010" t="s">
        <v>3894</v>
      </c>
      <c r="D4010" t="s">
        <v>3895</v>
      </c>
      <c r="E4010" t="s">
        <v>3896</v>
      </c>
      <c r="F4010" t="s">
        <v>94</v>
      </c>
      <c r="G4010" t="s">
        <v>277</v>
      </c>
      <c r="H4010" s="12">
        <v>5.7916999999999996</v>
      </c>
      <c r="I4010" s="12">
        <v>-75.839399999999998</v>
      </c>
      <c r="J4010" t="s">
        <v>3897</v>
      </c>
      <c r="K4010" t="s">
        <v>97</v>
      </c>
      <c r="L4010" t="s">
        <v>1273</v>
      </c>
      <c r="M4010">
        <v>11</v>
      </c>
      <c r="P4010" s="13">
        <v>170</v>
      </c>
      <c r="Q4010" s="13">
        <v>41</v>
      </c>
      <c r="R4010">
        <v>24</v>
      </c>
      <c r="S4010">
        <v>28</v>
      </c>
      <c r="T4010" s="13">
        <v>28</v>
      </c>
      <c r="U4010" s="13">
        <v>80</v>
      </c>
      <c r="V4010" t="s">
        <v>99</v>
      </c>
      <c r="X4010" s="13">
        <v>170</v>
      </c>
    </row>
    <row r="4011" spans="1:24" x14ac:dyDescent="0.25">
      <c r="A4011" t="s">
        <v>3917</v>
      </c>
      <c r="B4011" t="s">
        <v>65</v>
      </c>
      <c r="C4011" t="s">
        <v>3894</v>
      </c>
      <c r="D4011" t="s">
        <v>3895</v>
      </c>
      <c r="E4011" t="s">
        <v>3896</v>
      </c>
      <c r="F4011" t="s">
        <v>94</v>
      </c>
      <c r="G4011" t="s">
        <v>277</v>
      </c>
      <c r="H4011" s="12">
        <v>5.7916999999999996</v>
      </c>
      <c r="I4011" s="12">
        <v>-75.839399999999998</v>
      </c>
      <c r="J4011" t="s">
        <v>3897</v>
      </c>
      <c r="K4011" t="s">
        <v>97</v>
      </c>
      <c r="L4011" t="s">
        <v>1273</v>
      </c>
      <c r="M4011">
        <v>11</v>
      </c>
      <c r="P4011" s="13">
        <v>167</v>
      </c>
      <c r="Q4011" s="13">
        <v>37</v>
      </c>
      <c r="R4011">
        <v>30</v>
      </c>
      <c r="S4011">
        <v>34</v>
      </c>
      <c r="T4011" s="13">
        <v>31</v>
      </c>
      <c r="U4011" s="13">
        <v>40</v>
      </c>
      <c r="V4011" t="s">
        <v>99</v>
      </c>
      <c r="X4011" s="13">
        <v>167</v>
      </c>
    </row>
    <row r="4012" spans="1:24" x14ac:dyDescent="0.25">
      <c r="A4012" t="s">
        <v>3918</v>
      </c>
      <c r="B4012" t="s">
        <v>65</v>
      </c>
      <c r="C4012" t="s">
        <v>3894</v>
      </c>
      <c r="D4012" t="s">
        <v>3895</v>
      </c>
      <c r="E4012" t="s">
        <v>3896</v>
      </c>
      <c r="F4012" t="s">
        <v>94</v>
      </c>
      <c r="G4012" t="s">
        <v>277</v>
      </c>
      <c r="H4012" s="12">
        <v>5.7916999999999996</v>
      </c>
      <c r="I4012" s="12">
        <v>-75.839399999999998</v>
      </c>
      <c r="J4012" t="s">
        <v>3897</v>
      </c>
      <c r="K4012" t="s">
        <v>97</v>
      </c>
      <c r="L4012" t="s">
        <v>1273</v>
      </c>
      <c r="M4012">
        <v>11</v>
      </c>
      <c r="P4012" s="13">
        <v>166</v>
      </c>
      <c r="Q4012" s="13">
        <v>41</v>
      </c>
      <c r="R4012">
        <v>24</v>
      </c>
      <c r="S4012">
        <v>46</v>
      </c>
      <c r="T4012" s="13">
        <v>21</v>
      </c>
      <c r="U4012" s="13">
        <v>35</v>
      </c>
      <c r="V4012" t="s">
        <v>99</v>
      </c>
      <c r="X4012" s="13">
        <v>166</v>
      </c>
    </row>
    <row r="4013" spans="1:24" x14ac:dyDescent="0.25">
      <c r="A4013" t="s">
        <v>3919</v>
      </c>
      <c r="B4013" t="s">
        <v>65</v>
      </c>
      <c r="C4013" t="s">
        <v>3894</v>
      </c>
      <c r="D4013" t="s">
        <v>3895</v>
      </c>
      <c r="E4013" t="s">
        <v>3896</v>
      </c>
      <c r="F4013" t="s">
        <v>94</v>
      </c>
      <c r="G4013" t="s">
        <v>277</v>
      </c>
      <c r="H4013" s="12">
        <v>5.7916999999999996</v>
      </c>
      <c r="I4013" s="12">
        <v>-75.839399999999998</v>
      </c>
      <c r="J4013" t="s">
        <v>3897</v>
      </c>
      <c r="K4013" t="s">
        <v>97</v>
      </c>
      <c r="L4013" t="s">
        <v>1273</v>
      </c>
      <c r="M4013">
        <v>11</v>
      </c>
      <c r="P4013" s="13">
        <v>158</v>
      </c>
      <c r="Q4013" s="13">
        <v>49</v>
      </c>
      <c r="R4013">
        <v>16</v>
      </c>
      <c r="S4013">
        <v>36</v>
      </c>
      <c r="T4013" s="13">
        <v>22</v>
      </c>
      <c r="U4013" s="13">
        <v>42</v>
      </c>
      <c r="V4013" t="s">
        <v>99</v>
      </c>
      <c r="X4013" s="13">
        <v>158</v>
      </c>
    </row>
    <row r="4014" spans="1:24" x14ac:dyDescent="0.25">
      <c r="A4014" t="s">
        <v>3920</v>
      </c>
      <c r="B4014" t="s">
        <v>65</v>
      </c>
      <c r="C4014" t="s">
        <v>3894</v>
      </c>
      <c r="D4014" t="s">
        <v>3895</v>
      </c>
      <c r="E4014" t="s">
        <v>3896</v>
      </c>
      <c r="F4014" t="s">
        <v>94</v>
      </c>
      <c r="G4014" t="s">
        <v>277</v>
      </c>
      <c r="H4014" s="12">
        <v>5.7916999999999996</v>
      </c>
      <c r="I4014" s="12">
        <v>-75.839399999999998</v>
      </c>
      <c r="J4014" t="s">
        <v>3897</v>
      </c>
      <c r="K4014" t="s">
        <v>97</v>
      </c>
      <c r="L4014" t="s">
        <v>1273</v>
      </c>
      <c r="M4014">
        <v>11</v>
      </c>
      <c r="P4014" s="13">
        <v>156</v>
      </c>
      <c r="Q4014" s="13">
        <v>39</v>
      </c>
      <c r="R4014">
        <v>24</v>
      </c>
      <c r="S4014">
        <v>38</v>
      </c>
      <c r="T4014" s="13">
        <v>24</v>
      </c>
      <c r="U4014" s="13">
        <v>31</v>
      </c>
      <c r="V4014" t="s">
        <v>99</v>
      </c>
      <c r="X4014" s="13">
        <v>156</v>
      </c>
    </row>
    <row r="4015" spans="1:24" x14ac:dyDescent="0.25">
      <c r="A4015" t="s">
        <v>3921</v>
      </c>
      <c r="B4015" t="s">
        <v>65</v>
      </c>
      <c r="C4015" t="s">
        <v>3894</v>
      </c>
      <c r="D4015" t="s">
        <v>3895</v>
      </c>
      <c r="E4015" t="s">
        <v>3896</v>
      </c>
      <c r="F4015" t="s">
        <v>94</v>
      </c>
      <c r="G4015" t="s">
        <v>277</v>
      </c>
      <c r="H4015" s="12">
        <v>5.7916999999999996</v>
      </c>
      <c r="I4015" s="12">
        <v>-75.839399999999998</v>
      </c>
      <c r="J4015" t="s">
        <v>3897</v>
      </c>
      <c r="K4015" t="s">
        <v>97</v>
      </c>
      <c r="L4015" t="s">
        <v>1273</v>
      </c>
      <c r="M4015">
        <v>11</v>
      </c>
      <c r="P4015" s="13">
        <v>154</v>
      </c>
      <c r="Q4015" s="13">
        <v>32</v>
      </c>
      <c r="R4015">
        <v>32</v>
      </c>
      <c r="S4015">
        <v>36</v>
      </c>
      <c r="T4015" s="13">
        <v>24</v>
      </c>
      <c r="U4015" s="13">
        <v>29</v>
      </c>
      <c r="V4015" t="s">
        <v>99</v>
      </c>
      <c r="X4015" s="13">
        <v>154</v>
      </c>
    </row>
    <row r="4016" spans="1:24" x14ac:dyDescent="0.25">
      <c r="A4016" t="s">
        <v>3922</v>
      </c>
      <c r="B4016" t="s">
        <v>65</v>
      </c>
      <c r="C4016" t="s">
        <v>3894</v>
      </c>
      <c r="D4016" t="s">
        <v>3895</v>
      </c>
      <c r="E4016" t="s">
        <v>3896</v>
      </c>
      <c r="F4016" t="s">
        <v>94</v>
      </c>
      <c r="G4016" t="s">
        <v>277</v>
      </c>
      <c r="H4016" s="12">
        <v>5.7916999999999996</v>
      </c>
      <c r="I4016" s="12">
        <v>-75.839399999999998</v>
      </c>
      <c r="J4016" t="s">
        <v>3897</v>
      </c>
      <c r="K4016" t="s">
        <v>97</v>
      </c>
      <c r="L4016" t="s">
        <v>1273</v>
      </c>
      <c r="M4016">
        <v>11</v>
      </c>
      <c r="P4016" s="13">
        <v>152</v>
      </c>
      <c r="Q4016" s="13">
        <v>34</v>
      </c>
      <c r="R4016">
        <v>24</v>
      </c>
      <c r="S4016">
        <v>44</v>
      </c>
      <c r="T4016" s="13">
        <v>19</v>
      </c>
      <c r="U4016" s="13">
        <v>31</v>
      </c>
      <c r="V4016" t="s">
        <v>99</v>
      </c>
      <c r="X4016" s="13">
        <v>152</v>
      </c>
    </row>
    <row r="4017" spans="1:24" x14ac:dyDescent="0.25">
      <c r="A4017" t="s">
        <v>3923</v>
      </c>
      <c r="B4017" t="s">
        <v>65</v>
      </c>
      <c r="C4017" t="s">
        <v>3894</v>
      </c>
      <c r="D4017" t="s">
        <v>3895</v>
      </c>
      <c r="E4017" t="s">
        <v>3896</v>
      </c>
      <c r="F4017" t="s">
        <v>94</v>
      </c>
      <c r="G4017" t="s">
        <v>277</v>
      </c>
      <c r="H4017" s="12">
        <v>5.7916999999999996</v>
      </c>
      <c r="I4017" s="12">
        <v>-75.839399999999998</v>
      </c>
      <c r="J4017" t="s">
        <v>3897</v>
      </c>
      <c r="K4017" t="s">
        <v>97</v>
      </c>
      <c r="L4017" t="s">
        <v>1273</v>
      </c>
      <c r="M4017">
        <v>11</v>
      </c>
      <c r="P4017" s="13">
        <v>148</v>
      </c>
      <c r="Q4017" s="13">
        <v>32</v>
      </c>
      <c r="R4017">
        <v>30</v>
      </c>
      <c r="S4017">
        <v>28</v>
      </c>
      <c r="T4017" s="13">
        <v>31</v>
      </c>
      <c r="U4017" s="13">
        <v>24</v>
      </c>
      <c r="V4017" t="s">
        <v>99</v>
      </c>
      <c r="X4017" s="13">
        <v>148</v>
      </c>
    </row>
    <row r="4018" spans="1:24" x14ac:dyDescent="0.25">
      <c r="A4018" t="s">
        <v>3924</v>
      </c>
      <c r="B4018" t="s">
        <v>65</v>
      </c>
      <c r="C4018" t="s">
        <v>3894</v>
      </c>
      <c r="D4018" t="s">
        <v>3895</v>
      </c>
      <c r="E4018" t="s">
        <v>3896</v>
      </c>
      <c r="F4018" t="s">
        <v>94</v>
      </c>
      <c r="G4018" t="s">
        <v>277</v>
      </c>
      <c r="H4018" s="12">
        <v>5.7916999999999996</v>
      </c>
      <c r="I4018" s="12">
        <v>-75.839399999999998</v>
      </c>
      <c r="J4018" t="s">
        <v>3897</v>
      </c>
      <c r="K4018" t="s">
        <v>97</v>
      </c>
      <c r="L4018" t="s">
        <v>1273</v>
      </c>
      <c r="M4018">
        <v>11</v>
      </c>
      <c r="P4018" s="13">
        <v>147</v>
      </c>
      <c r="Q4018" s="13">
        <v>41</v>
      </c>
      <c r="R4018">
        <v>22</v>
      </c>
      <c r="S4018">
        <v>34</v>
      </c>
      <c r="T4018" s="13">
        <v>17</v>
      </c>
      <c r="U4018" s="13">
        <v>38</v>
      </c>
      <c r="V4018" t="s">
        <v>99</v>
      </c>
      <c r="X4018" s="13">
        <v>147</v>
      </c>
    </row>
    <row r="4019" spans="1:24" x14ac:dyDescent="0.25">
      <c r="A4019" t="s">
        <v>3925</v>
      </c>
      <c r="B4019" t="s">
        <v>65</v>
      </c>
      <c r="C4019" t="s">
        <v>3894</v>
      </c>
      <c r="D4019" t="s">
        <v>3895</v>
      </c>
      <c r="E4019" t="s">
        <v>3896</v>
      </c>
      <c r="F4019" t="s">
        <v>94</v>
      </c>
      <c r="G4019" t="s">
        <v>277</v>
      </c>
      <c r="H4019" s="12">
        <v>5.7916999999999996</v>
      </c>
      <c r="I4019" s="12">
        <v>-75.839399999999998</v>
      </c>
      <c r="J4019" t="s">
        <v>3897</v>
      </c>
      <c r="K4019" t="s">
        <v>97</v>
      </c>
      <c r="L4019" t="s">
        <v>1273</v>
      </c>
      <c r="M4019">
        <v>11</v>
      </c>
      <c r="P4019" s="13">
        <v>147</v>
      </c>
      <c r="Q4019" s="13">
        <v>27</v>
      </c>
      <c r="R4019">
        <v>26</v>
      </c>
      <c r="S4019">
        <v>32</v>
      </c>
      <c r="T4019" s="13">
        <v>26</v>
      </c>
      <c r="U4019" s="13">
        <v>49</v>
      </c>
      <c r="V4019" t="s">
        <v>99</v>
      </c>
      <c r="X4019" s="13">
        <v>147</v>
      </c>
    </row>
    <row r="4020" spans="1:24" x14ac:dyDescent="0.25">
      <c r="A4020" t="s">
        <v>3926</v>
      </c>
      <c r="B4020" t="s">
        <v>65</v>
      </c>
      <c r="C4020" t="s">
        <v>3894</v>
      </c>
      <c r="D4020" t="s">
        <v>3895</v>
      </c>
      <c r="E4020" t="s">
        <v>3896</v>
      </c>
      <c r="F4020" t="s">
        <v>94</v>
      </c>
      <c r="G4020" t="s">
        <v>277</v>
      </c>
      <c r="H4020" s="12">
        <v>5.7916999999999996</v>
      </c>
      <c r="I4020" s="12">
        <v>-75.839399999999998</v>
      </c>
      <c r="J4020" t="s">
        <v>3897</v>
      </c>
      <c r="K4020" t="s">
        <v>97</v>
      </c>
      <c r="L4020" t="s">
        <v>1273</v>
      </c>
      <c r="M4020">
        <v>11</v>
      </c>
      <c r="P4020" s="13">
        <v>141</v>
      </c>
      <c r="Q4020" s="13">
        <v>37</v>
      </c>
      <c r="R4020">
        <v>24</v>
      </c>
      <c r="S4020">
        <v>30</v>
      </c>
      <c r="T4020" s="13">
        <v>19</v>
      </c>
      <c r="U4020" s="13">
        <v>38</v>
      </c>
      <c r="V4020" t="s">
        <v>99</v>
      </c>
      <c r="X4020" s="13">
        <v>141</v>
      </c>
    </row>
    <row r="4021" spans="1:24" x14ac:dyDescent="0.25">
      <c r="A4021" t="s">
        <v>3927</v>
      </c>
      <c r="B4021" t="s">
        <v>65</v>
      </c>
      <c r="C4021" t="s">
        <v>3894</v>
      </c>
      <c r="D4021" t="s">
        <v>3895</v>
      </c>
      <c r="E4021" t="s">
        <v>3896</v>
      </c>
      <c r="F4021" t="s">
        <v>94</v>
      </c>
      <c r="G4021" t="s">
        <v>277</v>
      </c>
      <c r="H4021" s="12">
        <v>5.7916999999999996</v>
      </c>
      <c r="I4021" s="12">
        <v>-75.839399999999998</v>
      </c>
      <c r="J4021" t="s">
        <v>3897</v>
      </c>
      <c r="K4021" t="s">
        <v>97</v>
      </c>
      <c r="L4021" t="s">
        <v>1273</v>
      </c>
      <c r="M4021">
        <v>11</v>
      </c>
      <c r="P4021" s="13">
        <v>140</v>
      </c>
      <c r="Q4021" s="13">
        <v>29</v>
      </c>
      <c r="R4021">
        <v>34</v>
      </c>
      <c r="S4021">
        <v>20</v>
      </c>
      <c r="T4021" s="13">
        <v>29</v>
      </c>
      <c r="U4021" s="13">
        <v>27</v>
      </c>
      <c r="V4021" t="s">
        <v>99</v>
      </c>
      <c r="X4021" s="13">
        <v>140</v>
      </c>
    </row>
    <row r="4022" spans="1:24" x14ac:dyDescent="0.25">
      <c r="A4022" t="s">
        <v>3928</v>
      </c>
      <c r="B4022" t="s">
        <v>65</v>
      </c>
      <c r="C4022" t="s">
        <v>3894</v>
      </c>
      <c r="D4022" t="s">
        <v>3895</v>
      </c>
      <c r="E4022" t="s">
        <v>3896</v>
      </c>
      <c r="F4022" t="s">
        <v>94</v>
      </c>
      <c r="G4022" t="s">
        <v>277</v>
      </c>
      <c r="H4022" s="12">
        <v>5.7916999999999996</v>
      </c>
      <c r="I4022" s="12">
        <v>-75.839399999999998</v>
      </c>
      <c r="J4022" t="s">
        <v>3897</v>
      </c>
      <c r="K4022" t="s">
        <v>97</v>
      </c>
      <c r="L4022" t="s">
        <v>1273</v>
      </c>
      <c r="M4022">
        <v>11</v>
      </c>
      <c r="P4022" s="13">
        <v>130</v>
      </c>
      <c r="Q4022" s="13">
        <v>20</v>
      </c>
      <c r="R4022">
        <v>28</v>
      </c>
      <c r="S4022">
        <v>32</v>
      </c>
      <c r="T4022" s="13">
        <v>21</v>
      </c>
      <c r="U4022" s="13">
        <v>36</v>
      </c>
      <c r="V4022" t="s">
        <v>99</v>
      </c>
      <c r="X4022" s="13">
        <v>130</v>
      </c>
    </row>
    <row r="4023" spans="1:24" x14ac:dyDescent="0.25">
      <c r="A4023" t="s">
        <v>3929</v>
      </c>
      <c r="B4023" t="s">
        <v>65</v>
      </c>
      <c r="C4023" t="s">
        <v>3930</v>
      </c>
      <c r="D4023" t="s">
        <v>3931</v>
      </c>
      <c r="E4023" t="s">
        <v>3932</v>
      </c>
      <c r="F4023" t="s">
        <v>94</v>
      </c>
      <c r="G4023" t="s">
        <v>277</v>
      </c>
      <c r="H4023" s="12">
        <v>7.6017000000000001</v>
      </c>
      <c r="I4023" s="12">
        <v>-74.808300000000003</v>
      </c>
      <c r="J4023" t="s">
        <v>3933</v>
      </c>
      <c r="K4023" t="s">
        <v>97</v>
      </c>
      <c r="L4023" t="s">
        <v>1273</v>
      </c>
      <c r="M4023">
        <v>11</v>
      </c>
      <c r="P4023" s="13">
        <v>230</v>
      </c>
      <c r="Q4023" s="13">
        <v>49</v>
      </c>
      <c r="R4023">
        <v>32</v>
      </c>
      <c r="S4023">
        <v>64</v>
      </c>
      <c r="T4023" s="13">
        <v>41</v>
      </c>
      <c r="U4023" s="13">
        <v>40</v>
      </c>
      <c r="V4023" t="s">
        <v>99</v>
      </c>
      <c r="X4023" s="13">
        <v>230</v>
      </c>
    </row>
    <row r="4024" spans="1:24" x14ac:dyDescent="0.25">
      <c r="A4024" t="s">
        <v>3934</v>
      </c>
      <c r="B4024" t="s">
        <v>65</v>
      </c>
      <c r="C4024" t="s">
        <v>3930</v>
      </c>
      <c r="D4024" t="s">
        <v>3931</v>
      </c>
      <c r="E4024" t="s">
        <v>3932</v>
      </c>
      <c r="F4024" t="s">
        <v>94</v>
      </c>
      <c r="G4024" t="s">
        <v>277</v>
      </c>
      <c r="H4024" s="12">
        <v>7.6017000000000001</v>
      </c>
      <c r="I4024" s="12">
        <v>-74.808300000000003</v>
      </c>
      <c r="J4024" t="s">
        <v>3933</v>
      </c>
      <c r="K4024" t="s">
        <v>97</v>
      </c>
      <c r="L4024" t="s">
        <v>1273</v>
      </c>
      <c r="M4024">
        <v>11</v>
      </c>
      <c r="P4024" s="13">
        <v>224</v>
      </c>
      <c r="Q4024" s="13">
        <v>46</v>
      </c>
      <c r="R4024">
        <v>32</v>
      </c>
      <c r="S4024">
        <v>60</v>
      </c>
      <c r="T4024" s="13">
        <v>36</v>
      </c>
      <c r="U4024" s="13">
        <v>60</v>
      </c>
      <c r="V4024" t="s">
        <v>99</v>
      </c>
      <c r="X4024" s="13">
        <v>224</v>
      </c>
    </row>
    <row r="4025" spans="1:24" x14ac:dyDescent="0.25">
      <c r="A4025" t="s">
        <v>3935</v>
      </c>
      <c r="B4025" t="s">
        <v>65</v>
      </c>
      <c r="C4025" t="s">
        <v>3930</v>
      </c>
      <c r="D4025" t="s">
        <v>3931</v>
      </c>
      <c r="E4025" t="s">
        <v>3932</v>
      </c>
      <c r="F4025" t="s">
        <v>94</v>
      </c>
      <c r="G4025" t="s">
        <v>277</v>
      </c>
      <c r="H4025" s="12">
        <v>7.6017000000000001</v>
      </c>
      <c r="I4025" s="12">
        <v>-74.808300000000003</v>
      </c>
      <c r="J4025" t="s">
        <v>3933</v>
      </c>
      <c r="K4025" t="s">
        <v>97</v>
      </c>
      <c r="L4025" t="s">
        <v>1273</v>
      </c>
      <c r="M4025">
        <v>11</v>
      </c>
      <c r="P4025" s="13">
        <v>220</v>
      </c>
      <c r="Q4025" s="13">
        <v>39</v>
      </c>
      <c r="R4025">
        <v>28</v>
      </c>
      <c r="S4025">
        <v>60</v>
      </c>
      <c r="T4025" s="13">
        <v>48</v>
      </c>
      <c r="U4025" s="13">
        <v>47</v>
      </c>
      <c r="V4025" t="s">
        <v>99</v>
      </c>
      <c r="X4025" s="13">
        <v>220</v>
      </c>
    </row>
    <row r="4026" spans="1:24" x14ac:dyDescent="0.25">
      <c r="A4026" t="s">
        <v>3936</v>
      </c>
      <c r="B4026" t="s">
        <v>65</v>
      </c>
      <c r="C4026" t="s">
        <v>3930</v>
      </c>
      <c r="D4026" t="s">
        <v>3931</v>
      </c>
      <c r="E4026" t="s">
        <v>3932</v>
      </c>
      <c r="F4026" t="s">
        <v>94</v>
      </c>
      <c r="G4026" t="s">
        <v>277</v>
      </c>
      <c r="H4026" s="12">
        <v>7.6017000000000001</v>
      </c>
      <c r="I4026" s="12">
        <v>-74.808300000000003</v>
      </c>
      <c r="J4026" t="s">
        <v>3933</v>
      </c>
      <c r="K4026" t="s">
        <v>97</v>
      </c>
      <c r="L4026" t="s">
        <v>1273</v>
      </c>
      <c r="M4026">
        <v>11</v>
      </c>
      <c r="P4026" s="13">
        <v>198</v>
      </c>
      <c r="Q4026" s="13">
        <v>44</v>
      </c>
      <c r="R4026">
        <v>34</v>
      </c>
      <c r="S4026">
        <v>52</v>
      </c>
      <c r="T4026" s="13">
        <v>26</v>
      </c>
      <c r="U4026" s="13">
        <v>47</v>
      </c>
      <c r="V4026" t="s">
        <v>99</v>
      </c>
      <c r="X4026" s="13">
        <v>198</v>
      </c>
    </row>
    <row r="4027" spans="1:24" x14ac:dyDescent="0.25">
      <c r="A4027" t="s">
        <v>3937</v>
      </c>
      <c r="B4027" t="s">
        <v>65</v>
      </c>
      <c r="C4027" t="s">
        <v>3930</v>
      </c>
      <c r="D4027" t="s">
        <v>3931</v>
      </c>
      <c r="E4027" t="s">
        <v>3932</v>
      </c>
      <c r="F4027" t="s">
        <v>94</v>
      </c>
      <c r="G4027" t="s">
        <v>277</v>
      </c>
      <c r="H4027" s="12">
        <v>7.6017000000000001</v>
      </c>
      <c r="I4027" s="12">
        <v>-74.808300000000003</v>
      </c>
      <c r="J4027" t="s">
        <v>3933</v>
      </c>
      <c r="K4027" t="s">
        <v>97</v>
      </c>
      <c r="L4027" t="s">
        <v>1273</v>
      </c>
      <c r="M4027">
        <v>11</v>
      </c>
      <c r="P4027" s="13">
        <v>196</v>
      </c>
      <c r="Q4027" s="13">
        <v>66</v>
      </c>
      <c r="R4027">
        <v>26</v>
      </c>
      <c r="S4027">
        <v>38</v>
      </c>
      <c r="T4027" s="13">
        <v>29</v>
      </c>
      <c r="U4027" s="13">
        <v>33</v>
      </c>
      <c r="V4027" t="s">
        <v>99</v>
      </c>
      <c r="X4027" s="13">
        <v>196</v>
      </c>
    </row>
    <row r="4028" spans="1:24" x14ac:dyDescent="0.25">
      <c r="A4028" t="s">
        <v>3938</v>
      </c>
      <c r="B4028" t="s">
        <v>65</v>
      </c>
      <c r="C4028" t="s">
        <v>3930</v>
      </c>
      <c r="D4028" t="s">
        <v>3931</v>
      </c>
      <c r="E4028" t="s">
        <v>3932</v>
      </c>
      <c r="F4028" t="s">
        <v>94</v>
      </c>
      <c r="G4028" t="s">
        <v>277</v>
      </c>
      <c r="H4028" s="12">
        <v>7.6017000000000001</v>
      </c>
      <c r="I4028" s="12">
        <v>-74.808300000000003</v>
      </c>
      <c r="J4028" t="s">
        <v>3933</v>
      </c>
      <c r="K4028" t="s">
        <v>97</v>
      </c>
      <c r="L4028" t="s">
        <v>1273</v>
      </c>
      <c r="M4028">
        <v>11</v>
      </c>
      <c r="P4028" s="13">
        <v>191</v>
      </c>
      <c r="Q4028" s="13">
        <v>46</v>
      </c>
      <c r="R4028">
        <v>28</v>
      </c>
      <c r="S4028">
        <v>50</v>
      </c>
      <c r="T4028" s="13">
        <v>31</v>
      </c>
      <c r="U4028" s="13">
        <v>31</v>
      </c>
      <c r="V4028" t="s">
        <v>99</v>
      </c>
      <c r="X4028" s="13">
        <v>191</v>
      </c>
    </row>
    <row r="4029" spans="1:24" x14ac:dyDescent="0.25">
      <c r="A4029" t="s">
        <v>3939</v>
      </c>
      <c r="B4029" t="s">
        <v>65</v>
      </c>
      <c r="C4029" t="s">
        <v>3930</v>
      </c>
      <c r="D4029" t="s">
        <v>3931</v>
      </c>
      <c r="E4029" t="s">
        <v>3932</v>
      </c>
      <c r="F4029" t="s">
        <v>94</v>
      </c>
      <c r="G4029" t="s">
        <v>277</v>
      </c>
      <c r="H4029" s="12">
        <v>7.6017000000000001</v>
      </c>
      <c r="I4029" s="12">
        <v>-74.808300000000003</v>
      </c>
      <c r="J4029" t="s">
        <v>3933</v>
      </c>
      <c r="K4029" t="s">
        <v>97</v>
      </c>
      <c r="L4029" t="s">
        <v>1273</v>
      </c>
      <c r="M4029">
        <v>11</v>
      </c>
      <c r="P4029" s="13">
        <v>187</v>
      </c>
      <c r="Q4029" s="13">
        <v>37</v>
      </c>
      <c r="R4029">
        <v>24</v>
      </c>
      <c r="S4029">
        <v>56</v>
      </c>
      <c r="T4029" s="13">
        <v>29</v>
      </c>
      <c r="U4029" s="13">
        <v>47</v>
      </c>
      <c r="V4029" t="s">
        <v>99</v>
      </c>
      <c r="X4029" s="13">
        <v>187</v>
      </c>
    </row>
    <row r="4030" spans="1:24" x14ac:dyDescent="0.25">
      <c r="A4030" t="s">
        <v>3940</v>
      </c>
      <c r="B4030" t="s">
        <v>65</v>
      </c>
      <c r="C4030" t="s">
        <v>3930</v>
      </c>
      <c r="D4030" t="s">
        <v>3931</v>
      </c>
      <c r="E4030" t="s">
        <v>3932</v>
      </c>
      <c r="F4030" t="s">
        <v>94</v>
      </c>
      <c r="G4030" t="s">
        <v>277</v>
      </c>
      <c r="H4030" s="12">
        <v>7.6017000000000001</v>
      </c>
      <c r="I4030" s="12">
        <v>-74.808300000000003</v>
      </c>
      <c r="J4030" t="s">
        <v>3933</v>
      </c>
      <c r="K4030" t="s">
        <v>97</v>
      </c>
      <c r="L4030" t="s">
        <v>1273</v>
      </c>
      <c r="M4030">
        <v>11</v>
      </c>
      <c r="P4030" s="13">
        <v>183</v>
      </c>
      <c r="Q4030" s="13">
        <v>39</v>
      </c>
      <c r="R4030">
        <v>24</v>
      </c>
      <c r="S4030">
        <v>42</v>
      </c>
      <c r="T4030" s="13">
        <v>38</v>
      </c>
      <c r="U4030" s="13">
        <v>47</v>
      </c>
      <c r="V4030" t="s">
        <v>99</v>
      </c>
      <c r="X4030" s="13">
        <v>183</v>
      </c>
    </row>
    <row r="4031" spans="1:24" x14ac:dyDescent="0.25">
      <c r="A4031" t="s">
        <v>3941</v>
      </c>
      <c r="B4031" t="s">
        <v>65</v>
      </c>
      <c r="C4031" t="s">
        <v>3930</v>
      </c>
      <c r="D4031" t="s">
        <v>3931</v>
      </c>
      <c r="E4031" t="s">
        <v>3932</v>
      </c>
      <c r="F4031" t="s">
        <v>94</v>
      </c>
      <c r="G4031" t="s">
        <v>277</v>
      </c>
      <c r="H4031" s="12">
        <v>7.6017000000000001</v>
      </c>
      <c r="I4031" s="12">
        <v>-74.808300000000003</v>
      </c>
      <c r="J4031" t="s">
        <v>3933</v>
      </c>
      <c r="K4031" t="s">
        <v>97</v>
      </c>
      <c r="L4031" t="s">
        <v>1273</v>
      </c>
      <c r="M4031">
        <v>11</v>
      </c>
      <c r="P4031" s="13">
        <v>182</v>
      </c>
      <c r="Q4031" s="13">
        <v>34</v>
      </c>
      <c r="R4031">
        <v>42</v>
      </c>
      <c r="S4031">
        <v>32</v>
      </c>
      <c r="T4031" s="13">
        <v>41</v>
      </c>
      <c r="U4031" s="13">
        <v>24</v>
      </c>
      <c r="V4031" t="s">
        <v>99</v>
      </c>
      <c r="X4031" s="13">
        <v>182</v>
      </c>
    </row>
    <row r="4032" spans="1:24" x14ac:dyDescent="0.25">
      <c r="A4032" t="s">
        <v>3942</v>
      </c>
      <c r="B4032" t="s">
        <v>65</v>
      </c>
      <c r="C4032" t="s">
        <v>3930</v>
      </c>
      <c r="D4032" t="s">
        <v>3931</v>
      </c>
      <c r="E4032" t="s">
        <v>3932</v>
      </c>
      <c r="F4032" t="s">
        <v>94</v>
      </c>
      <c r="G4032" t="s">
        <v>277</v>
      </c>
      <c r="H4032" s="12">
        <v>7.6017000000000001</v>
      </c>
      <c r="I4032" s="12">
        <v>-74.808300000000003</v>
      </c>
      <c r="J4032" t="s">
        <v>3933</v>
      </c>
      <c r="K4032" t="s">
        <v>97</v>
      </c>
      <c r="L4032" t="s">
        <v>1273</v>
      </c>
      <c r="M4032">
        <v>11</v>
      </c>
      <c r="P4032" s="13">
        <v>179</v>
      </c>
      <c r="Q4032" s="13">
        <v>44</v>
      </c>
      <c r="R4032">
        <v>32</v>
      </c>
      <c r="S4032">
        <v>36</v>
      </c>
      <c r="T4032" s="13">
        <v>31</v>
      </c>
      <c r="U4032" s="13">
        <v>36</v>
      </c>
      <c r="V4032" t="s">
        <v>99</v>
      </c>
      <c r="X4032" s="13">
        <v>179</v>
      </c>
    </row>
    <row r="4033" spans="1:24" x14ac:dyDescent="0.25">
      <c r="A4033" t="s">
        <v>3943</v>
      </c>
      <c r="B4033" t="s">
        <v>65</v>
      </c>
      <c r="C4033" t="s">
        <v>3930</v>
      </c>
      <c r="D4033" t="s">
        <v>3931</v>
      </c>
      <c r="E4033" t="s">
        <v>3932</v>
      </c>
      <c r="F4033" t="s">
        <v>94</v>
      </c>
      <c r="G4033" t="s">
        <v>277</v>
      </c>
      <c r="H4033" s="12">
        <v>7.6017000000000001</v>
      </c>
      <c r="I4033" s="12">
        <v>-74.808300000000003</v>
      </c>
      <c r="J4033" t="s">
        <v>3933</v>
      </c>
      <c r="K4033" t="s">
        <v>97</v>
      </c>
      <c r="L4033" t="s">
        <v>1273</v>
      </c>
      <c r="M4033">
        <v>11</v>
      </c>
      <c r="P4033" s="13">
        <v>175</v>
      </c>
      <c r="Q4033" s="13">
        <v>34</v>
      </c>
      <c r="R4033">
        <v>24</v>
      </c>
      <c r="S4033">
        <v>38</v>
      </c>
      <c r="T4033" s="13">
        <v>40</v>
      </c>
      <c r="U4033" s="13">
        <v>47</v>
      </c>
      <c r="V4033" t="s">
        <v>99</v>
      </c>
      <c r="X4033" s="13">
        <v>175</v>
      </c>
    </row>
    <row r="4034" spans="1:24" x14ac:dyDescent="0.25">
      <c r="A4034" t="s">
        <v>3944</v>
      </c>
      <c r="B4034" t="s">
        <v>65</v>
      </c>
      <c r="C4034" t="s">
        <v>3930</v>
      </c>
      <c r="D4034" t="s">
        <v>3931</v>
      </c>
      <c r="E4034" t="s">
        <v>3932</v>
      </c>
      <c r="F4034" t="s">
        <v>94</v>
      </c>
      <c r="G4034" t="s">
        <v>277</v>
      </c>
      <c r="H4034" s="12">
        <v>7.6017000000000001</v>
      </c>
      <c r="I4034" s="12">
        <v>-74.808300000000003</v>
      </c>
      <c r="J4034" t="s">
        <v>3933</v>
      </c>
      <c r="K4034" t="s">
        <v>97</v>
      </c>
      <c r="L4034" t="s">
        <v>1273</v>
      </c>
      <c r="M4034">
        <v>11</v>
      </c>
      <c r="P4034" s="13">
        <v>169</v>
      </c>
      <c r="Q4034" s="13">
        <v>44</v>
      </c>
      <c r="R4034">
        <v>28</v>
      </c>
      <c r="S4034">
        <v>36</v>
      </c>
      <c r="T4034" s="13">
        <v>24</v>
      </c>
      <c r="U4034" s="13">
        <v>44</v>
      </c>
      <c r="V4034" t="s">
        <v>99</v>
      </c>
      <c r="X4034" s="13">
        <v>169</v>
      </c>
    </row>
    <row r="4035" spans="1:24" x14ac:dyDescent="0.25">
      <c r="A4035" t="s">
        <v>3945</v>
      </c>
      <c r="B4035" t="s">
        <v>65</v>
      </c>
      <c r="C4035" t="s">
        <v>3930</v>
      </c>
      <c r="D4035" t="s">
        <v>3931</v>
      </c>
      <c r="E4035" t="s">
        <v>3932</v>
      </c>
      <c r="F4035" t="s">
        <v>94</v>
      </c>
      <c r="G4035" t="s">
        <v>277</v>
      </c>
      <c r="H4035" s="12">
        <v>7.6017000000000001</v>
      </c>
      <c r="I4035" s="12">
        <v>-74.808300000000003</v>
      </c>
      <c r="J4035" t="s">
        <v>3933</v>
      </c>
      <c r="K4035" t="s">
        <v>97</v>
      </c>
      <c r="L4035" t="s">
        <v>1273</v>
      </c>
      <c r="M4035">
        <v>11</v>
      </c>
      <c r="P4035" s="13">
        <v>160</v>
      </c>
      <c r="Q4035" s="13">
        <v>27</v>
      </c>
      <c r="R4035">
        <v>30</v>
      </c>
      <c r="S4035">
        <v>38</v>
      </c>
      <c r="T4035" s="13">
        <v>29</v>
      </c>
      <c r="U4035" s="13">
        <v>44</v>
      </c>
      <c r="V4035" t="s">
        <v>99</v>
      </c>
      <c r="X4035" s="13">
        <v>160</v>
      </c>
    </row>
    <row r="4036" spans="1:24" x14ac:dyDescent="0.25">
      <c r="A4036" t="s">
        <v>3946</v>
      </c>
      <c r="B4036" t="s">
        <v>65</v>
      </c>
      <c r="C4036" t="s">
        <v>3930</v>
      </c>
      <c r="D4036" t="s">
        <v>3931</v>
      </c>
      <c r="E4036" t="s">
        <v>3932</v>
      </c>
      <c r="F4036" t="s">
        <v>94</v>
      </c>
      <c r="G4036" t="s">
        <v>277</v>
      </c>
      <c r="H4036" s="12">
        <v>7.6017000000000001</v>
      </c>
      <c r="I4036" s="12">
        <v>-74.808300000000003</v>
      </c>
      <c r="J4036" t="s">
        <v>3933</v>
      </c>
      <c r="K4036" t="s">
        <v>97</v>
      </c>
      <c r="L4036" t="s">
        <v>1273</v>
      </c>
      <c r="M4036">
        <v>11</v>
      </c>
      <c r="P4036" s="13">
        <v>158</v>
      </c>
      <c r="Q4036" s="13">
        <v>32</v>
      </c>
      <c r="R4036">
        <v>30</v>
      </c>
      <c r="S4036">
        <v>38</v>
      </c>
      <c r="T4036" s="13">
        <v>28</v>
      </c>
      <c r="U4036" s="13">
        <v>29</v>
      </c>
      <c r="V4036" t="s">
        <v>99</v>
      </c>
      <c r="X4036" s="13">
        <v>158</v>
      </c>
    </row>
    <row r="4037" spans="1:24" x14ac:dyDescent="0.25">
      <c r="A4037" t="s">
        <v>3947</v>
      </c>
      <c r="B4037" t="s">
        <v>65</v>
      </c>
      <c r="C4037" t="s">
        <v>3930</v>
      </c>
      <c r="D4037" t="s">
        <v>3931</v>
      </c>
      <c r="E4037" t="s">
        <v>3932</v>
      </c>
      <c r="F4037" t="s">
        <v>94</v>
      </c>
      <c r="G4037" t="s">
        <v>277</v>
      </c>
      <c r="H4037" s="12">
        <v>7.6017000000000001</v>
      </c>
      <c r="I4037" s="12">
        <v>-74.808300000000003</v>
      </c>
      <c r="J4037" t="s">
        <v>3933</v>
      </c>
      <c r="K4037" t="s">
        <v>97</v>
      </c>
      <c r="L4037" t="s">
        <v>1273</v>
      </c>
      <c r="M4037">
        <v>11</v>
      </c>
      <c r="P4037" s="13">
        <v>156</v>
      </c>
      <c r="Q4037" s="13">
        <v>34</v>
      </c>
      <c r="R4037">
        <v>26</v>
      </c>
      <c r="S4037">
        <v>38</v>
      </c>
      <c r="T4037" s="13">
        <v>24</v>
      </c>
      <c r="U4037" s="13">
        <v>38</v>
      </c>
      <c r="V4037" t="s">
        <v>99</v>
      </c>
      <c r="X4037" s="13">
        <v>156</v>
      </c>
    </row>
    <row r="4038" spans="1:24" x14ac:dyDescent="0.25">
      <c r="A4038" t="s">
        <v>3948</v>
      </c>
      <c r="B4038" t="s">
        <v>65</v>
      </c>
      <c r="C4038" t="s">
        <v>3930</v>
      </c>
      <c r="D4038" t="s">
        <v>3931</v>
      </c>
      <c r="E4038" t="s">
        <v>3932</v>
      </c>
      <c r="F4038" t="s">
        <v>94</v>
      </c>
      <c r="G4038" t="s">
        <v>277</v>
      </c>
      <c r="H4038" s="12">
        <v>7.6017000000000001</v>
      </c>
      <c r="I4038" s="12">
        <v>-74.808300000000003</v>
      </c>
      <c r="J4038" t="s">
        <v>3933</v>
      </c>
      <c r="K4038" t="s">
        <v>97</v>
      </c>
      <c r="L4038" t="s">
        <v>1273</v>
      </c>
      <c r="M4038">
        <v>11</v>
      </c>
      <c r="P4038" s="13">
        <v>155</v>
      </c>
      <c r="Q4038" s="13">
        <v>34</v>
      </c>
      <c r="R4038">
        <v>22</v>
      </c>
      <c r="S4038">
        <v>36</v>
      </c>
      <c r="T4038" s="13">
        <v>31</v>
      </c>
      <c r="U4038" s="13">
        <v>33</v>
      </c>
      <c r="V4038" t="s">
        <v>99</v>
      </c>
      <c r="X4038" s="13">
        <v>155</v>
      </c>
    </row>
    <row r="4039" spans="1:24" x14ac:dyDescent="0.25">
      <c r="A4039" t="s">
        <v>3949</v>
      </c>
      <c r="B4039" t="s">
        <v>65</v>
      </c>
      <c r="C4039" t="s">
        <v>3930</v>
      </c>
      <c r="D4039" t="s">
        <v>3931</v>
      </c>
      <c r="E4039" t="s">
        <v>3932</v>
      </c>
      <c r="F4039" t="s">
        <v>94</v>
      </c>
      <c r="G4039" t="s">
        <v>277</v>
      </c>
      <c r="H4039" s="12">
        <v>7.6017000000000001</v>
      </c>
      <c r="I4039" s="12">
        <v>-74.808300000000003</v>
      </c>
      <c r="J4039" t="s">
        <v>3933</v>
      </c>
      <c r="K4039" t="s">
        <v>97</v>
      </c>
      <c r="L4039" t="s">
        <v>1273</v>
      </c>
      <c r="M4039">
        <v>11</v>
      </c>
      <c r="P4039" s="13">
        <v>152</v>
      </c>
      <c r="Q4039" s="13">
        <v>44</v>
      </c>
      <c r="R4039">
        <v>28</v>
      </c>
      <c r="S4039">
        <v>24</v>
      </c>
      <c r="T4039" s="13">
        <v>24</v>
      </c>
      <c r="U4039" s="13">
        <v>36</v>
      </c>
      <c r="V4039" t="s">
        <v>99</v>
      </c>
      <c r="X4039" s="13">
        <v>152</v>
      </c>
    </row>
    <row r="4040" spans="1:24" x14ac:dyDescent="0.25">
      <c r="A4040" t="s">
        <v>3950</v>
      </c>
      <c r="B4040" t="s">
        <v>65</v>
      </c>
      <c r="C4040" t="s">
        <v>3930</v>
      </c>
      <c r="D4040" t="s">
        <v>3931</v>
      </c>
      <c r="E4040" t="s">
        <v>3932</v>
      </c>
      <c r="F4040" t="s">
        <v>94</v>
      </c>
      <c r="G4040" t="s">
        <v>277</v>
      </c>
      <c r="H4040" s="12">
        <v>7.6017000000000001</v>
      </c>
      <c r="I4040" s="12">
        <v>-74.808300000000003</v>
      </c>
      <c r="J4040" t="s">
        <v>3933</v>
      </c>
      <c r="K4040" t="s">
        <v>97</v>
      </c>
      <c r="L4040" t="s">
        <v>1273</v>
      </c>
      <c r="M4040">
        <v>11</v>
      </c>
      <c r="P4040" s="13">
        <v>151</v>
      </c>
      <c r="Q4040" s="13">
        <v>39</v>
      </c>
      <c r="R4040">
        <v>20</v>
      </c>
      <c r="S4040">
        <v>34</v>
      </c>
      <c r="T4040" s="13">
        <v>24</v>
      </c>
      <c r="U4040" s="13">
        <v>42</v>
      </c>
      <c r="V4040" t="s">
        <v>99</v>
      </c>
      <c r="X4040" s="13">
        <v>151</v>
      </c>
    </row>
    <row r="4041" spans="1:24" x14ac:dyDescent="0.25">
      <c r="A4041" t="s">
        <v>3951</v>
      </c>
      <c r="B4041" t="s">
        <v>65</v>
      </c>
      <c r="C4041" t="s">
        <v>3930</v>
      </c>
      <c r="D4041" t="s">
        <v>3931</v>
      </c>
      <c r="E4041" t="s">
        <v>3932</v>
      </c>
      <c r="F4041" t="s">
        <v>94</v>
      </c>
      <c r="G4041" t="s">
        <v>277</v>
      </c>
      <c r="H4041" s="12">
        <v>7.6017000000000001</v>
      </c>
      <c r="I4041" s="12">
        <v>-74.808300000000003</v>
      </c>
      <c r="J4041" t="s">
        <v>3933</v>
      </c>
      <c r="K4041" t="s">
        <v>97</v>
      </c>
      <c r="L4041" t="s">
        <v>1273</v>
      </c>
      <c r="M4041">
        <v>11</v>
      </c>
      <c r="P4041" s="13">
        <v>149</v>
      </c>
      <c r="Q4041" s="13">
        <v>24</v>
      </c>
      <c r="R4041">
        <v>32</v>
      </c>
      <c r="S4041">
        <v>36</v>
      </c>
      <c r="T4041" s="13">
        <v>29</v>
      </c>
      <c r="U4041" s="13">
        <v>22</v>
      </c>
      <c r="V4041" t="s">
        <v>99</v>
      </c>
      <c r="X4041" s="13">
        <v>149</v>
      </c>
    </row>
    <row r="4042" spans="1:24" x14ac:dyDescent="0.25">
      <c r="A4042" t="s">
        <v>3952</v>
      </c>
      <c r="B4042" t="s">
        <v>65</v>
      </c>
      <c r="C4042" t="s">
        <v>3930</v>
      </c>
      <c r="D4042" t="s">
        <v>3931</v>
      </c>
      <c r="E4042" t="s">
        <v>3932</v>
      </c>
      <c r="F4042" t="s">
        <v>94</v>
      </c>
      <c r="G4042" t="s">
        <v>277</v>
      </c>
      <c r="H4042" s="12">
        <v>7.6017000000000001</v>
      </c>
      <c r="I4042" s="12">
        <v>-74.808300000000003</v>
      </c>
      <c r="J4042" t="s">
        <v>3933</v>
      </c>
      <c r="K4042" t="s">
        <v>97</v>
      </c>
      <c r="L4042" t="s">
        <v>1273</v>
      </c>
      <c r="M4042">
        <v>11</v>
      </c>
      <c r="P4042" s="13">
        <v>149</v>
      </c>
      <c r="Q4042" s="13">
        <v>46</v>
      </c>
      <c r="R4042">
        <v>28</v>
      </c>
      <c r="S4042">
        <v>18</v>
      </c>
      <c r="T4042" s="13">
        <v>29</v>
      </c>
      <c r="U4042" s="13">
        <v>22</v>
      </c>
      <c r="V4042" t="s">
        <v>99</v>
      </c>
      <c r="X4042" s="13">
        <v>149</v>
      </c>
    </row>
    <row r="4043" spans="1:24" x14ac:dyDescent="0.25">
      <c r="A4043" t="s">
        <v>3953</v>
      </c>
      <c r="B4043" t="s">
        <v>65</v>
      </c>
      <c r="C4043" t="s">
        <v>3930</v>
      </c>
      <c r="D4043" t="s">
        <v>3931</v>
      </c>
      <c r="E4043" t="s">
        <v>3932</v>
      </c>
      <c r="F4043" t="s">
        <v>94</v>
      </c>
      <c r="G4043" t="s">
        <v>277</v>
      </c>
      <c r="H4043" s="12">
        <v>7.6017000000000001</v>
      </c>
      <c r="I4043" s="12">
        <v>-74.808300000000003</v>
      </c>
      <c r="J4043" t="s">
        <v>3933</v>
      </c>
      <c r="K4043" t="s">
        <v>97</v>
      </c>
      <c r="L4043" t="s">
        <v>1273</v>
      </c>
      <c r="M4043">
        <v>11</v>
      </c>
      <c r="P4043" s="13">
        <v>147</v>
      </c>
      <c r="Q4043" s="13">
        <v>27</v>
      </c>
      <c r="R4043">
        <v>38</v>
      </c>
      <c r="S4043">
        <v>36</v>
      </c>
      <c r="T4043" s="13">
        <v>17</v>
      </c>
      <c r="U4043" s="13">
        <v>29</v>
      </c>
      <c r="V4043" t="s">
        <v>99</v>
      </c>
      <c r="X4043" s="13">
        <v>147</v>
      </c>
    </row>
    <row r="4044" spans="1:24" x14ac:dyDescent="0.25">
      <c r="A4044" t="s">
        <v>3954</v>
      </c>
      <c r="B4044" t="s">
        <v>65</v>
      </c>
      <c r="C4044" t="s">
        <v>3930</v>
      </c>
      <c r="D4044" t="s">
        <v>3931</v>
      </c>
      <c r="E4044" t="s">
        <v>3932</v>
      </c>
      <c r="F4044" t="s">
        <v>94</v>
      </c>
      <c r="G4044" t="s">
        <v>277</v>
      </c>
      <c r="H4044" s="12">
        <v>7.6017000000000001</v>
      </c>
      <c r="I4044" s="12">
        <v>-74.808300000000003</v>
      </c>
      <c r="J4044" t="s">
        <v>3933</v>
      </c>
      <c r="K4044" t="s">
        <v>97</v>
      </c>
      <c r="L4044" t="s">
        <v>1273</v>
      </c>
      <c r="M4044">
        <v>11</v>
      </c>
      <c r="P4044" s="13">
        <v>145</v>
      </c>
      <c r="Q4044" s="13">
        <v>27</v>
      </c>
      <c r="R4044">
        <v>22</v>
      </c>
      <c r="S4044">
        <v>28</v>
      </c>
      <c r="T4044" s="13">
        <v>33</v>
      </c>
      <c r="U4044" s="13">
        <v>47</v>
      </c>
      <c r="V4044" t="s">
        <v>99</v>
      </c>
      <c r="X4044" s="13">
        <v>145</v>
      </c>
    </row>
    <row r="4045" spans="1:24" x14ac:dyDescent="0.25">
      <c r="A4045" t="s">
        <v>3955</v>
      </c>
      <c r="B4045" t="s">
        <v>65</v>
      </c>
      <c r="C4045" t="s">
        <v>3930</v>
      </c>
      <c r="D4045" t="s">
        <v>3931</v>
      </c>
      <c r="E4045" t="s">
        <v>3932</v>
      </c>
      <c r="F4045" t="s">
        <v>94</v>
      </c>
      <c r="G4045" t="s">
        <v>277</v>
      </c>
      <c r="H4045" s="12">
        <v>7.6017000000000001</v>
      </c>
      <c r="I4045" s="12">
        <v>-74.808300000000003</v>
      </c>
      <c r="J4045" t="s">
        <v>3933</v>
      </c>
      <c r="K4045" t="s">
        <v>97</v>
      </c>
      <c r="L4045" t="s">
        <v>1273</v>
      </c>
      <c r="M4045">
        <v>11</v>
      </c>
      <c r="P4045" s="13">
        <v>144</v>
      </c>
      <c r="Q4045" s="13">
        <v>24</v>
      </c>
      <c r="R4045">
        <v>24</v>
      </c>
      <c r="S4045">
        <v>36</v>
      </c>
      <c r="T4045" s="13">
        <v>22</v>
      </c>
      <c r="U4045" s="13">
        <v>53</v>
      </c>
      <c r="V4045" t="s">
        <v>99</v>
      </c>
      <c r="X4045" s="13">
        <v>144</v>
      </c>
    </row>
    <row r="4046" spans="1:24" x14ac:dyDescent="0.25">
      <c r="A4046" t="s">
        <v>3956</v>
      </c>
      <c r="B4046" t="s">
        <v>65</v>
      </c>
      <c r="C4046" t="s">
        <v>3930</v>
      </c>
      <c r="D4046" t="s">
        <v>3931</v>
      </c>
      <c r="E4046" t="s">
        <v>3932</v>
      </c>
      <c r="F4046" t="s">
        <v>94</v>
      </c>
      <c r="G4046" t="s">
        <v>277</v>
      </c>
      <c r="H4046" s="12">
        <v>7.6017000000000001</v>
      </c>
      <c r="I4046" s="12">
        <v>-74.808300000000003</v>
      </c>
      <c r="J4046" t="s">
        <v>3933</v>
      </c>
      <c r="K4046" t="s">
        <v>97</v>
      </c>
      <c r="L4046" t="s">
        <v>1273</v>
      </c>
      <c r="M4046">
        <v>11</v>
      </c>
      <c r="P4046" s="13">
        <v>142</v>
      </c>
      <c r="Q4046" s="13">
        <v>34</v>
      </c>
      <c r="R4046">
        <v>14</v>
      </c>
      <c r="S4046">
        <v>32</v>
      </c>
      <c r="T4046" s="13">
        <v>33</v>
      </c>
      <c r="U4046" s="13">
        <v>31</v>
      </c>
      <c r="V4046" t="s">
        <v>99</v>
      </c>
      <c r="X4046" s="13">
        <v>142</v>
      </c>
    </row>
    <row r="4047" spans="1:24" x14ac:dyDescent="0.25">
      <c r="A4047" t="s">
        <v>3957</v>
      </c>
      <c r="B4047" t="s">
        <v>65</v>
      </c>
      <c r="C4047" t="s">
        <v>3930</v>
      </c>
      <c r="D4047" t="s">
        <v>3931</v>
      </c>
      <c r="E4047" t="s">
        <v>3932</v>
      </c>
      <c r="F4047" t="s">
        <v>94</v>
      </c>
      <c r="G4047" t="s">
        <v>277</v>
      </c>
      <c r="H4047" s="12">
        <v>7.6017000000000001</v>
      </c>
      <c r="I4047" s="12">
        <v>-74.808300000000003</v>
      </c>
      <c r="J4047" t="s">
        <v>3933</v>
      </c>
      <c r="K4047" t="s">
        <v>97</v>
      </c>
      <c r="L4047" t="s">
        <v>1273</v>
      </c>
      <c r="M4047">
        <v>11</v>
      </c>
      <c r="P4047" s="13">
        <v>138</v>
      </c>
      <c r="Q4047" s="13">
        <v>17</v>
      </c>
      <c r="R4047">
        <v>26</v>
      </c>
      <c r="S4047">
        <v>44</v>
      </c>
      <c r="T4047" s="13">
        <v>21</v>
      </c>
      <c r="U4047" s="13">
        <v>36</v>
      </c>
      <c r="V4047" t="s">
        <v>99</v>
      </c>
      <c r="X4047" s="13">
        <v>138</v>
      </c>
    </row>
    <row r="4048" spans="1:24" x14ac:dyDescent="0.25">
      <c r="A4048" t="s">
        <v>3958</v>
      </c>
      <c r="B4048" t="s">
        <v>65</v>
      </c>
      <c r="C4048" t="s">
        <v>3930</v>
      </c>
      <c r="D4048" t="s">
        <v>3931</v>
      </c>
      <c r="E4048" t="s">
        <v>3932</v>
      </c>
      <c r="F4048" t="s">
        <v>94</v>
      </c>
      <c r="G4048" t="s">
        <v>277</v>
      </c>
      <c r="H4048" s="12">
        <v>7.6017000000000001</v>
      </c>
      <c r="I4048" s="12">
        <v>-74.808300000000003</v>
      </c>
      <c r="J4048" t="s">
        <v>3933</v>
      </c>
      <c r="K4048" t="s">
        <v>97</v>
      </c>
      <c r="L4048" t="s">
        <v>1273</v>
      </c>
      <c r="M4048">
        <v>11</v>
      </c>
      <c r="P4048" s="13">
        <v>137</v>
      </c>
      <c r="Q4048" s="13">
        <v>27</v>
      </c>
      <c r="R4048">
        <v>18</v>
      </c>
      <c r="S4048">
        <v>28</v>
      </c>
      <c r="T4048" s="13">
        <v>33</v>
      </c>
      <c r="U4048" s="13">
        <v>38</v>
      </c>
      <c r="V4048" t="s">
        <v>99</v>
      </c>
      <c r="X4048" s="13">
        <v>137</v>
      </c>
    </row>
    <row r="4049" spans="1:24" x14ac:dyDescent="0.25">
      <c r="A4049" t="s">
        <v>3959</v>
      </c>
      <c r="B4049" t="s">
        <v>65</v>
      </c>
      <c r="C4049" t="s">
        <v>3930</v>
      </c>
      <c r="D4049" t="s">
        <v>3931</v>
      </c>
      <c r="E4049" t="s">
        <v>3932</v>
      </c>
      <c r="F4049" t="s">
        <v>94</v>
      </c>
      <c r="G4049" t="s">
        <v>277</v>
      </c>
      <c r="H4049" s="12">
        <v>7.6017000000000001</v>
      </c>
      <c r="I4049" s="12">
        <v>-74.808300000000003</v>
      </c>
      <c r="J4049" t="s">
        <v>3933</v>
      </c>
      <c r="K4049" t="s">
        <v>97</v>
      </c>
      <c r="L4049" t="s">
        <v>1273</v>
      </c>
      <c r="M4049">
        <v>11</v>
      </c>
      <c r="P4049" s="13">
        <v>134</v>
      </c>
      <c r="Q4049" s="13">
        <v>29</v>
      </c>
      <c r="R4049">
        <v>20</v>
      </c>
      <c r="S4049">
        <v>22</v>
      </c>
      <c r="T4049" s="13">
        <v>34</v>
      </c>
      <c r="U4049" s="13">
        <v>31</v>
      </c>
      <c r="V4049" t="s">
        <v>99</v>
      </c>
      <c r="X4049" s="13">
        <v>134</v>
      </c>
    </row>
    <row r="4050" spans="1:24" x14ac:dyDescent="0.25">
      <c r="A4050" t="s">
        <v>3960</v>
      </c>
      <c r="B4050" t="s">
        <v>65</v>
      </c>
      <c r="C4050" t="s">
        <v>3930</v>
      </c>
      <c r="D4050" t="s">
        <v>3931</v>
      </c>
      <c r="E4050" t="s">
        <v>3932</v>
      </c>
      <c r="F4050" t="s">
        <v>94</v>
      </c>
      <c r="G4050" t="s">
        <v>277</v>
      </c>
      <c r="H4050" s="12">
        <v>7.6017000000000001</v>
      </c>
      <c r="I4050" s="12">
        <v>-74.808300000000003</v>
      </c>
      <c r="J4050" t="s">
        <v>3933</v>
      </c>
      <c r="K4050" t="s">
        <v>97</v>
      </c>
      <c r="L4050" t="s">
        <v>1273</v>
      </c>
      <c r="M4050">
        <v>11</v>
      </c>
      <c r="P4050" s="13">
        <v>134</v>
      </c>
      <c r="Q4050" s="13">
        <v>27</v>
      </c>
      <c r="R4050">
        <v>14</v>
      </c>
      <c r="S4050">
        <v>40</v>
      </c>
      <c r="T4050" s="13">
        <v>24</v>
      </c>
      <c r="U4050" s="13">
        <v>33</v>
      </c>
      <c r="V4050" t="s">
        <v>99</v>
      </c>
      <c r="X4050" s="13">
        <v>134</v>
      </c>
    </row>
    <row r="4051" spans="1:24" x14ac:dyDescent="0.25">
      <c r="A4051" t="s">
        <v>3961</v>
      </c>
      <c r="B4051" t="s">
        <v>65</v>
      </c>
      <c r="C4051" t="s">
        <v>3930</v>
      </c>
      <c r="D4051" t="s">
        <v>3931</v>
      </c>
      <c r="E4051" t="s">
        <v>3932</v>
      </c>
      <c r="F4051" t="s">
        <v>94</v>
      </c>
      <c r="G4051" t="s">
        <v>277</v>
      </c>
      <c r="H4051" s="12">
        <v>7.6017000000000001</v>
      </c>
      <c r="I4051" s="12">
        <v>-74.808300000000003</v>
      </c>
      <c r="J4051" t="s">
        <v>3933</v>
      </c>
      <c r="K4051" t="s">
        <v>97</v>
      </c>
      <c r="L4051" t="s">
        <v>1273</v>
      </c>
      <c r="M4051">
        <v>11</v>
      </c>
      <c r="P4051" s="13">
        <v>133</v>
      </c>
      <c r="Q4051" s="13">
        <v>39</v>
      </c>
      <c r="R4051">
        <v>28</v>
      </c>
      <c r="S4051">
        <v>20</v>
      </c>
      <c r="T4051" s="13">
        <v>21</v>
      </c>
      <c r="U4051" s="13">
        <v>24</v>
      </c>
      <c r="V4051" t="s">
        <v>99</v>
      </c>
      <c r="X4051" s="13">
        <v>133</v>
      </c>
    </row>
    <row r="4052" spans="1:24" x14ac:dyDescent="0.25">
      <c r="A4052" t="s">
        <v>3962</v>
      </c>
      <c r="B4052" t="s">
        <v>65</v>
      </c>
      <c r="C4052" t="s">
        <v>3930</v>
      </c>
      <c r="D4052" t="s">
        <v>3931</v>
      </c>
      <c r="E4052" t="s">
        <v>3932</v>
      </c>
      <c r="F4052" t="s">
        <v>94</v>
      </c>
      <c r="G4052" t="s">
        <v>277</v>
      </c>
      <c r="H4052" s="12">
        <v>7.6017000000000001</v>
      </c>
      <c r="I4052" s="12">
        <v>-74.808300000000003</v>
      </c>
      <c r="J4052" t="s">
        <v>3933</v>
      </c>
      <c r="K4052" t="s">
        <v>97</v>
      </c>
      <c r="L4052" t="s">
        <v>1273</v>
      </c>
      <c r="M4052">
        <v>11</v>
      </c>
      <c r="P4052" s="13">
        <v>133</v>
      </c>
      <c r="Q4052" s="13">
        <v>29</v>
      </c>
      <c r="R4052">
        <v>20</v>
      </c>
      <c r="S4052">
        <v>30</v>
      </c>
      <c r="T4052" s="13">
        <v>28</v>
      </c>
      <c r="U4052" s="13">
        <v>25</v>
      </c>
      <c r="V4052" t="s">
        <v>99</v>
      </c>
      <c r="X4052" s="13">
        <v>133</v>
      </c>
    </row>
    <row r="4053" spans="1:24" x14ac:dyDescent="0.25">
      <c r="A4053" t="s">
        <v>3963</v>
      </c>
      <c r="B4053" t="s">
        <v>65</v>
      </c>
      <c r="C4053" t="s">
        <v>3930</v>
      </c>
      <c r="D4053" t="s">
        <v>3931</v>
      </c>
      <c r="E4053" t="s">
        <v>3932</v>
      </c>
      <c r="F4053" t="s">
        <v>94</v>
      </c>
      <c r="G4053" t="s">
        <v>277</v>
      </c>
      <c r="H4053" s="12">
        <v>7.6017000000000001</v>
      </c>
      <c r="I4053" s="12">
        <v>-74.808300000000003</v>
      </c>
      <c r="J4053" t="s">
        <v>3933</v>
      </c>
      <c r="K4053" t="s">
        <v>97</v>
      </c>
      <c r="L4053" t="s">
        <v>1273</v>
      </c>
      <c r="M4053">
        <v>11</v>
      </c>
      <c r="P4053" s="13">
        <v>130</v>
      </c>
      <c r="Q4053" s="13">
        <v>34</v>
      </c>
      <c r="R4053">
        <v>22</v>
      </c>
      <c r="S4053">
        <v>24</v>
      </c>
      <c r="T4053" s="13">
        <v>22</v>
      </c>
      <c r="U4053" s="13">
        <v>29</v>
      </c>
      <c r="V4053" t="s">
        <v>99</v>
      </c>
      <c r="X4053" s="13">
        <v>130</v>
      </c>
    </row>
    <row r="4054" spans="1:24" x14ac:dyDescent="0.25">
      <c r="A4054" t="s">
        <v>3964</v>
      </c>
      <c r="B4054" t="s">
        <v>65</v>
      </c>
      <c r="C4054" t="s">
        <v>3930</v>
      </c>
      <c r="D4054" t="s">
        <v>3931</v>
      </c>
      <c r="E4054" t="s">
        <v>3932</v>
      </c>
      <c r="F4054" t="s">
        <v>94</v>
      </c>
      <c r="G4054" t="s">
        <v>277</v>
      </c>
      <c r="H4054" s="12">
        <v>7.6017000000000001</v>
      </c>
      <c r="I4054" s="12">
        <v>-74.808300000000003</v>
      </c>
      <c r="J4054" t="s">
        <v>3933</v>
      </c>
      <c r="K4054" t="s">
        <v>97</v>
      </c>
      <c r="L4054" t="s">
        <v>1273</v>
      </c>
      <c r="M4054">
        <v>11</v>
      </c>
      <c r="P4054" s="13">
        <v>129</v>
      </c>
      <c r="Q4054" s="13">
        <v>29</v>
      </c>
      <c r="R4054">
        <v>16</v>
      </c>
      <c r="S4054">
        <v>28</v>
      </c>
      <c r="T4054" s="13">
        <v>29</v>
      </c>
      <c r="U4054" s="13">
        <v>27</v>
      </c>
      <c r="V4054" t="s">
        <v>99</v>
      </c>
      <c r="X4054" s="13">
        <v>129</v>
      </c>
    </row>
    <row r="4055" spans="1:24" x14ac:dyDescent="0.25">
      <c r="A4055" t="s">
        <v>3965</v>
      </c>
      <c r="B4055" t="s">
        <v>65</v>
      </c>
      <c r="C4055" t="s">
        <v>3930</v>
      </c>
      <c r="D4055" t="s">
        <v>3931</v>
      </c>
      <c r="E4055" t="s">
        <v>3932</v>
      </c>
      <c r="F4055" t="s">
        <v>94</v>
      </c>
      <c r="G4055" t="s">
        <v>277</v>
      </c>
      <c r="H4055" s="12">
        <v>7.6017000000000001</v>
      </c>
      <c r="I4055" s="12">
        <v>-74.808300000000003</v>
      </c>
      <c r="J4055" t="s">
        <v>3933</v>
      </c>
      <c r="K4055" t="s">
        <v>97</v>
      </c>
      <c r="L4055" t="s">
        <v>1273</v>
      </c>
      <c r="M4055">
        <v>11</v>
      </c>
      <c r="P4055" s="13">
        <v>128</v>
      </c>
      <c r="Q4055" s="13">
        <v>22</v>
      </c>
      <c r="R4055">
        <v>22</v>
      </c>
      <c r="S4055">
        <v>32</v>
      </c>
      <c r="T4055" s="13">
        <v>28</v>
      </c>
      <c r="U4055" s="13">
        <v>22</v>
      </c>
      <c r="V4055" t="s">
        <v>99</v>
      </c>
      <c r="X4055" s="13">
        <v>128</v>
      </c>
    </row>
    <row r="4056" spans="1:24" x14ac:dyDescent="0.25">
      <c r="A4056" t="s">
        <v>3966</v>
      </c>
      <c r="B4056" t="s">
        <v>65</v>
      </c>
      <c r="C4056" t="s">
        <v>3930</v>
      </c>
      <c r="D4056" t="s">
        <v>3931</v>
      </c>
      <c r="E4056" t="s">
        <v>3932</v>
      </c>
      <c r="F4056" t="s">
        <v>94</v>
      </c>
      <c r="G4056" t="s">
        <v>277</v>
      </c>
      <c r="H4056" s="12">
        <v>7.6017000000000001</v>
      </c>
      <c r="I4056" s="12">
        <v>-74.808300000000003</v>
      </c>
      <c r="J4056" t="s">
        <v>3933</v>
      </c>
      <c r="K4056" t="s">
        <v>97</v>
      </c>
      <c r="L4056" t="s">
        <v>1273</v>
      </c>
      <c r="M4056">
        <v>11</v>
      </c>
      <c r="P4056" s="13">
        <v>126</v>
      </c>
      <c r="Q4056" s="13">
        <v>22</v>
      </c>
      <c r="R4056">
        <v>24</v>
      </c>
      <c r="S4056">
        <v>26</v>
      </c>
      <c r="T4056" s="13">
        <v>24</v>
      </c>
      <c r="U4056" s="13">
        <v>38</v>
      </c>
      <c r="V4056" t="s">
        <v>99</v>
      </c>
      <c r="X4056" s="13">
        <v>126</v>
      </c>
    </row>
    <row r="4057" spans="1:24" x14ac:dyDescent="0.25">
      <c r="A4057" t="s">
        <v>3967</v>
      </c>
      <c r="B4057" t="s">
        <v>65</v>
      </c>
      <c r="C4057" t="s">
        <v>3930</v>
      </c>
      <c r="D4057" t="s">
        <v>3931</v>
      </c>
      <c r="E4057" t="s">
        <v>3932</v>
      </c>
      <c r="F4057" t="s">
        <v>94</v>
      </c>
      <c r="G4057" t="s">
        <v>277</v>
      </c>
      <c r="H4057" s="12">
        <v>7.6017000000000001</v>
      </c>
      <c r="I4057" s="12">
        <v>-74.808300000000003</v>
      </c>
      <c r="J4057" t="s">
        <v>3933</v>
      </c>
      <c r="K4057" t="s">
        <v>97</v>
      </c>
      <c r="L4057" t="s">
        <v>1273</v>
      </c>
      <c r="M4057">
        <v>11</v>
      </c>
      <c r="P4057" s="13">
        <v>121</v>
      </c>
      <c r="Q4057" s="13">
        <v>24</v>
      </c>
      <c r="R4057">
        <v>8</v>
      </c>
      <c r="S4057">
        <v>26</v>
      </c>
      <c r="T4057" s="13">
        <v>38</v>
      </c>
      <c r="U4057" s="13">
        <v>25</v>
      </c>
      <c r="V4057" t="s">
        <v>99</v>
      </c>
      <c r="X4057" s="13">
        <v>121</v>
      </c>
    </row>
    <row r="4058" spans="1:24" x14ac:dyDescent="0.25">
      <c r="A4058" t="s">
        <v>3968</v>
      </c>
      <c r="B4058" t="s">
        <v>65</v>
      </c>
      <c r="C4058" t="s">
        <v>3930</v>
      </c>
      <c r="D4058" t="s">
        <v>3931</v>
      </c>
      <c r="E4058" t="s">
        <v>3932</v>
      </c>
      <c r="F4058" t="s">
        <v>94</v>
      </c>
      <c r="G4058" t="s">
        <v>277</v>
      </c>
      <c r="H4058" s="12">
        <v>7.6017000000000001</v>
      </c>
      <c r="I4058" s="12">
        <v>-74.808300000000003</v>
      </c>
      <c r="J4058" t="s">
        <v>3933</v>
      </c>
      <c r="K4058" t="s">
        <v>97</v>
      </c>
      <c r="L4058" t="s">
        <v>1273</v>
      </c>
      <c r="M4058">
        <v>11</v>
      </c>
      <c r="P4058" s="13">
        <v>119</v>
      </c>
      <c r="Q4058" s="13">
        <v>29</v>
      </c>
      <c r="R4058">
        <v>18</v>
      </c>
      <c r="S4058">
        <v>32</v>
      </c>
      <c r="T4058" s="13">
        <v>16</v>
      </c>
      <c r="U4058" s="13">
        <v>25</v>
      </c>
      <c r="V4058" t="s">
        <v>99</v>
      </c>
      <c r="X4058" s="13">
        <v>119</v>
      </c>
    </row>
    <row r="4059" spans="1:24" x14ac:dyDescent="0.25">
      <c r="A4059" t="s">
        <v>3969</v>
      </c>
      <c r="B4059" t="s">
        <v>65</v>
      </c>
      <c r="C4059" t="s">
        <v>3930</v>
      </c>
      <c r="D4059" t="s">
        <v>3931</v>
      </c>
      <c r="E4059" t="s">
        <v>3932</v>
      </c>
      <c r="F4059" t="s">
        <v>94</v>
      </c>
      <c r="G4059" t="s">
        <v>277</v>
      </c>
      <c r="H4059" s="12">
        <v>7.6017000000000001</v>
      </c>
      <c r="I4059" s="12">
        <v>-74.808300000000003</v>
      </c>
      <c r="J4059" t="s">
        <v>3933</v>
      </c>
      <c r="K4059" t="s">
        <v>97</v>
      </c>
      <c r="L4059" t="s">
        <v>1273</v>
      </c>
      <c r="M4059">
        <v>11</v>
      </c>
      <c r="P4059" s="13">
        <v>107</v>
      </c>
      <c r="Q4059" s="13">
        <v>17</v>
      </c>
      <c r="R4059">
        <v>30</v>
      </c>
      <c r="S4059">
        <v>18</v>
      </c>
      <c r="T4059" s="13">
        <v>21</v>
      </c>
      <c r="U4059" s="13">
        <v>22</v>
      </c>
      <c r="V4059" t="s">
        <v>99</v>
      </c>
      <c r="X4059" s="13">
        <v>107</v>
      </c>
    </row>
    <row r="4060" spans="1:24" x14ac:dyDescent="0.25">
      <c r="A4060" t="s">
        <v>3970</v>
      </c>
      <c r="B4060" t="s">
        <v>65</v>
      </c>
      <c r="C4060" t="s">
        <v>3930</v>
      </c>
      <c r="D4060" t="s">
        <v>3931</v>
      </c>
      <c r="E4060" t="s">
        <v>3932</v>
      </c>
      <c r="F4060" t="s">
        <v>94</v>
      </c>
      <c r="G4060" t="s">
        <v>277</v>
      </c>
      <c r="H4060" s="12">
        <v>7.6017000000000001</v>
      </c>
      <c r="I4060" s="12">
        <v>-74.808300000000003</v>
      </c>
      <c r="J4060" t="s">
        <v>3933</v>
      </c>
      <c r="K4060" t="s">
        <v>97</v>
      </c>
      <c r="L4060" t="s">
        <v>1273</v>
      </c>
      <c r="M4060">
        <v>11</v>
      </c>
      <c r="P4060" s="13">
        <v>99</v>
      </c>
      <c r="Q4060" s="13">
        <v>10</v>
      </c>
      <c r="R4060">
        <v>20</v>
      </c>
      <c r="S4060">
        <v>28</v>
      </c>
      <c r="T4060" s="13">
        <v>21</v>
      </c>
      <c r="U4060" s="13">
        <v>22</v>
      </c>
      <c r="V4060" t="s">
        <v>99</v>
      </c>
      <c r="X4060" s="13">
        <v>99</v>
      </c>
    </row>
    <row r="4061" spans="1:24" x14ac:dyDescent="0.25">
      <c r="A4061" t="s">
        <v>3971</v>
      </c>
      <c r="B4061" t="s">
        <v>65</v>
      </c>
      <c r="C4061" t="s">
        <v>3930</v>
      </c>
      <c r="D4061" t="s">
        <v>3931</v>
      </c>
      <c r="E4061" t="s">
        <v>3932</v>
      </c>
      <c r="F4061" t="s">
        <v>94</v>
      </c>
      <c r="G4061" t="s">
        <v>277</v>
      </c>
      <c r="H4061" s="12">
        <v>7.6017000000000001</v>
      </c>
      <c r="I4061" s="12">
        <v>-74.808300000000003</v>
      </c>
      <c r="J4061" t="s">
        <v>3933</v>
      </c>
      <c r="K4061" t="s">
        <v>97</v>
      </c>
      <c r="L4061" t="s">
        <v>1273</v>
      </c>
      <c r="M4061">
        <v>11</v>
      </c>
      <c r="P4061" s="13">
        <v>64</v>
      </c>
      <c r="Q4061" s="13">
        <v>24</v>
      </c>
      <c r="R4061">
        <v>12</v>
      </c>
      <c r="S4061">
        <v>12</v>
      </c>
      <c r="T4061" s="13">
        <v>7</v>
      </c>
      <c r="U4061" s="13">
        <v>0</v>
      </c>
      <c r="V4061" t="s">
        <v>99</v>
      </c>
      <c r="X4061" s="13">
        <v>64</v>
      </c>
    </row>
    <row r="4062" spans="1:24" x14ac:dyDescent="0.25">
      <c r="A4062" t="s">
        <v>3972</v>
      </c>
      <c r="B4062" t="s">
        <v>65</v>
      </c>
      <c r="C4062" t="s">
        <v>3930</v>
      </c>
      <c r="D4062" t="s">
        <v>3931</v>
      </c>
      <c r="E4062" t="s">
        <v>3932</v>
      </c>
      <c r="F4062" t="s">
        <v>94</v>
      </c>
      <c r="G4062" t="s">
        <v>277</v>
      </c>
      <c r="H4062" s="12">
        <v>7.6017000000000001</v>
      </c>
      <c r="I4062" s="12">
        <v>-74.808300000000003</v>
      </c>
      <c r="J4062" t="s">
        <v>3933</v>
      </c>
      <c r="K4062" t="s">
        <v>97</v>
      </c>
      <c r="L4062" t="s">
        <v>1273</v>
      </c>
      <c r="M4062">
        <v>11</v>
      </c>
      <c r="P4062" s="13">
        <v>62</v>
      </c>
      <c r="Q4062" s="13">
        <v>0</v>
      </c>
      <c r="R4062">
        <v>12</v>
      </c>
      <c r="S4062">
        <v>22</v>
      </c>
      <c r="T4062" s="13">
        <v>12</v>
      </c>
      <c r="U4062" s="13">
        <v>24</v>
      </c>
      <c r="V4062" t="s">
        <v>99</v>
      </c>
      <c r="X4062" s="13">
        <v>62</v>
      </c>
    </row>
    <row r="4063" spans="1:24" x14ac:dyDescent="0.25">
      <c r="A4063" t="s">
        <v>3973</v>
      </c>
      <c r="B4063" t="s">
        <v>65</v>
      </c>
      <c r="C4063" t="s">
        <v>3974</v>
      </c>
      <c r="D4063" t="s">
        <v>3975</v>
      </c>
      <c r="E4063" t="s">
        <v>3976</v>
      </c>
      <c r="F4063" t="s">
        <v>94</v>
      </c>
      <c r="G4063" t="s">
        <v>277</v>
      </c>
      <c r="H4063" s="12">
        <v>5.7461000000000002</v>
      </c>
      <c r="I4063" s="12">
        <v>-75.606899999999996</v>
      </c>
      <c r="J4063" t="s">
        <v>3977</v>
      </c>
      <c r="K4063" t="s">
        <v>97</v>
      </c>
      <c r="L4063" t="s">
        <v>1273</v>
      </c>
      <c r="M4063">
        <v>11</v>
      </c>
      <c r="P4063" s="13">
        <v>258</v>
      </c>
      <c r="Q4063" s="13">
        <v>54</v>
      </c>
      <c r="R4063">
        <v>48</v>
      </c>
      <c r="S4063">
        <v>60</v>
      </c>
      <c r="T4063" s="13">
        <v>43</v>
      </c>
      <c r="U4063" s="13">
        <v>56</v>
      </c>
      <c r="V4063" t="s">
        <v>99</v>
      </c>
      <c r="X4063" s="13">
        <v>258</v>
      </c>
    </row>
    <row r="4064" spans="1:24" x14ac:dyDescent="0.25">
      <c r="A4064" t="s">
        <v>3978</v>
      </c>
      <c r="B4064" t="s">
        <v>65</v>
      </c>
      <c r="C4064" t="s">
        <v>3974</v>
      </c>
      <c r="D4064" t="s">
        <v>3975</v>
      </c>
      <c r="E4064" t="s">
        <v>3976</v>
      </c>
      <c r="F4064" t="s">
        <v>94</v>
      </c>
      <c r="G4064" t="s">
        <v>277</v>
      </c>
      <c r="H4064" s="12">
        <v>5.7461000000000002</v>
      </c>
      <c r="I4064" s="12">
        <v>-75.606899999999996</v>
      </c>
      <c r="J4064" t="s">
        <v>3977</v>
      </c>
      <c r="K4064" t="s">
        <v>97</v>
      </c>
      <c r="L4064" t="s">
        <v>1273</v>
      </c>
      <c r="M4064">
        <v>11</v>
      </c>
      <c r="P4064" s="13">
        <v>245</v>
      </c>
      <c r="Q4064" s="13">
        <v>71</v>
      </c>
      <c r="R4064">
        <v>30</v>
      </c>
      <c r="S4064">
        <v>42</v>
      </c>
      <c r="T4064" s="13">
        <v>47</v>
      </c>
      <c r="U4064" s="13">
        <v>69</v>
      </c>
      <c r="V4064" t="s">
        <v>99</v>
      </c>
      <c r="X4064" s="13">
        <v>245</v>
      </c>
    </row>
    <row r="4065" spans="1:24" x14ac:dyDescent="0.25">
      <c r="A4065" t="s">
        <v>3979</v>
      </c>
      <c r="B4065" t="s">
        <v>65</v>
      </c>
      <c r="C4065" t="s">
        <v>3974</v>
      </c>
      <c r="D4065" t="s">
        <v>3975</v>
      </c>
      <c r="E4065" t="s">
        <v>3976</v>
      </c>
      <c r="F4065" t="s">
        <v>94</v>
      </c>
      <c r="G4065" t="s">
        <v>277</v>
      </c>
      <c r="H4065" s="12">
        <v>5.7461000000000002</v>
      </c>
      <c r="I4065" s="12">
        <v>-75.606899999999996</v>
      </c>
      <c r="J4065" t="s">
        <v>3977</v>
      </c>
      <c r="K4065" t="s">
        <v>97</v>
      </c>
      <c r="L4065" t="s">
        <v>1273</v>
      </c>
      <c r="M4065">
        <v>11</v>
      </c>
      <c r="P4065" s="13">
        <v>244</v>
      </c>
      <c r="Q4065" s="13">
        <v>59</v>
      </c>
      <c r="R4065">
        <v>26</v>
      </c>
      <c r="S4065">
        <v>66</v>
      </c>
      <c r="T4065" s="13">
        <v>38</v>
      </c>
      <c r="U4065" s="13">
        <v>69</v>
      </c>
      <c r="V4065" t="s">
        <v>99</v>
      </c>
      <c r="X4065" s="13">
        <v>244</v>
      </c>
    </row>
    <row r="4066" spans="1:24" x14ac:dyDescent="0.25">
      <c r="A4066" t="s">
        <v>3980</v>
      </c>
      <c r="B4066" t="s">
        <v>65</v>
      </c>
      <c r="C4066" t="s">
        <v>3974</v>
      </c>
      <c r="D4066" t="s">
        <v>3975</v>
      </c>
      <c r="E4066" t="s">
        <v>3976</v>
      </c>
      <c r="F4066" t="s">
        <v>94</v>
      </c>
      <c r="G4066" t="s">
        <v>277</v>
      </c>
      <c r="H4066" s="12">
        <v>5.7461000000000002</v>
      </c>
      <c r="I4066" s="12">
        <v>-75.606899999999996</v>
      </c>
      <c r="J4066" t="s">
        <v>3977</v>
      </c>
      <c r="K4066" t="s">
        <v>97</v>
      </c>
      <c r="L4066" t="s">
        <v>1273</v>
      </c>
      <c r="M4066">
        <v>11</v>
      </c>
      <c r="P4066" s="13">
        <v>235</v>
      </c>
      <c r="Q4066" s="13">
        <v>51</v>
      </c>
      <c r="R4066">
        <v>34</v>
      </c>
      <c r="S4066">
        <v>54</v>
      </c>
      <c r="T4066" s="13">
        <v>38</v>
      </c>
      <c r="U4066" s="13">
        <v>80</v>
      </c>
      <c r="V4066" t="s">
        <v>99</v>
      </c>
      <c r="X4066" s="13">
        <v>235</v>
      </c>
    </row>
    <row r="4067" spans="1:24" x14ac:dyDescent="0.25">
      <c r="A4067" t="s">
        <v>3981</v>
      </c>
      <c r="B4067" t="s">
        <v>65</v>
      </c>
      <c r="C4067" t="s">
        <v>3974</v>
      </c>
      <c r="D4067" t="s">
        <v>3975</v>
      </c>
      <c r="E4067" t="s">
        <v>3976</v>
      </c>
      <c r="F4067" t="s">
        <v>94</v>
      </c>
      <c r="G4067" t="s">
        <v>277</v>
      </c>
      <c r="H4067" s="12">
        <v>5.7461000000000002</v>
      </c>
      <c r="I4067" s="12">
        <v>-75.606899999999996</v>
      </c>
      <c r="J4067" t="s">
        <v>3977</v>
      </c>
      <c r="K4067" t="s">
        <v>97</v>
      </c>
      <c r="L4067" t="s">
        <v>1273</v>
      </c>
      <c r="M4067">
        <v>11</v>
      </c>
      <c r="P4067" s="13">
        <v>220</v>
      </c>
      <c r="Q4067" s="13">
        <v>51</v>
      </c>
      <c r="R4067">
        <v>34</v>
      </c>
      <c r="S4067">
        <v>50</v>
      </c>
      <c r="T4067" s="13">
        <v>36</v>
      </c>
      <c r="U4067" s="13">
        <v>58</v>
      </c>
      <c r="V4067" t="s">
        <v>99</v>
      </c>
      <c r="X4067" s="13">
        <v>220</v>
      </c>
    </row>
    <row r="4068" spans="1:24" x14ac:dyDescent="0.25">
      <c r="A4068" t="s">
        <v>3982</v>
      </c>
      <c r="B4068" t="s">
        <v>65</v>
      </c>
      <c r="C4068" t="s">
        <v>3974</v>
      </c>
      <c r="D4068" t="s">
        <v>3975</v>
      </c>
      <c r="E4068" t="s">
        <v>3976</v>
      </c>
      <c r="F4068" t="s">
        <v>94</v>
      </c>
      <c r="G4068" t="s">
        <v>277</v>
      </c>
      <c r="H4068" s="12">
        <v>5.7461000000000002</v>
      </c>
      <c r="I4068" s="12">
        <v>-75.606899999999996</v>
      </c>
      <c r="J4068" t="s">
        <v>3977</v>
      </c>
      <c r="K4068" t="s">
        <v>97</v>
      </c>
      <c r="L4068" t="s">
        <v>1273</v>
      </c>
      <c r="M4068">
        <v>11</v>
      </c>
      <c r="P4068" s="13">
        <v>213</v>
      </c>
      <c r="Q4068" s="13">
        <v>37</v>
      </c>
      <c r="R4068">
        <v>40</v>
      </c>
      <c r="S4068">
        <v>60</v>
      </c>
      <c r="T4068" s="13">
        <v>28</v>
      </c>
      <c r="U4068" s="13">
        <v>62</v>
      </c>
      <c r="V4068" t="s">
        <v>99</v>
      </c>
      <c r="X4068" s="13">
        <v>213</v>
      </c>
    </row>
    <row r="4069" spans="1:24" x14ac:dyDescent="0.25">
      <c r="A4069" t="s">
        <v>3983</v>
      </c>
      <c r="B4069" t="s">
        <v>65</v>
      </c>
      <c r="C4069" t="s">
        <v>3974</v>
      </c>
      <c r="D4069" t="s">
        <v>3975</v>
      </c>
      <c r="E4069" t="s">
        <v>3976</v>
      </c>
      <c r="F4069" t="s">
        <v>94</v>
      </c>
      <c r="G4069" t="s">
        <v>277</v>
      </c>
      <c r="H4069" s="12">
        <v>5.7461000000000002</v>
      </c>
      <c r="I4069" s="12">
        <v>-75.606899999999996</v>
      </c>
      <c r="J4069" t="s">
        <v>3977</v>
      </c>
      <c r="K4069" t="s">
        <v>97</v>
      </c>
      <c r="L4069" t="s">
        <v>1273</v>
      </c>
      <c r="M4069">
        <v>11</v>
      </c>
      <c r="P4069" s="13">
        <v>211</v>
      </c>
      <c r="Q4069" s="13">
        <v>56</v>
      </c>
      <c r="R4069">
        <v>22</v>
      </c>
      <c r="S4069">
        <v>58</v>
      </c>
      <c r="T4069" s="13">
        <v>26</v>
      </c>
      <c r="U4069" s="13">
        <v>64</v>
      </c>
      <c r="V4069" t="s">
        <v>99</v>
      </c>
      <c r="X4069" s="13">
        <v>211</v>
      </c>
    </row>
    <row r="4070" spans="1:24" x14ac:dyDescent="0.25">
      <c r="A4070" t="s">
        <v>3984</v>
      </c>
      <c r="B4070" t="s">
        <v>65</v>
      </c>
      <c r="C4070" t="s">
        <v>3974</v>
      </c>
      <c r="D4070" t="s">
        <v>3975</v>
      </c>
      <c r="E4070" t="s">
        <v>3976</v>
      </c>
      <c r="F4070" t="s">
        <v>94</v>
      </c>
      <c r="G4070" t="s">
        <v>277</v>
      </c>
      <c r="H4070" s="12">
        <v>5.7461000000000002</v>
      </c>
      <c r="I4070" s="12">
        <v>-75.606899999999996</v>
      </c>
      <c r="J4070" t="s">
        <v>3977</v>
      </c>
      <c r="K4070" t="s">
        <v>97</v>
      </c>
      <c r="L4070" t="s">
        <v>1273</v>
      </c>
      <c r="M4070">
        <v>11</v>
      </c>
      <c r="P4070" s="13">
        <v>204</v>
      </c>
      <c r="Q4070" s="13">
        <v>56</v>
      </c>
      <c r="R4070">
        <v>22</v>
      </c>
      <c r="S4070">
        <v>58</v>
      </c>
      <c r="T4070" s="13">
        <v>29</v>
      </c>
      <c r="U4070" s="13">
        <v>35</v>
      </c>
      <c r="V4070" t="s">
        <v>99</v>
      </c>
      <c r="X4070" s="13">
        <v>204</v>
      </c>
    </row>
    <row r="4071" spans="1:24" x14ac:dyDescent="0.25">
      <c r="A4071" t="s">
        <v>3985</v>
      </c>
      <c r="B4071" t="s">
        <v>65</v>
      </c>
      <c r="C4071" t="s">
        <v>3974</v>
      </c>
      <c r="D4071" t="s">
        <v>3975</v>
      </c>
      <c r="E4071" t="s">
        <v>3976</v>
      </c>
      <c r="F4071" t="s">
        <v>94</v>
      </c>
      <c r="G4071" t="s">
        <v>277</v>
      </c>
      <c r="H4071" s="12">
        <v>5.7461000000000002</v>
      </c>
      <c r="I4071" s="12">
        <v>-75.606899999999996</v>
      </c>
      <c r="J4071" t="s">
        <v>3977</v>
      </c>
      <c r="K4071" t="s">
        <v>97</v>
      </c>
      <c r="L4071" t="s">
        <v>1273</v>
      </c>
      <c r="M4071">
        <v>11</v>
      </c>
      <c r="P4071" s="13">
        <v>192</v>
      </c>
      <c r="Q4071" s="13">
        <v>51</v>
      </c>
      <c r="R4071">
        <v>28</v>
      </c>
      <c r="S4071">
        <v>56</v>
      </c>
      <c r="T4071" s="13">
        <v>22</v>
      </c>
      <c r="U4071" s="13">
        <v>27</v>
      </c>
      <c r="V4071" t="s">
        <v>99</v>
      </c>
      <c r="X4071" s="13">
        <v>192</v>
      </c>
    </row>
    <row r="4072" spans="1:24" x14ac:dyDescent="0.25">
      <c r="A4072" t="s">
        <v>3986</v>
      </c>
      <c r="B4072" t="s">
        <v>65</v>
      </c>
      <c r="C4072" t="s">
        <v>3974</v>
      </c>
      <c r="D4072" t="s">
        <v>3975</v>
      </c>
      <c r="E4072" t="s">
        <v>3976</v>
      </c>
      <c r="F4072" t="s">
        <v>94</v>
      </c>
      <c r="G4072" t="s">
        <v>277</v>
      </c>
      <c r="H4072" s="12">
        <v>5.7461000000000002</v>
      </c>
      <c r="I4072" s="12">
        <v>-75.606899999999996</v>
      </c>
      <c r="J4072" t="s">
        <v>3977</v>
      </c>
      <c r="K4072" t="s">
        <v>97</v>
      </c>
      <c r="L4072" t="s">
        <v>1273</v>
      </c>
      <c r="M4072">
        <v>11</v>
      </c>
      <c r="P4072" s="13">
        <v>184</v>
      </c>
      <c r="Q4072" s="13">
        <v>39</v>
      </c>
      <c r="R4072">
        <v>28</v>
      </c>
      <c r="S4072">
        <v>34</v>
      </c>
      <c r="T4072" s="13">
        <v>38</v>
      </c>
      <c r="U4072" s="13">
        <v>62</v>
      </c>
      <c r="V4072" t="s">
        <v>99</v>
      </c>
      <c r="X4072" s="13">
        <v>184</v>
      </c>
    </row>
    <row r="4073" spans="1:24" x14ac:dyDescent="0.25">
      <c r="A4073" t="s">
        <v>3987</v>
      </c>
      <c r="B4073" t="s">
        <v>65</v>
      </c>
      <c r="C4073" t="s">
        <v>3974</v>
      </c>
      <c r="D4073" t="s">
        <v>3975</v>
      </c>
      <c r="E4073" t="s">
        <v>3976</v>
      </c>
      <c r="F4073" t="s">
        <v>94</v>
      </c>
      <c r="G4073" t="s">
        <v>277</v>
      </c>
      <c r="H4073" s="12">
        <v>5.7461000000000002</v>
      </c>
      <c r="I4073" s="12">
        <v>-75.606899999999996</v>
      </c>
      <c r="J4073" t="s">
        <v>3977</v>
      </c>
      <c r="K4073" t="s">
        <v>97</v>
      </c>
      <c r="L4073" t="s">
        <v>1273</v>
      </c>
      <c r="M4073">
        <v>11</v>
      </c>
      <c r="P4073" s="13">
        <v>182</v>
      </c>
      <c r="Q4073" s="13">
        <v>39</v>
      </c>
      <c r="R4073">
        <v>34</v>
      </c>
      <c r="S4073">
        <v>40</v>
      </c>
      <c r="T4073" s="13">
        <v>33</v>
      </c>
      <c r="U4073" s="13">
        <v>36</v>
      </c>
      <c r="V4073" t="s">
        <v>99</v>
      </c>
      <c r="X4073" s="13">
        <v>182</v>
      </c>
    </row>
    <row r="4074" spans="1:24" x14ac:dyDescent="0.25">
      <c r="A4074" t="s">
        <v>3988</v>
      </c>
      <c r="B4074" t="s">
        <v>65</v>
      </c>
      <c r="C4074" t="s">
        <v>3974</v>
      </c>
      <c r="D4074" t="s">
        <v>3975</v>
      </c>
      <c r="E4074" t="s">
        <v>3976</v>
      </c>
      <c r="F4074" t="s">
        <v>94</v>
      </c>
      <c r="G4074" t="s">
        <v>277</v>
      </c>
      <c r="H4074" s="12">
        <v>5.7461000000000002</v>
      </c>
      <c r="I4074" s="12">
        <v>-75.606899999999996</v>
      </c>
      <c r="J4074" t="s">
        <v>3977</v>
      </c>
      <c r="K4074" t="s">
        <v>97</v>
      </c>
      <c r="L4074" t="s">
        <v>1273</v>
      </c>
      <c r="M4074">
        <v>11</v>
      </c>
      <c r="P4074" s="13">
        <v>182</v>
      </c>
      <c r="Q4074" s="13">
        <v>37</v>
      </c>
      <c r="R4074">
        <v>20</v>
      </c>
      <c r="S4074">
        <v>48</v>
      </c>
      <c r="T4074" s="13">
        <v>34</v>
      </c>
      <c r="U4074" s="13">
        <v>56</v>
      </c>
      <c r="V4074" t="s">
        <v>99</v>
      </c>
      <c r="X4074" s="13">
        <v>182</v>
      </c>
    </row>
    <row r="4075" spans="1:24" x14ac:dyDescent="0.25">
      <c r="A4075" t="s">
        <v>3989</v>
      </c>
      <c r="B4075" t="s">
        <v>65</v>
      </c>
      <c r="C4075" t="s">
        <v>3974</v>
      </c>
      <c r="D4075" t="s">
        <v>3975</v>
      </c>
      <c r="E4075" t="s">
        <v>3976</v>
      </c>
      <c r="F4075" t="s">
        <v>94</v>
      </c>
      <c r="G4075" t="s">
        <v>277</v>
      </c>
      <c r="H4075" s="12">
        <v>5.7461000000000002</v>
      </c>
      <c r="I4075" s="12">
        <v>-75.606899999999996</v>
      </c>
      <c r="J4075" t="s">
        <v>3977</v>
      </c>
      <c r="K4075" t="s">
        <v>97</v>
      </c>
      <c r="L4075" t="s">
        <v>1273</v>
      </c>
      <c r="M4075">
        <v>11</v>
      </c>
      <c r="P4075" s="13">
        <v>179</v>
      </c>
      <c r="Q4075" s="13">
        <v>51</v>
      </c>
      <c r="R4075">
        <v>28</v>
      </c>
      <c r="S4075">
        <v>38</v>
      </c>
      <c r="T4075" s="13">
        <v>28</v>
      </c>
      <c r="U4075" s="13">
        <v>31</v>
      </c>
      <c r="V4075" t="s">
        <v>99</v>
      </c>
      <c r="X4075" s="13">
        <v>179</v>
      </c>
    </row>
    <row r="4076" spans="1:24" x14ac:dyDescent="0.25">
      <c r="A4076" t="s">
        <v>3990</v>
      </c>
      <c r="B4076" t="s">
        <v>65</v>
      </c>
      <c r="C4076" t="s">
        <v>3974</v>
      </c>
      <c r="D4076" t="s">
        <v>3975</v>
      </c>
      <c r="E4076" t="s">
        <v>3976</v>
      </c>
      <c r="F4076" t="s">
        <v>94</v>
      </c>
      <c r="G4076" t="s">
        <v>277</v>
      </c>
      <c r="H4076" s="12">
        <v>5.7461000000000002</v>
      </c>
      <c r="I4076" s="12">
        <v>-75.606899999999996</v>
      </c>
      <c r="J4076" t="s">
        <v>3977</v>
      </c>
      <c r="K4076" t="s">
        <v>97</v>
      </c>
      <c r="L4076" t="s">
        <v>1273</v>
      </c>
      <c r="M4076">
        <v>11</v>
      </c>
      <c r="P4076" s="13">
        <v>179</v>
      </c>
      <c r="Q4076" s="13">
        <v>51</v>
      </c>
      <c r="R4076">
        <v>26</v>
      </c>
      <c r="S4076">
        <v>44</v>
      </c>
      <c r="T4076" s="13">
        <v>19</v>
      </c>
      <c r="U4076" s="13">
        <v>44</v>
      </c>
      <c r="V4076" t="s">
        <v>99</v>
      </c>
      <c r="X4076" s="13">
        <v>179</v>
      </c>
    </row>
    <row r="4077" spans="1:24" x14ac:dyDescent="0.25">
      <c r="A4077" t="s">
        <v>3991</v>
      </c>
      <c r="B4077" t="s">
        <v>65</v>
      </c>
      <c r="C4077" t="s">
        <v>3974</v>
      </c>
      <c r="D4077" t="s">
        <v>3975</v>
      </c>
      <c r="E4077" t="s">
        <v>3976</v>
      </c>
      <c r="F4077" t="s">
        <v>94</v>
      </c>
      <c r="G4077" t="s">
        <v>277</v>
      </c>
      <c r="H4077" s="12">
        <v>5.7461000000000002</v>
      </c>
      <c r="I4077" s="12">
        <v>-75.606899999999996</v>
      </c>
      <c r="J4077" t="s">
        <v>3977</v>
      </c>
      <c r="K4077" t="s">
        <v>97</v>
      </c>
      <c r="L4077" t="s">
        <v>1273</v>
      </c>
      <c r="M4077">
        <v>11</v>
      </c>
      <c r="P4077" s="13">
        <v>177</v>
      </c>
      <c r="Q4077" s="13">
        <v>39</v>
      </c>
      <c r="R4077">
        <v>32</v>
      </c>
      <c r="S4077">
        <v>38</v>
      </c>
      <c r="T4077" s="13">
        <v>26</v>
      </c>
      <c r="U4077" s="13">
        <v>55</v>
      </c>
      <c r="V4077" t="s">
        <v>99</v>
      </c>
      <c r="X4077" s="13">
        <v>177</v>
      </c>
    </row>
    <row r="4078" spans="1:24" x14ac:dyDescent="0.25">
      <c r="A4078" t="s">
        <v>3992</v>
      </c>
      <c r="B4078" t="s">
        <v>65</v>
      </c>
      <c r="C4078" t="s">
        <v>3974</v>
      </c>
      <c r="D4078" t="s">
        <v>3975</v>
      </c>
      <c r="E4078" t="s">
        <v>3976</v>
      </c>
      <c r="F4078" t="s">
        <v>94</v>
      </c>
      <c r="G4078" t="s">
        <v>277</v>
      </c>
      <c r="H4078" s="12">
        <v>5.7461000000000002</v>
      </c>
      <c r="I4078" s="12">
        <v>-75.606899999999996</v>
      </c>
      <c r="J4078" t="s">
        <v>3977</v>
      </c>
      <c r="K4078" t="s">
        <v>97</v>
      </c>
      <c r="L4078" t="s">
        <v>1273</v>
      </c>
      <c r="M4078">
        <v>11</v>
      </c>
      <c r="P4078" s="13">
        <v>172</v>
      </c>
      <c r="Q4078" s="13">
        <v>49</v>
      </c>
      <c r="R4078">
        <v>20</v>
      </c>
      <c r="S4078">
        <v>34</v>
      </c>
      <c r="T4078" s="13">
        <v>33</v>
      </c>
      <c r="U4078" s="13">
        <v>40</v>
      </c>
      <c r="V4078" t="s">
        <v>99</v>
      </c>
      <c r="X4078" s="13">
        <v>172</v>
      </c>
    </row>
    <row r="4079" spans="1:24" x14ac:dyDescent="0.25">
      <c r="A4079" t="s">
        <v>3993</v>
      </c>
      <c r="B4079" t="s">
        <v>65</v>
      </c>
      <c r="C4079" t="s">
        <v>3974</v>
      </c>
      <c r="D4079" t="s">
        <v>3975</v>
      </c>
      <c r="E4079" t="s">
        <v>3976</v>
      </c>
      <c r="F4079" t="s">
        <v>94</v>
      </c>
      <c r="G4079" t="s">
        <v>277</v>
      </c>
      <c r="H4079" s="12">
        <v>5.7461000000000002</v>
      </c>
      <c r="I4079" s="12">
        <v>-75.606899999999996</v>
      </c>
      <c r="J4079" t="s">
        <v>3977</v>
      </c>
      <c r="K4079" t="s">
        <v>97</v>
      </c>
      <c r="L4079" t="s">
        <v>1273</v>
      </c>
      <c r="M4079">
        <v>11</v>
      </c>
      <c r="P4079" s="13">
        <v>171</v>
      </c>
      <c r="Q4079" s="13">
        <v>34</v>
      </c>
      <c r="R4079">
        <v>32</v>
      </c>
      <c r="S4079">
        <v>40</v>
      </c>
      <c r="T4079" s="13">
        <v>31</v>
      </c>
      <c r="U4079" s="13">
        <v>33</v>
      </c>
      <c r="V4079" t="s">
        <v>99</v>
      </c>
      <c r="X4079" s="13">
        <v>171</v>
      </c>
    </row>
    <row r="4080" spans="1:24" x14ac:dyDescent="0.25">
      <c r="A4080" t="s">
        <v>3994</v>
      </c>
      <c r="B4080" t="s">
        <v>65</v>
      </c>
      <c r="C4080" t="s">
        <v>3974</v>
      </c>
      <c r="D4080" t="s">
        <v>3975</v>
      </c>
      <c r="E4080" t="s">
        <v>3976</v>
      </c>
      <c r="F4080" t="s">
        <v>94</v>
      </c>
      <c r="G4080" t="s">
        <v>277</v>
      </c>
      <c r="H4080" s="12">
        <v>5.7461000000000002</v>
      </c>
      <c r="I4080" s="12">
        <v>-75.606899999999996</v>
      </c>
      <c r="J4080" t="s">
        <v>3977</v>
      </c>
      <c r="K4080" t="s">
        <v>97</v>
      </c>
      <c r="L4080" t="s">
        <v>1273</v>
      </c>
      <c r="M4080">
        <v>11</v>
      </c>
      <c r="P4080" s="13">
        <v>165</v>
      </c>
      <c r="Q4080" s="13">
        <v>29</v>
      </c>
      <c r="R4080">
        <v>20</v>
      </c>
      <c r="S4080">
        <v>46</v>
      </c>
      <c r="T4080" s="13">
        <v>36</v>
      </c>
      <c r="U4080" s="13">
        <v>35</v>
      </c>
      <c r="V4080" t="s">
        <v>99</v>
      </c>
      <c r="X4080" s="13">
        <v>165</v>
      </c>
    </row>
    <row r="4081" spans="1:24" x14ac:dyDescent="0.25">
      <c r="A4081" t="s">
        <v>3995</v>
      </c>
      <c r="B4081" t="s">
        <v>65</v>
      </c>
      <c r="C4081" t="s">
        <v>3974</v>
      </c>
      <c r="D4081" t="s">
        <v>3975</v>
      </c>
      <c r="E4081" t="s">
        <v>3976</v>
      </c>
      <c r="F4081" t="s">
        <v>94</v>
      </c>
      <c r="G4081" t="s">
        <v>277</v>
      </c>
      <c r="H4081" s="12">
        <v>5.7461000000000002</v>
      </c>
      <c r="I4081" s="12">
        <v>-75.606899999999996</v>
      </c>
      <c r="J4081" t="s">
        <v>3977</v>
      </c>
      <c r="K4081" t="s">
        <v>97</v>
      </c>
      <c r="L4081" t="s">
        <v>1273</v>
      </c>
      <c r="M4081">
        <v>11</v>
      </c>
      <c r="P4081" s="13">
        <v>162</v>
      </c>
      <c r="Q4081" s="13">
        <v>41</v>
      </c>
      <c r="R4081">
        <v>18</v>
      </c>
      <c r="S4081">
        <v>42</v>
      </c>
      <c r="T4081" s="13">
        <v>26</v>
      </c>
      <c r="U4081" s="13">
        <v>40</v>
      </c>
      <c r="V4081" t="s">
        <v>99</v>
      </c>
      <c r="X4081" s="13">
        <v>162</v>
      </c>
    </row>
    <row r="4082" spans="1:24" x14ac:dyDescent="0.25">
      <c r="A4082" t="s">
        <v>3996</v>
      </c>
      <c r="B4082" t="s">
        <v>65</v>
      </c>
      <c r="C4082" t="s">
        <v>3974</v>
      </c>
      <c r="D4082" t="s">
        <v>3975</v>
      </c>
      <c r="E4082" t="s">
        <v>3976</v>
      </c>
      <c r="F4082" t="s">
        <v>94</v>
      </c>
      <c r="G4082" t="s">
        <v>277</v>
      </c>
      <c r="H4082" s="12">
        <v>5.7461000000000002</v>
      </c>
      <c r="I4082" s="12">
        <v>-75.606899999999996</v>
      </c>
      <c r="J4082" t="s">
        <v>3977</v>
      </c>
      <c r="K4082" t="s">
        <v>97</v>
      </c>
      <c r="L4082" t="s">
        <v>1273</v>
      </c>
      <c r="M4082">
        <v>11</v>
      </c>
      <c r="P4082" s="13">
        <v>162</v>
      </c>
      <c r="Q4082" s="13">
        <v>51</v>
      </c>
      <c r="R4082">
        <v>24</v>
      </c>
      <c r="S4082">
        <v>38</v>
      </c>
      <c r="T4082" s="13">
        <v>19</v>
      </c>
      <c r="U4082" s="13">
        <v>24</v>
      </c>
      <c r="V4082" t="s">
        <v>99</v>
      </c>
      <c r="X4082" s="13">
        <v>162</v>
      </c>
    </row>
    <row r="4083" spans="1:24" x14ac:dyDescent="0.25">
      <c r="A4083" t="s">
        <v>3997</v>
      </c>
      <c r="B4083" t="s">
        <v>65</v>
      </c>
      <c r="C4083" t="s">
        <v>3974</v>
      </c>
      <c r="D4083" t="s">
        <v>3975</v>
      </c>
      <c r="E4083" t="s">
        <v>3976</v>
      </c>
      <c r="F4083" t="s">
        <v>94</v>
      </c>
      <c r="G4083" t="s">
        <v>277</v>
      </c>
      <c r="H4083" s="12">
        <v>5.7461000000000002</v>
      </c>
      <c r="I4083" s="12">
        <v>-75.606899999999996</v>
      </c>
      <c r="J4083" t="s">
        <v>3977</v>
      </c>
      <c r="K4083" t="s">
        <v>97</v>
      </c>
      <c r="L4083" t="s">
        <v>1273</v>
      </c>
      <c r="M4083">
        <v>11</v>
      </c>
      <c r="P4083" s="13">
        <v>158</v>
      </c>
      <c r="Q4083" s="13">
        <v>41</v>
      </c>
      <c r="R4083">
        <v>14</v>
      </c>
      <c r="S4083">
        <v>38</v>
      </c>
      <c r="T4083" s="13">
        <v>31</v>
      </c>
      <c r="U4083" s="13">
        <v>38</v>
      </c>
      <c r="V4083" t="s">
        <v>99</v>
      </c>
      <c r="X4083" s="13">
        <v>158</v>
      </c>
    </row>
    <row r="4084" spans="1:24" x14ac:dyDescent="0.25">
      <c r="A4084" t="s">
        <v>3998</v>
      </c>
      <c r="B4084" t="s">
        <v>65</v>
      </c>
      <c r="C4084" t="s">
        <v>3974</v>
      </c>
      <c r="D4084" t="s">
        <v>3975</v>
      </c>
      <c r="E4084" t="s">
        <v>3976</v>
      </c>
      <c r="F4084" t="s">
        <v>94</v>
      </c>
      <c r="G4084" t="s">
        <v>277</v>
      </c>
      <c r="H4084" s="12">
        <v>5.7461000000000002</v>
      </c>
      <c r="I4084" s="12">
        <v>-75.606899999999996</v>
      </c>
      <c r="J4084" t="s">
        <v>3977</v>
      </c>
      <c r="K4084" t="s">
        <v>97</v>
      </c>
      <c r="L4084" t="s">
        <v>1273</v>
      </c>
      <c r="M4084">
        <v>11</v>
      </c>
      <c r="P4084" s="13">
        <v>154</v>
      </c>
      <c r="Q4084" s="13">
        <v>29</v>
      </c>
      <c r="R4084">
        <v>28</v>
      </c>
      <c r="S4084">
        <v>46</v>
      </c>
      <c r="T4084" s="13">
        <v>19</v>
      </c>
      <c r="U4084" s="13">
        <v>35</v>
      </c>
      <c r="V4084" t="s">
        <v>99</v>
      </c>
      <c r="X4084" s="13">
        <v>154</v>
      </c>
    </row>
    <row r="4085" spans="1:24" x14ac:dyDescent="0.25">
      <c r="A4085" t="s">
        <v>3999</v>
      </c>
      <c r="B4085" t="s">
        <v>65</v>
      </c>
      <c r="C4085" t="s">
        <v>3974</v>
      </c>
      <c r="D4085" t="s">
        <v>3975</v>
      </c>
      <c r="E4085" t="s">
        <v>3976</v>
      </c>
      <c r="F4085" t="s">
        <v>94</v>
      </c>
      <c r="G4085" t="s">
        <v>277</v>
      </c>
      <c r="H4085" s="12">
        <v>5.7461000000000002</v>
      </c>
      <c r="I4085" s="12">
        <v>-75.606899999999996</v>
      </c>
      <c r="J4085" t="s">
        <v>3977</v>
      </c>
      <c r="K4085" t="s">
        <v>97</v>
      </c>
      <c r="L4085" t="s">
        <v>1273</v>
      </c>
      <c r="M4085">
        <v>11</v>
      </c>
      <c r="P4085" s="13">
        <v>153</v>
      </c>
      <c r="Q4085" s="13">
        <v>27</v>
      </c>
      <c r="R4085">
        <v>24</v>
      </c>
      <c r="S4085">
        <v>36</v>
      </c>
      <c r="T4085" s="13">
        <v>34</v>
      </c>
      <c r="U4085" s="13">
        <v>35</v>
      </c>
      <c r="V4085" t="s">
        <v>99</v>
      </c>
      <c r="X4085" s="13">
        <v>153</v>
      </c>
    </row>
    <row r="4086" spans="1:24" x14ac:dyDescent="0.25">
      <c r="A4086" t="s">
        <v>4000</v>
      </c>
      <c r="B4086" t="s">
        <v>65</v>
      </c>
      <c r="C4086" t="s">
        <v>3974</v>
      </c>
      <c r="D4086" t="s">
        <v>3975</v>
      </c>
      <c r="E4086" t="s">
        <v>3976</v>
      </c>
      <c r="F4086" t="s">
        <v>94</v>
      </c>
      <c r="G4086" t="s">
        <v>277</v>
      </c>
      <c r="H4086" s="12">
        <v>5.7461000000000002</v>
      </c>
      <c r="I4086" s="12">
        <v>-75.606899999999996</v>
      </c>
      <c r="J4086" t="s">
        <v>3977</v>
      </c>
      <c r="K4086" t="s">
        <v>97</v>
      </c>
      <c r="L4086" t="s">
        <v>1273</v>
      </c>
      <c r="M4086">
        <v>11</v>
      </c>
      <c r="P4086" s="13">
        <v>153</v>
      </c>
      <c r="Q4086" s="13">
        <v>41</v>
      </c>
      <c r="R4086">
        <v>22</v>
      </c>
      <c r="S4086">
        <v>38</v>
      </c>
      <c r="T4086" s="13">
        <v>26</v>
      </c>
      <c r="U4086" s="13">
        <v>15</v>
      </c>
      <c r="V4086" t="s">
        <v>99</v>
      </c>
      <c r="X4086" s="13">
        <v>153</v>
      </c>
    </row>
    <row r="4087" spans="1:24" x14ac:dyDescent="0.25">
      <c r="A4087" t="s">
        <v>4001</v>
      </c>
      <c r="B4087" t="s">
        <v>65</v>
      </c>
      <c r="C4087" t="s">
        <v>3974</v>
      </c>
      <c r="D4087" t="s">
        <v>3975</v>
      </c>
      <c r="E4087" t="s">
        <v>3976</v>
      </c>
      <c r="F4087" t="s">
        <v>94</v>
      </c>
      <c r="G4087" t="s">
        <v>277</v>
      </c>
      <c r="H4087" s="12">
        <v>5.7461000000000002</v>
      </c>
      <c r="I4087" s="12">
        <v>-75.606899999999996</v>
      </c>
      <c r="J4087" t="s">
        <v>3977</v>
      </c>
      <c r="K4087" t="s">
        <v>97</v>
      </c>
      <c r="L4087" t="s">
        <v>1273</v>
      </c>
      <c r="M4087">
        <v>11</v>
      </c>
      <c r="P4087" s="13">
        <v>149</v>
      </c>
      <c r="Q4087" s="13">
        <v>27</v>
      </c>
      <c r="R4087">
        <v>24</v>
      </c>
      <c r="S4087">
        <v>44</v>
      </c>
      <c r="T4087" s="13">
        <v>24</v>
      </c>
      <c r="U4087" s="13">
        <v>31</v>
      </c>
      <c r="V4087" t="s">
        <v>99</v>
      </c>
      <c r="X4087" s="13">
        <v>149</v>
      </c>
    </row>
    <row r="4088" spans="1:24" x14ac:dyDescent="0.25">
      <c r="A4088" t="s">
        <v>4002</v>
      </c>
      <c r="B4088" t="s">
        <v>65</v>
      </c>
      <c r="C4088" t="s">
        <v>3974</v>
      </c>
      <c r="D4088" t="s">
        <v>3975</v>
      </c>
      <c r="E4088" t="s">
        <v>3976</v>
      </c>
      <c r="F4088" t="s">
        <v>94</v>
      </c>
      <c r="G4088" t="s">
        <v>277</v>
      </c>
      <c r="H4088" s="12">
        <v>5.7461000000000002</v>
      </c>
      <c r="I4088" s="12">
        <v>-75.606899999999996</v>
      </c>
      <c r="J4088" t="s">
        <v>3977</v>
      </c>
      <c r="K4088" t="s">
        <v>97</v>
      </c>
      <c r="L4088" t="s">
        <v>1273</v>
      </c>
      <c r="M4088">
        <v>11</v>
      </c>
      <c r="P4088" s="13">
        <v>148</v>
      </c>
      <c r="Q4088" s="13">
        <v>29</v>
      </c>
      <c r="R4088">
        <v>22</v>
      </c>
      <c r="S4088">
        <v>30</v>
      </c>
      <c r="T4088" s="13">
        <v>36</v>
      </c>
      <c r="U4088" s="13">
        <v>33</v>
      </c>
      <c r="V4088" t="s">
        <v>99</v>
      </c>
      <c r="X4088" s="13">
        <v>148</v>
      </c>
    </row>
    <row r="4089" spans="1:24" x14ac:dyDescent="0.25">
      <c r="A4089" t="s">
        <v>4003</v>
      </c>
      <c r="B4089" t="s">
        <v>65</v>
      </c>
      <c r="C4089" t="s">
        <v>3974</v>
      </c>
      <c r="D4089" t="s">
        <v>3975</v>
      </c>
      <c r="E4089" t="s">
        <v>3976</v>
      </c>
      <c r="F4089" t="s">
        <v>94</v>
      </c>
      <c r="G4089" t="s">
        <v>277</v>
      </c>
      <c r="H4089" s="12">
        <v>5.7461000000000002</v>
      </c>
      <c r="I4089" s="12">
        <v>-75.606899999999996</v>
      </c>
      <c r="J4089" t="s">
        <v>3977</v>
      </c>
      <c r="K4089" t="s">
        <v>97</v>
      </c>
      <c r="L4089" t="s">
        <v>1273</v>
      </c>
      <c r="M4089">
        <v>11</v>
      </c>
      <c r="P4089" s="13">
        <v>148</v>
      </c>
      <c r="Q4089" s="13">
        <v>32</v>
      </c>
      <c r="R4089">
        <v>20</v>
      </c>
      <c r="S4089">
        <v>36</v>
      </c>
      <c r="T4089" s="13">
        <v>28</v>
      </c>
      <c r="U4089" s="13">
        <v>38</v>
      </c>
      <c r="V4089" t="s">
        <v>99</v>
      </c>
      <c r="X4089" s="13">
        <v>148</v>
      </c>
    </row>
    <row r="4090" spans="1:24" x14ac:dyDescent="0.25">
      <c r="A4090" t="s">
        <v>4004</v>
      </c>
      <c r="B4090" t="s">
        <v>65</v>
      </c>
      <c r="C4090" t="s">
        <v>3974</v>
      </c>
      <c r="D4090" t="s">
        <v>3975</v>
      </c>
      <c r="E4090" t="s">
        <v>3976</v>
      </c>
      <c r="F4090" t="s">
        <v>94</v>
      </c>
      <c r="G4090" t="s">
        <v>277</v>
      </c>
      <c r="H4090" s="12">
        <v>5.7461000000000002</v>
      </c>
      <c r="I4090" s="12">
        <v>-75.606899999999996</v>
      </c>
      <c r="J4090" t="s">
        <v>3977</v>
      </c>
      <c r="K4090" t="s">
        <v>97</v>
      </c>
      <c r="L4090" t="s">
        <v>1273</v>
      </c>
      <c r="M4090">
        <v>11</v>
      </c>
      <c r="P4090" s="13">
        <v>148</v>
      </c>
      <c r="Q4090" s="13">
        <v>41</v>
      </c>
      <c r="R4090">
        <v>18</v>
      </c>
      <c r="S4090">
        <v>26</v>
      </c>
      <c r="T4090" s="13">
        <v>31</v>
      </c>
      <c r="U4090" s="13">
        <v>35</v>
      </c>
      <c r="V4090" t="s">
        <v>99</v>
      </c>
      <c r="X4090" s="13">
        <v>148</v>
      </c>
    </row>
    <row r="4091" spans="1:24" x14ac:dyDescent="0.25">
      <c r="A4091" t="s">
        <v>4005</v>
      </c>
      <c r="B4091" t="s">
        <v>65</v>
      </c>
      <c r="C4091" t="s">
        <v>3974</v>
      </c>
      <c r="D4091" t="s">
        <v>3975</v>
      </c>
      <c r="E4091" t="s">
        <v>3976</v>
      </c>
      <c r="F4091" t="s">
        <v>94</v>
      </c>
      <c r="G4091" t="s">
        <v>277</v>
      </c>
      <c r="H4091" s="12">
        <v>5.7461000000000002</v>
      </c>
      <c r="I4091" s="12">
        <v>-75.606899999999996</v>
      </c>
      <c r="J4091" t="s">
        <v>3977</v>
      </c>
      <c r="K4091" t="s">
        <v>97</v>
      </c>
      <c r="L4091" t="s">
        <v>1273</v>
      </c>
      <c r="M4091">
        <v>11</v>
      </c>
      <c r="P4091" s="13">
        <v>147</v>
      </c>
      <c r="Q4091" s="13">
        <v>29</v>
      </c>
      <c r="R4091">
        <v>28</v>
      </c>
      <c r="S4091">
        <v>26</v>
      </c>
      <c r="T4091" s="13">
        <v>31</v>
      </c>
      <c r="U4091" s="13">
        <v>40</v>
      </c>
      <c r="V4091" t="s">
        <v>99</v>
      </c>
      <c r="X4091" s="13">
        <v>147</v>
      </c>
    </row>
    <row r="4092" spans="1:24" x14ac:dyDescent="0.25">
      <c r="A4092" t="s">
        <v>4006</v>
      </c>
      <c r="B4092" t="s">
        <v>65</v>
      </c>
      <c r="C4092" t="s">
        <v>3974</v>
      </c>
      <c r="D4092" t="s">
        <v>3975</v>
      </c>
      <c r="E4092" t="s">
        <v>3976</v>
      </c>
      <c r="F4092" t="s">
        <v>94</v>
      </c>
      <c r="G4092" t="s">
        <v>277</v>
      </c>
      <c r="H4092" s="12">
        <v>5.7461000000000002</v>
      </c>
      <c r="I4092" s="12">
        <v>-75.606899999999996</v>
      </c>
      <c r="J4092" t="s">
        <v>3977</v>
      </c>
      <c r="K4092" t="s">
        <v>97</v>
      </c>
      <c r="L4092" t="s">
        <v>1273</v>
      </c>
      <c r="M4092">
        <v>11</v>
      </c>
      <c r="P4092" s="13">
        <v>145</v>
      </c>
      <c r="Q4092" s="13">
        <v>29</v>
      </c>
      <c r="R4092">
        <v>24</v>
      </c>
      <c r="S4092">
        <v>38</v>
      </c>
      <c r="T4092" s="13">
        <v>21</v>
      </c>
      <c r="U4092" s="13">
        <v>42</v>
      </c>
      <c r="V4092" t="s">
        <v>99</v>
      </c>
      <c r="X4092" s="13">
        <v>145</v>
      </c>
    </row>
    <row r="4093" spans="1:24" x14ac:dyDescent="0.25">
      <c r="A4093" t="s">
        <v>4007</v>
      </c>
      <c r="B4093" t="s">
        <v>65</v>
      </c>
      <c r="C4093" t="s">
        <v>3974</v>
      </c>
      <c r="D4093" t="s">
        <v>3975</v>
      </c>
      <c r="E4093" t="s">
        <v>3976</v>
      </c>
      <c r="F4093" t="s">
        <v>94</v>
      </c>
      <c r="G4093" t="s">
        <v>277</v>
      </c>
      <c r="H4093" s="12">
        <v>5.7461000000000002</v>
      </c>
      <c r="I4093" s="12">
        <v>-75.606899999999996</v>
      </c>
      <c r="J4093" t="s">
        <v>3977</v>
      </c>
      <c r="K4093" t="s">
        <v>97</v>
      </c>
      <c r="L4093" t="s">
        <v>1273</v>
      </c>
      <c r="M4093">
        <v>11</v>
      </c>
      <c r="P4093" s="13">
        <v>144</v>
      </c>
      <c r="Q4093" s="13">
        <v>32</v>
      </c>
      <c r="R4093">
        <v>22</v>
      </c>
      <c r="S4093">
        <v>36</v>
      </c>
      <c r="T4093" s="13">
        <v>26</v>
      </c>
      <c r="U4093" s="13">
        <v>27</v>
      </c>
      <c r="V4093" t="s">
        <v>99</v>
      </c>
      <c r="X4093" s="13">
        <v>144</v>
      </c>
    </row>
    <row r="4094" spans="1:24" x14ac:dyDescent="0.25">
      <c r="A4094" t="s">
        <v>4008</v>
      </c>
      <c r="B4094" t="s">
        <v>65</v>
      </c>
      <c r="C4094" t="s">
        <v>3974</v>
      </c>
      <c r="D4094" t="s">
        <v>3975</v>
      </c>
      <c r="E4094" t="s">
        <v>3976</v>
      </c>
      <c r="F4094" t="s">
        <v>94</v>
      </c>
      <c r="G4094" t="s">
        <v>277</v>
      </c>
      <c r="H4094" s="12">
        <v>5.7461000000000002</v>
      </c>
      <c r="I4094" s="12">
        <v>-75.606899999999996</v>
      </c>
      <c r="J4094" t="s">
        <v>3977</v>
      </c>
      <c r="K4094" t="s">
        <v>97</v>
      </c>
      <c r="L4094" t="s">
        <v>1273</v>
      </c>
      <c r="M4094">
        <v>11</v>
      </c>
      <c r="P4094" s="13">
        <v>143</v>
      </c>
      <c r="Q4094" s="13">
        <v>34</v>
      </c>
      <c r="R4094">
        <v>24</v>
      </c>
      <c r="S4094">
        <v>26</v>
      </c>
      <c r="T4094" s="13">
        <v>29</v>
      </c>
      <c r="U4094" s="13">
        <v>33</v>
      </c>
      <c r="V4094" t="s">
        <v>99</v>
      </c>
      <c r="X4094" s="13">
        <v>143</v>
      </c>
    </row>
    <row r="4095" spans="1:24" x14ac:dyDescent="0.25">
      <c r="A4095" t="s">
        <v>4009</v>
      </c>
      <c r="B4095" t="s">
        <v>65</v>
      </c>
      <c r="C4095" t="s">
        <v>3974</v>
      </c>
      <c r="D4095" t="s">
        <v>3975</v>
      </c>
      <c r="E4095" t="s">
        <v>3976</v>
      </c>
      <c r="F4095" t="s">
        <v>94</v>
      </c>
      <c r="G4095" t="s">
        <v>277</v>
      </c>
      <c r="H4095" s="12">
        <v>5.7461000000000002</v>
      </c>
      <c r="I4095" s="12">
        <v>-75.606899999999996</v>
      </c>
      <c r="J4095" t="s">
        <v>3977</v>
      </c>
      <c r="K4095" t="s">
        <v>97</v>
      </c>
      <c r="L4095" t="s">
        <v>1273</v>
      </c>
      <c r="M4095">
        <v>11</v>
      </c>
      <c r="P4095" s="13">
        <v>141</v>
      </c>
      <c r="Q4095" s="13">
        <v>37</v>
      </c>
      <c r="R4095">
        <v>18</v>
      </c>
      <c r="S4095">
        <v>36</v>
      </c>
      <c r="T4095" s="13">
        <v>19</v>
      </c>
      <c r="U4095" s="13">
        <v>38</v>
      </c>
      <c r="V4095" t="s">
        <v>99</v>
      </c>
      <c r="X4095" s="13">
        <v>141</v>
      </c>
    </row>
    <row r="4096" spans="1:24" x14ac:dyDescent="0.25">
      <c r="A4096" t="s">
        <v>4010</v>
      </c>
      <c r="B4096" t="s">
        <v>65</v>
      </c>
      <c r="C4096" t="s">
        <v>3974</v>
      </c>
      <c r="D4096" t="s">
        <v>3975</v>
      </c>
      <c r="E4096" t="s">
        <v>3976</v>
      </c>
      <c r="F4096" t="s">
        <v>94</v>
      </c>
      <c r="G4096" t="s">
        <v>277</v>
      </c>
      <c r="H4096" s="12">
        <v>5.7461000000000002</v>
      </c>
      <c r="I4096" s="12">
        <v>-75.606899999999996</v>
      </c>
      <c r="J4096" t="s">
        <v>3977</v>
      </c>
      <c r="K4096" t="s">
        <v>97</v>
      </c>
      <c r="L4096" t="s">
        <v>1273</v>
      </c>
      <c r="M4096">
        <v>11</v>
      </c>
      <c r="P4096" s="13">
        <v>138</v>
      </c>
      <c r="Q4096" s="13">
        <v>29</v>
      </c>
      <c r="R4096">
        <v>22</v>
      </c>
      <c r="S4096">
        <v>36</v>
      </c>
      <c r="T4096" s="13">
        <v>24</v>
      </c>
      <c r="U4096" s="13">
        <v>24</v>
      </c>
      <c r="V4096" t="s">
        <v>99</v>
      </c>
      <c r="X4096" s="13">
        <v>138</v>
      </c>
    </row>
    <row r="4097" spans="1:24" x14ac:dyDescent="0.25">
      <c r="A4097" t="s">
        <v>4011</v>
      </c>
      <c r="B4097" t="s">
        <v>65</v>
      </c>
      <c r="C4097" t="s">
        <v>3974</v>
      </c>
      <c r="D4097" t="s">
        <v>3975</v>
      </c>
      <c r="E4097" t="s">
        <v>3976</v>
      </c>
      <c r="F4097" t="s">
        <v>94</v>
      </c>
      <c r="G4097" t="s">
        <v>277</v>
      </c>
      <c r="H4097" s="12">
        <v>5.7461000000000002</v>
      </c>
      <c r="I4097" s="12">
        <v>-75.606899999999996</v>
      </c>
      <c r="J4097" t="s">
        <v>3977</v>
      </c>
      <c r="K4097" t="s">
        <v>97</v>
      </c>
      <c r="L4097" t="s">
        <v>1273</v>
      </c>
      <c r="M4097">
        <v>11</v>
      </c>
      <c r="P4097" s="13">
        <v>122</v>
      </c>
      <c r="Q4097" s="13">
        <v>29</v>
      </c>
      <c r="R4097">
        <v>26</v>
      </c>
      <c r="S4097">
        <v>16</v>
      </c>
      <c r="T4097" s="13">
        <v>26</v>
      </c>
      <c r="U4097" s="13">
        <v>25</v>
      </c>
      <c r="V4097" t="s">
        <v>99</v>
      </c>
      <c r="X4097" s="13">
        <v>122</v>
      </c>
    </row>
    <row r="4098" spans="1:24" x14ac:dyDescent="0.25">
      <c r="A4098" t="s">
        <v>4012</v>
      </c>
      <c r="B4098" t="s">
        <v>65</v>
      </c>
      <c r="C4098" t="s">
        <v>3974</v>
      </c>
      <c r="D4098" t="s">
        <v>3975</v>
      </c>
      <c r="E4098" t="s">
        <v>3976</v>
      </c>
      <c r="F4098" t="s">
        <v>94</v>
      </c>
      <c r="G4098" t="s">
        <v>277</v>
      </c>
      <c r="H4098" s="12">
        <v>5.7461000000000002</v>
      </c>
      <c r="I4098" s="12">
        <v>-75.606899999999996</v>
      </c>
      <c r="J4098" t="s">
        <v>3977</v>
      </c>
      <c r="K4098" t="s">
        <v>97</v>
      </c>
      <c r="L4098" t="s">
        <v>1273</v>
      </c>
      <c r="M4098">
        <v>11</v>
      </c>
      <c r="P4098" s="13">
        <v>119</v>
      </c>
      <c r="Q4098" s="13">
        <v>24</v>
      </c>
      <c r="R4098">
        <v>20</v>
      </c>
      <c r="S4098">
        <v>24</v>
      </c>
      <c r="T4098" s="13">
        <v>28</v>
      </c>
      <c r="U4098" s="13">
        <v>22</v>
      </c>
      <c r="V4098" t="s">
        <v>99</v>
      </c>
      <c r="X4098" s="13">
        <v>119</v>
      </c>
    </row>
    <row r="4099" spans="1:24" x14ac:dyDescent="0.25">
      <c r="A4099" t="s">
        <v>4013</v>
      </c>
      <c r="B4099" t="s">
        <v>65</v>
      </c>
      <c r="C4099" t="s">
        <v>4014</v>
      </c>
      <c r="D4099" t="s">
        <v>4015</v>
      </c>
      <c r="E4099" t="s">
        <v>3932</v>
      </c>
      <c r="F4099" t="s">
        <v>94</v>
      </c>
      <c r="G4099" t="s">
        <v>277</v>
      </c>
      <c r="H4099" s="12">
        <v>7.6017000000000001</v>
      </c>
      <c r="I4099" s="12">
        <v>-74.808300000000003</v>
      </c>
      <c r="J4099" t="s">
        <v>4016</v>
      </c>
      <c r="K4099" t="s">
        <v>97</v>
      </c>
      <c r="L4099" t="s">
        <v>1273</v>
      </c>
      <c r="M4099">
        <v>11</v>
      </c>
      <c r="P4099" s="13">
        <v>228</v>
      </c>
      <c r="Q4099" s="13">
        <v>63</v>
      </c>
      <c r="R4099">
        <v>16</v>
      </c>
      <c r="S4099">
        <v>50</v>
      </c>
      <c r="T4099" s="13">
        <v>45</v>
      </c>
      <c r="U4099" s="13">
        <v>69</v>
      </c>
      <c r="V4099" t="s">
        <v>99</v>
      </c>
      <c r="X4099" s="13">
        <v>228</v>
      </c>
    </row>
    <row r="4100" spans="1:24" x14ac:dyDescent="0.25">
      <c r="A4100" t="s">
        <v>4017</v>
      </c>
      <c r="B4100" t="s">
        <v>65</v>
      </c>
      <c r="C4100" t="s">
        <v>4014</v>
      </c>
      <c r="D4100" t="s">
        <v>4015</v>
      </c>
      <c r="E4100" t="s">
        <v>3932</v>
      </c>
      <c r="F4100" t="s">
        <v>94</v>
      </c>
      <c r="G4100" t="s">
        <v>277</v>
      </c>
      <c r="H4100" s="12">
        <v>7.6017000000000001</v>
      </c>
      <c r="I4100" s="12">
        <v>-74.808300000000003</v>
      </c>
      <c r="J4100" t="s">
        <v>4016</v>
      </c>
      <c r="K4100" t="s">
        <v>97</v>
      </c>
      <c r="L4100" t="s">
        <v>1273</v>
      </c>
      <c r="M4100">
        <v>11</v>
      </c>
      <c r="P4100" s="13">
        <v>199</v>
      </c>
      <c r="Q4100" s="13">
        <v>44</v>
      </c>
      <c r="R4100">
        <v>32</v>
      </c>
      <c r="S4100">
        <v>56</v>
      </c>
      <c r="T4100" s="13">
        <v>28</v>
      </c>
      <c r="U4100" s="13">
        <v>38</v>
      </c>
      <c r="V4100" t="s">
        <v>99</v>
      </c>
      <c r="X4100" s="13">
        <v>199</v>
      </c>
    </row>
    <row r="4101" spans="1:24" x14ac:dyDescent="0.25">
      <c r="A4101" t="s">
        <v>4018</v>
      </c>
      <c r="B4101" t="s">
        <v>65</v>
      </c>
      <c r="C4101" t="s">
        <v>4014</v>
      </c>
      <c r="D4101" t="s">
        <v>4015</v>
      </c>
      <c r="E4101" t="s">
        <v>3932</v>
      </c>
      <c r="F4101" t="s">
        <v>94</v>
      </c>
      <c r="G4101" t="s">
        <v>277</v>
      </c>
      <c r="H4101" s="12">
        <v>7.6017000000000001</v>
      </c>
      <c r="I4101" s="12">
        <v>-74.808300000000003</v>
      </c>
      <c r="J4101" t="s">
        <v>4016</v>
      </c>
      <c r="K4101" t="s">
        <v>97</v>
      </c>
      <c r="L4101" t="s">
        <v>1273</v>
      </c>
      <c r="M4101">
        <v>11</v>
      </c>
      <c r="P4101" s="13">
        <v>194</v>
      </c>
      <c r="Q4101" s="13">
        <v>54</v>
      </c>
      <c r="R4101">
        <v>34</v>
      </c>
      <c r="S4101">
        <v>36</v>
      </c>
      <c r="T4101" s="13">
        <v>29</v>
      </c>
      <c r="U4101" s="13">
        <v>45</v>
      </c>
      <c r="V4101" t="s">
        <v>99</v>
      </c>
      <c r="X4101" s="13">
        <v>194</v>
      </c>
    </row>
    <row r="4102" spans="1:24" x14ac:dyDescent="0.25">
      <c r="A4102" t="s">
        <v>4019</v>
      </c>
      <c r="B4102" t="s">
        <v>65</v>
      </c>
      <c r="C4102" t="s">
        <v>4014</v>
      </c>
      <c r="D4102" t="s">
        <v>4015</v>
      </c>
      <c r="E4102" t="s">
        <v>3932</v>
      </c>
      <c r="F4102" t="s">
        <v>94</v>
      </c>
      <c r="G4102" t="s">
        <v>277</v>
      </c>
      <c r="H4102" s="12">
        <v>7.6017000000000001</v>
      </c>
      <c r="I4102" s="12">
        <v>-74.808300000000003</v>
      </c>
      <c r="J4102" t="s">
        <v>4016</v>
      </c>
      <c r="K4102" t="s">
        <v>97</v>
      </c>
      <c r="L4102" t="s">
        <v>1273</v>
      </c>
      <c r="M4102">
        <v>11</v>
      </c>
      <c r="P4102" s="13">
        <v>193</v>
      </c>
      <c r="Q4102" s="13">
        <v>46</v>
      </c>
      <c r="R4102">
        <v>26</v>
      </c>
      <c r="S4102">
        <v>42</v>
      </c>
      <c r="T4102" s="13">
        <v>26</v>
      </c>
      <c r="U4102" s="13">
        <v>82</v>
      </c>
      <c r="V4102" t="s">
        <v>99</v>
      </c>
      <c r="X4102" s="13">
        <v>193</v>
      </c>
    </row>
    <row r="4103" spans="1:24" x14ac:dyDescent="0.25">
      <c r="A4103" t="s">
        <v>4020</v>
      </c>
      <c r="B4103" t="s">
        <v>65</v>
      </c>
      <c r="C4103" t="s">
        <v>4014</v>
      </c>
      <c r="D4103" t="s">
        <v>4015</v>
      </c>
      <c r="E4103" t="s">
        <v>3932</v>
      </c>
      <c r="F4103" t="s">
        <v>94</v>
      </c>
      <c r="G4103" t="s">
        <v>277</v>
      </c>
      <c r="H4103" s="12">
        <v>7.6017000000000001</v>
      </c>
      <c r="I4103" s="12">
        <v>-74.808300000000003</v>
      </c>
      <c r="J4103" t="s">
        <v>4016</v>
      </c>
      <c r="K4103" t="s">
        <v>97</v>
      </c>
      <c r="L4103" t="s">
        <v>1273</v>
      </c>
      <c r="M4103">
        <v>11</v>
      </c>
      <c r="P4103" s="13">
        <v>182</v>
      </c>
      <c r="Q4103" s="13">
        <v>41</v>
      </c>
      <c r="R4103">
        <v>24</v>
      </c>
      <c r="S4103">
        <v>56</v>
      </c>
      <c r="T4103" s="13">
        <v>19</v>
      </c>
      <c r="U4103" s="13">
        <v>51</v>
      </c>
      <c r="V4103" t="s">
        <v>99</v>
      </c>
      <c r="X4103" s="13">
        <v>182</v>
      </c>
    </row>
    <row r="4104" spans="1:24" x14ac:dyDescent="0.25">
      <c r="A4104" t="s">
        <v>4021</v>
      </c>
      <c r="B4104" t="s">
        <v>65</v>
      </c>
      <c r="C4104" t="s">
        <v>4014</v>
      </c>
      <c r="D4104" t="s">
        <v>4015</v>
      </c>
      <c r="E4104" t="s">
        <v>3932</v>
      </c>
      <c r="F4104" t="s">
        <v>94</v>
      </c>
      <c r="G4104" t="s">
        <v>277</v>
      </c>
      <c r="H4104" s="12">
        <v>7.6017000000000001</v>
      </c>
      <c r="I4104" s="12">
        <v>-74.808300000000003</v>
      </c>
      <c r="J4104" t="s">
        <v>4016</v>
      </c>
      <c r="K4104" t="s">
        <v>97</v>
      </c>
      <c r="L4104" t="s">
        <v>1273</v>
      </c>
      <c r="M4104">
        <v>11</v>
      </c>
      <c r="P4104" s="13">
        <v>178</v>
      </c>
      <c r="Q4104" s="13">
        <v>41</v>
      </c>
      <c r="R4104">
        <v>20</v>
      </c>
      <c r="S4104">
        <v>40</v>
      </c>
      <c r="T4104" s="13">
        <v>36</v>
      </c>
      <c r="U4104" s="13">
        <v>49</v>
      </c>
      <c r="V4104" t="s">
        <v>99</v>
      </c>
      <c r="X4104" s="13">
        <v>178</v>
      </c>
    </row>
    <row r="4105" spans="1:24" x14ac:dyDescent="0.25">
      <c r="A4105" t="s">
        <v>4022</v>
      </c>
      <c r="B4105" t="s">
        <v>65</v>
      </c>
      <c r="C4105" t="s">
        <v>4014</v>
      </c>
      <c r="D4105" t="s">
        <v>4015</v>
      </c>
      <c r="E4105" t="s">
        <v>3932</v>
      </c>
      <c r="F4105" t="s">
        <v>94</v>
      </c>
      <c r="G4105" t="s">
        <v>277</v>
      </c>
      <c r="H4105" s="12">
        <v>7.6017000000000001</v>
      </c>
      <c r="I4105" s="12">
        <v>-74.808300000000003</v>
      </c>
      <c r="J4105" t="s">
        <v>4016</v>
      </c>
      <c r="K4105" t="s">
        <v>97</v>
      </c>
      <c r="L4105" t="s">
        <v>1273</v>
      </c>
      <c r="M4105">
        <v>11</v>
      </c>
      <c r="P4105" s="13">
        <v>175</v>
      </c>
      <c r="Q4105" s="13">
        <v>37</v>
      </c>
      <c r="R4105">
        <v>30</v>
      </c>
      <c r="S4105">
        <v>48</v>
      </c>
      <c r="T4105" s="13">
        <v>24</v>
      </c>
      <c r="U4105" s="13">
        <v>40</v>
      </c>
      <c r="V4105" t="s">
        <v>99</v>
      </c>
      <c r="X4105" s="13">
        <v>175</v>
      </c>
    </row>
    <row r="4106" spans="1:24" x14ac:dyDescent="0.25">
      <c r="A4106" t="s">
        <v>4023</v>
      </c>
      <c r="B4106" t="s">
        <v>65</v>
      </c>
      <c r="C4106" t="s">
        <v>4014</v>
      </c>
      <c r="D4106" t="s">
        <v>4015</v>
      </c>
      <c r="E4106" t="s">
        <v>3932</v>
      </c>
      <c r="F4106" t="s">
        <v>94</v>
      </c>
      <c r="G4106" t="s">
        <v>277</v>
      </c>
      <c r="H4106" s="12">
        <v>7.6017000000000001</v>
      </c>
      <c r="I4106" s="12">
        <v>-74.808300000000003</v>
      </c>
      <c r="J4106" t="s">
        <v>4016</v>
      </c>
      <c r="K4106" t="s">
        <v>97</v>
      </c>
      <c r="L4106" t="s">
        <v>1273</v>
      </c>
      <c r="M4106">
        <v>11</v>
      </c>
      <c r="P4106" s="13">
        <v>170</v>
      </c>
      <c r="Q4106" s="13">
        <v>54</v>
      </c>
      <c r="R4106">
        <v>28</v>
      </c>
      <c r="S4106">
        <v>20</v>
      </c>
      <c r="T4106" s="13">
        <v>34</v>
      </c>
      <c r="U4106" s="13">
        <v>35</v>
      </c>
      <c r="V4106" t="s">
        <v>99</v>
      </c>
      <c r="X4106" s="13">
        <v>170</v>
      </c>
    </row>
    <row r="4107" spans="1:24" x14ac:dyDescent="0.25">
      <c r="A4107" t="s">
        <v>4024</v>
      </c>
      <c r="B4107" t="s">
        <v>65</v>
      </c>
      <c r="C4107" t="s">
        <v>4014</v>
      </c>
      <c r="D4107" t="s">
        <v>4015</v>
      </c>
      <c r="E4107" t="s">
        <v>3932</v>
      </c>
      <c r="F4107" t="s">
        <v>94</v>
      </c>
      <c r="G4107" t="s">
        <v>277</v>
      </c>
      <c r="H4107" s="12">
        <v>7.6017000000000001</v>
      </c>
      <c r="I4107" s="12">
        <v>-74.808300000000003</v>
      </c>
      <c r="J4107" t="s">
        <v>4016</v>
      </c>
      <c r="K4107" t="s">
        <v>97</v>
      </c>
      <c r="L4107" t="s">
        <v>1273</v>
      </c>
      <c r="M4107">
        <v>11</v>
      </c>
      <c r="P4107" s="13">
        <v>170</v>
      </c>
      <c r="Q4107" s="13">
        <v>37</v>
      </c>
      <c r="R4107">
        <v>32</v>
      </c>
      <c r="S4107">
        <v>42</v>
      </c>
      <c r="T4107" s="13">
        <v>21</v>
      </c>
      <c r="U4107" s="13">
        <v>49</v>
      </c>
      <c r="V4107" t="s">
        <v>99</v>
      </c>
      <c r="X4107" s="13">
        <v>170</v>
      </c>
    </row>
    <row r="4108" spans="1:24" x14ac:dyDescent="0.25">
      <c r="A4108" t="s">
        <v>4025</v>
      </c>
      <c r="B4108" t="s">
        <v>65</v>
      </c>
      <c r="C4108" t="s">
        <v>4014</v>
      </c>
      <c r="D4108" t="s">
        <v>4015</v>
      </c>
      <c r="E4108" t="s">
        <v>3932</v>
      </c>
      <c r="F4108" t="s">
        <v>94</v>
      </c>
      <c r="G4108" t="s">
        <v>277</v>
      </c>
      <c r="H4108" s="12">
        <v>7.6017000000000001</v>
      </c>
      <c r="I4108" s="12">
        <v>-74.808300000000003</v>
      </c>
      <c r="J4108" t="s">
        <v>4016</v>
      </c>
      <c r="K4108" t="s">
        <v>97</v>
      </c>
      <c r="L4108" t="s">
        <v>1273</v>
      </c>
      <c r="M4108">
        <v>11</v>
      </c>
      <c r="P4108" s="13">
        <v>169</v>
      </c>
      <c r="Q4108" s="13">
        <v>49</v>
      </c>
      <c r="R4108">
        <v>30</v>
      </c>
      <c r="S4108">
        <v>32</v>
      </c>
      <c r="T4108" s="13">
        <v>21</v>
      </c>
      <c r="U4108" s="13">
        <v>45</v>
      </c>
      <c r="V4108" t="s">
        <v>99</v>
      </c>
      <c r="X4108" s="13">
        <v>169</v>
      </c>
    </row>
    <row r="4109" spans="1:24" x14ac:dyDescent="0.25">
      <c r="A4109" t="s">
        <v>4026</v>
      </c>
      <c r="B4109" t="s">
        <v>65</v>
      </c>
      <c r="C4109" t="s">
        <v>4014</v>
      </c>
      <c r="D4109" t="s">
        <v>4015</v>
      </c>
      <c r="E4109" t="s">
        <v>3932</v>
      </c>
      <c r="F4109" t="s">
        <v>94</v>
      </c>
      <c r="G4109" t="s">
        <v>277</v>
      </c>
      <c r="H4109" s="12">
        <v>7.6017000000000001</v>
      </c>
      <c r="I4109" s="12">
        <v>-74.808300000000003</v>
      </c>
      <c r="J4109" t="s">
        <v>4016</v>
      </c>
      <c r="K4109" t="s">
        <v>97</v>
      </c>
      <c r="L4109" t="s">
        <v>1273</v>
      </c>
      <c r="M4109">
        <v>11</v>
      </c>
      <c r="P4109" s="13">
        <v>169</v>
      </c>
      <c r="Q4109" s="13">
        <v>54</v>
      </c>
      <c r="R4109">
        <v>36</v>
      </c>
      <c r="S4109">
        <v>26</v>
      </c>
      <c r="T4109" s="13">
        <v>19</v>
      </c>
      <c r="U4109" s="13">
        <v>35</v>
      </c>
      <c r="V4109" t="s">
        <v>99</v>
      </c>
      <c r="X4109" s="13">
        <v>169</v>
      </c>
    </row>
    <row r="4110" spans="1:24" x14ac:dyDescent="0.25">
      <c r="A4110" t="s">
        <v>4027</v>
      </c>
      <c r="B4110" t="s">
        <v>65</v>
      </c>
      <c r="C4110" t="s">
        <v>4014</v>
      </c>
      <c r="D4110" t="s">
        <v>4015</v>
      </c>
      <c r="E4110" t="s">
        <v>3932</v>
      </c>
      <c r="F4110" t="s">
        <v>94</v>
      </c>
      <c r="G4110" t="s">
        <v>277</v>
      </c>
      <c r="H4110" s="12">
        <v>7.6017000000000001</v>
      </c>
      <c r="I4110" s="12">
        <v>-74.808300000000003</v>
      </c>
      <c r="J4110" t="s">
        <v>4016</v>
      </c>
      <c r="K4110" t="s">
        <v>97</v>
      </c>
      <c r="L4110" t="s">
        <v>1273</v>
      </c>
      <c r="M4110">
        <v>11</v>
      </c>
      <c r="P4110" s="13">
        <v>168</v>
      </c>
      <c r="Q4110" s="13">
        <v>59</v>
      </c>
      <c r="R4110">
        <v>28</v>
      </c>
      <c r="S4110">
        <v>26</v>
      </c>
      <c r="T4110" s="13">
        <v>24</v>
      </c>
      <c r="U4110" s="13">
        <v>27</v>
      </c>
      <c r="V4110" t="s">
        <v>99</v>
      </c>
      <c r="X4110" s="13">
        <v>168</v>
      </c>
    </row>
    <row r="4111" spans="1:24" x14ac:dyDescent="0.25">
      <c r="A4111" t="s">
        <v>4028</v>
      </c>
      <c r="B4111" t="s">
        <v>65</v>
      </c>
      <c r="C4111" t="s">
        <v>4014</v>
      </c>
      <c r="D4111" t="s">
        <v>4015</v>
      </c>
      <c r="E4111" t="s">
        <v>3932</v>
      </c>
      <c r="F4111" t="s">
        <v>94</v>
      </c>
      <c r="G4111" t="s">
        <v>277</v>
      </c>
      <c r="H4111" s="12">
        <v>7.6017000000000001</v>
      </c>
      <c r="I4111" s="12">
        <v>-74.808300000000003</v>
      </c>
      <c r="J4111" t="s">
        <v>4016</v>
      </c>
      <c r="K4111" t="s">
        <v>97</v>
      </c>
      <c r="L4111" t="s">
        <v>1273</v>
      </c>
      <c r="M4111">
        <v>11</v>
      </c>
      <c r="P4111" s="13">
        <v>165</v>
      </c>
      <c r="Q4111" s="13">
        <v>44</v>
      </c>
      <c r="R4111">
        <v>28</v>
      </c>
      <c r="S4111">
        <v>40</v>
      </c>
      <c r="T4111" s="13">
        <v>22</v>
      </c>
      <c r="U4111" s="13">
        <v>27</v>
      </c>
      <c r="V4111" t="s">
        <v>99</v>
      </c>
      <c r="X4111" s="13">
        <v>165</v>
      </c>
    </row>
    <row r="4112" spans="1:24" x14ac:dyDescent="0.25">
      <c r="A4112" t="s">
        <v>4029</v>
      </c>
      <c r="B4112" t="s">
        <v>65</v>
      </c>
      <c r="C4112" t="s">
        <v>4014</v>
      </c>
      <c r="D4112" t="s">
        <v>4015</v>
      </c>
      <c r="E4112" t="s">
        <v>3932</v>
      </c>
      <c r="F4112" t="s">
        <v>94</v>
      </c>
      <c r="G4112" t="s">
        <v>277</v>
      </c>
      <c r="H4112" s="12">
        <v>7.6017000000000001</v>
      </c>
      <c r="I4112" s="12">
        <v>-74.808300000000003</v>
      </c>
      <c r="J4112" t="s">
        <v>4016</v>
      </c>
      <c r="K4112" t="s">
        <v>97</v>
      </c>
      <c r="L4112" t="s">
        <v>1273</v>
      </c>
      <c r="M4112">
        <v>11</v>
      </c>
      <c r="P4112" s="13">
        <v>165</v>
      </c>
      <c r="Q4112" s="13">
        <v>37</v>
      </c>
      <c r="R4112">
        <v>36</v>
      </c>
      <c r="S4112">
        <v>34</v>
      </c>
      <c r="T4112" s="13">
        <v>26</v>
      </c>
      <c r="U4112" s="13">
        <v>31</v>
      </c>
      <c r="V4112" t="s">
        <v>99</v>
      </c>
      <c r="X4112" s="13">
        <v>165</v>
      </c>
    </row>
    <row r="4113" spans="1:24" x14ac:dyDescent="0.25">
      <c r="A4113" t="s">
        <v>4030</v>
      </c>
      <c r="B4113" t="s">
        <v>65</v>
      </c>
      <c r="C4113" t="s">
        <v>4014</v>
      </c>
      <c r="D4113" t="s">
        <v>4015</v>
      </c>
      <c r="E4113" t="s">
        <v>3932</v>
      </c>
      <c r="F4113" t="s">
        <v>94</v>
      </c>
      <c r="G4113" t="s">
        <v>277</v>
      </c>
      <c r="H4113" s="12">
        <v>7.6017000000000001</v>
      </c>
      <c r="I4113" s="12">
        <v>-74.808300000000003</v>
      </c>
      <c r="J4113" t="s">
        <v>4016</v>
      </c>
      <c r="K4113" t="s">
        <v>97</v>
      </c>
      <c r="L4113" t="s">
        <v>1273</v>
      </c>
      <c r="M4113">
        <v>11</v>
      </c>
      <c r="P4113" s="13">
        <v>159</v>
      </c>
      <c r="Q4113" s="13">
        <v>34</v>
      </c>
      <c r="R4113">
        <v>18</v>
      </c>
      <c r="S4113">
        <v>38</v>
      </c>
      <c r="T4113" s="13">
        <v>36</v>
      </c>
      <c r="U4113" s="13">
        <v>35</v>
      </c>
      <c r="V4113" t="s">
        <v>99</v>
      </c>
      <c r="X4113" s="13">
        <v>159</v>
      </c>
    </row>
    <row r="4114" spans="1:24" x14ac:dyDescent="0.25">
      <c r="A4114" t="s">
        <v>4031</v>
      </c>
      <c r="B4114" t="s">
        <v>65</v>
      </c>
      <c r="C4114" t="s">
        <v>4014</v>
      </c>
      <c r="D4114" t="s">
        <v>4015</v>
      </c>
      <c r="E4114" t="s">
        <v>3932</v>
      </c>
      <c r="F4114" t="s">
        <v>94</v>
      </c>
      <c r="G4114" t="s">
        <v>277</v>
      </c>
      <c r="H4114" s="12">
        <v>7.6017000000000001</v>
      </c>
      <c r="I4114" s="12">
        <v>-74.808300000000003</v>
      </c>
      <c r="J4114" t="s">
        <v>4016</v>
      </c>
      <c r="K4114" t="s">
        <v>97</v>
      </c>
      <c r="L4114" t="s">
        <v>1273</v>
      </c>
      <c r="M4114">
        <v>11</v>
      </c>
      <c r="P4114" s="13">
        <v>159</v>
      </c>
      <c r="Q4114" s="13">
        <v>34</v>
      </c>
      <c r="R4114">
        <v>30</v>
      </c>
      <c r="S4114">
        <v>40</v>
      </c>
      <c r="T4114" s="13">
        <v>21</v>
      </c>
      <c r="U4114" s="13">
        <v>38</v>
      </c>
      <c r="V4114" t="s">
        <v>99</v>
      </c>
      <c r="X4114" s="13">
        <v>159</v>
      </c>
    </row>
    <row r="4115" spans="1:24" x14ac:dyDescent="0.25">
      <c r="A4115" t="s">
        <v>4032</v>
      </c>
      <c r="B4115" t="s">
        <v>65</v>
      </c>
      <c r="C4115" t="s">
        <v>4014</v>
      </c>
      <c r="D4115" t="s">
        <v>4015</v>
      </c>
      <c r="E4115" t="s">
        <v>3932</v>
      </c>
      <c r="F4115" t="s">
        <v>94</v>
      </c>
      <c r="G4115" t="s">
        <v>277</v>
      </c>
      <c r="H4115" s="12">
        <v>7.6017000000000001</v>
      </c>
      <c r="I4115" s="12">
        <v>-74.808300000000003</v>
      </c>
      <c r="J4115" t="s">
        <v>4016</v>
      </c>
      <c r="K4115" t="s">
        <v>97</v>
      </c>
      <c r="L4115" t="s">
        <v>1273</v>
      </c>
      <c r="M4115">
        <v>11</v>
      </c>
      <c r="P4115" s="13">
        <v>154</v>
      </c>
      <c r="Q4115" s="13">
        <v>27</v>
      </c>
      <c r="R4115">
        <v>26</v>
      </c>
      <c r="S4115">
        <v>52</v>
      </c>
      <c r="T4115" s="13">
        <v>17</v>
      </c>
      <c r="U4115" s="13">
        <v>35</v>
      </c>
      <c r="V4115" t="s">
        <v>99</v>
      </c>
      <c r="X4115" s="13">
        <v>154</v>
      </c>
    </row>
    <row r="4116" spans="1:24" x14ac:dyDescent="0.25">
      <c r="A4116" t="s">
        <v>4033</v>
      </c>
      <c r="B4116" t="s">
        <v>65</v>
      </c>
      <c r="C4116" t="s">
        <v>4014</v>
      </c>
      <c r="D4116" t="s">
        <v>4015</v>
      </c>
      <c r="E4116" t="s">
        <v>3932</v>
      </c>
      <c r="F4116" t="s">
        <v>94</v>
      </c>
      <c r="G4116" t="s">
        <v>277</v>
      </c>
      <c r="H4116" s="12">
        <v>7.6017000000000001</v>
      </c>
      <c r="I4116" s="12">
        <v>-74.808300000000003</v>
      </c>
      <c r="J4116" t="s">
        <v>4016</v>
      </c>
      <c r="K4116" t="s">
        <v>97</v>
      </c>
      <c r="L4116" t="s">
        <v>1273</v>
      </c>
      <c r="M4116">
        <v>11</v>
      </c>
      <c r="P4116" s="13">
        <v>150</v>
      </c>
      <c r="Q4116" s="13">
        <v>39</v>
      </c>
      <c r="R4116">
        <v>26</v>
      </c>
      <c r="S4116">
        <v>30</v>
      </c>
      <c r="T4116" s="13">
        <v>21</v>
      </c>
      <c r="U4116" s="13">
        <v>44</v>
      </c>
      <c r="V4116" t="s">
        <v>99</v>
      </c>
      <c r="X4116" s="13">
        <v>150</v>
      </c>
    </row>
    <row r="4117" spans="1:24" x14ac:dyDescent="0.25">
      <c r="A4117" t="s">
        <v>4034</v>
      </c>
      <c r="B4117" t="s">
        <v>65</v>
      </c>
      <c r="C4117" t="s">
        <v>4014</v>
      </c>
      <c r="D4117" t="s">
        <v>4015</v>
      </c>
      <c r="E4117" t="s">
        <v>3932</v>
      </c>
      <c r="F4117" t="s">
        <v>94</v>
      </c>
      <c r="G4117" t="s">
        <v>277</v>
      </c>
      <c r="H4117" s="12">
        <v>7.6017000000000001</v>
      </c>
      <c r="I4117" s="12">
        <v>-74.808300000000003</v>
      </c>
      <c r="J4117" t="s">
        <v>4016</v>
      </c>
      <c r="K4117" t="s">
        <v>97</v>
      </c>
      <c r="L4117" t="s">
        <v>1273</v>
      </c>
      <c r="M4117">
        <v>11</v>
      </c>
      <c r="P4117" s="13">
        <v>148</v>
      </c>
      <c r="Q4117" s="13">
        <v>46</v>
      </c>
      <c r="R4117">
        <v>24</v>
      </c>
      <c r="S4117">
        <v>32</v>
      </c>
      <c r="T4117" s="13">
        <v>19</v>
      </c>
      <c r="U4117" s="13">
        <v>22</v>
      </c>
      <c r="V4117" t="s">
        <v>99</v>
      </c>
      <c r="X4117" s="13">
        <v>148</v>
      </c>
    </row>
    <row r="4118" spans="1:24" x14ac:dyDescent="0.25">
      <c r="A4118" t="s">
        <v>4035</v>
      </c>
      <c r="B4118" t="s">
        <v>65</v>
      </c>
      <c r="C4118" t="s">
        <v>4014</v>
      </c>
      <c r="D4118" t="s">
        <v>4015</v>
      </c>
      <c r="E4118" t="s">
        <v>3932</v>
      </c>
      <c r="F4118" t="s">
        <v>94</v>
      </c>
      <c r="G4118" t="s">
        <v>277</v>
      </c>
      <c r="H4118" s="12">
        <v>7.6017000000000001</v>
      </c>
      <c r="I4118" s="12">
        <v>-74.808300000000003</v>
      </c>
      <c r="J4118" t="s">
        <v>4016</v>
      </c>
      <c r="K4118" t="s">
        <v>97</v>
      </c>
      <c r="L4118" t="s">
        <v>1273</v>
      </c>
      <c r="M4118">
        <v>11</v>
      </c>
      <c r="P4118" s="13">
        <v>148</v>
      </c>
      <c r="Q4118" s="13">
        <v>34</v>
      </c>
      <c r="R4118">
        <v>30</v>
      </c>
      <c r="S4118">
        <v>22</v>
      </c>
      <c r="T4118" s="13">
        <v>29</v>
      </c>
      <c r="U4118" s="13">
        <v>38</v>
      </c>
      <c r="V4118" t="s">
        <v>99</v>
      </c>
      <c r="X4118" s="13">
        <v>148</v>
      </c>
    </row>
    <row r="4119" spans="1:24" x14ac:dyDescent="0.25">
      <c r="A4119" t="s">
        <v>4036</v>
      </c>
      <c r="B4119" t="s">
        <v>65</v>
      </c>
      <c r="C4119" t="s">
        <v>4014</v>
      </c>
      <c r="D4119" t="s">
        <v>4015</v>
      </c>
      <c r="E4119" t="s">
        <v>3932</v>
      </c>
      <c r="F4119" t="s">
        <v>94</v>
      </c>
      <c r="G4119" t="s">
        <v>277</v>
      </c>
      <c r="H4119" s="12">
        <v>7.6017000000000001</v>
      </c>
      <c r="I4119" s="12">
        <v>-74.808300000000003</v>
      </c>
      <c r="J4119" t="s">
        <v>4016</v>
      </c>
      <c r="K4119" t="s">
        <v>97</v>
      </c>
      <c r="L4119" t="s">
        <v>1273</v>
      </c>
      <c r="M4119">
        <v>11</v>
      </c>
      <c r="P4119" s="13">
        <v>147</v>
      </c>
      <c r="Q4119" s="13">
        <v>34</v>
      </c>
      <c r="R4119">
        <v>26</v>
      </c>
      <c r="S4119">
        <v>36</v>
      </c>
      <c r="T4119" s="13">
        <v>21</v>
      </c>
      <c r="U4119" s="13">
        <v>31</v>
      </c>
      <c r="V4119" t="s">
        <v>99</v>
      </c>
      <c r="X4119" s="13">
        <v>147</v>
      </c>
    </row>
    <row r="4120" spans="1:24" x14ac:dyDescent="0.25">
      <c r="A4120" t="s">
        <v>4037</v>
      </c>
      <c r="B4120" t="s">
        <v>65</v>
      </c>
      <c r="C4120" t="s">
        <v>4014</v>
      </c>
      <c r="D4120" t="s">
        <v>4015</v>
      </c>
      <c r="E4120" t="s">
        <v>3932</v>
      </c>
      <c r="F4120" t="s">
        <v>94</v>
      </c>
      <c r="G4120" t="s">
        <v>277</v>
      </c>
      <c r="H4120" s="12">
        <v>7.6017000000000001</v>
      </c>
      <c r="I4120" s="12">
        <v>-74.808300000000003</v>
      </c>
      <c r="J4120" t="s">
        <v>4016</v>
      </c>
      <c r="K4120" t="s">
        <v>97</v>
      </c>
      <c r="L4120" t="s">
        <v>1273</v>
      </c>
      <c r="M4120">
        <v>11</v>
      </c>
      <c r="P4120" s="13">
        <v>145</v>
      </c>
      <c r="Q4120" s="13">
        <v>41</v>
      </c>
      <c r="R4120">
        <v>20</v>
      </c>
      <c r="S4120">
        <v>34</v>
      </c>
      <c r="T4120" s="13">
        <v>19</v>
      </c>
      <c r="U4120" s="13">
        <v>33</v>
      </c>
      <c r="V4120" t="s">
        <v>99</v>
      </c>
      <c r="X4120" s="13">
        <v>145</v>
      </c>
    </row>
    <row r="4121" spans="1:24" x14ac:dyDescent="0.25">
      <c r="A4121" t="s">
        <v>4038</v>
      </c>
      <c r="B4121" t="s">
        <v>65</v>
      </c>
      <c r="C4121" t="s">
        <v>4014</v>
      </c>
      <c r="D4121" t="s">
        <v>4015</v>
      </c>
      <c r="E4121" t="s">
        <v>3932</v>
      </c>
      <c r="F4121" t="s">
        <v>94</v>
      </c>
      <c r="G4121" t="s">
        <v>277</v>
      </c>
      <c r="H4121" s="12">
        <v>7.6017000000000001</v>
      </c>
      <c r="I4121" s="12">
        <v>-74.808300000000003</v>
      </c>
      <c r="J4121" t="s">
        <v>4016</v>
      </c>
      <c r="K4121" t="s">
        <v>97</v>
      </c>
      <c r="L4121" t="s">
        <v>1273</v>
      </c>
      <c r="M4121">
        <v>11</v>
      </c>
      <c r="P4121" s="13">
        <v>144</v>
      </c>
      <c r="Q4121" s="13">
        <v>29</v>
      </c>
      <c r="R4121">
        <v>16</v>
      </c>
      <c r="S4121">
        <v>36</v>
      </c>
      <c r="T4121" s="13">
        <v>36</v>
      </c>
      <c r="U4121" s="13">
        <v>22</v>
      </c>
      <c r="V4121" t="s">
        <v>99</v>
      </c>
      <c r="X4121" s="13">
        <v>144</v>
      </c>
    </row>
    <row r="4122" spans="1:24" x14ac:dyDescent="0.25">
      <c r="A4122" t="s">
        <v>4039</v>
      </c>
      <c r="B4122" t="s">
        <v>65</v>
      </c>
      <c r="C4122" t="s">
        <v>4014</v>
      </c>
      <c r="D4122" t="s">
        <v>4015</v>
      </c>
      <c r="E4122" t="s">
        <v>3932</v>
      </c>
      <c r="F4122" t="s">
        <v>94</v>
      </c>
      <c r="G4122" t="s">
        <v>277</v>
      </c>
      <c r="H4122" s="12">
        <v>7.6017000000000001</v>
      </c>
      <c r="I4122" s="12">
        <v>-74.808300000000003</v>
      </c>
      <c r="J4122" t="s">
        <v>4016</v>
      </c>
      <c r="K4122" t="s">
        <v>97</v>
      </c>
      <c r="L4122" t="s">
        <v>1273</v>
      </c>
      <c r="M4122">
        <v>11</v>
      </c>
      <c r="P4122" s="13">
        <v>140</v>
      </c>
      <c r="Q4122" s="13">
        <v>29</v>
      </c>
      <c r="R4122">
        <v>32</v>
      </c>
      <c r="S4122">
        <v>16</v>
      </c>
      <c r="T4122" s="13">
        <v>33</v>
      </c>
      <c r="U4122" s="13">
        <v>33</v>
      </c>
      <c r="V4122" t="s">
        <v>99</v>
      </c>
      <c r="X4122" s="13">
        <v>140</v>
      </c>
    </row>
    <row r="4123" spans="1:24" x14ac:dyDescent="0.25">
      <c r="A4123" t="s">
        <v>4040</v>
      </c>
      <c r="B4123" t="s">
        <v>65</v>
      </c>
      <c r="C4123" t="s">
        <v>4014</v>
      </c>
      <c r="D4123" t="s">
        <v>4015</v>
      </c>
      <c r="E4123" t="s">
        <v>3932</v>
      </c>
      <c r="F4123" t="s">
        <v>94</v>
      </c>
      <c r="G4123" t="s">
        <v>277</v>
      </c>
      <c r="H4123" s="12">
        <v>7.6017000000000001</v>
      </c>
      <c r="I4123" s="12">
        <v>-74.808300000000003</v>
      </c>
      <c r="J4123" t="s">
        <v>4016</v>
      </c>
      <c r="K4123" t="s">
        <v>97</v>
      </c>
      <c r="L4123" t="s">
        <v>1273</v>
      </c>
      <c r="M4123">
        <v>11</v>
      </c>
      <c r="P4123" s="13">
        <v>138</v>
      </c>
      <c r="Q4123" s="13">
        <v>34</v>
      </c>
      <c r="R4123">
        <v>28</v>
      </c>
      <c r="S4123">
        <v>24</v>
      </c>
      <c r="T4123" s="13">
        <v>24</v>
      </c>
      <c r="U4123" s="13">
        <v>27</v>
      </c>
      <c r="V4123" t="s">
        <v>99</v>
      </c>
      <c r="X4123" s="13">
        <v>138</v>
      </c>
    </row>
    <row r="4124" spans="1:24" x14ac:dyDescent="0.25">
      <c r="A4124" t="s">
        <v>4041</v>
      </c>
      <c r="B4124" t="s">
        <v>65</v>
      </c>
      <c r="C4124" t="s">
        <v>4014</v>
      </c>
      <c r="D4124" t="s">
        <v>4015</v>
      </c>
      <c r="E4124" t="s">
        <v>3932</v>
      </c>
      <c r="F4124" t="s">
        <v>94</v>
      </c>
      <c r="G4124" t="s">
        <v>277</v>
      </c>
      <c r="H4124" s="12">
        <v>7.6017000000000001</v>
      </c>
      <c r="I4124" s="12">
        <v>-74.808300000000003</v>
      </c>
      <c r="J4124" t="s">
        <v>4016</v>
      </c>
      <c r="K4124" t="s">
        <v>97</v>
      </c>
      <c r="L4124" t="s">
        <v>1273</v>
      </c>
      <c r="M4124">
        <v>11</v>
      </c>
      <c r="P4124" s="13">
        <v>134</v>
      </c>
      <c r="Q4124" s="13">
        <v>27</v>
      </c>
      <c r="R4124">
        <v>18</v>
      </c>
      <c r="S4124">
        <v>40</v>
      </c>
      <c r="T4124" s="13">
        <v>19</v>
      </c>
      <c r="U4124" s="13">
        <v>36</v>
      </c>
      <c r="V4124" t="s">
        <v>99</v>
      </c>
      <c r="X4124" s="13">
        <v>134</v>
      </c>
    </row>
    <row r="4125" spans="1:24" x14ac:dyDescent="0.25">
      <c r="A4125" t="s">
        <v>4042</v>
      </c>
      <c r="B4125" t="s">
        <v>65</v>
      </c>
      <c r="C4125" t="s">
        <v>4014</v>
      </c>
      <c r="D4125" t="s">
        <v>4015</v>
      </c>
      <c r="E4125" t="s">
        <v>3932</v>
      </c>
      <c r="F4125" t="s">
        <v>94</v>
      </c>
      <c r="G4125" t="s">
        <v>277</v>
      </c>
      <c r="H4125" s="12">
        <v>7.6017000000000001</v>
      </c>
      <c r="I4125" s="12">
        <v>-74.808300000000003</v>
      </c>
      <c r="J4125" t="s">
        <v>4016</v>
      </c>
      <c r="K4125" t="s">
        <v>97</v>
      </c>
      <c r="L4125" t="s">
        <v>1273</v>
      </c>
      <c r="M4125">
        <v>11</v>
      </c>
      <c r="P4125" s="13">
        <v>128</v>
      </c>
      <c r="Q4125" s="13">
        <v>27</v>
      </c>
      <c r="R4125">
        <v>30</v>
      </c>
      <c r="S4125">
        <v>16</v>
      </c>
      <c r="T4125" s="13">
        <v>28</v>
      </c>
      <c r="U4125" s="13">
        <v>31</v>
      </c>
      <c r="V4125" t="s">
        <v>99</v>
      </c>
      <c r="X4125" s="13">
        <v>128</v>
      </c>
    </row>
    <row r="4126" spans="1:24" x14ac:dyDescent="0.25">
      <c r="A4126" t="s">
        <v>4043</v>
      </c>
      <c r="B4126" t="s">
        <v>65</v>
      </c>
      <c r="C4126" t="s">
        <v>4014</v>
      </c>
      <c r="D4126" t="s">
        <v>4015</v>
      </c>
      <c r="E4126" t="s">
        <v>3932</v>
      </c>
      <c r="F4126" t="s">
        <v>94</v>
      </c>
      <c r="G4126" t="s">
        <v>277</v>
      </c>
      <c r="H4126" s="12">
        <v>7.6017000000000001</v>
      </c>
      <c r="I4126" s="12">
        <v>-74.808300000000003</v>
      </c>
      <c r="J4126" t="s">
        <v>4016</v>
      </c>
      <c r="K4126" t="s">
        <v>97</v>
      </c>
      <c r="L4126" t="s">
        <v>1273</v>
      </c>
      <c r="M4126">
        <v>11</v>
      </c>
      <c r="P4126" s="13">
        <v>126</v>
      </c>
      <c r="Q4126" s="13">
        <v>24</v>
      </c>
      <c r="R4126">
        <v>24</v>
      </c>
      <c r="S4126">
        <v>30</v>
      </c>
      <c r="T4126" s="13">
        <v>19</v>
      </c>
      <c r="U4126" s="13">
        <v>36</v>
      </c>
      <c r="V4126" t="s">
        <v>99</v>
      </c>
      <c r="X4126" s="13">
        <v>126</v>
      </c>
    </row>
    <row r="4127" spans="1:24" x14ac:dyDescent="0.25">
      <c r="A4127" t="s">
        <v>4044</v>
      </c>
      <c r="B4127" t="s">
        <v>65</v>
      </c>
      <c r="C4127" t="s">
        <v>4014</v>
      </c>
      <c r="D4127" t="s">
        <v>4015</v>
      </c>
      <c r="E4127" t="s">
        <v>3932</v>
      </c>
      <c r="F4127" t="s">
        <v>94</v>
      </c>
      <c r="G4127" t="s">
        <v>277</v>
      </c>
      <c r="H4127" s="12">
        <v>7.6017000000000001</v>
      </c>
      <c r="I4127" s="12">
        <v>-74.808300000000003</v>
      </c>
      <c r="J4127" t="s">
        <v>4016</v>
      </c>
      <c r="K4127" t="s">
        <v>97</v>
      </c>
      <c r="L4127" t="s">
        <v>1273</v>
      </c>
      <c r="M4127">
        <v>11</v>
      </c>
      <c r="P4127" s="13">
        <v>124</v>
      </c>
      <c r="Q4127" s="13">
        <v>27</v>
      </c>
      <c r="R4127">
        <v>22</v>
      </c>
      <c r="S4127">
        <v>28</v>
      </c>
      <c r="T4127" s="13">
        <v>21</v>
      </c>
      <c r="U4127" s="13">
        <v>31</v>
      </c>
      <c r="V4127" t="s">
        <v>99</v>
      </c>
      <c r="X4127" s="13">
        <v>124</v>
      </c>
    </row>
    <row r="4128" spans="1:24" x14ac:dyDescent="0.25">
      <c r="A4128" t="s">
        <v>4045</v>
      </c>
      <c r="B4128" t="s">
        <v>65</v>
      </c>
      <c r="C4128" t="s">
        <v>4014</v>
      </c>
      <c r="D4128" t="s">
        <v>4015</v>
      </c>
      <c r="E4128" t="s">
        <v>3932</v>
      </c>
      <c r="F4128" t="s">
        <v>94</v>
      </c>
      <c r="G4128" t="s">
        <v>277</v>
      </c>
      <c r="H4128" s="12">
        <v>7.6017000000000001</v>
      </c>
      <c r="I4128" s="12">
        <v>-74.808300000000003</v>
      </c>
      <c r="J4128" t="s">
        <v>4016</v>
      </c>
      <c r="K4128" t="s">
        <v>97</v>
      </c>
      <c r="L4128" t="s">
        <v>1273</v>
      </c>
      <c r="M4128">
        <v>11</v>
      </c>
      <c r="P4128" s="13">
        <v>121</v>
      </c>
      <c r="Q4128" s="13">
        <v>24</v>
      </c>
      <c r="R4128">
        <v>26</v>
      </c>
      <c r="S4128">
        <v>22</v>
      </c>
      <c r="T4128" s="13">
        <v>21</v>
      </c>
      <c r="U4128" s="13">
        <v>35</v>
      </c>
      <c r="V4128" t="s">
        <v>99</v>
      </c>
      <c r="X4128" s="13">
        <v>121</v>
      </c>
    </row>
    <row r="4129" spans="1:24" x14ac:dyDescent="0.25">
      <c r="A4129" t="s">
        <v>4046</v>
      </c>
      <c r="B4129" t="s">
        <v>65</v>
      </c>
      <c r="C4129" t="s">
        <v>4014</v>
      </c>
      <c r="D4129" t="s">
        <v>4015</v>
      </c>
      <c r="E4129" t="s">
        <v>3932</v>
      </c>
      <c r="F4129" t="s">
        <v>94</v>
      </c>
      <c r="G4129" t="s">
        <v>277</v>
      </c>
      <c r="H4129" s="12">
        <v>7.6017000000000001</v>
      </c>
      <c r="I4129" s="12">
        <v>-74.808300000000003</v>
      </c>
      <c r="J4129" t="s">
        <v>4016</v>
      </c>
      <c r="K4129" t="s">
        <v>97</v>
      </c>
      <c r="L4129" t="s">
        <v>1273</v>
      </c>
      <c r="M4129">
        <v>11</v>
      </c>
      <c r="P4129" s="13">
        <v>116</v>
      </c>
      <c r="Q4129" s="13">
        <v>24</v>
      </c>
      <c r="R4129">
        <v>20</v>
      </c>
      <c r="S4129">
        <v>24</v>
      </c>
      <c r="T4129" s="13">
        <v>24</v>
      </c>
      <c r="U4129" s="13">
        <v>24</v>
      </c>
      <c r="V4129" t="s">
        <v>99</v>
      </c>
      <c r="X4129" s="13">
        <v>116</v>
      </c>
    </row>
    <row r="4130" spans="1:24" x14ac:dyDescent="0.25">
      <c r="A4130" t="s">
        <v>4047</v>
      </c>
      <c r="B4130" t="s">
        <v>65</v>
      </c>
      <c r="C4130" t="s">
        <v>4014</v>
      </c>
      <c r="D4130" t="s">
        <v>4015</v>
      </c>
      <c r="E4130" t="s">
        <v>3932</v>
      </c>
      <c r="F4130" t="s">
        <v>94</v>
      </c>
      <c r="G4130" t="s">
        <v>277</v>
      </c>
      <c r="H4130" s="12">
        <v>7.6017000000000001</v>
      </c>
      <c r="I4130" s="12">
        <v>-74.808300000000003</v>
      </c>
      <c r="J4130" t="s">
        <v>4016</v>
      </c>
      <c r="K4130" t="s">
        <v>97</v>
      </c>
      <c r="L4130" t="s">
        <v>1273</v>
      </c>
      <c r="M4130">
        <v>11</v>
      </c>
      <c r="P4130" s="13">
        <v>112</v>
      </c>
      <c r="Q4130" s="13">
        <v>20</v>
      </c>
      <c r="R4130">
        <v>20</v>
      </c>
      <c r="S4130">
        <v>24</v>
      </c>
      <c r="T4130" s="13">
        <v>24</v>
      </c>
      <c r="U4130" s="13">
        <v>27</v>
      </c>
      <c r="V4130" t="s">
        <v>99</v>
      </c>
      <c r="X4130" s="13">
        <v>112</v>
      </c>
    </row>
    <row r="4131" spans="1:24" x14ac:dyDescent="0.25">
      <c r="A4131" t="s">
        <v>4048</v>
      </c>
      <c r="B4131" t="s">
        <v>65</v>
      </c>
      <c r="C4131" t="s">
        <v>4014</v>
      </c>
      <c r="D4131" t="s">
        <v>4015</v>
      </c>
      <c r="E4131" t="s">
        <v>3932</v>
      </c>
      <c r="F4131" t="s">
        <v>94</v>
      </c>
      <c r="G4131" t="s">
        <v>277</v>
      </c>
      <c r="H4131" s="12">
        <v>7.6017000000000001</v>
      </c>
      <c r="I4131" s="12">
        <v>-74.808300000000003</v>
      </c>
      <c r="J4131" t="s">
        <v>4016</v>
      </c>
      <c r="K4131" t="s">
        <v>97</v>
      </c>
      <c r="L4131" t="s">
        <v>1273</v>
      </c>
      <c r="M4131">
        <v>11</v>
      </c>
      <c r="P4131" s="13">
        <v>111</v>
      </c>
      <c r="Q4131" s="13">
        <v>29</v>
      </c>
      <c r="R4131">
        <v>28</v>
      </c>
      <c r="S4131">
        <v>6</v>
      </c>
      <c r="T4131" s="13">
        <v>24</v>
      </c>
      <c r="U4131" s="13">
        <v>25</v>
      </c>
      <c r="V4131" t="s">
        <v>99</v>
      </c>
      <c r="X4131" s="13">
        <v>111</v>
      </c>
    </row>
    <row r="4132" spans="1:24" x14ac:dyDescent="0.25">
      <c r="A4132" t="s">
        <v>4049</v>
      </c>
      <c r="B4132" t="s">
        <v>65</v>
      </c>
      <c r="C4132" t="s">
        <v>4014</v>
      </c>
      <c r="D4132" t="s">
        <v>4015</v>
      </c>
      <c r="E4132" t="s">
        <v>3932</v>
      </c>
      <c r="F4132" t="s">
        <v>94</v>
      </c>
      <c r="G4132" t="s">
        <v>277</v>
      </c>
      <c r="H4132" s="12">
        <v>7.6017000000000001</v>
      </c>
      <c r="I4132" s="12">
        <v>-74.808300000000003</v>
      </c>
      <c r="J4132" t="s">
        <v>4016</v>
      </c>
      <c r="K4132" t="s">
        <v>97</v>
      </c>
      <c r="L4132" t="s">
        <v>1273</v>
      </c>
      <c r="M4132">
        <v>11</v>
      </c>
      <c r="P4132" s="13">
        <v>92</v>
      </c>
      <c r="Q4132" s="13">
        <v>32</v>
      </c>
      <c r="R4132">
        <v>18</v>
      </c>
      <c r="S4132">
        <v>16</v>
      </c>
      <c r="T4132" s="13">
        <v>14</v>
      </c>
      <c r="U4132" s="13">
        <v>0</v>
      </c>
      <c r="V4132" t="s">
        <v>99</v>
      </c>
      <c r="X4132" s="13">
        <v>92</v>
      </c>
    </row>
    <row r="4133" spans="1:24" x14ac:dyDescent="0.25">
      <c r="A4133" t="s">
        <v>4050</v>
      </c>
      <c r="B4133" t="s">
        <v>65</v>
      </c>
      <c r="C4133" t="s">
        <v>4051</v>
      </c>
      <c r="D4133" t="s">
        <v>4052</v>
      </c>
      <c r="E4133" t="s">
        <v>4053</v>
      </c>
      <c r="F4133" t="s">
        <v>94</v>
      </c>
      <c r="G4133" t="s">
        <v>277</v>
      </c>
      <c r="H4133" s="12">
        <v>6.7805999999999997</v>
      </c>
      <c r="I4133" s="12">
        <v>-76.130799999999994</v>
      </c>
      <c r="J4133" t="s">
        <v>4054</v>
      </c>
      <c r="K4133" t="s">
        <v>97</v>
      </c>
      <c r="L4133" t="s">
        <v>1273</v>
      </c>
      <c r="M4133">
        <v>11</v>
      </c>
      <c r="P4133" s="13">
        <v>235</v>
      </c>
      <c r="Q4133" s="13">
        <v>41</v>
      </c>
      <c r="R4133">
        <v>42</v>
      </c>
      <c r="S4133">
        <v>72</v>
      </c>
      <c r="T4133" s="13">
        <v>33</v>
      </c>
      <c r="U4133" s="13">
        <v>47</v>
      </c>
      <c r="V4133" t="s">
        <v>99</v>
      </c>
      <c r="X4133" s="13">
        <v>235</v>
      </c>
    </row>
    <row r="4134" spans="1:24" x14ac:dyDescent="0.25">
      <c r="A4134" t="s">
        <v>4055</v>
      </c>
      <c r="B4134" t="s">
        <v>65</v>
      </c>
      <c r="C4134" t="s">
        <v>4051</v>
      </c>
      <c r="D4134" t="s">
        <v>4052</v>
      </c>
      <c r="E4134" t="s">
        <v>4053</v>
      </c>
      <c r="F4134" t="s">
        <v>94</v>
      </c>
      <c r="G4134" t="s">
        <v>277</v>
      </c>
      <c r="H4134" s="12">
        <v>6.7805999999999997</v>
      </c>
      <c r="I4134" s="12">
        <v>-76.130799999999994</v>
      </c>
      <c r="J4134" t="s">
        <v>4054</v>
      </c>
      <c r="K4134" t="s">
        <v>97</v>
      </c>
      <c r="L4134" t="s">
        <v>1273</v>
      </c>
      <c r="M4134">
        <v>11</v>
      </c>
      <c r="P4134" s="13">
        <v>223</v>
      </c>
      <c r="Q4134" s="13">
        <v>41</v>
      </c>
      <c r="R4134">
        <v>42</v>
      </c>
      <c r="S4134">
        <v>62</v>
      </c>
      <c r="T4134" s="13">
        <v>29</v>
      </c>
      <c r="U4134" s="13">
        <v>55</v>
      </c>
      <c r="V4134" t="s">
        <v>99</v>
      </c>
      <c r="X4134" s="13">
        <v>223</v>
      </c>
    </row>
    <row r="4135" spans="1:24" x14ac:dyDescent="0.25">
      <c r="A4135" t="s">
        <v>4056</v>
      </c>
      <c r="B4135" t="s">
        <v>65</v>
      </c>
      <c r="C4135" t="s">
        <v>4051</v>
      </c>
      <c r="D4135" t="s">
        <v>4052</v>
      </c>
      <c r="E4135" t="s">
        <v>4053</v>
      </c>
      <c r="F4135" t="s">
        <v>94</v>
      </c>
      <c r="G4135" t="s">
        <v>277</v>
      </c>
      <c r="H4135" s="12">
        <v>6.7805999999999997</v>
      </c>
      <c r="I4135" s="12">
        <v>-76.130799999999994</v>
      </c>
      <c r="J4135" t="s">
        <v>4054</v>
      </c>
      <c r="K4135" t="s">
        <v>97</v>
      </c>
      <c r="L4135" t="s">
        <v>1273</v>
      </c>
      <c r="M4135">
        <v>11</v>
      </c>
      <c r="P4135" s="13">
        <v>211</v>
      </c>
      <c r="Q4135" s="13">
        <v>41</v>
      </c>
      <c r="R4135">
        <v>38</v>
      </c>
      <c r="S4135">
        <v>56</v>
      </c>
      <c r="T4135" s="13">
        <v>29</v>
      </c>
      <c r="U4135" s="13">
        <v>55</v>
      </c>
      <c r="V4135" t="s">
        <v>99</v>
      </c>
      <c r="X4135" s="13">
        <v>211</v>
      </c>
    </row>
    <row r="4136" spans="1:24" x14ac:dyDescent="0.25">
      <c r="A4136" t="s">
        <v>4057</v>
      </c>
      <c r="B4136" t="s">
        <v>65</v>
      </c>
      <c r="C4136" t="s">
        <v>4051</v>
      </c>
      <c r="D4136" t="s">
        <v>4052</v>
      </c>
      <c r="E4136" t="s">
        <v>4053</v>
      </c>
      <c r="F4136" t="s">
        <v>94</v>
      </c>
      <c r="G4136" t="s">
        <v>277</v>
      </c>
      <c r="H4136" s="12">
        <v>6.7805999999999997</v>
      </c>
      <c r="I4136" s="12">
        <v>-76.130799999999994</v>
      </c>
      <c r="J4136" t="s">
        <v>4054</v>
      </c>
      <c r="K4136" t="s">
        <v>97</v>
      </c>
      <c r="L4136" t="s">
        <v>1273</v>
      </c>
      <c r="M4136">
        <v>11</v>
      </c>
      <c r="P4136" s="13">
        <v>209</v>
      </c>
      <c r="Q4136" s="13">
        <v>39</v>
      </c>
      <c r="R4136">
        <v>38</v>
      </c>
      <c r="S4136">
        <v>64</v>
      </c>
      <c r="T4136" s="13">
        <v>29</v>
      </c>
      <c r="U4136" s="13">
        <v>33</v>
      </c>
      <c r="V4136" t="s">
        <v>99</v>
      </c>
      <c r="X4136" s="13">
        <v>209</v>
      </c>
    </row>
    <row r="4137" spans="1:24" x14ac:dyDescent="0.25">
      <c r="A4137" t="s">
        <v>4058</v>
      </c>
      <c r="B4137" t="s">
        <v>65</v>
      </c>
      <c r="C4137" t="s">
        <v>4051</v>
      </c>
      <c r="D4137" t="s">
        <v>4052</v>
      </c>
      <c r="E4137" t="s">
        <v>4053</v>
      </c>
      <c r="F4137" t="s">
        <v>94</v>
      </c>
      <c r="G4137" t="s">
        <v>277</v>
      </c>
      <c r="H4137" s="12">
        <v>6.7805999999999997</v>
      </c>
      <c r="I4137" s="12">
        <v>-76.130799999999994</v>
      </c>
      <c r="J4137" t="s">
        <v>4054</v>
      </c>
      <c r="K4137" t="s">
        <v>97</v>
      </c>
      <c r="L4137" t="s">
        <v>1273</v>
      </c>
      <c r="M4137">
        <v>11</v>
      </c>
      <c r="P4137" s="13">
        <v>207</v>
      </c>
      <c r="Q4137" s="13">
        <v>51</v>
      </c>
      <c r="R4137">
        <v>36</v>
      </c>
      <c r="S4137">
        <v>50</v>
      </c>
      <c r="T4137" s="13">
        <v>33</v>
      </c>
      <c r="U4137" s="13">
        <v>29</v>
      </c>
      <c r="V4137" t="s">
        <v>99</v>
      </c>
      <c r="X4137" s="13">
        <v>207</v>
      </c>
    </row>
    <row r="4138" spans="1:24" x14ac:dyDescent="0.25">
      <c r="A4138" t="s">
        <v>4059</v>
      </c>
      <c r="B4138" t="s">
        <v>65</v>
      </c>
      <c r="C4138" t="s">
        <v>4051</v>
      </c>
      <c r="D4138" t="s">
        <v>4052</v>
      </c>
      <c r="E4138" t="s">
        <v>4053</v>
      </c>
      <c r="F4138" t="s">
        <v>94</v>
      </c>
      <c r="G4138" t="s">
        <v>277</v>
      </c>
      <c r="H4138" s="12">
        <v>6.7805999999999997</v>
      </c>
      <c r="I4138" s="12">
        <v>-76.130799999999994</v>
      </c>
      <c r="J4138" t="s">
        <v>4054</v>
      </c>
      <c r="K4138" t="s">
        <v>97</v>
      </c>
      <c r="L4138" t="s">
        <v>1273</v>
      </c>
      <c r="M4138">
        <v>11</v>
      </c>
      <c r="P4138" s="13">
        <v>204</v>
      </c>
      <c r="Q4138" s="13">
        <v>71</v>
      </c>
      <c r="R4138">
        <v>42</v>
      </c>
      <c r="S4138">
        <v>34</v>
      </c>
      <c r="T4138" s="13">
        <v>17</v>
      </c>
      <c r="U4138" s="13">
        <v>38</v>
      </c>
      <c r="V4138" t="s">
        <v>99</v>
      </c>
      <c r="X4138" s="13">
        <v>204</v>
      </c>
    </row>
    <row r="4139" spans="1:24" x14ac:dyDescent="0.25">
      <c r="A4139" t="s">
        <v>4060</v>
      </c>
      <c r="B4139" t="s">
        <v>65</v>
      </c>
      <c r="C4139" t="s">
        <v>4051</v>
      </c>
      <c r="D4139" t="s">
        <v>4052</v>
      </c>
      <c r="E4139" t="s">
        <v>4053</v>
      </c>
      <c r="F4139" t="s">
        <v>94</v>
      </c>
      <c r="G4139" t="s">
        <v>277</v>
      </c>
      <c r="H4139" s="12">
        <v>6.7805999999999997</v>
      </c>
      <c r="I4139" s="12">
        <v>-76.130799999999994</v>
      </c>
      <c r="J4139" t="s">
        <v>4054</v>
      </c>
      <c r="K4139" t="s">
        <v>97</v>
      </c>
      <c r="L4139" t="s">
        <v>1273</v>
      </c>
      <c r="M4139">
        <v>11</v>
      </c>
      <c r="P4139" s="13">
        <v>186</v>
      </c>
      <c r="Q4139" s="13">
        <v>41</v>
      </c>
      <c r="R4139">
        <v>30</v>
      </c>
      <c r="S4139">
        <v>44</v>
      </c>
      <c r="T4139" s="13">
        <v>38</v>
      </c>
      <c r="U4139" s="13">
        <v>24</v>
      </c>
      <c r="V4139" t="s">
        <v>99</v>
      </c>
      <c r="X4139" s="13">
        <v>186</v>
      </c>
    </row>
    <row r="4140" spans="1:24" x14ac:dyDescent="0.25">
      <c r="A4140" t="s">
        <v>4061</v>
      </c>
      <c r="B4140" t="s">
        <v>65</v>
      </c>
      <c r="C4140" t="s">
        <v>4051</v>
      </c>
      <c r="D4140" t="s">
        <v>4052</v>
      </c>
      <c r="E4140" t="s">
        <v>4053</v>
      </c>
      <c r="F4140" t="s">
        <v>94</v>
      </c>
      <c r="G4140" t="s">
        <v>277</v>
      </c>
      <c r="H4140" s="12">
        <v>6.7805999999999997</v>
      </c>
      <c r="I4140" s="12">
        <v>-76.130799999999994</v>
      </c>
      <c r="J4140" t="s">
        <v>4054</v>
      </c>
      <c r="K4140" t="s">
        <v>97</v>
      </c>
      <c r="L4140" t="s">
        <v>1273</v>
      </c>
      <c r="M4140">
        <v>11</v>
      </c>
      <c r="P4140" s="13">
        <v>186</v>
      </c>
      <c r="Q4140" s="13">
        <v>46</v>
      </c>
      <c r="R4140">
        <v>36</v>
      </c>
      <c r="S4140">
        <v>46</v>
      </c>
      <c r="T4140" s="13">
        <v>24</v>
      </c>
      <c r="U4140" s="13">
        <v>25</v>
      </c>
      <c r="V4140" t="s">
        <v>99</v>
      </c>
      <c r="X4140" s="13">
        <v>186</v>
      </c>
    </row>
    <row r="4141" spans="1:24" x14ac:dyDescent="0.25">
      <c r="A4141" t="s">
        <v>4062</v>
      </c>
      <c r="B4141" t="s">
        <v>65</v>
      </c>
      <c r="C4141" t="s">
        <v>4051</v>
      </c>
      <c r="D4141" t="s">
        <v>4052</v>
      </c>
      <c r="E4141" t="s">
        <v>4053</v>
      </c>
      <c r="F4141" t="s">
        <v>94</v>
      </c>
      <c r="G4141" t="s">
        <v>277</v>
      </c>
      <c r="H4141" s="12">
        <v>6.7805999999999997</v>
      </c>
      <c r="I4141" s="12">
        <v>-76.130799999999994</v>
      </c>
      <c r="J4141" t="s">
        <v>4054</v>
      </c>
      <c r="K4141" t="s">
        <v>97</v>
      </c>
      <c r="L4141" t="s">
        <v>1273</v>
      </c>
      <c r="M4141">
        <v>11</v>
      </c>
      <c r="P4141" s="13">
        <v>185</v>
      </c>
      <c r="Q4141" s="13">
        <v>46</v>
      </c>
      <c r="R4141">
        <v>32</v>
      </c>
      <c r="S4141">
        <v>36</v>
      </c>
      <c r="T4141" s="13">
        <v>34</v>
      </c>
      <c r="U4141" s="13">
        <v>35</v>
      </c>
      <c r="V4141" t="s">
        <v>99</v>
      </c>
      <c r="X4141" s="13">
        <v>185</v>
      </c>
    </row>
    <row r="4142" spans="1:24" x14ac:dyDescent="0.25">
      <c r="A4142" t="s">
        <v>4063</v>
      </c>
      <c r="B4142" t="s">
        <v>65</v>
      </c>
      <c r="C4142" t="s">
        <v>4051</v>
      </c>
      <c r="D4142" t="s">
        <v>4052</v>
      </c>
      <c r="E4142" t="s">
        <v>4053</v>
      </c>
      <c r="F4142" t="s">
        <v>94</v>
      </c>
      <c r="G4142" t="s">
        <v>277</v>
      </c>
      <c r="H4142" s="12">
        <v>6.7805999999999997</v>
      </c>
      <c r="I4142" s="12">
        <v>-76.130799999999994</v>
      </c>
      <c r="J4142" t="s">
        <v>4054</v>
      </c>
      <c r="K4142" t="s">
        <v>97</v>
      </c>
      <c r="L4142" t="s">
        <v>1273</v>
      </c>
      <c r="M4142">
        <v>11</v>
      </c>
      <c r="P4142" s="13">
        <v>179</v>
      </c>
      <c r="Q4142" s="13">
        <v>39</v>
      </c>
      <c r="R4142">
        <v>32</v>
      </c>
      <c r="S4142">
        <v>36</v>
      </c>
      <c r="T4142" s="13">
        <v>33</v>
      </c>
      <c r="U4142" s="13">
        <v>47</v>
      </c>
      <c r="V4142" t="s">
        <v>99</v>
      </c>
      <c r="X4142" s="13">
        <v>179</v>
      </c>
    </row>
    <row r="4143" spans="1:24" x14ac:dyDescent="0.25">
      <c r="A4143" t="s">
        <v>4064</v>
      </c>
      <c r="B4143" t="s">
        <v>65</v>
      </c>
      <c r="C4143" t="s">
        <v>4051</v>
      </c>
      <c r="D4143" t="s">
        <v>4052</v>
      </c>
      <c r="E4143" t="s">
        <v>4053</v>
      </c>
      <c r="F4143" t="s">
        <v>94</v>
      </c>
      <c r="G4143" t="s">
        <v>277</v>
      </c>
      <c r="H4143" s="12">
        <v>6.7805999999999997</v>
      </c>
      <c r="I4143" s="12">
        <v>-76.130799999999994</v>
      </c>
      <c r="J4143" t="s">
        <v>4054</v>
      </c>
      <c r="K4143" t="s">
        <v>97</v>
      </c>
      <c r="L4143" t="s">
        <v>1273</v>
      </c>
      <c r="M4143">
        <v>11</v>
      </c>
      <c r="P4143" s="13">
        <v>179</v>
      </c>
      <c r="Q4143" s="13">
        <v>54</v>
      </c>
      <c r="R4143">
        <v>30</v>
      </c>
      <c r="S4143">
        <v>38</v>
      </c>
      <c r="T4143" s="13">
        <v>24</v>
      </c>
      <c r="U4143" s="13">
        <v>29</v>
      </c>
      <c r="V4143" t="s">
        <v>99</v>
      </c>
      <c r="X4143" s="13">
        <v>179</v>
      </c>
    </row>
    <row r="4144" spans="1:24" x14ac:dyDescent="0.25">
      <c r="A4144" t="s">
        <v>4065</v>
      </c>
      <c r="B4144" t="s">
        <v>65</v>
      </c>
      <c r="C4144" t="s">
        <v>4051</v>
      </c>
      <c r="D4144" t="s">
        <v>4052</v>
      </c>
      <c r="E4144" t="s">
        <v>4053</v>
      </c>
      <c r="F4144" t="s">
        <v>94</v>
      </c>
      <c r="G4144" t="s">
        <v>277</v>
      </c>
      <c r="H4144" s="12">
        <v>6.7805999999999997</v>
      </c>
      <c r="I4144" s="12">
        <v>-76.130799999999994</v>
      </c>
      <c r="J4144" t="s">
        <v>4054</v>
      </c>
      <c r="K4144" t="s">
        <v>97</v>
      </c>
      <c r="L4144" t="s">
        <v>1273</v>
      </c>
      <c r="M4144">
        <v>11</v>
      </c>
      <c r="P4144" s="13">
        <v>158</v>
      </c>
      <c r="Q4144" s="13">
        <v>46</v>
      </c>
      <c r="R4144">
        <v>32</v>
      </c>
      <c r="S4144">
        <v>20</v>
      </c>
      <c r="T4144" s="13">
        <v>29</v>
      </c>
      <c r="U4144" s="13">
        <v>27</v>
      </c>
      <c r="V4144" t="s">
        <v>99</v>
      </c>
      <c r="X4144" s="13">
        <v>158</v>
      </c>
    </row>
    <row r="4145" spans="1:24" x14ac:dyDescent="0.25">
      <c r="A4145" t="s">
        <v>4066</v>
      </c>
      <c r="B4145" t="s">
        <v>65</v>
      </c>
      <c r="C4145" t="s">
        <v>4051</v>
      </c>
      <c r="D4145" t="s">
        <v>4052</v>
      </c>
      <c r="E4145" t="s">
        <v>4053</v>
      </c>
      <c r="F4145" t="s">
        <v>94</v>
      </c>
      <c r="G4145" t="s">
        <v>277</v>
      </c>
      <c r="H4145" s="12">
        <v>6.7805999999999997</v>
      </c>
      <c r="I4145" s="12">
        <v>-76.130799999999994</v>
      </c>
      <c r="J4145" t="s">
        <v>4054</v>
      </c>
      <c r="K4145" t="s">
        <v>97</v>
      </c>
      <c r="L4145" t="s">
        <v>1273</v>
      </c>
      <c r="M4145">
        <v>11</v>
      </c>
      <c r="P4145" s="13">
        <v>150</v>
      </c>
      <c r="Q4145" s="13">
        <v>22</v>
      </c>
      <c r="R4145">
        <v>20</v>
      </c>
      <c r="S4145">
        <v>38</v>
      </c>
      <c r="T4145" s="13">
        <v>34</v>
      </c>
      <c r="U4145" s="13">
        <v>47</v>
      </c>
      <c r="V4145" t="s">
        <v>99</v>
      </c>
      <c r="X4145" s="13">
        <v>150</v>
      </c>
    </row>
    <row r="4146" spans="1:24" x14ac:dyDescent="0.25">
      <c r="A4146" t="s">
        <v>4067</v>
      </c>
      <c r="B4146" t="s">
        <v>65</v>
      </c>
      <c r="C4146" t="s">
        <v>4051</v>
      </c>
      <c r="D4146" t="s">
        <v>4052</v>
      </c>
      <c r="E4146" t="s">
        <v>4053</v>
      </c>
      <c r="F4146" t="s">
        <v>94</v>
      </c>
      <c r="G4146" t="s">
        <v>277</v>
      </c>
      <c r="H4146" s="12">
        <v>6.7805999999999997</v>
      </c>
      <c r="I4146" s="12">
        <v>-76.130799999999994</v>
      </c>
      <c r="J4146" t="s">
        <v>4054</v>
      </c>
      <c r="K4146" t="s">
        <v>97</v>
      </c>
      <c r="L4146" t="s">
        <v>1273</v>
      </c>
      <c r="M4146">
        <v>11</v>
      </c>
      <c r="P4146" s="13">
        <v>145</v>
      </c>
      <c r="Q4146" s="13">
        <v>39</v>
      </c>
      <c r="R4146">
        <v>16</v>
      </c>
      <c r="S4146">
        <v>32</v>
      </c>
      <c r="T4146" s="13">
        <v>29</v>
      </c>
      <c r="U4146" s="13">
        <v>27</v>
      </c>
      <c r="V4146" t="s">
        <v>99</v>
      </c>
      <c r="X4146" s="13">
        <v>145</v>
      </c>
    </row>
    <row r="4147" spans="1:24" x14ac:dyDescent="0.25">
      <c r="A4147" t="s">
        <v>4068</v>
      </c>
      <c r="B4147" t="s">
        <v>65</v>
      </c>
      <c r="C4147" t="s">
        <v>4051</v>
      </c>
      <c r="D4147" t="s">
        <v>4052</v>
      </c>
      <c r="E4147" t="s">
        <v>4053</v>
      </c>
      <c r="F4147" t="s">
        <v>94</v>
      </c>
      <c r="G4147" t="s">
        <v>277</v>
      </c>
      <c r="H4147" s="12">
        <v>6.7805999999999997</v>
      </c>
      <c r="I4147" s="12">
        <v>-76.130799999999994</v>
      </c>
      <c r="J4147" t="s">
        <v>4054</v>
      </c>
      <c r="K4147" t="s">
        <v>97</v>
      </c>
      <c r="L4147" t="s">
        <v>1273</v>
      </c>
      <c r="M4147">
        <v>11</v>
      </c>
      <c r="P4147" s="13">
        <v>139</v>
      </c>
      <c r="Q4147" s="13">
        <v>17</v>
      </c>
      <c r="R4147">
        <v>22</v>
      </c>
      <c r="S4147">
        <v>38</v>
      </c>
      <c r="T4147" s="13">
        <v>34</v>
      </c>
      <c r="U4147" s="13">
        <v>25</v>
      </c>
      <c r="V4147" t="s">
        <v>99</v>
      </c>
      <c r="X4147" s="13">
        <v>139</v>
      </c>
    </row>
    <row r="4148" spans="1:24" x14ac:dyDescent="0.25">
      <c r="A4148" t="s">
        <v>4069</v>
      </c>
      <c r="B4148" t="s">
        <v>65</v>
      </c>
      <c r="C4148" t="s">
        <v>4051</v>
      </c>
      <c r="D4148" t="s">
        <v>4052</v>
      </c>
      <c r="E4148" t="s">
        <v>4053</v>
      </c>
      <c r="F4148" t="s">
        <v>94</v>
      </c>
      <c r="G4148" t="s">
        <v>277</v>
      </c>
      <c r="H4148" s="12">
        <v>6.7805999999999997</v>
      </c>
      <c r="I4148" s="12">
        <v>-76.130799999999994</v>
      </c>
      <c r="J4148" t="s">
        <v>4054</v>
      </c>
      <c r="K4148" t="s">
        <v>97</v>
      </c>
      <c r="L4148" t="s">
        <v>1273</v>
      </c>
      <c r="M4148">
        <v>11</v>
      </c>
      <c r="P4148" s="13">
        <v>134</v>
      </c>
      <c r="Q4148" s="13">
        <v>39</v>
      </c>
      <c r="R4148">
        <v>32</v>
      </c>
      <c r="S4148">
        <v>26</v>
      </c>
      <c r="T4148" s="13">
        <v>14</v>
      </c>
      <c r="U4148" s="13">
        <v>16</v>
      </c>
      <c r="V4148" t="s">
        <v>99</v>
      </c>
      <c r="X4148" s="13">
        <v>134</v>
      </c>
    </row>
    <row r="4149" spans="1:24" x14ac:dyDescent="0.25">
      <c r="A4149" t="s">
        <v>4070</v>
      </c>
      <c r="B4149" t="s">
        <v>65</v>
      </c>
      <c r="C4149" t="s">
        <v>4051</v>
      </c>
      <c r="D4149" t="s">
        <v>4052</v>
      </c>
      <c r="E4149" t="s">
        <v>4053</v>
      </c>
      <c r="F4149" t="s">
        <v>94</v>
      </c>
      <c r="G4149" t="s">
        <v>277</v>
      </c>
      <c r="H4149" s="12">
        <v>6.7805999999999997</v>
      </c>
      <c r="I4149" s="12">
        <v>-76.130799999999994</v>
      </c>
      <c r="J4149" t="s">
        <v>4054</v>
      </c>
      <c r="K4149" t="s">
        <v>97</v>
      </c>
      <c r="L4149" t="s">
        <v>1273</v>
      </c>
      <c r="M4149">
        <v>11</v>
      </c>
      <c r="P4149" s="13">
        <v>132</v>
      </c>
      <c r="Q4149" s="13">
        <v>34</v>
      </c>
      <c r="R4149">
        <v>24</v>
      </c>
      <c r="S4149">
        <v>24</v>
      </c>
      <c r="T4149" s="13">
        <v>22</v>
      </c>
      <c r="U4149" s="13">
        <v>29</v>
      </c>
      <c r="V4149" t="s">
        <v>99</v>
      </c>
      <c r="X4149" s="13">
        <v>132</v>
      </c>
    </row>
    <row r="4150" spans="1:24" x14ac:dyDescent="0.25">
      <c r="A4150" t="s">
        <v>4071</v>
      </c>
      <c r="B4150" t="s">
        <v>65</v>
      </c>
      <c r="C4150" t="s">
        <v>4051</v>
      </c>
      <c r="D4150" t="s">
        <v>4052</v>
      </c>
      <c r="E4150" t="s">
        <v>4053</v>
      </c>
      <c r="F4150" t="s">
        <v>94</v>
      </c>
      <c r="G4150" t="s">
        <v>277</v>
      </c>
      <c r="H4150" s="12">
        <v>6.7805999999999997</v>
      </c>
      <c r="I4150" s="12">
        <v>-76.130799999999994</v>
      </c>
      <c r="J4150" t="s">
        <v>4054</v>
      </c>
      <c r="K4150" t="s">
        <v>97</v>
      </c>
      <c r="L4150" t="s">
        <v>1273</v>
      </c>
      <c r="M4150">
        <v>11</v>
      </c>
      <c r="P4150" s="13">
        <v>132</v>
      </c>
      <c r="Q4150" s="13">
        <v>29</v>
      </c>
      <c r="R4150">
        <v>20</v>
      </c>
      <c r="S4150">
        <v>38</v>
      </c>
      <c r="T4150" s="13">
        <v>19</v>
      </c>
      <c r="U4150" s="13">
        <v>24</v>
      </c>
      <c r="V4150" t="s">
        <v>99</v>
      </c>
      <c r="X4150" s="13">
        <v>132</v>
      </c>
    </row>
    <row r="4151" spans="1:24" x14ac:dyDescent="0.25">
      <c r="A4151" t="s">
        <v>4072</v>
      </c>
      <c r="B4151" t="s">
        <v>65</v>
      </c>
      <c r="C4151" t="s">
        <v>4051</v>
      </c>
      <c r="D4151" t="s">
        <v>4052</v>
      </c>
      <c r="E4151" t="s">
        <v>4053</v>
      </c>
      <c r="F4151" t="s">
        <v>94</v>
      </c>
      <c r="G4151" t="s">
        <v>277</v>
      </c>
      <c r="H4151" s="12">
        <v>6.7805999999999997</v>
      </c>
      <c r="I4151" s="12">
        <v>-76.130799999999994</v>
      </c>
      <c r="J4151" t="s">
        <v>4054</v>
      </c>
      <c r="K4151" t="s">
        <v>97</v>
      </c>
      <c r="L4151" t="s">
        <v>1273</v>
      </c>
      <c r="M4151">
        <v>11</v>
      </c>
      <c r="P4151" s="13">
        <v>129</v>
      </c>
      <c r="Q4151" s="13">
        <v>39</v>
      </c>
      <c r="R4151">
        <v>20</v>
      </c>
      <c r="S4151">
        <v>24</v>
      </c>
      <c r="T4151" s="13">
        <v>19</v>
      </c>
      <c r="U4151" s="13">
        <v>29</v>
      </c>
      <c r="V4151" t="s">
        <v>99</v>
      </c>
      <c r="X4151" s="13">
        <v>129</v>
      </c>
    </row>
    <row r="4152" spans="1:24" x14ac:dyDescent="0.25">
      <c r="A4152" t="s">
        <v>4073</v>
      </c>
      <c r="B4152" t="s">
        <v>65</v>
      </c>
      <c r="C4152" t="s">
        <v>4051</v>
      </c>
      <c r="D4152" t="s">
        <v>4052</v>
      </c>
      <c r="E4152" t="s">
        <v>4053</v>
      </c>
      <c r="F4152" t="s">
        <v>94</v>
      </c>
      <c r="G4152" t="s">
        <v>277</v>
      </c>
      <c r="H4152" s="12">
        <v>6.7805999999999997</v>
      </c>
      <c r="I4152" s="12">
        <v>-76.130799999999994</v>
      </c>
      <c r="J4152" t="s">
        <v>4054</v>
      </c>
      <c r="K4152" t="s">
        <v>97</v>
      </c>
      <c r="L4152" t="s">
        <v>1273</v>
      </c>
      <c r="M4152">
        <v>11</v>
      </c>
      <c r="P4152" s="13">
        <v>117</v>
      </c>
      <c r="Q4152" s="13">
        <v>29</v>
      </c>
      <c r="R4152">
        <v>22</v>
      </c>
      <c r="S4152">
        <v>18</v>
      </c>
      <c r="T4152" s="13">
        <v>22</v>
      </c>
      <c r="U4152" s="13">
        <v>29</v>
      </c>
      <c r="V4152" t="s">
        <v>99</v>
      </c>
      <c r="X4152" s="13">
        <v>117</v>
      </c>
    </row>
    <row r="4153" spans="1:24" x14ac:dyDescent="0.25">
      <c r="A4153" t="s">
        <v>4074</v>
      </c>
      <c r="B4153" t="s">
        <v>65</v>
      </c>
      <c r="C4153" t="s">
        <v>4075</v>
      </c>
      <c r="D4153" t="s">
        <v>4076</v>
      </c>
      <c r="E4153" t="s">
        <v>4077</v>
      </c>
      <c r="F4153" t="s">
        <v>94</v>
      </c>
      <c r="G4153" t="s">
        <v>277</v>
      </c>
      <c r="H4153" s="12">
        <v>6.7119</v>
      </c>
      <c r="I4153" s="12">
        <v>-75.908600000000007</v>
      </c>
      <c r="J4153" t="s">
        <v>4078</v>
      </c>
      <c r="K4153" t="s">
        <v>97</v>
      </c>
      <c r="L4153" t="s">
        <v>1273</v>
      </c>
      <c r="M4153">
        <v>11</v>
      </c>
      <c r="P4153" s="13">
        <v>269</v>
      </c>
      <c r="Q4153" s="13">
        <v>76</v>
      </c>
      <c r="R4153">
        <v>32</v>
      </c>
      <c r="S4153">
        <v>64</v>
      </c>
      <c r="T4153" s="13">
        <v>43</v>
      </c>
      <c r="U4153" s="13">
        <v>56</v>
      </c>
      <c r="V4153" t="s">
        <v>99</v>
      </c>
      <c r="X4153" s="13">
        <v>269</v>
      </c>
    </row>
    <row r="4154" spans="1:24" x14ac:dyDescent="0.25">
      <c r="A4154" t="s">
        <v>4079</v>
      </c>
      <c r="B4154" t="s">
        <v>65</v>
      </c>
      <c r="C4154" t="s">
        <v>4075</v>
      </c>
      <c r="D4154" t="s">
        <v>4076</v>
      </c>
      <c r="E4154" t="s">
        <v>4077</v>
      </c>
      <c r="F4154" t="s">
        <v>94</v>
      </c>
      <c r="G4154" t="s">
        <v>277</v>
      </c>
      <c r="H4154" s="12">
        <v>6.7119</v>
      </c>
      <c r="I4154" s="12">
        <v>-75.908600000000007</v>
      </c>
      <c r="J4154" t="s">
        <v>4078</v>
      </c>
      <c r="K4154" t="s">
        <v>97</v>
      </c>
      <c r="L4154" t="s">
        <v>1273</v>
      </c>
      <c r="M4154">
        <v>11</v>
      </c>
      <c r="P4154" s="13">
        <v>266</v>
      </c>
      <c r="Q4154" s="13">
        <v>61</v>
      </c>
      <c r="R4154">
        <v>56</v>
      </c>
      <c r="S4154">
        <v>60</v>
      </c>
      <c r="T4154" s="13">
        <v>36</v>
      </c>
      <c r="U4154" s="13">
        <v>53</v>
      </c>
      <c r="V4154" t="s">
        <v>99</v>
      </c>
      <c r="X4154" s="13">
        <v>266</v>
      </c>
    </row>
    <row r="4155" spans="1:24" x14ac:dyDescent="0.25">
      <c r="A4155" t="s">
        <v>4080</v>
      </c>
      <c r="B4155" t="s">
        <v>65</v>
      </c>
      <c r="C4155" t="s">
        <v>4075</v>
      </c>
      <c r="D4155" t="s">
        <v>4076</v>
      </c>
      <c r="E4155" t="s">
        <v>4077</v>
      </c>
      <c r="F4155" t="s">
        <v>94</v>
      </c>
      <c r="G4155" t="s">
        <v>277</v>
      </c>
      <c r="H4155" s="12">
        <v>6.7119</v>
      </c>
      <c r="I4155" s="12">
        <v>-75.908600000000007</v>
      </c>
      <c r="J4155" t="s">
        <v>4078</v>
      </c>
      <c r="K4155" t="s">
        <v>97</v>
      </c>
      <c r="L4155" t="s">
        <v>1273</v>
      </c>
      <c r="M4155">
        <v>11</v>
      </c>
      <c r="P4155" s="13">
        <v>252</v>
      </c>
      <c r="Q4155" s="13">
        <v>59</v>
      </c>
      <c r="R4155">
        <v>42</v>
      </c>
      <c r="S4155">
        <v>58</v>
      </c>
      <c r="T4155" s="13">
        <v>40</v>
      </c>
      <c r="U4155" s="13">
        <v>60</v>
      </c>
      <c r="V4155" t="s">
        <v>99</v>
      </c>
      <c r="X4155" s="13">
        <v>252</v>
      </c>
    </row>
    <row r="4156" spans="1:24" x14ac:dyDescent="0.25">
      <c r="A4156" t="s">
        <v>4081</v>
      </c>
      <c r="B4156" t="s">
        <v>65</v>
      </c>
      <c r="C4156" t="s">
        <v>4075</v>
      </c>
      <c r="D4156" t="s">
        <v>4076</v>
      </c>
      <c r="E4156" t="s">
        <v>4077</v>
      </c>
      <c r="F4156" t="s">
        <v>94</v>
      </c>
      <c r="G4156" t="s">
        <v>277</v>
      </c>
      <c r="H4156" s="12">
        <v>6.7119</v>
      </c>
      <c r="I4156" s="12">
        <v>-75.908600000000007</v>
      </c>
      <c r="J4156" t="s">
        <v>4078</v>
      </c>
      <c r="K4156" t="s">
        <v>97</v>
      </c>
      <c r="L4156" t="s">
        <v>1273</v>
      </c>
      <c r="M4156">
        <v>11</v>
      </c>
      <c r="P4156" s="13">
        <v>237</v>
      </c>
      <c r="Q4156" s="13">
        <v>54</v>
      </c>
      <c r="R4156">
        <v>38</v>
      </c>
      <c r="S4156">
        <v>64</v>
      </c>
      <c r="T4156" s="13">
        <v>29</v>
      </c>
      <c r="U4156" s="13">
        <v>60</v>
      </c>
      <c r="V4156" t="s">
        <v>99</v>
      </c>
      <c r="X4156" s="13">
        <v>237</v>
      </c>
    </row>
    <row r="4157" spans="1:24" x14ac:dyDescent="0.25">
      <c r="A4157" t="s">
        <v>4082</v>
      </c>
      <c r="B4157" t="s">
        <v>65</v>
      </c>
      <c r="C4157" t="s">
        <v>4075</v>
      </c>
      <c r="D4157" t="s">
        <v>4076</v>
      </c>
      <c r="E4157" t="s">
        <v>4077</v>
      </c>
      <c r="F4157" t="s">
        <v>94</v>
      </c>
      <c r="G4157" t="s">
        <v>277</v>
      </c>
      <c r="H4157" s="12">
        <v>6.7119</v>
      </c>
      <c r="I4157" s="12">
        <v>-75.908600000000007</v>
      </c>
      <c r="J4157" t="s">
        <v>4078</v>
      </c>
      <c r="K4157" t="s">
        <v>97</v>
      </c>
      <c r="L4157" t="s">
        <v>1273</v>
      </c>
      <c r="M4157">
        <v>11</v>
      </c>
      <c r="P4157" s="13">
        <v>222</v>
      </c>
      <c r="Q4157" s="13">
        <v>59</v>
      </c>
      <c r="R4157">
        <v>28</v>
      </c>
      <c r="S4157">
        <v>54</v>
      </c>
      <c r="T4157" s="13">
        <v>36</v>
      </c>
      <c r="U4157" s="13">
        <v>47</v>
      </c>
      <c r="V4157" t="s">
        <v>99</v>
      </c>
      <c r="X4157" s="13">
        <v>222</v>
      </c>
    </row>
    <row r="4158" spans="1:24" x14ac:dyDescent="0.25">
      <c r="A4158" t="s">
        <v>4083</v>
      </c>
      <c r="B4158" t="s">
        <v>65</v>
      </c>
      <c r="C4158" t="s">
        <v>4075</v>
      </c>
      <c r="D4158" t="s">
        <v>4076</v>
      </c>
      <c r="E4158" t="s">
        <v>4077</v>
      </c>
      <c r="F4158" t="s">
        <v>94</v>
      </c>
      <c r="G4158" t="s">
        <v>277</v>
      </c>
      <c r="H4158" s="12">
        <v>6.7119</v>
      </c>
      <c r="I4158" s="12">
        <v>-75.908600000000007</v>
      </c>
      <c r="J4158" t="s">
        <v>4078</v>
      </c>
      <c r="K4158" t="s">
        <v>97</v>
      </c>
      <c r="L4158" t="s">
        <v>1273</v>
      </c>
      <c r="M4158">
        <v>11</v>
      </c>
      <c r="P4158" s="13">
        <v>218</v>
      </c>
      <c r="Q4158" s="13">
        <v>44</v>
      </c>
      <c r="R4158">
        <v>36</v>
      </c>
      <c r="S4158">
        <v>60</v>
      </c>
      <c r="T4158" s="13">
        <v>29</v>
      </c>
      <c r="U4158" s="13">
        <v>60</v>
      </c>
      <c r="V4158" t="s">
        <v>99</v>
      </c>
      <c r="X4158" s="13">
        <v>218</v>
      </c>
    </row>
    <row r="4159" spans="1:24" x14ac:dyDescent="0.25">
      <c r="A4159" t="s">
        <v>4084</v>
      </c>
      <c r="B4159" t="s">
        <v>65</v>
      </c>
      <c r="C4159" t="s">
        <v>4075</v>
      </c>
      <c r="D4159" t="s">
        <v>4076</v>
      </c>
      <c r="E4159" t="s">
        <v>4077</v>
      </c>
      <c r="F4159" t="s">
        <v>94</v>
      </c>
      <c r="G4159" t="s">
        <v>277</v>
      </c>
      <c r="H4159" s="12">
        <v>6.7119</v>
      </c>
      <c r="I4159" s="12">
        <v>-75.908600000000007</v>
      </c>
      <c r="J4159" t="s">
        <v>4078</v>
      </c>
      <c r="K4159" t="s">
        <v>97</v>
      </c>
      <c r="L4159" t="s">
        <v>1273</v>
      </c>
      <c r="M4159">
        <v>11</v>
      </c>
      <c r="P4159" s="13">
        <v>209</v>
      </c>
      <c r="Q4159" s="13">
        <v>61</v>
      </c>
      <c r="R4159">
        <v>24</v>
      </c>
      <c r="S4159">
        <v>58</v>
      </c>
      <c r="T4159" s="13">
        <v>22</v>
      </c>
      <c r="U4159" s="13">
        <v>47</v>
      </c>
      <c r="V4159" t="s">
        <v>99</v>
      </c>
      <c r="X4159" s="13">
        <v>209</v>
      </c>
    </row>
    <row r="4160" spans="1:24" x14ac:dyDescent="0.25">
      <c r="A4160" t="s">
        <v>4085</v>
      </c>
      <c r="B4160" t="s">
        <v>65</v>
      </c>
      <c r="C4160" t="s">
        <v>4075</v>
      </c>
      <c r="D4160" t="s">
        <v>4076</v>
      </c>
      <c r="E4160" t="s">
        <v>4077</v>
      </c>
      <c r="F4160" t="s">
        <v>94</v>
      </c>
      <c r="G4160" t="s">
        <v>277</v>
      </c>
      <c r="H4160" s="12">
        <v>6.7119</v>
      </c>
      <c r="I4160" s="12">
        <v>-75.908600000000007</v>
      </c>
      <c r="J4160" t="s">
        <v>4078</v>
      </c>
      <c r="K4160" t="s">
        <v>97</v>
      </c>
      <c r="L4160" t="s">
        <v>1273</v>
      </c>
      <c r="M4160">
        <v>11</v>
      </c>
      <c r="P4160" s="13">
        <v>194</v>
      </c>
      <c r="Q4160" s="13">
        <v>51</v>
      </c>
      <c r="R4160">
        <v>30</v>
      </c>
      <c r="S4160">
        <v>48</v>
      </c>
      <c r="T4160" s="13">
        <v>24</v>
      </c>
      <c r="U4160" s="13">
        <v>45</v>
      </c>
      <c r="V4160" t="s">
        <v>99</v>
      </c>
      <c r="X4160" s="13">
        <v>194</v>
      </c>
    </row>
    <row r="4161" spans="1:24" x14ac:dyDescent="0.25">
      <c r="A4161" t="s">
        <v>4086</v>
      </c>
      <c r="B4161" t="s">
        <v>65</v>
      </c>
      <c r="C4161" t="s">
        <v>4075</v>
      </c>
      <c r="D4161" t="s">
        <v>4076</v>
      </c>
      <c r="E4161" t="s">
        <v>4077</v>
      </c>
      <c r="F4161" t="s">
        <v>94</v>
      </c>
      <c r="G4161" t="s">
        <v>277</v>
      </c>
      <c r="H4161" s="12">
        <v>6.7119</v>
      </c>
      <c r="I4161" s="12">
        <v>-75.908600000000007</v>
      </c>
      <c r="J4161" t="s">
        <v>4078</v>
      </c>
      <c r="K4161" t="s">
        <v>97</v>
      </c>
      <c r="L4161" t="s">
        <v>1273</v>
      </c>
      <c r="M4161">
        <v>11</v>
      </c>
      <c r="P4161" s="13">
        <v>194</v>
      </c>
      <c r="Q4161" s="13">
        <v>37</v>
      </c>
      <c r="R4161">
        <v>38</v>
      </c>
      <c r="S4161">
        <v>42</v>
      </c>
      <c r="T4161" s="13">
        <v>36</v>
      </c>
      <c r="U4161" s="13">
        <v>45</v>
      </c>
      <c r="V4161" t="s">
        <v>99</v>
      </c>
      <c r="X4161" s="13">
        <v>194</v>
      </c>
    </row>
    <row r="4162" spans="1:24" x14ac:dyDescent="0.25">
      <c r="A4162" t="s">
        <v>4087</v>
      </c>
      <c r="B4162" t="s">
        <v>65</v>
      </c>
      <c r="C4162" t="s">
        <v>4075</v>
      </c>
      <c r="D4162" t="s">
        <v>4076</v>
      </c>
      <c r="E4162" t="s">
        <v>4077</v>
      </c>
      <c r="F4162" t="s">
        <v>94</v>
      </c>
      <c r="G4162" t="s">
        <v>277</v>
      </c>
      <c r="H4162" s="12">
        <v>6.7119</v>
      </c>
      <c r="I4162" s="12">
        <v>-75.908600000000007</v>
      </c>
      <c r="J4162" t="s">
        <v>4078</v>
      </c>
      <c r="K4162" t="s">
        <v>97</v>
      </c>
      <c r="L4162" t="s">
        <v>1273</v>
      </c>
      <c r="M4162">
        <v>11</v>
      </c>
      <c r="P4162" s="13">
        <v>193</v>
      </c>
      <c r="Q4162" s="13">
        <v>39</v>
      </c>
      <c r="R4162">
        <v>30</v>
      </c>
      <c r="S4162">
        <v>50</v>
      </c>
      <c r="T4162" s="13">
        <v>33</v>
      </c>
      <c r="U4162" s="13">
        <v>45</v>
      </c>
      <c r="V4162" t="s">
        <v>99</v>
      </c>
      <c r="X4162" s="13">
        <v>193</v>
      </c>
    </row>
    <row r="4163" spans="1:24" x14ac:dyDescent="0.25">
      <c r="A4163" t="s">
        <v>4088</v>
      </c>
      <c r="B4163" t="s">
        <v>65</v>
      </c>
      <c r="C4163" t="s">
        <v>4075</v>
      </c>
      <c r="D4163" t="s">
        <v>4076</v>
      </c>
      <c r="E4163" t="s">
        <v>4077</v>
      </c>
      <c r="F4163" t="s">
        <v>94</v>
      </c>
      <c r="G4163" t="s">
        <v>277</v>
      </c>
      <c r="H4163" s="12">
        <v>6.7119</v>
      </c>
      <c r="I4163" s="12">
        <v>-75.908600000000007</v>
      </c>
      <c r="J4163" t="s">
        <v>4078</v>
      </c>
      <c r="K4163" t="s">
        <v>97</v>
      </c>
      <c r="L4163" t="s">
        <v>1273</v>
      </c>
      <c r="M4163">
        <v>11</v>
      </c>
      <c r="P4163" s="13">
        <v>191</v>
      </c>
      <c r="Q4163" s="13">
        <v>44</v>
      </c>
      <c r="R4163">
        <v>16</v>
      </c>
      <c r="S4163">
        <v>64</v>
      </c>
      <c r="T4163" s="13">
        <v>28</v>
      </c>
      <c r="U4163" s="13">
        <v>42</v>
      </c>
      <c r="V4163" t="s">
        <v>99</v>
      </c>
      <c r="X4163" s="13">
        <v>191</v>
      </c>
    </row>
    <row r="4164" spans="1:24" x14ac:dyDescent="0.25">
      <c r="A4164" t="s">
        <v>4089</v>
      </c>
      <c r="B4164" t="s">
        <v>65</v>
      </c>
      <c r="C4164" t="s">
        <v>4075</v>
      </c>
      <c r="D4164" t="s">
        <v>4076</v>
      </c>
      <c r="E4164" t="s">
        <v>4077</v>
      </c>
      <c r="F4164" t="s">
        <v>94</v>
      </c>
      <c r="G4164" t="s">
        <v>277</v>
      </c>
      <c r="H4164" s="12">
        <v>6.7119</v>
      </c>
      <c r="I4164" s="12">
        <v>-75.908600000000007</v>
      </c>
      <c r="J4164" t="s">
        <v>4078</v>
      </c>
      <c r="K4164" t="s">
        <v>97</v>
      </c>
      <c r="L4164" t="s">
        <v>1273</v>
      </c>
      <c r="M4164">
        <v>11</v>
      </c>
      <c r="P4164" s="13">
        <v>187</v>
      </c>
      <c r="Q4164" s="13">
        <v>41</v>
      </c>
      <c r="R4164">
        <v>28</v>
      </c>
      <c r="S4164">
        <v>46</v>
      </c>
      <c r="T4164" s="13">
        <v>31</v>
      </c>
      <c r="U4164" s="13">
        <v>47</v>
      </c>
      <c r="V4164" t="s">
        <v>99</v>
      </c>
      <c r="X4164" s="13">
        <v>187</v>
      </c>
    </row>
    <row r="4165" spans="1:24" x14ac:dyDescent="0.25">
      <c r="A4165" t="s">
        <v>4090</v>
      </c>
      <c r="B4165" t="s">
        <v>65</v>
      </c>
      <c r="C4165" t="s">
        <v>4075</v>
      </c>
      <c r="D4165" t="s">
        <v>4076</v>
      </c>
      <c r="E4165" t="s">
        <v>4077</v>
      </c>
      <c r="F4165" t="s">
        <v>94</v>
      </c>
      <c r="G4165" t="s">
        <v>277</v>
      </c>
      <c r="H4165" s="12">
        <v>6.7119</v>
      </c>
      <c r="I4165" s="12">
        <v>-75.908600000000007</v>
      </c>
      <c r="J4165" t="s">
        <v>4078</v>
      </c>
      <c r="K4165" t="s">
        <v>97</v>
      </c>
      <c r="L4165" t="s">
        <v>1273</v>
      </c>
      <c r="M4165">
        <v>11</v>
      </c>
      <c r="P4165" s="13">
        <v>186</v>
      </c>
      <c r="Q4165" s="13">
        <v>41</v>
      </c>
      <c r="R4165">
        <v>28</v>
      </c>
      <c r="S4165">
        <v>44</v>
      </c>
      <c r="T4165" s="13">
        <v>36</v>
      </c>
      <c r="U4165" s="13">
        <v>35</v>
      </c>
      <c r="V4165" t="s">
        <v>99</v>
      </c>
      <c r="X4165" s="13">
        <v>186</v>
      </c>
    </row>
    <row r="4166" spans="1:24" x14ac:dyDescent="0.25">
      <c r="A4166" t="s">
        <v>4091</v>
      </c>
      <c r="B4166" t="s">
        <v>65</v>
      </c>
      <c r="C4166" t="s">
        <v>4075</v>
      </c>
      <c r="D4166" t="s">
        <v>4076</v>
      </c>
      <c r="E4166" t="s">
        <v>4077</v>
      </c>
      <c r="F4166" t="s">
        <v>94</v>
      </c>
      <c r="G4166" t="s">
        <v>277</v>
      </c>
      <c r="H4166" s="12">
        <v>6.7119</v>
      </c>
      <c r="I4166" s="12">
        <v>-75.908600000000007</v>
      </c>
      <c r="J4166" t="s">
        <v>4078</v>
      </c>
      <c r="K4166" t="s">
        <v>97</v>
      </c>
      <c r="L4166" t="s">
        <v>1273</v>
      </c>
      <c r="M4166">
        <v>11</v>
      </c>
      <c r="P4166" s="13">
        <v>185</v>
      </c>
      <c r="Q4166" s="13">
        <v>34</v>
      </c>
      <c r="R4166">
        <v>40</v>
      </c>
      <c r="S4166">
        <v>44</v>
      </c>
      <c r="T4166" s="13">
        <v>26</v>
      </c>
      <c r="U4166" s="13">
        <v>49</v>
      </c>
      <c r="V4166" t="s">
        <v>99</v>
      </c>
      <c r="X4166" s="13">
        <v>185</v>
      </c>
    </row>
    <row r="4167" spans="1:24" x14ac:dyDescent="0.25">
      <c r="A4167" t="s">
        <v>4092</v>
      </c>
      <c r="B4167" t="s">
        <v>65</v>
      </c>
      <c r="C4167" t="s">
        <v>4075</v>
      </c>
      <c r="D4167" t="s">
        <v>4076</v>
      </c>
      <c r="E4167" t="s">
        <v>4077</v>
      </c>
      <c r="F4167" t="s">
        <v>94</v>
      </c>
      <c r="G4167" t="s">
        <v>277</v>
      </c>
      <c r="H4167" s="12">
        <v>6.7119</v>
      </c>
      <c r="I4167" s="12">
        <v>-75.908600000000007</v>
      </c>
      <c r="J4167" t="s">
        <v>4078</v>
      </c>
      <c r="K4167" t="s">
        <v>97</v>
      </c>
      <c r="L4167" t="s">
        <v>1273</v>
      </c>
      <c r="M4167">
        <v>11</v>
      </c>
      <c r="P4167" s="13">
        <v>177</v>
      </c>
      <c r="Q4167" s="13">
        <v>37</v>
      </c>
      <c r="R4167">
        <v>28</v>
      </c>
      <c r="S4167">
        <v>54</v>
      </c>
      <c r="T4167" s="13">
        <v>22</v>
      </c>
      <c r="U4167" s="13">
        <v>38</v>
      </c>
      <c r="V4167" t="s">
        <v>99</v>
      </c>
      <c r="X4167" s="13">
        <v>177</v>
      </c>
    </row>
    <row r="4168" spans="1:24" x14ac:dyDescent="0.25">
      <c r="A4168" t="s">
        <v>4093</v>
      </c>
      <c r="B4168" t="s">
        <v>65</v>
      </c>
      <c r="C4168" t="s">
        <v>4075</v>
      </c>
      <c r="D4168" t="s">
        <v>4076</v>
      </c>
      <c r="E4168" t="s">
        <v>4077</v>
      </c>
      <c r="F4168" t="s">
        <v>94</v>
      </c>
      <c r="G4168" t="s">
        <v>277</v>
      </c>
      <c r="H4168" s="12">
        <v>6.7119</v>
      </c>
      <c r="I4168" s="12">
        <v>-75.908600000000007</v>
      </c>
      <c r="J4168" t="s">
        <v>4078</v>
      </c>
      <c r="K4168" t="s">
        <v>97</v>
      </c>
      <c r="L4168" t="s">
        <v>1273</v>
      </c>
      <c r="M4168">
        <v>11</v>
      </c>
      <c r="P4168" s="13">
        <v>170</v>
      </c>
      <c r="Q4168" s="13">
        <v>34</v>
      </c>
      <c r="R4168">
        <v>24</v>
      </c>
      <c r="S4168">
        <v>48</v>
      </c>
      <c r="T4168" s="13">
        <v>29</v>
      </c>
      <c r="U4168" s="13">
        <v>36</v>
      </c>
      <c r="V4168" t="s">
        <v>99</v>
      </c>
      <c r="X4168" s="13">
        <v>170</v>
      </c>
    </row>
    <row r="4169" spans="1:24" x14ac:dyDescent="0.25">
      <c r="A4169" t="s">
        <v>4094</v>
      </c>
      <c r="B4169" t="s">
        <v>65</v>
      </c>
      <c r="C4169" t="s">
        <v>4075</v>
      </c>
      <c r="D4169" t="s">
        <v>4076</v>
      </c>
      <c r="E4169" t="s">
        <v>4077</v>
      </c>
      <c r="F4169" t="s">
        <v>94</v>
      </c>
      <c r="G4169" t="s">
        <v>277</v>
      </c>
      <c r="H4169" s="12">
        <v>6.7119</v>
      </c>
      <c r="I4169" s="12">
        <v>-75.908600000000007</v>
      </c>
      <c r="J4169" t="s">
        <v>4078</v>
      </c>
      <c r="K4169" t="s">
        <v>97</v>
      </c>
      <c r="L4169" t="s">
        <v>1273</v>
      </c>
      <c r="M4169">
        <v>11</v>
      </c>
      <c r="P4169" s="13">
        <v>168</v>
      </c>
      <c r="Q4169" s="13">
        <v>37</v>
      </c>
      <c r="R4169">
        <v>32</v>
      </c>
      <c r="S4169">
        <v>42</v>
      </c>
      <c r="T4169" s="13">
        <v>22</v>
      </c>
      <c r="U4169" s="13">
        <v>38</v>
      </c>
      <c r="V4169" t="s">
        <v>99</v>
      </c>
      <c r="X4169" s="13">
        <v>168</v>
      </c>
    </row>
    <row r="4170" spans="1:24" x14ac:dyDescent="0.25">
      <c r="A4170" t="s">
        <v>4095</v>
      </c>
      <c r="B4170" t="s">
        <v>65</v>
      </c>
      <c r="C4170" t="s">
        <v>4075</v>
      </c>
      <c r="D4170" t="s">
        <v>4076</v>
      </c>
      <c r="E4170" t="s">
        <v>4077</v>
      </c>
      <c r="F4170" t="s">
        <v>94</v>
      </c>
      <c r="G4170" t="s">
        <v>277</v>
      </c>
      <c r="H4170" s="12">
        <v>6.7119</v>
      </c>
      <c r="I4170" s="12">
        <v>-75.908600000000007</v>
      </c>
      <c r="J4170" t="s">
        <v>4078</v>
      </c>
      <c r="K4170" t="s">
        <v>97</v>
      </c>
      <c r="L4170" t="s">
        <v>1273</v>
      </c>
      <c r="M4170">
        <v>11</v>
      </c>
      <c r="P4170" s="13">
        <v>152</v>
      </c>
      <c r="Q4170" s="13">
        <v>41</v>
      </c>
      <c r="R4170">
        <v>22</v>
      </c>
      <c r="S4170">
        <v>30</v>
      </c>
      <c r="T4170" s="13">
        <v>26</v>
      </c>
      <c r="U4170" s="13">
        <v>38</v>
      </c>
      <c r="V4170" t="s">
        <v>99</v>
      </c>
      <c r="X4170" s="13">
        <v>152</v>
      </c>
    </row>
    <row r="4171" spans="1:24" x14ac:dyDescent="0.25">
      <c r="A4171" t="s">
        <v>4096</v>
      </c>
      <c r="B4171" t="s">
        <v>65</v>
      </c>
      <c r="C4171" t="s">
        <v>4075</v>
      </c>
      <c r="D4171" t="s">
        <v>4076</v>
      </c>
      <c r="E4171" t="s">
        <v>4077</v>
      </c>
      <c r="F4171" t="s">
        <v>94</v>
      </c>
      <c r="G4171" t="s">
        <v>277</v>
      </c>
      <c r="H4171" s="12">
        <v>6.7119</v>
      </c>
      <c r="I4171" s="12">
        <v>-75.908600000000007</v>
      </c>
      <c r="J4171" t="s">
        <v>4078</v>
      </c>
      <c r="K4171" t="s">
        <v>97</v>
      </c>
      <c r="L4171" t="s">
        <v>1273</v>
      </c>
      <c r="M4171">
        <v>11</v>
      </c>
      <c r="P4171" s="13">
        <v>149</v>
      </c>
      <c r="Q4171" s="13">
        <v>29</v>
      </c>
      <c r="R4171">
        <v>16</v>
      </c>
      <c r="S4171">
        <v>46</v>
      </c>
      <c r="T4171" s="13">
        <v>22</v>
      </c>
      <c r="U4171" s="13">
        <v>45</v>
      </c>
      <c r="V4171" t="s">
        <v>99</v>
      </c>
      <c r="X4171" s="13">
        <v>149</v>
      </c>
    </row>
    <row r="4172" spans="1:24" x14ac:dyDescent="0.25">
      <c r="A4172" t="s">
        <v>4097</v>
      </c>
      <c r="B4172" t="s">
        <v>65</v>
      </c>
      <c r="C4172" t="s">
        <v>4075</v>
      </c>
      <c r="D4172" t="s">
        <v>4076</v>
      </c>
      <c r="E4172" t="s">
        <v>4077</v>
      </c>
      <c r="F4172" t="s">
        <v>94</v>
      </c>
      <c r="G4172" t="s">
        <v>277</v>
      </c>
      <c r="H4172" s="12">
        <v>6.7119</v>
      </c>
      <c r="I4172" s="12">
        <v>-75.908600000000007</v>
      </c>
      <c r="J4172" t="s">
        <v>4078</v>
      </c>
      <c r="K4172" t="s">
        <v>97</v>
      </c>
      <c r="L4172" t="s">
        <v>1273</v>
      </c>
      <c r="M4172">
        <v>11</v>
      </c>
      <c r="P4172" s="13">
        <v>144</v>
      </c>
      <c r="Q4172" s="13">
        <v>39</v>
      </c>
      <c r="R4172">
        <v>28</v>
      </c>
      <c r="S4172">
        <v>28</v>
      </c>
      <c r="T4172" s="13">
        <v>17</v>
      </c>
      <c r="U4172" s="13">
        <v>38</v>
      </c>
      <c r="V4172" t="s">
        <v>99</v>
      </c>
      <c r="X4172" s="13">
        <v>144</v>
      </c>
    </row>
    <row r="4173" spans="1:24" x14ac:dyDescent="0.25">
      <c r="A4173" t="s">
        <v>4098</v>
      </c>
      <c r="B4173" t="s">
        <v>65</v>
      </c>
      <c r="C4173" t="s">
        <v>4075</v>
      </c>
      <c r="D4173" t="s">
        <v>4076</v>
      </c>
      <c r="E4173" t="s">
        <v>4077</v>
      </c>
      <c r="F4173" t="s">
        <v>94</v>
      </c>
      <c r="G4173" t="s">
        <v>277</v>
      </c>
      <c r="H4173" s="12">
        <v>6.7119</v>
      </c>
      <c r="I4173" s="12">
        <v>-75.908600000000007</v>
      </c>
      <c r="J4173" t="s">
        <v>4078</v>
      </c>
      <c r="K4173" t="s">
        <v>97</v>
      </c>
      <c r="L4173" t="s">
        <v>1273</v>
      </c>
      <c r="M4173">
        <v>11</v>
      </c>
      <c r="P4173" s="13">
        <v>134</v>
      </c>
      <c r="Q4173" s="13">
        <v>34</v>
      </c>
      <c r="R4173">
        <v>28</v>
      </c>
      <c r="S4173">
        <v>26</v>
      </c>
      <c r="T4173" s="13">
        <v>16</v>
      </c>
      <c r="U4173" s="13">
        <v>38</v>
      </c>
      <c r="V4173" t="s">
        <v>99</v>
      </c>
      <c r="X4173" s="13">
        <v>134</v>
      </c>
    </row>
    <row r="4174" spans="1:24" x14ac:dyDescent="0.25">
      <c r="A4174" t="s">
        <v>4099</v>
      </c>
      <c r="B4174" t="s">
        <v>65</v>
      </c>
      <c r="C4174" t="s">
        <v>4100</v>
      </c>
      <c r="D4174" t="s">
        <v>4101</v>
      </c>
      <c r="E4174" t="s">
        <v>3783</v>
      </c>
      <c r="F4174" t="s">
        <v>94</v>
      </c>
      <c r="G4174" t="s">
        <v>277</v>
      </c>
      <c r="H4174" s="12">
        <v>7.9869000000000003</v>
      </c>
      <c r="I4174" s="12">
        <v>-75.197199999999995</v>
      </c>
      <c r="J4174" t="s">
        <v>4102</v>
      </c>
      <c r="K4174" t="s">
        <v>97</v>
      </c>
      <c r="L4174" t="s">
        <v>1273</v>
      </c>
      <c r="M4174">
        <v>11</v>
      </c>
      <c r="P4174" s="13">
        <v>250</v>
      </c>
      <c r="Q4174" s="13">
        <v>56</v>
      </c>
      <c r="R4174">
        <v>40</v>
      </c>
      <c r="S4174">
        <v>64</v>
      </c>
      <c r="T4174" s="13">
        <v>41</v>
      </c>
      <c r="U4174" s="13">
        <v>45</v>
      </c>
      <c r="V4174" t="s">
        <v>99</v>
      </c>
      <c r="X4174" s="13">
        <v>250</v>
      </c>
    </row>
    <row r="4175" spans="1:24" x14ac:dyDescent="0.25">
      <c r="A4175" t="s">
        <v>4103</v>
      </c>
      <c r="B4175" t="s">
        <v>65</v>
      </c>
      <c r="C4175" t="s">
        <v>4100</v>
      </c>
      <c r="D4175" t="s">
        <v>4101</v>
      </c>
      <c r="E4175" t="s">
        <v>3783</v>
      </c>
      <c r="F4175" t="s">
        <v>94</v>
      </c>
      <c r="G4175" t="s">
        <v>277</v>
      </c>
      <c r="H4175" s="12">
        <v>7.9869000000000003</v>
      </c>
      <c r="I4175" s="12">
        <v>-75.197199999999995</v>
      </c>
      <c r="J4175" t="s">
        <v>4102</v>
      </c>
      <c r="K4175" t="s">
        <v>97</v>
      </c>
      <c r="L4175" t="s">
        <v>1273</v>
      </c>
      <c r="M4175">
        <v>11</v>
      </c>
      <c r="P4175" s="13">
        <v>230</v>
      </c>
      <c r="Q4175" s="13">
        <v>56</v>
      </c>
      <c r="R4175">
        <v>26</v>
      </c>
      <c r="S4175">
        <v>58</v>
      </c>
      <c r="T4175" s="13">
        <v>48</v>
      </c>
      <c r="U4175" s="13">
        <v>33</v>
      </c>
      <c r="V4175" t="s">
        <v>99</v>
      </c>
      <c r="X4175" s="13">
        <v>230</v>
      </c>
    </row>
    <row r="4176" spans="1:24" x14ac:dyDescent="0.25">
      <c r="A4176" t="s">
        <v>4104</v>
      </c>
      <c r="B4176" t="s">
        <v>65</v>
      </c>
      <c r="C4176" t="s">
        <v>4100</v>
      </c>
      <c r="D4176" t="s">
        <v>4101</v>
      </c>
      <c r="E4176" t="s">
        <v>3783</v>
      </c>
      <c r="F4176" t="s">
        <v>94</v>
      </c>
      <c r="G4176" t="s">
        <v>277</v>
      </c>
      <c r="H4176" s="12">
        <v>7.9869000000000003</v>
      </c>
      <c r="I4176" s="12">
        <v>-75.197199999999995</v>
      </c>
      <c r="J4176" t="s">
        <v>4102</v>
      </c>
      <c r="K4176" t="s">
        <v>97</v>
      </c>
      <c r="L4176" t="s">
        <v>1273</v>
      </c>
      <c r="M4176">
        <v>11</v>
      </c>
      <c r="P4176" s="13">
        <v>201</v>
      </c>
      <c r="Q4176" s="13">
        <v>54</v>
      </c>
      <c r="R4176">
        <v>36</v>
      </c>
      <c r="S4176">
        <v>52</v>
      </c>
      <c r="T4176" s="13">
        <v>19</v>
      </c>
      <c r="U4176" s="13">
        <v>42</v>
      </c>
      <c r="V4176" t="s">
        <v>99</v>
      </c>
      <c r="X4176" s="13">
        <v>201</v>
      </c>
    </row>
    <row r="4177" spans="1:24" x14ac:dyDescent="0.25">
      <c r="A4177" t="s">
        <v>4105</v>
      </c>
      <c r="B4177" t="s">
        <v>65</v>
      </c>
      <c r="C4177" t="s">
        <v>4100</v>
      </c>
      <c r="D4177" t="s">
        <v>4101</v>
      </c>
      <c r="E4177" t="s">
        <v>3783</v>
      </c>
      <c r="F4177" t="s">
        <v>94</v>
      </c>
      <c r="G4177" t="s">
        <v>277</v>
      </c>
      <c r="H4177" s="12">
        <v>7.9869000000000003</v>
      </c>
      <c r="I4177" s="12">
        <v>-75.197199999999995</v>
      </c>
      <c r="J4177" t="s">
        <v>4102</v>
      </c>
      <c r="K4177" t="s">
        <v>97</v>
      </c>
      <c r="L4177" t="s">
        <v>1273</v>
      </c>
      <c r="M4177">
        <v>11</v>
      </c>
      <c r="P4177" s="13">
        <v>192</v>
      </c>
      <c r="Q4177" s="13">
        <v>59</v>
      </c>
      <c r="R4177">
        <v>28</v>
      </c>
      <c r="S4177">
        <v>42</v>
      </c>
      <c r="T4177" s="13">
        <v>26</v>
      </c>
      <c r="U4177" s="13">
        <v>36</v>
      </c>
      <c r="V4177" t="s">
        <v>99</v>
      </c>
      <c r="X4177" s="13">
        <v>192</v>
      </c>
    </row>
    <row r="4178" spans="1:24" x14ac:dyDescent="0.25">
      <c r="A4178" t="s">
        <v>4106</v>
      </c>
      <c r="B4178" t="s">
        <v>65</v>
      </c>
      <c r="C4178" t="s">
        <v>4100</v>
      </c>
      <c r="D4178" t="s">
        <v>4101</v>
      </c>
      <c r="E4178" t="s">
        <v>3783</v>
      </c>
      <c r="F4178" t="s">
        <v>94</v>
      </c>
      <c r="G4178" t="s">
        <v>277</v>
      </c>
      <c r="H4178" s="12">
        <v>7.9869000000000003</v>
      </c>
      <c r="I4178" s="12">
        <v>-75.197199999999995</v>
      </c>
      <c r="J4178" t="s">
        <v>4102</v>
      </c>
      <c r="K4178" t="s">
        <v>97</v>
      </c>
      <c r="L4178" t="s">
        <v>1273</v>
      </c>
      <c r="M4178">
        <v>11</v>
      </c>
      <c r="P4178" s="13">
        <v>190</v>
      </c>
      <c r="Q4178" s="13">
        <v>49</v>
      </c>
      <c r="R4178">
        <v>32</v>
      </c>
      <c r="S4178">
        <v>44</v>
      </c>
      <c r="T4178" s="13">
        <v>28</v>
      </c>
      <c r="U4178" s="13">
        <v>38</v>
      </c>
      <c r="V4178" t="s">
        <v>99</v>
      </c>
      <c r="X4178" s="13">
        <v>190</v>
      </c>
    </row>
    <row r="4179" spans="1:24" x14ac:dyDescent="0.25">
      <c r="A4179" t="s">
        <v>4107</v>
      </c>
      <c r="B4179" t="s">
        <v>65</v>
      </c>
      <c r="C4179" t="s">
        <v>4100</v>
      </c>
      <c r="D4179" t="s">
        <v>4101</v>
      </c>
      <c r="E4179" t="s">
        <v>3783</v>
      </c>
      <c r="F4179" t="s">
        <v>94</v>
      </c>
      <c r="G4179" t="s">
        <v>277</v>
      </c>
      <c r="H4179" s="12">
        <v>7.9869000000000003</v>
      </c>
      <c r="I4179" s="12">
        <v>-75.197199999999995</v>
      </c>
      <c r="J4179" t="s">
        <v>4102</v>
      </c>
      <c r="K4179" t="s">
        <v>97</v>
      </c>
      <c r="L4179" t="s">
        <v>1273</v>
      </c>
      <c r="M4179">
        <v>11</v>
      </c>
      <c r="P4179" s="13">
        <v>189</v>
      </c>
      <c r="Q4179" s="13">
        <v>51</v>
      </c>
      <c r="R4179">
        <v>30</v>
      </c>
      <c r="S4179">
        <v>44</v>
      </c>
      <c r="T4179" s="13">
        <v>29</v>
      </c>
      <c r="U4179" s="13">
        <v>29</v>
      </c>
      <c r="V4179" t="s">
        <v>99</v>
      </c>
      <c r="X4179" s="13">
        <v>189</v>
      </c>
    </row>
    <row r="4180" spans="1:24" x14ac:dyDescent="0.25">
      <c r="A4180" t="s">
        <v>4108</v>
      </c>
      <c r="B4180" t="s">
        <v>65</v>
      </c>
      <c r="C4180" t="s">
        <v>4100</v>
      </c>
      <c r="D4180" t="s">
        <v>4101</v>
      </c>
      <c r="E4180" t="s">
        <v>3783</v>
      </c>
      <c r="F4180" t="s">
        <v>94</v>
      </c>
      <c r="G4180" t="s">
        <v>277</v>
      </c>
      <c r="H4180" s="12">
        <v>7.9869000000000003</v>
      </c>
      <c r="I4180" s="12">
        <v>-75.197199999999995</v>
      </c>
      <c r="J4180" t="s">
        <v>4102</v>
      </c>
      <c r="K4180" t="s">
        <v>97</v>
      </c>
      <c r="L4180" t="s">
        <v>1273</v>
      </c>
      <c r="M4180">
        <v>11</v>
      </c>
      <c r="P4180" s="13">
        <v>189</v>
      </c>
      <c r="Q4180" s="13">
        <v>54</v>
      </c>
      <c r="R4180">
        <v>24</v>
      </c>
      <c r="S4180">
        <v>40</v>
      </c>
      <c r="T4180" s="13">
        <v>33</v>
      </c>
      <c r="U4180" s="13">
        <v>40</v>
      </c>
      <c r="V4180" t="s">
        <v>99</v>
      </c>
      <c r="X4180" s="13">
        <v>189</v>
      </c>
    </row>
    <row r="4181" spans="1:24" x14ac:dyDescent="0.25">
      <c r="A4181" t="s">
        <v>4109</v>
      </c>
      <c r="B4181" t="s">
        <v>65</v>
      </c>
      <c r="C4181" t="s">
        <v>4100</v>
      </c>
      <c r="D4181" t="s">
        <v>4101</v>
      </c>
      <c r="E4181" t="s">
        <v>3783</v>
      </c>
      <c r="F4181" t="s">
        <v>94</v>
      </c>
      <c r="G4181" t="s">
        <v>277</v>
      </c>
      <c r="H4181" s="12">
        <v>7.9869000000000003</v>
      </c>
      <c r="I4181" s="12">
        <v>-75.197199999999995</v>
      </c>
      <c r="J4181" t="s">
        <v>4102</v>
      </c>
      <c r="K4181" t="s">
        <v>97</v>
      </c>
      <c r="L4181" t="s">
        <v>1273</v>
      </c>
      <c r="M4181">
        <v>11</v>
      </c>
      <c r="P4181" s="13">
        <v>189</v>
      </c>
      <c r="Q4181" s="13">
        <v>44</v>
      </c>
      <c r="R4181">
        <v>36</v>
      </c>
      <c r="S4181">
        <v>52</v>
      </c>
      <c r="T4181" s="13">
        <v>21</v>
      </c>
      <c r="U4181" s="13">
        <v>33</v>
      </c>
      <c r="V4181" t="s">
        <v>99</v>
      </c>
      <c r="X4181" s="13">
        <v>189</v>
      </c>
    </row>
    <row r="4182" spans="1:24" x14ac:dyDescent="0.25">
      <c r="A4182" t="s">
        <v>4110</v>
      </c>
      <c r="B4182" t="s">
        <v>65</v>
      </c>
      <c r="C4182" t="s">
        <v>4100</v>
      </c>
      <c r="D4182" t="s">
        <v>4101</v>
      </c>
      <c r="E4182" t="s">
        <v>3783</v>
      </c>
      <c r="F4182" t="s">
        <v>94</v>
      </c>
      <c r="G4182" t="s">
        <v>277</v>
      </c>
      <c r="H4182" s="12">
        <v>7.9869000000000003</v>
      </c>
      <c r="I4182" s="12">
        <v>-75.197199999999995</v>
      </c>
      <c r="J4182" t="s">
        <v>4102</v>
      </c>
      <c r="K4182" t="s">
        <v>97</v>
      </c>
      <c r="L4182" t="s">
        <v>1273</v>
      </c>
      <c r="M4182">
        <v>11</v>
      </c>
      <c r="P4182" s="13">
        <v>184</v>
      </c>
      <c r="Q4182" s="13">
        <v>41</v>
      </c>
      <c r="R4182">
        <v>22</v>
      </c>
      <c r="S4182">
        <v>46</v>
      </c>
      <c r="T4182" s="13">
        <v>43</v>
      </c>
      <c r="U4182" s="13">
        <v>22</v>
      </c>
      <c r="V4182" t="s">
        <v>99</v>
      </c>
      <c r="X4182" s="13">
        <v>184</v>
      </c>
    </row>
    <row r="4183" spans="1:24" x14ac:dyDescent="0.25">
      <c r="A4183" t="s">
        <v>4111</v>
      </c>
      <c r="B4183" t="s">
        <v>65</v>
      </c>
      <c r="C4183" t="s">
        <v>4100</v>
      </c>
      <c r="D4183" t="s">
        <v>4101</v>
      </c>
      <c r="E4183" t="s">
        <v>3783</v>
      </c>
      <c r="F4183" t="s">
        <v>94</v>
      </c>
      <c r="G4183" t="s">
        <v>277</v>
      </c>
      <c r="H4183" s="12">
        <v>7.9869000000000003</v>
      </c>
      <c r="I4183" s="12">
        <v>-75.197199999999995</v>
      </c>
      <c r="J4183" t="s">
        <v>4102</v>
      </c>
      <c r="K4183" t="s">
        <v>97</v>
      </c>
      <c r="L4183" t="s">
        <v>1273</v>
      </c>
      <c r="M4183">
        <v>11</v>
      </c>
      <c r="P4183" s="13">
        <v>182</v>
      </c>
      <c r="Q4183" s="13">
        <v>29</v>
      </c>
      <c r="R4183">
        <v>28</v>
      </c>
      <c r="S4183">
        <v>50</v>
      </c>
      <c r="T4183" s="13">
        <v>36</v>
      </c>
      <c r="U4183" s="13">
        <v>42</v>
      </c>
      <c r="V4183" t="s">
        <v>99</v>
      </c>
      <c r="X4183" s="13">
        <v>182</v>
      </c>
    </row>
    <row r="4184" spans="1:24" x14ac:dyDescent="0.25">
      <c r="A4184" t="s">
        <v>4112</v>
      </c>
      <c r="B4184" t="s">
        <v>65</v>
      </c>
      <c r="C4184" t="s">
        <v>4100</v>
      </c>
      <c r="D4184" t="s">
        <v>4101</v>
      </c>
      <c r="E4184" t="s">
        <v>3783</v>
      </c>
      <c r="F4184" t="s">
        <v>94</v>
      </c>
      <c r="G4184" t="s">
        <v>277</v>
      </c>
      <c r="H4184" s="12">
        <v>7.9869000000000003</v>
      </c>
      <c r="I4184" s="12">
        <v>-75.197199999999995</v>
      </c>
      <c r="J4184" t="s">
        <v>4102</v>
      </c>
      <c r="K4184" t="s">
        <v>97</v>
      </c>
      <c r="L4184" t="s">
        <v>1273</v>
      </c>
      <c r="M4184">
        <v>11</v>
      </c>
      <c r="P4184" s="13">
        <v>180</v>
      </c>
      <c r="Q4184" s="13">
        <v>41</v>
      </c>
      <c r="R4184">
        <v>38</v>
      </c>
      <c r="S4184">
        <v>38</v>
      </c>
      <c r="T4184" s="13">
        <v>29</v>
      </c>
      <c r="U4184" s="13">
        <v>27</v>
      </c>
      <c r="V4184" t="s">
        <v>99</v>
      </c>
      <c r="X4184" s="13">
        <v>180</v>
      </c>
    </row>
    <row r="4185" spans="1:24" x14ac:dyDescent="0.25">
      <c r="A4185" t="s">
        <v>4113</v>
      </c>
      <c r="B4185" t="s">
        <v>65</v>
      </c>
      <c r="C4185" t="s">
        <v>4100</v>
      </c>
      <c r="D4185" t="s">
        <v>4101</v>
      </c>
      <c r="E4185" t="s">
        <v>3783</v>
      </c>
      <c r="F4185" t="s">
        <v>94</v>
      </c>
      <c r="G4185" t="s">
        <v>277</v>
      </c>
      <c r="H4185" s="12">
        <v>7.9869000000000003</v>
      </c>
      <c r="I4185" s="12">
        <v>-75.197199999999995</v>
      </c>
      <c r="J4185" t="s">
        <v>4102</v>
      </c>
      <c r="K4185" t="s">
        <v>97</v>
      </c>
      <c r="L4185" t="s">
        <v>1273</v>
      </c>
      <c r="M4185">
        <v>11</v>
      </c>
      <c r="P4185" s="13">
        <v>167</v>
      </c>
      <c r="Q4185" s="13">
        <v>37</v>
      </c>
      <c r="R4185">
        <v>30</v>
      </c>
      <c r="S4185">
        <v>46</v>
      </c>
      <c r="T4185" s="13">
        <v>26</v>
      </c>
      <c r="U4185" s="13">
        <v>20</v>
      </c>
      <c r="V4185" t="s">
        <v>99</v>
      </c>
      <c r="X4185" s="13">
        <v>167</v>
      </c>
    </row>
    <row r="4186" spans="1:24" x14ac:dyDescent="0.25">
      <c r="A4186" t="s">
        <v>4114</v>
      </c>
      <c r="B4186" t="s">
        <v>65</v>
      </c>
      <c r="C4186" t="s">
        <v>4100</v>
      </c>
      <c r="D4186" t="s">
        <v>4101</v>
      </c>
      <c r="E4186" t="s">
        <v>3783</v>
      </c>
      <c r="F4186" t="s">
        <v>94</v>
      </c>
      <c r="G4186" t="s">
        <v>277</v>
      </c>
      <c r="H4186" s="12">
        <v>7.9869000000000003</v>
      </c>
      <c r="I4186" s="12">
        <v>-75.197199999999995</v>
      </c>
      <c r="J4186" t="s">
        <v>4102</v>
      </c>
      <c r="K4186" t="s">
        <v>97</v>
      </c>
      <c r="L4186" t="s">
        <v>1273</v>
      </c>
      <c r="M4186">
        <v>11</v>
      </c>
      <c r="P4186" s="13">
        <v>166</v>
      </c>
      <c r="Q4186" s="13">
        <v>32</v>
      </c>
      <c r="R4186">
        <v>26</v>
      </c>
      <c r="S4186">
        <v>44</v>
      </c>
      <c r="T4186" s="13">
        <v>33</v>
      </c>
      <c r="U4186" s="13">
        <v>27</v>
      </c>
      <c r="V4186" t="s">
        <v>99</v>
      </c>
      <c r="X4186" s="13">
        <v>166</v>
      </c>
    </row>
    <row r="4187" spans="1:24" x14ac:dyDescent="0.25">
      <c r="A4187" t="s">
        <v>4115</v>
      </c>
      <c r="B4187" t="s">
        <v>65</v>
      </c>
      <c r="C4187" t="s">
        <v>4100</v>
      </c>
      <c r="D4187" t="s">
        <v>4101</v>
      </c>
      <c r="E4187" t="s">
        <v>3783</v>
      </c>
      <c r="F4187" t="s">
        <v>94</v>
      </c>
      <c r="G4187" t="s">
        <v>277</v>
      </c>
      <c r="H4187" s="12">
        <v>7.9869000000000003</v>
      </c>
      <c r="I4187" s="12">
        <v>-75.197199999999995</v>
      </c>
      <c r="J4187" t="s">
        <v>4102</v>
      </c>
      <c r="K4187" t="s">
        <v>97</v>
      </c>
      <c r="L4187" t="s">
        <v>1273</v>
      </c>
      <c r="M4187">
        <v>11</v>
      </c>
      <c r="P4187" s="13">
        <v>165</v>
      </c>
      <c r="Q4187" s="13">
        <v>39</v>
      </c>
      <c r="R4187">
        <v>16</v>
      </c>
      <c r="S4187">
        <v>46</v>
      </c>
      <c r="T4187" s="13">
        <v>34</v>
      </c>
      <c r="U4187" s="13">
        <v>24</v>
      </c>
      <c r="V4187" t="s">
        <v>99</v>
      </c>
      <c r="X4187" s="13">
        <v>165</v>
      </c>
    </row>
    <row r="4188" spans="1:24" x14ac:dyDescent="0.25">
      <c r="A4188" t="s">
        <v>4116</v>
      </c>
      <c r="B4188" t="s">
        <v>65</v>
      </c>
      <c r="C4188" t="s">
        <v>4100</v>
      </c>
      <c r="D4188" t="s">
        <v>4101</v>
      </c>
      <c r="E4188" t="s">
        <v>3783</v>
      </c>
      <c r="F4188" t="s">
        <v>94</v>
      </c>
      <c r="G4188" t="s">
        <v>277</v>
      </c>
      <c r="H4188" s="12">
        <v>7.9869000000000003</v>
      </c>
      <c r="I4188" s="12">
        <v>-75.197199999999995</v>
      </c>
      <c r="J4188" t="s">
        <v>4102</v>
      </c>
      <c r="K4188" t="s">
        <v>97</v>
      </c>
      <c r="L4188" t="s">
        <v>1273</v>
      </c>
      <c r="M4188">
        <v>11</v>
      </c>
      <c r="P4188" s="13">
        <v>165</v>
      </c>
      <c r="Q4188" s="13">
        <v>32</v>
      </c>
      <c r="R4188">
        <v>34</v>
      </c>
      <c r="S4188">
        <v>38</v>
      </c>
      <c r="T4188" s="13">
        <v>31</v>
      </c>
      <c r="U4188" s="13">
        <v>25</v>
      </c>
      <c r="V4188" t="s">
        <v>99</v>
      </c>
      <c r="X4188" s="13">
        <v>165</v>
      </c>
    </row>
    <row r="4189" spans="1:24" x14ac:dyDescent="0.25">
      <c r="A4189" t="s">
        <v>4117</v>
      </c>
      <c r="B4189" t="s">
        <v>65</v>
      </c>
      <c r="C4189" t="s">
        <v>4100</v>
      </c>
      <c r="D4189" t="s">
        <v>4101</v>
      </c>
      <c r="E4189" t="s">
        <v>3783</v>
      </c>
      <c r="F4189" t="s">
        <v>94</v>
      </c>
      <c r="G4189" t="s">
        <v>277</v>
      </c>
      <c r="H4189" s="12">
        <v>7.9869000000000003</v>
      </c>
      <c r="I4189" s="12">
        <v>-75.197199999999995</v>
      </c>
      <c r="J4189" t="s">
        <v>4102</v>
      </c>
      <c r="K4189" t="s">
        <v>97</v>
      </c>
      <c r="L4189" t="s">
        <v>1273</v>
      </c>
      <c r="M4189">
        <v>11</v>
      </c>
      <c r="P4189" s="13">
        <v>163</v>
      </c>
      <c r="Q4189" s="13">
        <v>37</v>
      </c>
      <c r="R4189">
        <v>28</v>
      </c>
      <c r="S4189">
        <v>36</v>
      </c>
      <c r="T4189" s="13">
        <v>29</v>
      </c>
      <c r="U4189" s="13">
        <v>35</v>
      </c>
      <c r="V4189" t="s">
        <v>99</v>
      </c>
      <c r="X4189" s="13">
        <v>163</v>
      </c>
    </row>
    <row r="4190" spans="1:24" x14ac:dyDescent="0.25">
      <c r="A4190" t="s">
        <v>4118</v>
      </c>
      <c r="B4190" t="s">
        <v>65</v>
      </c>
      <c r="C4190" t="s">
        <v>4100</v>
      </c>
      <c r="D4190" t="s">
        <v>4101</v>
      </c>
      <c r="E4190" t="s">
        <v>3783</v>
      </c>
      <c r="F4190" t="s">
        <v>94</v>
      </c>
      <c r="G4190" t="s">
        <v>277</v>
      </c>
      <c r="H4190" s="12">
        <v>7.9869000000000003</v>
      </c>
      <c r="I4190" s="12">
        <v>-75.197199999999995</v>
      </c>
      <c r="J4190" t="s">
        <v>4102</v>
      </c>
      <c r="K4190" t="s">
        <v>97</v>
      </c>
      <c r="L4190" t="s">
        <v>1273</v>
      </c>
      <c r="M4190">
        <v>11</v>
      </c>
      <c r="P4190" s="13">
        <v>158</v>
      </c>
      <c r="Q4190" s="13">
        <v>39</v>
      </c>
      <c r="R4190">
        <v>34</v>
      </c>
      <c r="S4190">
        <v>30</v>
      </c>
      <c r="T4190" s="13">
        <v>28</v>
      </c>
      <c r="U4190" s="13">
        <v>20</v>
      </c>
      <c r="V4190" t="s">
        <v>99</v>
      </c>
      <c r="X4190" s="13">
        <v>158</v>
      </c>
    </row>
    <row r="4191" spans="1:24" x14ac:dyDescent="0.25">
      <c r="A4191" t="s">
        <v>4119</v>
      </c>
      <c r="B4191" t="s">
        <v>65</v>
      </c>
      <c r="C4191" t="s">
        <v>4100</v>
      </c>
      <c r="D4191" t="s">
        <v>4101</v>
      </c>
      <c r="E4191" t="s">
        <v>3783</v>
      </c>
      <c r="F4191" t="s">
        <v>94</v>
      </c>
      <c r="G4191" t="s">
        <v>277</v>
      </c>
      <c r="H4191" s="12">
        <v>7.9869000000000003</v>
      </c>
      <c r="I4191" s="12">
        <v>-75.197199999999995</v>
      </c>
      <c r="J4191" t="s">
        <v>4102</v>
      </c>
      <c r="K4191" t="s">
        <v>97</v>
      </c>
      <c r="L4191" t="s">
        <v>1273</v>
      </c>
      <c r="M4191">
        <v>11</v>
      </c>
      <c r="P4191" s="13">
        <v>157</v>
      </c>
      <c r="Q4191" s="13">
        <v>29</v>
      </c>
      <c r="R4191">
        <v>24</v>
      </c>
      <c r="S4191">
        <v>36</v>
      </c>
      <c r="T4191" s="13">
        <v>40</v>
      </c>
      <c r="U4191" s="13">
        <v>22</v>
      </c>
      <c r="V4191" t="s">
        <v>99</v>
      </c>
      <c r="X4191" s="13">
        <v>157</v>
      </c>
    </row>
    <row r="4192" spans="1:24" x14ac:dyDescent="0.25">
      <c r="A4192" t="s">
        <v>4120</v>
      </c>
      <c r="B4192" t="s">
        <v>65</v>
      </c>
      <c r="C4192" t="s">
        <v>4100</v>
      </c>
      <c r="D4192" t="s">
        <v>4101</v>
      </c>
      <c r="E4192" t="s">
        <v>3783</v>
      </c>
      <c r="F4192" t="s">
        <v>94</v>
      </c>
      <c r="G4192" t="s">
        <v>277</v>
      </c>
      <c r="H4192" s="12">
        <v>7.9869000000000003</v>
      </c>
      <c r="I4192" s="12">
        <v>-75.197199999999995</v>
      </c>
      <c r="J4192" t="s">
        <v>4102</v>
      </c>
      <c r="K4192" t="s">
        <v>97</v>
      </c>
      <c r="L4192" t="s">
        <v>1273</v>
      </c>
      <c r="M4192">
        <v>11</v>
      </c>
      <c r="P4192" s="13">
        <v>152</v>
      </c>
      <c r="Q4192" s="13">
        <v>34</v>
      </c>
      <c r="R4192">
        <v>26</v>
      </c>
      <c r="S4192">
        <v>34</v>
      </c>
      <c r="T4192" s="13">
        <v>28</v>
      </c>
      <c r="U4192" s="13">
        <v>31</v>
      </c>
      <c r="V4192" t="s">
        <v>99</v>
      </c>
      <c r="X4192" s="13">
        <v>152</v>
      </c>
    </row>
    <row r="4193" spans="1:24" x14ac:dyDescent="0.25">
      <c r="A4193" t="s">
        <v>4121</v>
      </c>
      <c r="B4193" t="s">
        <v>65</v>
      </c>
      <c r="C4193" t="s">
        <v>4100</v>
      </c>
      <c r="D4193" t="s">
        <v>4101</v>
      </c>
      <c r="E4193" t="s">
        <v>3783</v>
      </c>
      <c r="F4193" t="s">
        <v>94</v>
      </c>
      <c r="G4193" t="s">
        <v>277</v>
      </c>
      <c r="H4193" s="12">
        <v>7.9869000000000003</v>
      </c>
      <c r="I4193" s="12">
        <v>-75.197199999999995</v>
      </c>
      <c r="J4193" t="s">
        <v>4102</v>
      </c>
      <c r="K4193" t="s">
        <v>97</v>
      </c>
      <c r="L4193" t="s">
        <v>1273</v>
      </c>
      <c r="M4193">
        <v>11</v>
      </c>
      <c r="P4193" s="13">
        <v>150</v>
      </c>
      <c r="Q4193" s="13">
        <v>27</v>
      </c>
      <c r="R4193">
        <v>24</v>
      </c>
      <c r="S4193">
        <v>36</v>
      </c>
      <c r="T4193" s="13">
        <v>29</v>
      </c>
      <c r="U4193" s="13">
        <v>42</v>
      </c>
      <c r="V4193" t="s">
        <v>99</v>
      </c>
      <c r="X4193" s="13">
        <v>150</v>
      </c>
    </row>
    <row r="4194" spans="1:24" x14ac:dyDescent="0.25">
      <c r="A4194" t="s">
        <v>4122</v>
      </c>
      <c r="B4194" t="s">
        <v>65</v>
      </c>
      <c r="C4194" t="s">
        <v>4100</v>
      </c>
      <c r="D4194" t="s">
        <v>4101</v>
      </c>
      <c r="E4194" t="s">
        <v>3783</v>
      </c>
      <c r="F4194" t="s">
        <v>94</v>
      </c>
      <c r="G4194" t="s">
        <v>277</v>
      </c>
      <c r="H4194" s="12">
        <v>7.9869000000000003</v>
      </c>
      <c r="I4194" s="12">
        <v>-75.197199999999995</v>
      </c>
      <c r="J4194" t="s">
        <v>4102</v>
      </c>
      <c r="K4194" t="s">
        <v>97</v>
      </c>
      <c r="L4194" t="s">
        <v>1273</v>
      </c>
      <c r="M4194">
        <v>11</v>
      </c>
      <c r="P4194" s="13">
        <v>146</v>
      </c>
      <c r="Q4194" s="13">
        <v>37</v>
      </c>
      <c r="R4194">
        <v>28</v>
      </c>
      <c r="S4194">
        <v>26</v>
      </c>
      <c r="T4194" s="13">
        <v>26</v>
      </c>
      <c r="U4194" s="13">
        <v>31</v>
      </c>
      <c r="V4194" t="s">
        <v>99</v>
      </c>
      <c r="X4194" s="13">
        <v>146</v>
      </c>
    </row>
    <row r="4195" spans="1:24" x14ac:dyDescent="0.25">
      <c r="A4195" t="s">
        <v>4123</v>
      </c>
      <c r="B4195" t="s">
        <v>65</v>
      </c>
      <c r="C4195" t="s">
        <v>4100</v>
      </c>
      <c r="D4195" t="s">
        <v>4101</v>
      </c>
      <c r="E4195" t="s">
        <v>3783</v>
      </c>
      <c r="F4195" t="s">
        <v>94</v>
      </c>
      <c r="G4195" t="s">
        <v>277</v>
      </c>
      <c r="H4195" s="12">
        <v>7.9869000000000003</v>
      </c>
      <c r="I4195" s="12">
        <v>-75.197199999999995</v>
      </c>
      <c r="J4195" t="s">
        <v>4102</v>
      </c>
      <c r="K4195" t="s">
        <v>97</v>
      </c>
      <c r="L4195" t="s">
        <v>1273</v>
      </c>
      <c r="M4195">
        <v>11</v>
      </c>
      <c r="P4195" s="13">
        <v>146</v>
      </c>
      <c r="Q4195" s="13">
        <v>27</v>
      </c>
      <c r="R4195">
        <v>30</v>
      </c>
      <c r="S4195">
        <v>34</v>
      </c>
      <c r="T4195" s="13">
        <v>24</v>
      </c>
      <c r="U4195" s="13">
        <v>35</v>
      </c>
      <c r="V4195" t="s">
        <v>99</v>
      </c>
      <c r="X4195" s="13">
        <v>146</v>
      </c>
    </row>
    <row r="4196" spans="1:24" x14ac:dyDescent="0.25">
      <c r="A4196" t="s">
        <v>4124</v>
      </c>
      <c r="B4196" t="s">
        <v>65</v>
      </c>
      <c r="C4196" t="s">
        <v>4100</v>
      </c>
      <c r="D4196" t="s">
        <v>4101</v>
      </c>
      <c r="E4196" t="s">
        <v>3783</v>
      </c>
      <c r="F4196" t="s">
        <v>94</v>
      </c>
      <c r="G4196" t="s">
        <v>277</v>
      </c>
      <c r="H4196" s="12">
        <v>7.9869000000000003</v>
      </c>
      <c r="I4196" s="12">
        <v>-75.197199999999995</v>
      </c>
      <c r="J4196" t="s">
        <v>4102</v>
      </c>
      <c r="K4196" t="s">
        <v>97</v>
      </c>
      <c r="L4196" t="s">
        <v>1273</v>
      </c>
      <c r="M4196">
        <v>11</v>
      </c>
      <c r="P4196" s="13">
        <v>144</v>
      </c>
      <c r="Q4196" s="13">
        <v>34</v>
      </c>
      <c r="R4196">
        <v>26</v>
      </c>
      <c r="S4196">
        <v>30</v>
      </c>
      <c r="T4196" s="13">
        <v>22</v>
      </c>
      <c r="U4196" s="13">
        <v>36</v>
      </c>
      <c r="V4196" t="s">
        <v>99</v>
      </c>
      <c r="X4196" s="13">
        <v>144</v>
      </c>
    </row>
    <row r="4197" spans="1:24" x14ac:dyDescent="0.25">
      <c r="A4197" t="s">
        <v>4125</v>
      </c>
      <c r="B4197" t="s">
        <v>65</v>
      </c>
      <c r="C4197" t="s">
        <v>4100</v>
      </c>
      <c r="D4197" t="s">
        <v>4101</v>
      </c>
      <c r="E4197" t="s">
        <v>3783</v>
      </c>
      <c r="F4197" t="s">
        <v>94</v>
      </c>
      <c r="G4197" t="s">
        <v>277</v>
      </c>
      <c r="H4197" s="12">
        <v>7.9869000000000003</v>
      </c>
      <c r="I4197" s="12">
        <v>-75.197199999999995</v>
      </c>
      <c r="J4197" t="s">
        <v>4102</v>
      </c>
      <c r="K4197" t="s">
        <v>97</v>
      </c>
      <c r="L4197" t="s">
        <v>1273</v>
      </c>
      <c r="M4197">
        <v>11</v>
      </c>
      <c r="P4197" s="13">
        <v>144</v>
      </c>
      <c r="Q4197" s="13">
        <v>46</v>
      </c>
      <c r="R4197">
        <v>22</v>
      </c>
      <c r="S4197">
        <v>24</v>
      </c>
      <c r="T4197" s="13">
        <v>22</v>
      </c>
      <c r="U4197" s="13">
        <v>29</v>
      </c>
      <c r="V4197" t="s">
        <v>99</v>
      </c>
      <c r="X4197" s="13">
        <v>144</v>
      </c>
    </row>
    <row r="4198" spans="1:24" x14ac:dyDescent="0.25">
      <c r="A4198" t="s">
        <v>4126</v>
      </c>
      <c r="B4198" t="s">
        <v>65</v>
      </c>
      <c r="C4198" t="s">
        <v>4100</v>
      </c>
      <c r="D4198" t="s">
        <v>4101</v>
      </c>
      <c r="E4198" t="s">
        <v>3783</v>
      </c>
      <c r="F4198" t="s">
        <v>94</v>
      </c>
      <c r="G4198" t="s">
        <v>277</v>
      </c>
      <c r="H4198" s="12">
        <v>7.9869000000000003</v>
      </c>
      <c r="I4198" s="12">
        <v>-75.197199999999995</v>
      </c>
      <c r="J4198" t="s">
        <v>4102</v>
      </c>
      <c r="K4198" t="s">
        <v>97</v>
      </c>
      <c r="L4198" t="s">
        <v>1273</v>
      </c>
      <c r="M4198">
        <v>11</v>
      </c>
      <c r="P4198" s="13">
        <v>143</v>
      </c>
      <c r="Q4198" s="13">
        <v>24</v>
      </c>
      <c r="R4198">
        <v>28</v>
      </c>
      <c r="S4198">
        <v>32</v>
      </c>
      <c r="T4198" s="13">
        <v>31</v>
      </c>
      <c r="U4198" s="13">
        <v>25</v>
      </c>
      <c r="V4198" t="s">
        <v>99</v>
      </c>
      <c r="X4198" s="13">
        <v>143</v>
      </c>
    </row>
    <row r="4199" spans="1:24" x14ac:dyDescent="0.25">
      <c r="A4199" t="s">
        <v>4127</v>
      </c>
      <c r="B4199" t="s">
        <v>65</v>
      </c>
      <c r="C4199" t="s">
        <v>4100</v>
      </c>
      <c r="D4199" t="s">
        <v>4101</v>
      </c>
      <c r="E4199" t="s">
        <v>3783</v>
      </c>
      <c r="F4199" t="s">
        <v>94</v>
      </c>
      <c r="G4199" t="s">
        <v>277</v>
      </c>
      <c r="H4199" s="12">
        <v>7.9869000000000003</v>
      </c>
      <c r="I4199" s="12">
        <v>-75.197199999999995</v>
      </c>
      <c r="J4199" t="s">
        <v>4102</v>
      </c>
      <c r="K4199" t="s">
        <v>97</v>
      </c>
      <c r="L4199" t="s">
        <v>1273</v>
      </c>
      <c r="M4199">
        <v>11</v>
      </c>
      <c r="P4199" s="13">
        <v>139</v>
      </c>
      <c r="Q4199" s="13">
        <v>32</v>
      </c>
      <c r="R4199">
        <v>24</v>
      </c>
      <c r="S4199">
        <v>30</v>
      </c>
      <c r="T4199" s="13">
        <v>24</v>
      </c>
      <c r="U4199" s="13">
        <v>31</v>
      </c>
      <c r="V4199" t="s">
        <v>99</v>
      </c>
      <c r="X4199" s="13">
        <v>139</v>
      </c>
    </row>
    <row r="4200" spans="1:24" x14ac:dyDescent="0.25">
      <c r="A4200" t="s">
        <v>4128</v>
      </c>
      <c r="B4200" t="s">
        <v>65</v>
      </c>
      <c r="C4200" t="s">
        <v>4100</v>
      </c>
      <c r="D4200" t="s">
        <v>4101</v>
      </c>
      <c r="E4200" t="s">
        <v>3783</v>
      </c>
      <c r="F4200" t="s">
        <v>94</v>
      </c>
      <c r="G4200" t="s">
        <v>277</v>
      </c>
      <c r="H4200" s="12">
        <v>7.9869000000000003</v>
      </c>
      <c r="I4200" s="12">
        <v>-75.197199999999995</v>
      </c>
      <c r="J4200" t="s">
        <v>4102</v>
      </c>
      <c r="K4200" t="s">
        <v>97</v>
      </c>
      <c r="L4200" t="s">
        <v>1273</v>
      </c>
      <c r="M4200">
        <v>11</v>
      </c>
      <c r="P4200" s="13">
        <v>138</v>
      </c>
      <c r="Q4200" s="13">
        <v>41</v>
      </c>
      <c r="R4200">
        <v>28</v>
      </c>
      <c r="S4200">
        <v>28</v>
      </c>
      <c r="T4200" s="13">
        <v>14</v>
      </c>
      <c r="U4200" s="13">
        <v>25</v>
      </c>
      <c r="V4200" t="s">
        <v>99</v>
      </c>
      <c r="X4200" s="13">
        <v>138</v>
      </c>
    </row>
    <row r="4201" spans="1:24" x14ac:dyDescent="0.25">
      <c r="A4201" t="s">
        <v>4129</v>
      </c>
      <c r="B4201" t="s">
        <v>65</v>
      </c>
      <c r="C4201" t="s">
        <v>4100</v>
      </c>
      <c r="D4201" t="s">
        <v>4101</v>
      </c>
      <c r="E4201" t="s">
        <v>3783</v>
      </c>
      <c r="F4201" t="s">
        <v>94</v>
      </c>
      <c r="G4201" t="s">
        <v>277</v>
      </c>
      <c r="H4201" s="12">
        <v>7.9869000000000003</v>
      </c>
      <c r="I4201" s="12">
        <v>-75.197199999999995</v>
      </c>
      <c r="J4201" t="s">
        <v>4102</v>
      </c>
      <c r="K4201" t="s">
        <v>97</v>
      </c>
      <c r="L4201" t="s">
        <v>1273</v>
      </c>
      <c r="M4201">
        <v>11</v>
      </c>
      <c r="P4201" s="13">
        <v>138</v>
      </c>
      <c r="Q4201" s="13">
        <v>34</v>
      </c>
      <c r="R4201">
        <v>20</v>
      </c>
      <c r="S4201">
        <v>20</v>
      </c>
      <c r="T4201" s="13">
        <v>34</v>
      </c>
      <c r="U4201" s="13">
        <v>33</v>
      </c>
      <c r="V4201" t="s">
        <v>99</v>
      </c>
      <c r="X4201" s="13">
        <v>138</v>
      </c>
    </row>
    <row r="4202" spans="1:24" x14ac:dyDescent="0.25">
      <c r="A4202" t="s">
        <v>4130</v>
      </c>
      <c r="B4202" t="s">
        <v>65</v>
      </c>
      <c r="C4202" t="s">
        <v>4100</v>
      </c>
      <c r="D4202" t="s">
        <v>4101</v>
      </c>
      <c r="E4202" t="s">
        <v>3783</v>
      </c>
      <c r="F4202" t="s">
        <v>94</v>
      </c>
      <c r="G4202" t="s">
        <v>277</v>
      </c>
      <c r="H4202" s="12">
        <v>7.9869000000000003</v>
      </c>
      <c r="I4202" s="12">
        <v>-75.197199999999995</v>
      </c>
      <c r="J4202" t="s">
        <v>4102</v>
      </c>
      <c r="K4202" t="s">
        <v>97</v>
      </c>
      <c r="L4202" t="s">
        <v>1273</v>
      </c>
      <c r="M4202">
        <v>11</v>
      </c>
      <c r="P4202" s="13">
        <v>136</v>
      </c>
      <c r="Q4202" s="13">
        <v>41</v>
      </c>
      <c r="R4202">
        <v>14</v>
      </c>
      <c r="S4202">
        <v>30</v>
      </c>
      <c r="T4202" s="13">
        <v>22</v>
      </c>
      <c r="U4202" s="13">
        <v>31</v>
      </c>
      <c r="V4202" t="s">
        <v>99</v>
      </c>
      <c r="X4202" s="13">
        <v>136</v>
      </c>
    </row>
    <row r="4203" spans="1:24" x14ac:dyDescent="0.25">
      <c r="A4203" t="s">
        <v>4131</v>
      </c>
      <c r="B4203" t="s">
        <v>65</v>
      </c>
      <c r="C4203" t="s">
        <v>4100</v>
      </c>
      <c r="D4203" t="s">
        <v>4101</v>
      </c>
      <c r="E4203" t="s">
        <v>3783</v>
      </c>
      <c r="F4203" t="s">
        <v>94</v>
      </c>
      <c r="G4203" t="s">
        <v>277</v>
      </c>
      <c r="H4203" s="12">
        <v>7.9869000000000003</v>
      </c>
      <c r="I4203" s="12">
        <v>-75.197199999999995</v>
      </c>
      <c r="J4203" t="s">
        <v>4102</v>
      </c>
      <c r="K4203" t="s">
        <v>97</v>
      </c>
      <c r="L4203" t="s">
        <v>1273</v>
      </c>
      <c r="M4203">
        <v>11</v>
      </c>
      <c r="P4203" s="13">
        <v>133</v>
      </c>
      <c r="Q4203" s="13">
        <v>41</v>
      </c>
      <c r="R4203">
        <v>24</v>
      </c>
      <c r="S4203">
        <v>26</v>
      </c>
      <c r="T4203" s="13">
        <v>16</v>
      </c>
      <c r="U4203" s="13">
        <v>24</v>
      </c>
      <c r="V4203" t="s">
        <v>99</v>
      </c>
      <c r="X4203" s="13">
        <v>133</v>
      </c>
    </row>
    <row r="4204" spans="1:24" x14ac:dyDescent="0.25">
      <c r="A4204" t="s">
        <v>4132</v>
      </c>
      <c r="B4204" t="s">
        <v>65</v>
      </c>
      <c r="C4204" t="s">
        <v>4100</v>
      </c>
      <c r="D4204" t="s">
        <v>4101</v>
      </c>
      <c r="E4204" t="s">
        <v>3783</v>
      </c>
      <c r="F4204" t="s">
        <v>94</v>
      </c>
      <c r="G4204" t="s">
        <v>277</v>
      </c>
      <c r="H4204" s="12">
        <v>7.9869000000000003</v>
      </c>
      <c r="I4204" s="12">
        <v>-75.197199999999995</v>
      </c>
      <c r="J4204" t="s">
        <v>4102</v>
      </c>
      <c r="K4204" t="s">
        <v>97</v>
      </c>
      <c r="L4204" t="s">
        <v>1273</v>
      </c>
      <c r="M4204">
        <v>11</v>
      </c>
      <c r="P4204" s="13">
        <v>129</v>
      </c>
      <c r="Q4204" s="13">
        <v>29</v>
      </c>
      <c r="R4204">
        <v>30</v>
      </c>
      <c r="S4204">
        <v>22</v>
      </c>
      <c r="T4204" s="13">
        <v>21</v>
      </c>
      <c r="U4204" s="13">
        <v>29</v>
      </c>
      <c r="V4204" t="s">
        <v>99</v>
      </c>
      <c r="X4204" s="13">
        <v>129</v>
      </c>
    </row>
    <row r="4205" spans="1:24" x14ac:dyDescent="0.25">
      <c r="A4205" t="s">
        <v>4133</v>
      </c>
      <c r="B4205" t="s">
        <v>65</v>
      </c>
      <c r="C4205" t="s">
        <v>4100</v>
      </c>
      <c r="D4205" t="s">
        <v>4101</v>
      </c>
      <c r="E4205" t="s">
        <v>3783</v>
      </c>
      <c r="F4205" t="s">
        <v>94</v>
      </c>
      <c r="G4205" t="s">
        <v>277</v>
      </c>
      <c r="H4205" s="12">
        <v>7.9869000000000003</v>
      </c>
      <c r="I4205" s="12">
        <v>-75.197199999999995</v>
      </c>
      <c r="J4205" t="s">
        <v>4102</v>
      </c>
      <c r="K4205" t="s">
        <v>97</v>
      </c>
      <c r="L4205" t="s">
        <v>1273</v>
      </c>
      <c r="M4205">
        <v>11</v>
      </c>
      <c r="P4205" s="13">
        <v>128</v>
      </c>
      <c r="Q4205" s="13">
        <v>22</v>
      </c>
      <c r="R4205">
        <v>24</v>
      </c>
      <c r="S4205">
        <v>30</v>
      </c>
      <c r="T4205" s="13">
        <v>22</v>
      </c>
      <c r="U4205" s="13">
        <v>38</v>
      </c>
      <c r="V4205" t="s">
        <v>99</v>
      </c>
      <c r="X4205" s="13">
        <v>128</v>
      </c>
    </row>
    <row r="4206" spans="1:24" x14ac:dyDescent="0.25">
      <c r="A4206" t="s">
        <v>4134</v>
      </c>
      <c r="B4206" t="s">
        <v>65</v>
      </c>
      <c r="C4206" t="s">
        <v>4100</v>
      </c>
      <c r="D4206" t="s">
        <v>4101</v>
      </c>
      <c r="E4206" t="s">
        <v>3783</v>
      </c>
      <c r="F4206" t="s">
        <v>94</v>
      </c>
      <c r="G4206" t="s">
        <v>277</v>
      </c>
      <c r="H4206" s="12">
        <v>7.9869000000000003</v>
      </c>
      <c r="I4206" s="12">
        <v>-75.197199999999995</v>
      </c>
      <c r="J4206" t="s">
        <v>4102</v>
      </c>
      <c r="K4206" t="s">
        <v>97</v>
      </c>
      <c r="L4206" t="s">
        <v>1273</v>
      </c>
      <c r="M4206">
        <v>11</v>
      </c>
      <c r="P4206" s="13">
        <v>128</v>
      </c>
      <c r="Q4206" s="13">
        <v>29</v>
      </c>
      <c r="R4206">
        <v>22</v>
      </c>
      <c r="S4206">
        <v>24</v>
      </c>
      <c r="T4206" s="13">
        <v>24</v>
      </c>
      <c r="U4206" s="13">
        <v>35</v>
      </c>
      <c r="V4206" t="s">
        <v>99</v>
      </c>
      <c r="X4206" s="13">
        <v>128</v>
      </c>
    </row>
    <row r="4207" spans="1:24" x14ac:dyDescent="0.25">
      <c r="A4207" t="s">
        <v>4135</v>
      </c>
      <c r="B4207" t="s">
        <v>65</v>
      </c>
      <c r="C4207" t="s">
        <v>4100</v>
      </c>
      <c r="D4207" t="s">
        <v>4101</v>
      </c>
      <c r="E4207" t="s">
        <v>3783</v>
      </c>
      <c r="F4207" t="s">
        <v>94</v>
      </c>
      <c r="G4207" t="s">
        <v>277</v>
      </c>
      <c r="H4207" s="12">
        <v>7.9869000000000003</v>
      </c>
      <c r="I4207" s="12">
        <v>-75.197199999999995</v>
      </c>
      <c r="J4207" t="s">
        <v>4102</v>
      </c>
      <c r="K4207" t="s">
        <v>97</v>
      </c>
      <c r="L4207" t="s">
        <v>1273</v>
      </c>
      <c r="M4207">
        <v>11</v>
      </c>
      <c r="P4207" s="13">
        <v>126</v>
      </c>
      <c r="Q4207" s="13">
        <v>37</v>
      </c>
      <c r="R4207">
        <v>12</v>
      </c>
      <c r="S4207">
        <v>24</v>
      </c>
      <c r="T4207" s="13">
        <v>29</v>
      </c>
      <c r="U4207" s="13">
        <v>22</v>
      </c>
      <c r="V4207" t="s">
        <v>99</v>
      </c>
      <c r="X4207" s="13">
        <v>126</v>
      </c>
    </row>
    <row r="4208" spans="1:24" x14ac:dyDescent="0.25">
      <c r="A4208" t="s">
        <v>4136</v>
      </c>
      <c r="B4208" t="s">
        <v>65</v>
      </c>
      <c r="C4208" t="s">
        <v>4100</v>
      </c>
      <c r="D4208" t="s">
        <v>4101</v>
      </c>
      <c r="E4208" t="s">
        <v>3783</v>
      </c>
      <c r="F4208" t="s">
        <v>94</v>
      </c>
      <c r="G4208" t="s">
        <v>277</v>
      </c>
      <c r="H4208" s="12">
        <v>7.9869000000000003</v>
      </c>
      <c r="I4208" s="12">
        <v>-75.197199999999995</v>
      </c>
      <c r="J4208" t="s">
        <v>4102</v>
      </c>
      <c r="K4208" t="s">
        <v>97</v>
      </c>
      <c r="L4208" t="s">
        <v>1273</v>
      </c>
      <c r="M4208">
        <v>11</v>
      </c>
      <c r="P4208" s="13">
        <v>123</v>
      </c>
      <c r="Q4208" s="13">
        <v>29</v>
      </c>
      <c r="R4208">
        <v>22</v>
      </c>
      <c r="S4208">
        <v>26</v>
      </c>
      <c r="T4208" s="13">
        <v>17</v>
      </c>
      <c r="U4208" s="13">
        <v>36</v>
      </c>
      <c r="V4208" t="s">
        <v>99</v>
      </c>
      <c r="X4208" s="13">
        <v>123</v>
      </c>
    </row>
    <row r="4209" spans="1:24" x14ac:dyDescent="0.25">
      <c r="A4209" t="s">
        <v>4137</v>
      </c>
      <c r="B4209" t="s">
        <v>65</v>
      </c>
      <c r="C4209" t="s">
        <v>4100</v>
      </c>
      <c r="D4209" t="s">
        <v>4101</v>
      </c>
      <c r="E4209" t="s">
        <v>3783</v>
      </c>
      <c r="F4209" t="s">
        <v>94</v>
      </c>
      <c r="G4209" t="s">
        <v>277</v>
      </c>
      <c r="H4209" s="12">
        <v>7.9869000000000003</v>
      </c>
      <c r="I4209" s="12">
        <v>-75.197199999999995</v>
      </c>
      <c r="J4209" t="s">
        <v>4102</v>
      </c>
      <c r="K4209" t="s">
        <v>97</v>
      </c>
      <c r="L4209" t="s">
        <v>1273</v>
      </c>
      <c r="M4209">
        <v>11</v>
      </c>
      <c r="P4209" s="13">
        <v>108</v>
      </c>
      <c r="Q4209" s="13">
        <v>20</v>
      </c>
      <c r="R4209">
        <v>16</v>
      </c>
      <c r="S4209">
        <v>32</v>
      </c>
      <c r="T4209" s="13">
        <v>14</v>
      </c>
      <c r="U4209" s="13">
        <v>36</v>
      </c>
      <c r="V4209" t="s">
        <v>99</v>
      </c>
      <c r="X4209" s="13">
        <v>108</v>
      </c>
    </row>
    <row r="4210" spans="1:24" x14ac:dyDescent="0.25">
      <c r="A4210" t="s">
        <v>4138</v>
      </c>
      <c r="B4210" t="s">
        <v>65</v>
      </c>
      <c r="C4210" t="s">
        <v>4100</v>
      </c>
      <c r="D4210" t="s">
        <v>4101</v>
      </c>
      <c r="E4210" t="s">
        <v>3783</v>
      </c>
      <c r="F4210" t="s">
        <v>94</v>
      </c>
      <c r="G4210" t="s">
        <v>277</v>
      </c>
      <c r="H4210" s="12">
        <v>7.9869000000000003</v>
      </c>
      <c r="I4210" s="12">
        <v>-75.197199999999995</v>
      </c>
      <c r="J4210" t="s">
        <v>4102</v>
      </c>
      <c r="K4210" t="s">
        <v>97</v>
      </c>
      <c r="L4210" t="s">
        <v>1273</v>
      </c>
      <c r="M4210">
        <v>11</v>
      </c>
      <c r="P4210" s="13">
        <v>106</v>
      </c>
      <c r="Q4210" s="13">
        <v>22</v>
      </c>
      <c r="R4210">
        <v>28</v>
      </c>
      <c r="S4210">
        <v>24</v>
      </c>
      <c r="T4210" s="13">
        <v>12</v>
      </c>
      <c r="U4210" s="13">
        <v>16</v>
      </c>
      <c r="V4210" t="s">
        <v>99</v>
      </c>
      <c r="X4210" s="13">
        <v>106</v>
      </c>
    </row>
    <row r="4211" spans="1:24" x14ac:dyDescent="0.25">
      <c r="A4211" t="s">
        <v>4139</v>
      </c>
      <c r="B4211" t="s">
        <v>65</v>
      </c>
      <c r="C4211" t="s">
        <v>4100</v>
      </c>
      <c r="D4211" t="s">
        <v>4101</v>
      </c>
      <c r="E4211" t="s">
        <v>3783</v>
      </c>
      <c r="F4211" t="s">
        <v>94</v>
      </c>
      <c r="G4211" t="s">
        <v>277</v>
      </c>
      <c r="H4211" s="12">
        <v>7.9869000000000003</v>
      </c>
      <c r="I4211" s="12">
        <v>-75.197199999999995</v>
      </c>
      <c r="J4211" t="s">
        <v>4102</v>
      </c>
      <c r="K4211" t="s">
        <v>97</v>
      </c>
      <c r="L4211" t="s">
        <v>1273</v>
      </c>
      <c r="M4211">
        <v>11</v>
      </c>
      <c r="P4211" s="13">
        <v>99</v>
      </c>
      <c r="Q4211" s="13">
        <v>27</v>
      </c>
      <c r="R4211">
        <v>6</v>
      </c>
      <c r="S4211">
        <v>22</v>
      </c>
      <c r="T4211" s="13">
        <v>17</v>
      </c>
      <c r="U4211" s="13">
        <v>42</v>
      </c>
      <c r="V4211" t="s">
        <v>99</v>
      </c>
      <c r="X4211" s="13">
        <v>99</v>
      </c>
    </row>
    <row r="4212" spans="1:24" x14ac:dyDescent="0.25">
      <c r="A4212" t="s">
        <v>4140</v>
      </c>
      <c r="B4212" t="s">
        <v>65</v>
      </c>
      <c r="C4212" t="s">
        <v>4100</v>
      </c>
      <c r="D4212" t="s">
        <v>4101</v>
      </c>
      <c r="E4212" t="s">
        <v>3783</v>
      </c>
      <c r="F4212" t="s">
        <v>94</v>
      </c>
      <c r="G4212" t="s">
        <v>277</v>
      </c>
      <c r="H4212" s="12">
        <v>7.9869000000000003</v>
      </c>
      <c r="I4212" s="12">
        <v>-75.197199999999995</v>
      </c>
      <c r="J4212" t="s">
        <v>4102</v>
      </c>
      <c r="K4212" t="s">
        <v>97</v>
      </c>
      <c r="L4212" t="s">
        <v>1273</v>
      </c>
      <c r="M4212">
        <v>11</v>
      </c>
      <c r="P4212" s="13">
        <v>91</v>
      </c>
      <c r="Q4212" s="13">
        <v>17</v>
      </c>
      <c r="R4212">
        <v>16</v>
      </c>
      <c r="S4212">
        <v>22</v>
      </c>
      <c r="T4212" s="13">
        <v>14</v>
      </c>
      <c r="U4212" s="13">
        <v>31</v>
      </c>
      <c r="V4212" t="s">
        <v>99</v>
      </c>
      <c r="X4212" s="13">
        <v>91</v>
      </c>
    </row>
    <row r="4213" spans="1:24" x14ac:dyDescent="0.25">
      <c r="A4213" t="s">
        <v>4141</v>
      </c>
      <c r="B4213" t="s">
        <v>65</v>
      </c>
      <c r="C4213" t="s">
        <v>4142</v>
      </c>
      <c r="D4213" t="s">
        <v>4143</v>
      </c>
      <c r="E4213" t="s">
        <v>2001</v>
      </c>
      <c r="F4213" t="s">
        <v>94</v>
      </c>
      <c r="G4213" t="s">
        <v>277</v>
      </c>
      <c r="H4213" s="12">
        <v>6.5986000000000002</v>
      </c>
      <c r="I4213" s="12">
        <v>-75.011899999999997</v>
      </c>
      <c r="J4213" t="s">
        <v>4144</v>
      </c>
      <c r="K4213" t="s">
        <v>97</v>
      </c>
      <c r="L4213" t="s">
        <v>1273</v>
      </c>
      <c r="M4213">
        <v>11</v>
      </c>
      <c r="P4213" s="13">
        <v>231</v>
      </c>
      <c r="Q4213" s="13">
        <v>61</v>
      </c>
      <c r="R4213">
        <v>28</v>
      </c>
      <c r="S4213">
        <v>58</v>
      </c>
      <c r="T4213" s="13">
        <v>40</v>
      </c>
      <c r="U4213" s="13">
        <v>40</v>
      </c>
      <c r="V4213" t="s">
        <v>99</v>
      </c>
      <c r="X4213" s="13">
        <v>231</v>
      </c>
    </row>
    <row r="4214" spans="1:24" x14ac:dyDescent="0.25">
      <c r="A4214" t="s">
        <v>4145</v>
      </c>
      <c r="B4214" t="s">
        <v>65</v>
      </c>
      <c r="C4214" t="s">
        <v>4142</v>
      </c>
      <c r="D4214" t="s">
        <v>4143</v>
      </c>
      <c r="E4214" t="s">
        <v>2001</v>
      </c>
      <c r="F4214" t="s">
        <v>94</v>
      </c>
      <c r="G4214" t="s">
        <v>277</v>
      </c>
      <c r="H4214" s="12">
        <v>6.5986000000000002</v>
      </c>
      <c r="I4214" s="12">
        <v>-75.011899999999997</v>
      </c>
      <c r="J4214" t="s">
        <v>4144</v>
      </c>
      <c r="K4214" t="s">
        <v>97</v>
      </c>
      <c r="L4214" t="s">
        <v>1273</v>
      </c>
      <c r="M4214">
        <v>11</v>
      </c>
      <c r="P4214" s="13">
        <v>202</v>
      </c>
      <c r="Q4214" s="13">
        <v>46</v>
      </c>
      <c r="R4214">
        <v>24</v>
      </c>
      <c r="S4214">
        <v>58</v>
      </c>
      <c r="T4214" s="13">
        <v>36</v>
      </c>
      <c r="U4214" s="13">
        <v>31</v>
      </c>
      <c r="V4214" t="s">
        <v>99</v>
      </c>
      <c r="X4214" s="13">
        <v>202</v>
      </c>
    </row>
    <row r="4215" spans="1:24" x14ac:dyDescent="0.25">
      <c r="A4215" t="s">
        <v>4146</v>
      </c>
      <c r="B4215" t="s">
        <v>65</v>
      </c>
      <c r="C4215" t="s">
        <v>4142</v>
      </c>
      <c r="D4215" t="s">
        <v>4143</v>
      </c>
      <c r="E4215" t="s">
        <v>2001</v>
      </c>
      <c r="F4215" t="s">
        <v>94</v>
      </c>
      <c r="G4215" t="s">
        <v>277</v>
      </c>
      <c r="H4215" s="12">
        <v>6.5986000000000002</v>
      </c>
      <c r="I4215" s="12">
        <v>-75.011899999999997</v>
      </c>
      <c r="J4215" t="s">
        <v>4144</v>
      </c>
      <c r="K4215" t="s">
        <v>97</v>
      </c>
      <c r="L4215" t="s">
        <v>1273</v>
      </c>
      <c r="M4215">
        <v>11</v>
      </c>
      <c r="P4215" s="13">
        <v>192</v>
      </c>
      <c r="Q4215" s="13">
        <v>41</v>
      </c>
      <c r="R4215">
        <v>34</v>
      </c>
      <c r="S4215">
        <v>50</v>
      </c>
      <c r="T4215" s="13">
        <v>34</v>
      </c>
      <c r="U4215" s="13">
        <v>20</v>
      </c>
      <c r="V4215" t="s">
        <v>99</v>
      </c>
      <c r="X4215" s="13">
        <v>192</v>
      </c>
    </row>
    <row r="4216" spans="1:24" x14ac:dyDescent="0.25">
      <c r="A4216" t="s">
        <v>4147</v>
      </c>
      <c r="B4216" t="s">
        <v>65</v>
      </c>
      <c r="C4216" t="s">
        <v>4142</v>
      </c>
      <c r="D4216" t="s">
        <v>4143</v>
      </c>
      <c r="E4216" t="s">
        <v>2001</v>
      </c>
      <c r="F4216" t="s">
        <v>94</v>
      </c>
      <c r="G4216" t="s">
        <v>277</v>
      </c>
      <c r="H4216" s="12">
        <v>6.5986000000000002</v>
      </c>
      <c r="I4216" s="12">
        <v>-75.011899999999997</v>
      </c>
      <c r="J4216" t="s">
        <v>4144</v>
      </c>
      <c r="K4216" t="s">
        <v>97</v>
      </c>
      <c r="L4216" t="s">
        <v>1273</v>
      </c>
      <c r="M4216">
        <v>11</v>
      </c>
      <c r="P4216" s="13">
        <v>183</v>
      </c>
      <c r="Q4216" s="13">
        <v>51</v>
      </c>
      <c r="R4216">
        <v>22</v>
      </c>
      <c r="S4216">
        <v>38</v>
      </c>
      <c r="T4216" s="13">
        <v>31</v>
      </c>
      <c r="U4216" s="13">
        <v>49</v>
      </c>
      <c r="V4216" t="s">
        <v>99</v>
      </c>
      <c r="X4216" s="13">
        <v>183</v>
      </c>
    </row>
    <row r="4217" spans="1:24" x14ac:dyDescent="0.25">
      <c r="A4217" t="s">
        <v>4148</v>
      </c>
      <c r="B4217" t="s">
        <v>65</v>
      </c>
      <c r="C4217" t="s">
        <v>4142</v>
      </c>
      <c r="D4217" t="s">
        <v>4143</v>
      </c>
      <c r="E4217" t="s">
        <v>2001</v>
      </c>
      <c r="F4217" t="s">
        <v>94</v>
      </c>
      <c r="G4217" t="s">
        <v>277</v>
      </c>
      <c r="H4217" s="12">
        <v>6.5986000000000002</v>
      </c>
      <c r="I4217" s="12">
        <v>-75.011899999999997</v>
      </c>
      <c r="J4217" t="s">
        <v>4144</v>
      </c>
      <c r="K4217" t="s">
        <v>97</v>
      </c>
      <c r="L4217" t="s">
        <v>1273</v>
      </c>
      <c r="M4217">
        <v>11</v>
      </c>
      <c r="P4217" s="13">
        <v>182</v>
      </c>
      <c r="Q4217" s="13">
        <v>49</v>
      </c>
      <c r="R4217">
        <v>30</v>
      </c>
      <c r="S4217">
        <v>30</v>
      </c>
      <c r="T4217" s="13">
        <v>36</v>
      </c>
      <c r="U4217" s="13">
        <v>38</v>
      </c>
      <c r="V4217" t="s">
        <v>99</v>
      </c>
      <c r="X4217" s="13">
        <v>182</v>
      </c>
    </row>
    <row r="4218" spans="1:24" x14ac:dyDescent="0.25">
      <c r="A4218" t="s">
        <v>4149</v>
      </c>
      <c r="B4218" t="s">
        <v>65</v>
      </c>
      <c r="C4218" t="s">
        <v>4142</v>
      </c>
      <c r="D4218" t="s">
        <v>4143</v>
      </c>
      <c r="E4218" t="s">
        <v>2001</v>
      </c>
      <c r="F4218" t="s">
        <v>94</v>
      </c>
      <c r="G4218" t="s">
        <v>277</v>
      </c>
      <c r="H4218" s="12">
        <v>6.5986000000000002</v>
      </c>
      <c r="I4218" s="12">
        <v>-75.011899999999997</v>
      </c>
      <c r="J4218" t="s">
        <v>4144</v>
      </c>
      <c r="K4218" t="s">
        <v>97</v>
      </c>
      <c r="L4218" t="s">
        <v>1273</v>
      </c>
      <c r="M4218">
        <v>11</v>
      </c>
      <c r="P4218" s="13">
        <v>177</v>
      </c>
      <c r="Q4218" s="13">
        <v>34</v>
      </c>
      <c r="R4218">
        <v>32</v>
      </c>
      <c r="S4218">
        <v>48</v>
      </c>
      <c r="T4218" s="13">
        <v>22</v>
      </c>
      <c r="U4218" s="13">
        <v>51</v>
      </c>
      <c r="V4218" t="s">
        <v>99</v>
      </c>
      <c r="X4218" s="13">
        <v>177</v>
      </c>
    </row>
    <row r="4219" spans="1:24" x14ac:dyDescent="0.25">
      <c r="A4219" t="s">
        <v>4150</v>
      </c>
      <c r="B4219" t="s">
        <v>65</v>
      </c>
      <c r="C4219" t="s">
        <v>4142</v>
      </c>
      <c r="D4219" t="s">
        <v>4143</v>
      </c>
      <c r="E4219" t="s">
        <v>2001</v>
      </c>
      <c r="F4219" t="s">
        <v>94</v>
      </c>
      <c r="G4219" t="s">
        <v>277</v>
      </c>
      <c r="H4219" s="12">
        <v>6.5986000000000002</v>
      </c>
      <c r="I4219" s="12">
        <v>-75.011899999999997</v>
      </c>
      <c r="J4219" t="s">
        <v>4144</v>
      </c>
      <c r="K4219" t="s">
        <v>97</v>
      </c>
      <c r="L4219" t="s">
        <v>1273</v>
      </c>
      <c r="M4219">
        <v>11</v>
      </c>
      <c r="P4219" s="13">
        <v>170</v>
      </c>
      <c r="Q4219" s="13">
        <v>44</v>
      </c>
      <c r="R4219">
        <v>18</v>
      </c>
      <c r="S4219">
        <v>50</v>
      </c>
      <c r="T4219" s="13">
        <v>22</v>
      </c>
      <c r="U4219" s="13">
        <v>38</v>
      </c>
      <c r="V4219" t="s">
        <v>99</v>
      </c>
      <c r="X4219" s="13">
        <v>170</v>
      </c>
    </row>
    <row r="4220" spans="1:24" x14ac:dyDescent="0.25">
      <c r="A4220" t="s">
        <v>4151</v>
      </c>
      <c r="B4220" t="s">
        <v>65</v>
      </c>
      <c r="C4220" t="s">
        <v>4142</v>
      </c>
      <c r="D4220" t="s">
        <v>4143</v>
      </c>
      <c r="E4220" t="s">
        <v>2001</v>
      </c>
      <c r="F4220" t="s">
        <v>94</v>
      </c>
      <c r="G4220" t="s">
        <v>277</v>
      </c>
      <c r="H4220" s="12">
        <v>6.5986000000000002</v>
      </c>
      <c r="I4220" s="12">
        <v>-75.011899999999997</v>
      </c>
      <c r="J4220" t="s">
        <v>4144</v>
      </c>
      <c r="K4220" t="s">
        <v>97</v>
      </c>
      <c r="L4220" t="s">
        <v>1273</v>
      </c>
      <c r="M4220">
        <v>11</v>
      </c>
      <c r="P4220" s="13">
        <v>168</v>
      </c>
      <c r="Q4220" s="13">
        <v>39</v>
      </c>
      <c r="R4220">
        <v>16</v>
      </c>
      <c r="S4220">
        <v>52</v>
      </c>
      <c r="T4220" s="13">
        <v>28</v>
      </c>
      <c r="U4220" s="13">
        <v>33</v>
      </c>
      <c r="V4220" t="s">
        <v>99</v>
      </c>
      <c r="X4220" s="13">
        <v>168</v>
      </c>
    </row>
    <row r="4221" spans="1:24" x14ac:dyDescent="0.25">
      <c r="A4221" t="s">
        <v>4152</v>
      </c>
      <c r="B4221" t="s">
        <v>65</v>
      </c>
      <c r="C4221" t="s">
        <v>4142</v>
      </c>
      <c r="D4221" t="s">
        <v>4143</v>
      </c>
      <c r="E4221" t="s">
        <v>2001</v>
      </c>
      <c r="F4221" t="s">
        <v>94</v>
      </c>
      <c r="G4221" t="s">
        <v>277</v>
      </c>
      <c r="H4221" s="12">
        <v>6.5986000000000002</v>
      </c>
      <c r="I4221" s="12">
        <v>-75.011899999999997</v>
      </c>
      <c r="J4221" t="s">
        <v>4144</v>
      </c>
      <c r="K4221" t="s">
        <v>97</v>
      </c>
      <c r="L4221" t="s">
        <v>1273</v>
      </c>
      <c r="M4221">
        <v>11</v>
      </c>
      <c r="P4221" s="13">
        <v>167</v>
      </c>
      <c r="Q4221" s="13">
        <v>44</v>
      </c>
      <c r="R4221">
        <v>16</v>
      </c>
      <c r="S4221">
        <v>54</v>
      </c>
      <c r="T4221" s="13">
        <v>19</v>
      </c>
      <c r="U4221" s="13">
        <v>36</v>
      </c>
      <c r="V4221" t="s">
        <v>99</v>
      </c>
      <c r="X4221" s="13">
        <v>167</v>
      </c>
    </row>
    <row r="4222" spans="1:24" x14ac:dyDescent="0.25">
      <c r="A4222" t="s">
        <v>4153</v>
      </c>
      <c r="B4222" t="s">
        <v>65</v>
      </c>
      <c r="C4222" t="s">
        <v>4142</v>
      </c>
      <c r="D4222" t="s">
        <v>4143</v>
      </c>
      <c r="E4222" t="s">
        <v>2001</v>
      </c>
      <c r="F4222" t="s">
        <v>94</v>
      </c>
      <c r="G4222" t="s">
        <v>277</v>
      </c>
      <c r="H4222" s="12">
        <v>6.5986000000000002</v>
      </c>
      <c r="I4222" s="12">
        <v>-75.011899999999997</v>
      </c>
      <c r="J4222" t="s">
        <v>4144</v>
      </c>
      <c r="K4222" t="s">
        <v>97</v>
      </c>
      <c r="L4222" t="s">
        <v>1273</v>
      </c>
      <c r="M4222">
        <v>11</v>
      </c>
      <c r="P4222" s="13">
        <v>165</v>
      </c>
      <c r="Q4222" s="13">
        <v>41</v>
      </c>
      <c r="R4222">
        <v>32</v>
      </c>
      <c r="S4222">
        <v>36</v>
      </c>
      <c r="T4222" s="13">
        <v>22</v>
      </c>
      <c r="U4222" s="13">
        <v>33</v>
      </c>
      <c r="V4222" t="s">
        <v>99</v>
      </c>
      <c r="X4222" s="13">
        <v>165</v>
      </c>
    </row>
    <row r="4223" spans="1:24" x14ac:dyDescent="0.25">
      <c r="A4223" t="s">
        <v>4154</v>
      </c>
      <c r="B4223" t="s">
        <v>65</v>
      </c>
      <c r="C4223" t="s">
        <v>4142</v>
      </c>
      <c r="D4223" t="s">
        <v>4143</v>
      </c>
      <c r="E4223" t="s">
        <v>2001</v>
      </c>
      <c r="F4223" t="s">
        <v>94</v>
      </c>
      <c r="G4223" t="s">
        <v>277</v>
      </c>
      <c r="H4223" s="12">
        <v>6.5986000000000002</v>
      </c>
      <c r="I4223" s="12">
        <v>-75.011899999999997</v>
      </c>
      <c r="J4223" t="s">
        <v>4144</v>
      </c>
      <c r="K4223" t="s">
        <v>97</v>
      </c>
      <c r="L4223" t="s">
        <v>1273</v>
      </c>
      <c r="M4223">
        <v>11</v>
      </c>
      <c r="P4223" s="13">
        <v>163</v>
      </c>
      <c r="Q4223" s="13">
        <v>37</v>
      </c>
      <c r="R4223">
        <v>28</v>
      </c>
      <c r="S4223">
        <v>32</v>
      </c>
      <c r="T4223" s="13">
        <v>33</v>
      </c>
      <c r="U4223" s="13">
        <v>35</v>
      </c>
      <c r="V4223" t="s">
        <v>99</v>
      </c>
      <c r="X4223" s="13">
        <v>163</v>
      </c>
    </row>
    <row r="4224" spans="1:24" x14ac:dyDescent="0.25">
      <c r="A4224" t="s">
        <v>4155</v>
      </c>
      <c r="B4224" t="s">
        <v>65</v>
      </c>
      <c r="C4224" t="s">
        <v>4142</v>
      </c>
      <c r="D4224" t="s">
        <v>4143</v>
      </c>
      <c r="E4224" t="s">
        <v>2001</v>
      </c>
      <c r="F4224" t="s">
        <v>94</v>
      </c>
      <c r="G4224" t="s">
        <v>277</v>
      </c>
      <c r="H4224" s="12">
        <v>6.5986000000000002</v>
      </c>
      <c r="I4224" s="12">
        <v>-75.011899999999997</v>
      </c>
      <c r="J4224" t="s">
        <v>4144</v>
      </c>
      <c r="K4224" t="s">
        <v>97</v>
      </c>
      <c r="L4224" t="s">
        <v>1273</v>
      </c>
      <c r="M4224">
        <v>11</v>
      </c>
      <c r="P4224" s="13">
        <v>160</v>
      </c>
      <c r="Q4224" s="13">
        <v>32</v>
      </c>
      <c r="R4224">
        <v>24</v>
      </c>
      <c r="S4224">
        <v>44</v>
      </c>
      <c r="T4224" s="13">
        <v>31</v>
      </c>
      <c r="U4224" s="13">
        <v>24</v>
      </c>
      <c r="V4224" t="s">
        <v>99</v>
      </c>
      <c r="X4224" s="13">
        <v>160</v>
      </c>
    </row>
    <row r="4225" spans="1:24" x14ac:dyDescent="0.25">
      <c r="A4225" t="s">
        <v>4156</v>
      </c>
      <c r="B4225" t="s">
        <v>65</v>
      </c>
      <c r="C4225" t="s">
        <v>4142</v>
      </c>
      <c r="D4225" t="s">
        <v>4143</v>
      </c>
      <c r="E4225" t="s">
        <v>2001</v>
      </c>
      <c r="F4225" t="s">
        <v>94</v>
      </c>
      <c r="G4225" t="s">
        <v>277</v>
      </c>
      <c r="H4225" s="12">
        <v>6.5986000000000002</v>
      </c>
      <c r="I4225" s="12">
        <v>-75.011899999999997</v>
      </c>
      <c r="J4225" t="s">
        <v>4144</v>
      </c>
      <c r="K4225" t="s">
        <v>97</v>
      </c>
      <c r="L4225" t="s">
        <v>1273</v>
      </c>
      <c r="M4225">
        <v>11</v>
      </c>
      <c r="P4225" s="13">
        <v>153</v>
      </c>
      <c r="Q4225" s="13">
        <v>39</v>
      </c>
      <c r="R4225">
        <v>28</v>
      </c>
      <c r="S4225">
        <v>24</v>
      </c>
      <c r="T4225" s="13">
        <v>33</v>
      </c>
      <c r="U4225" s="13">
        <v>27</v>
      </c>
      <c r="V4225" t="s">
        <v>99</v>
      </c>
      <c r="X4225" s="13">
        <v>153</v>
      </c>
    </row>
    <row r="4226" spans="1:24" x14ac:dyDescent="0.25">
      <c r="A4226" t="s">
        <v>4157</v>
      </c>
      <c r="B4226" t="s">
        <v>65</v>
      </c>
      <c r="C4226" t="s">
        <v>4142</v>
      </c>
      <c r="D4226" t="s">
        <v>4143</v>
      </c>
      <c r="E4226" t="s">
        <v>2001</v>
      </c>
      <c r="F4226" t="s">
        <v>94</v>
      </c>
      <c r="G4226" t="s">
        <v>277</v>
      </c>
      <c r="H4226" s="12">
        <v>6.5986000000000002</v>
      </c>
      <c r="I4226" s="12">
        <v>-75.011899999999997</v>
      </c>
      <c r="J4226" t="s">
        <v>4144</v>
      </c>
      <c r="K4226" t="s">
        <v>97</v>
      </c>
      <c r="L4226" t="s">
        <v>1273</v>
      </c>
      <c r="M4226">
        <v>11</v>
      </c>
      <c r="P4226" s="13">
        <v>152</v>
      </c>
      <c r="Q4226" s="13">
        <v>32</v>
      </c>
      <c r="R4226">
        <v>30</v>
      </c>
      <c r="S4226">
        <v>26</v>
      </c>
      <c r="T4226" s="13">
        <v>34</v>
      </c>
      <c r="U4226" s="13">
        <v>29</v>
      </c>
      <c r="V4226" t="s">
        <v>99</v>
      </c>
      <c r="X4226" s="13">
        <v>152</v>
      </c>
    </row>
    <row r="4227" spans="1:24" x14ac:dyDescent="0.25">
      <c r="A4227" t="s">
        <v>4158</v>
      </c>
      <c r="B4227" t="s">
        <v>65</v>
      </c>
      <c r="C4227" t="s">
        <v>4142</v>
      </c>
      <c r="D4227" t="s">
        <v>4143</v>
      </c>
      <c r="E4227" t="s">
        <v>2001</v>
      </c>
      <c r="F4227" t="s">
        <v>94</v>
      </c>
      <c r="G4227" t="s">
        <v>277</v>
      </c>
      <c r="H4227" s="12">
        <v>6.5986000000000002</v>
      </c>
      <c r="I4227" s="12">
        <v>-75.011899999999997</v>
      </c>
      <c r="J4227" t="s">
        <v>4144</v>
      </c>
      <c r="K4227" t="s">
        <v>97</v>
      </c>
      <c r="L4227" t="s">
        <v>1273</v>
      </c>
      <c r="M4227">
        <v>11</v>
      </c>
      <c r="P4227" s="13">
        <v>148</v>
      </c>
      <c r="Q4227" s="13">
        <v>37</v>
      </c>
      <c r="R4227">
        <v>24</v>
      </c>
      <c r="S4227">
        <v>36</v>
      </c>
      <c r="T4227" s="13">
        <v>26</v>
      </c>
      <c r="U4227" s="13">
        <v>18</v>
      </c>
      <c r="V4227" t="s">
        <v>99</v>
      </c>
      <c r="X4227" s="13">
        <v>148</v>
      </c>
    </row>
    <row r="4228" spans="1:24" x14ac:dyDescent="0.25">
      <c r="A4228" t="s">
        <v>4159</v>
      </c>
      <c r="B4228" t="s">
        <v>65</v>
      </c>
      <c r="C4228" t="s">
        <v>4142</v>
      </c>
      <c r="D4228" t="s">
        <v>4143</v>
      </c>
      <c r="E4228" t="s">
        <v>2001</v>
      </c>
      <c r="F4228" t="s">
        <v>94</v>
      </c>
      <c r="G4228" t="s">
        <v>277</v>
      </c>
      <c r="H4228" s="12">
        <v>6.5986000000000002</v>
      </c>
      <c r="I4228" s="12">
        <v>-75.011899999999997</v>
      </c>
      <c r="J4228" t="s">
        <v>4144</v>
      </c>
      <c r="K4228" t="s">
        <v>97</v>
      </c>
      <c r="L4228" t="s">
        <v>1273</v>
      </c>
      <c r="M4228">
        <v>11</v>
      </c>
      <c r="P4228" s="13">
        <v>146</v>
      </c>
      <c r="Q4228" s="13">
        <v>29</v>
      </c>
      <c r="R4228">
        <v>22</v>
      </c>
      <c r="S4228">
        <v>46</v>
      </c>
      <c r="T4228" s="13">
        <v>21</v>
      </c>
      <c r="U4228" s="13">
        <v>25</v>
      </c>
      <c r="V4228" t="s">
        <v>99</v>
      </c>
      <c r="X4228" s="13">
        <v>146</v>
      </c>
    </row>
    <row r="4229" spans="1:24" x14ac:dyDescent="0.25">
      <c r="A4229" t="s">
        <v>4160</v>
      </c>
      <c r="B4229" t="s">
        <v>65</v>
      </c>
      <c r="C4229" t="s">
        <v>4142</v>
      </c>
      <c r="D4229" t="s">
        <v>4143</v>
      </c>
      <c r="E4229" t="s">
        <v>2001</v>
      </c>
      <c r="F4229" t="s">
        <v>94</v>
      </c>
      <c r="G4229" t="s">
        <v>277</v>
      </c>
      <c r="H4229" s="12">
        <v>6.5986000000000002</v>
      </c>
      <c r="I4229" s="12">
        <v>-75.011899999999997</v>
      </c>
      <c r="J4229" t="s">
        <v>4144</v>
      </c>
      <c r="K4229" t="s">
        <v>97</v>
      </c>
      <c r="L4229" t="s">
        <v>1273</v>
      </c>
      <c r="M4229">
        <v>11</v>
      </c>
      <c r="P4229" s="13">
        <v>139</v>
      </c>
      <c r="Q4229" s="13">
        <v>49</v>
      </c>
      <c r="R4229">
        <v>18</v>
      </c>
      <c r="S4229">
        <v>18</v>
      </c>
      <c r="T4229" s="13">
        <v>28</v>
      </c>
      <c r="U4229" s="13">
        <v>25</v>
      </c>
      <c r="V4229" t="s">
        <v>99</v>
      </c>
      <c r="X4229" s="13">
        <v>139</v>
      </c>
    </row>
    <row r="4230" spans="1:24" x14ac:dyDescent="0.25">
      <c r="A4230" t="s">
        <v>4161</v>
      </c>
      <c r="B4230" t="s">
        <v>65</v>
      </c>
      <c r="C4230" t="s">
        <v>4142</v>
      </c>
      <c r="D4230" t="s">
        <v>4143</v>
      </c>
      <c r="E4230" t="s">
        <v>2001</v>
      </c>
      <c r="F4230" t="s">
        <v>94</v>
      </c>
      <c r="G4230" t="s">
        <v>277</v>
      </c>
      <c r="H4230" s="12">
        <v>6.5986000000000002</v>
      </c>
      <c r="I4230" s="12">
        <v>-75.011899999999997</v>
      </c>
      <c r="J4230" t="s">
        <v>4144</v>
      </c>
      <c r="K4230" t="s">
        <v>97</v>
      </c>
      <c r="L4230" t="s">
        <v>1273</v>
      </c>
      <c r="M4230">
        <v>11</v>
      </c>
      <c r="P4230" s="13">
        <v>133</v>
      </c>
      <c r="Q4230" s="13">
        <v>34</v>
      </c>
      <c r="R4230">
        <v>14</v>
      </c>
      <c r="S4230">
        <v>32</v>
      </c>
      <c r="T4230" s="13">
        <v>26</v>
      </c>
      <c r="U4230" s="13">
        <v>27</v>
      </c>
      <c r="V4230" t="s">
        <v>99</v>
      </c>
      <c r="X4230" s="13">
        <v>133</v>
      </c>
    </row>
    <row r="4231" spans="1:24" x14ac:dyDescent="0.25">
      <c r="A4231" t="s">
        <v>4162</v>
      </c>
      <c r="B4231" t="s">
        <v>65</v>
      </c>
      <c r="C4231" t="s">
        <v>4142</v>
      </c>
      <c r="D4231" t="s">
        <v>4143</v>
      </c>
      <c r="E4231" t="s">
        <v>2001</v>
      </c>
      <c r="F4231" t="s">
        <v>94</v>
      </c>
      <c r="G4231" t="s">
        <v>277</v>
      </c>
      <c r="H4231" s="12">
        <v>6.5986000000000002</v>
      </c>
      <c r="I4231" s="12">
        <v>-75.011899999999997</v>
      </c>
      <c r="J4231" t="s">
        <v>4144</v>
      </c>
      <c r="K4231" t="s">
        <v>97</v>
      </c>
      <c r="L4231" t="s">
        <v>1273</v>
      </c>
      <c r="M4231">
        <v>11</v>
      </c>
      <c r="P4231" s="13">
        <v>128</v>
      </c>
      <c r="Q4231" s="13">
        <v>27</v>
      </c>
      <c r="R4231">
        <v>20</v>
      </c>
      <c r="S4231">
        <v>30</v>
      </c>
      <c r="T4231" s="13">
        <v>24</v>
      </c>
      <c r="U4231" s="13">
        <v>29</v>
      </c>
      <c r="V4231" t="s">
        <v>99</v>
      </c>
      <c r="X4231" s="13">
        <v>128</v>
      </c>
    </row>
    <row r="4232" spans="1:24" x14ac:dyDescent="0.25">
      <c r="A4232" t="s">
        <v>4163</v>
      </c>
      <c r="B4232" t="s">
        <v>65</v>
      </c>
      <c r="C4232" t="s">
        <v>4142</v>
      </c>
      <c r="D4232" t="s">
        <v>4143</v>
      </c>
      <c r="E4232" t="s">
        <v>2001</v>
      </c>
      <c r="F4232" t="s">
        <v>94</v>
      </c>
      <c r="G4232" t="s">
        <v>277</v>
      </c>
      <c r="H4232" s="12">
        <v>6.5986000000000002</v>
      </c>
      <c r="I4232" s="12">
        <v>-75.011899999999997</v>
      </c>
      <c r="J4232" t="s">
        <v>4144</v>
      </c>
      <c r="K4232" t="s">
        <v>97</v>
      </c>
      <c r="L4232" t="s">
        <v>1273</v>
      </c>
      <c r="M4232">
        <v>11</v>
      </c>
      <c r="P4232" s="13">
        <v>115</v>
      </c>
      <c r="Q4232" s="13">
        <v>44</v>
      </c>
      <c r="R4232">
        <v>18</v>
      </c>
      <c r="S4232">
        <v>20</v>
      </c>
      <c r="T4232" s="13">
        <v>7</v>
      </c>
      <c r="U4232" s="13">
        <v>33</v>
      </c>
      <c r="V4232" t="s">
        <v>99</v>
      </c>
      <c r="X4232" s="13">
        <v>115</v>
      </c>
    </row>
    <row r="4233" spans="1:24" x14ac:dyDescent="0.25">
      <c r="A4233" t="s">
        <v>4164</v>
      </c>
      <c r="B4233" t="s">
        <v>65</v>
      </c>
      <c r="C4233" t="s">
        <v>4165</v>
      </c>
      <c r="D4233" t="s">
        <v>4166</v>
      </c>
      <c r="E4233" t="s">
        <v>4167</v>
      </c>
      <c r="F4233" t="s">
        <v>94</v>
      </c>
      <c r="G4233" t="s">
        <v>277</v>
      </c>
      <c r="H4233" s="12">
        <v>6.28</v>
      </c>
      <c r="I4233" s="12">
        <v>-75.442800000000005</v>
      </c>
      <c r="J4233" t="s">
        <v>4168</v>
      </c>
      <c r="K4233" t="s">
        <v>97</v>
      </c>
      <c r="L4233" t="s">
        <v>1273</v>
      </c>
      <c r="M4233">
        <v>11</v>
      </c>
      <c r="P4233" s="13">
        <v>262</v>
      </c>
      <c r="Q4233" s="13">
        <v>51</v>
      </c>
      <c r="R4233">
        <v>58</v>
      </c>
      <c r="S4233">
        <v>72</v>
      </c>
      <c r="T4233" s="13">
        <v>33</v>
      </c>
      <c r="U4233" s="13">
        <v>38</v>
      </c>
      <c r="V4233" t="s">
        <v>99</v>
      </c>
      <c r="X4233" s="13">
        <v>262</v>
      </c>
    </row>
    <row r="4234" spans="1:24" x14ac:dyDescent="0.25">
      <c r="A4234" t="s">
        <v>4169</v>
      </c>
      <c r="B4234" t="s">
        <v>65</v>
      </c>
      <c r="C4234" t="s">
        <v>4165</v>
      </c>
      <c r="D4234" t="s">
        <v>4166</v>
      </c>
      <c r="E4234" t="s">
        <v>4167</v>
      </c>
      <c r="F4234" t="s">
        <v>94</v>
      </c>
      <c r="G4234" t="s">
        <v>277</v>
      </c>
      <c r="H4234" s="12">
        <v>6.28</v>
      </c>
      <c r="I4234" s="12">
        <v>-75.442800000000005</v>
      </c>
      <c r="J4234" t="s">
        <v>4168</v>
      </c>
      <c r="K4234" t="s">
        <v>97</v>
      </c>
      <c r="L4234" t="s">
        <v>1273</v>
      </c>
      <c r="M4234">
        <v>11</v>
      </c>
      <c r="P4234" s="13">
        <v>241</v>
      </c>
      <c r="Q4234" s="13">
        <v>54</v>
      </c>
      <c r="R4234">
        <v>28</v>
      </c>
      <c r="S4234">
        <v>68</v>
      </c>
      <c r="T4234" s="13">
        <v>41</v>
      </c>
      <c r="U4234" s="13">
        <v>53</v>
      </c>
      <c r="V4234" t="s">
        <v>99</v>
      </c>
      <c r="X4234" s="13">
        <v>241</v>
      </c>
    </row>
    <row r="4235" spans="1:24" x14ac:dyDescent="0.25">
      <c r="A4235" t="s">
        <v>4170</v>
      </c>
      <c r="B4235" t="s">
        <v>65</v>
      </c>
      <c r="C4235" t="s">
        <v>4165</v>
      </c>
      <c r="D4235" t="s">
        <v>4166</v>
      </c>
      <c r="E4235" t="s">
        <v>4167</v>
      </c>
      <c r="F4235" t="s">
        <v>94</v>
      </c>
      <c r="G4235" t="s">
        <v>277</v>
      </c>
      <c r="H4235" s="12">
        <v>6.28</v>
      </c>
      <c r="I4235" s="12">
        <v>-75.442800000000005</v>
      </c>
      <c r="J4235" t="s">
        <v>4168</v>
      </c>
      <c r="K4235" t="s">
        <v>97</v>
      </c>
      <c r="L4235" t="s">
        <v>1273</v>
      </c>
      <c r="M4235">
        <v>11</v>
      </c>
      <c r="P4235" s="13">
        <v>225</v>
      </c>
      <c r="Q4235" s="13">
        <v>66</v>
      </c>
      <c r="R4235">
        <v>26</v>
      </c>
      <c r="S4235">
        <v>54</v>
      </c>
      <c r="T4235" s="13">
        <v>24</v>
      </c>
      <c r="U4235" s="13">
        <v>75</v>
      </c>
      <c r="V4235" t="s">
        <v>99</v>
      </c>
      <c r="X4235" s="13">
        <v>225</v>
      </c>
    </row>
    <row r="4236" spans="1:24" x14ac:dyDescent="0.25">
      <c r="A4236" t="s">
        <v>4171</v>
      </c>
      <c r="B4236" t="s">
        <v>65</v>
      </c>
      <c r="C4236" t="s">
        <v>4165</v>
      </c>
      <c r="D4236" t="s">
        <v>4166</v>
      </c>
      <c r="E4236" t="s">
        <v>4167</v>
      </c>
      <c r="F4236" t="s">
        <v>94</v>
      </c>
      <c r="G4236" t="s">
        <v>277</v>
      </c>
      <c r="H4236" s="12">
        <v>6.28</v>
      </c>
      <c r="I4236" s="12">
        <v>-75.442800000000005</v>
      </c>
      <c r="J4236" t="s">
        <v>4168</v>
      </c>
      <c r="K4236" t="s">
        <v>97</v>
      </c>
      <c r="L4236" t="s">
        <v>1273</v>
      </c>
      <c r="M4236">
        <v>11</v>
      </c>
      <c r="P4236" s="13">
        <v>217</v>
      </c>
      <c r="Q4236" s="13">
        <v>51</v>
      </c>
      <c r="R4236">
        <v>26</v>
      </c>
      <c r="S4236">
        <v>54</v>
      </c>
      <c r="T4236" s="13">
        <v>33</v>
      </c>
      <c r="U4236" s="13">
        <v>73</v>
      </c>
      <c r="V4236" t="s">
        <v>99</v>
      </c>
      <c r="X4236" s="13">
        <v>217</v>
      </c>
    </row>
    <row r="4237" spans="1:24" x14ac:dyDescent="0.25">
      <c r="A4237" t="s">
        <v>4172</v>
      </c>
      <c r="B4237" t="s">
        <v>65</v>
      </c>
      <c r="C4237" t="s">
        <v>4165</v>
      </c>
      <c r="D4237" t="s">
        <v>4166</v>
      </c>
      <c r="E4237" t="s">
        <v>4167</v>
      </c>
      <c r="F4237" t="s">
        <v>94</v>
      </c>
      <c r="G4237" t="s">
        <v>277</v>
      </c>
      <c r="H4237" s="12">
        <v>6.28</v>
      </c>
      <c r="I4237" s="12">
        <v>-75.442800000000005</v>
      </c>
      <c r="J4237" t="s">
        <v>4168</v>
      </c>
      <c r="K4237" t="s">
        <v>97</v>
      </c>
      <c r="L4237" t="s">
        <v>1273</v>
      </c>
      <c r="M4237">
        <v>11</v>
      </c>
      <c r="P4237" s="13">
        <v>209</v>
      </c>
      <c r="Q4237" s="13">
        <v>44</v>
      </c>
      <c r="R4237">
        <v>36</v>
      </c>
      <c r="S4237">
        <v>48</v>
      </c>
      <c r="T4237" s="13">
        <v>40</v>
      </c>
      <c r="U4237" s="13">
        <v>42</v>
      </c>
      <c r="V4237" t="s">
        <v>99</v>
      </c>
      <c r="X4237" s="13">
        <v>209</v>
      </c>
    </row>
    <row r="4238" spans="1:24" x14ac:dyDescent="0.25">
      <c r="A4238" t="s">
        <v>4173</v>
      </c>
      <c r="B4238" t="s">
        <v>65</v>
      </c>
      <c r="C4238" t="s">
        <v>4165</v>
      </c>
      <c r="D4238" t="s">
        <v>4166</v>
      </c>
      <c r="E4238" t="s">
        <v>4167</v>
      </c>
      <c r="F4238" t="s">
        <v>94</v>
      </c>
      <c r="G4238" t="s">
        <v>277</v>
      </c>
      <c r="H4238" s="12">
        <v>6.28</v>
      </c>
      <c r="I4238" s="12">
        <v>-75.442800000000005</v>
      </c>
      <c r="J4238" t="s">
        <v>4168</v>
      </c>
      <c r="K4238" t="s">
        <v>97</v>
      </c>
      <c r="L4238" t="s">
        <v>1273</v>
      </c>
      <c r="M4238">
        <v>11</v>
      </c>
      <c r="P4238" s="13">
        <v>202</v>
      </c>
      <c r="Q4238" s="13">
        <v>41</v>
      </c>
      <c r="R4238">
        <v>48</v>
      </c>
      <c r="S4238">
        <v>36</v>
      </c>
      <c r="T4238" s="13">
        <v>31</v>
      </c>
      <c r="U4238" s="13">
        <v>55</v>
      </c>
      <c r="V4238" t="s">
        <v>99</v>
      </c>
      <c r="X4238" s="13">
        <v>202</v>
      </c>
    </row>
    <row r="4239" spans="1:24" x14ac:dyDescent="0.25">
      <c r="A4239" t="s">
        <v>4174</v>
      </c>
      <c r="B4239" t="s">
        <v>65</v>
      </c>
      <c r="C4239" t="s">
        <v>4165</v>
      </c>
      <c r="D4239" t="s">
        <v>4166</v>
      </c>
      <c r="E4239" t="s">
        <v>4167</v>
      </c>
      <c r="F4239" t="s">
        <v>94</v>
      </c>
      <c r="G4239" t="s">
        <v>277</v>
      </c>
      <c r="H4239" s="12">
        <v>6.28</v>
      </c>
      <c r="I4239" s="12">
        <v>-75.442800000000005</v>
      </c>
      <c r="J4239" t="s">
        <v>4168</v>
      </c>
      <c r="K4239" t="s">
        <v>97</v>
      </c>
      <c r="L4239" t="s">
        <v>1273</v>
      </c>
      <c r="M4239">
        <v>11</v>
      </c>
      <c r="P4239" s="13">
        <v>192</v>
      </c>
      <c r="Q4239" s="13">
        <v>39</v>
      </c>
      <c r="R4239">
        <v>28</v>
      </c>
      <c r="S4239">
        <v>46</v>
      </c>
      <c r="T4239" s="13">
        <v>36</v>
      </c>
      <c r="U4239" s="13">
        <v>53</v>
      </c>
      <c r="V4239" t="s">
        <v>99</v>
      </c>
      <c r="X4239" s="13">
        <v>192</v>
      </c>
    </row>
    <row r="4240" spans="1:24" x14ac:dyDescent="0.25">
      <c r="A4240" t="s">
        <v>4175</v>
      </c>
      <c r="B4240" t="s">
        <v>65</v>
      </c>
      <c r="C4240" t="s">
        <v>4165</v>
      </c>
      <c r="D4240" t="s">
        <v>4166</v>
      </c>
      <c r="E4240" t="s">
        <v>4167</v>
      </c>
      <c r="F4240" t="s">
        <v>94</v>
      </c>
      <c r="G4240" t="s">
        <v>277</v>
      </c>
      <c r="H4240" s="12">
        <v>6.28</v>
      </c>
      <c r="I4240" s="12">
        <v>-75.442800000000005</v>
      </c>
      <c r="J4240" t="s">
        <v>4168</v>
      </c>
      <c r="K4240" t="s">
        <v>97</v>
      </c>
      <c r="L4240" t="s">
        <v>1273</v>
      </c>
      <c r="M4240">
        <v>11</v>
      </c>
      <c r="P4240" s="13">
        <v>192</v>
      </c>
      <c r="Q4240" s="13">
        <v>49</v>
      </c>
      <c r="R4240">
        <v>32</v>
      </c>
      <c r="S4240">
        <v>36</v>
      </c>
      <c r="T4240" s="13">
        <v>40</v>
      </c>
      <c r="U4240" s="13">
        <v>31</v>
      </c>
      <c r="V4240" t="s">
        <v>99</v>
      </c>
      <c r="X4240" s="13">
        <v>192</v>
      </c>
    </row>
    <row r="4241" spans="1:24" x14ac:dyDescent="0.25">
      <c r="A4241" t="s">
        <v>4176</v>
      </c>
      <c r="B4241" t="s">
        <v>65</v>
      </c>
      <c r="C4241" t="s">
        <v>4165</v>
      </c>
      <c r="D4241" t="s">
        <v>4166</v>
      </c>
      <c r="E4241" t="s">
        <v>4167</v>
      </c>
      <c r="F4241" t="s">
        <v>94</v>
      </c>
      <c r="G4241" t="s">
        <v>277</v>
      </c>
      <c r="H4241" s="12">
        <v>6.28</v>
      </c>
      <c r="I4241" s="12">
        <v>-75.442800000000005</v>
      </c>
      <c r="J4241" t="s">
        <v>4168</v>
      </c>
      <c r="K4241" t="s">
        <v>97</v>
      </c>
      <c r="L4241" t="s">
        <v>1273</v>
      </c>
      <c r="M4241">
        <v>11</v>
      </c>
      <c r="P4241" s="13">
        <v>185</v>
      </c>
      <c r="Q4241" s="13">
        <v>49</v>
      </c>
      <c r="R4241">
        <v>20</v>
      </c>
      <c r="S4241">
        <v>46</v>
      </c>
      <c r="T4241" s="13">
        <v>24</v>
      </c>
      <c r="U4241" s="13">
        <v>65</v>
      </c>
      <c r="V4241" t="s">
        <v>99</v>
      </c>
      <c r="X4241" s="13">
        <v>185</v>
      </c>
    </row>
    <row r="4242" spans="1:24" x14ac:dyDescent="0.25">
      <c r="A4242" t="s">
        <v>4177</v>
      </c>
      <c r="B4242" t="s">
        <v>65</v>
      </c>
      <c r="C4242" t="s">
        <v>4165</v>
      </c>
      <c r="D4242" t="s">
        <v>4166</v>
      </c>
      <c r="E4242" t="s">
        <v>4167</v>
      </c>
      <c r="F4242" t="s">
        <v>94</v>
      </c>
      <c r="G4242" t="s">
        <v>277</v>
      </c>
      <c r="H4242" s="12">
        <v>6.28</v>
      </c>
      <c r="I4242" s="12">
        <v>-75.442800000000005</v>
      </c>
      <c r="J4242" t="s">
        <v>4168</v>
      </c>
      <c r="K4242" t="s">
        <v>97</v>
      </c>
      <c r="L4242" t="s">
        <v>1273</v>
      </c>
      <c r="M4242">
        <v>11</v>
      </c>
      <c r="P4242" s="13">
        <v>183</v>
      </c>
      <c r="Q4242" s="13">
        <v>56</v>
      </c>
      <c r="R4242">
        <v>24</v>
      </c>
      <c r="S4242">
        <v>40</v>
      </c>
      <c r="T4242" s="13">
        <v>26</v>
      </c>
      <c r="U4242" s="13">
        <v>38</v>
      </c>
      <c r="V4242" t="s">
        <v>99</v>
      </c>
      <c r="X4242" s="13">
        <v>183</v>
      </c>
    </row>
    <row r="4243" spans="1:24" x14ac:dyDescent="0.25">
      <c r="A4243" t="s">
        <v>4178</v>
      </c>
      <c r="B4243" t="s">
        <v>65</v>
      </c>
      <c r="C4243" t="s">
        <v>4165</v>
      </c>
      <c r="D4243" t="s">
        <v>4166</v>
      </c>
      <c r="E4243" t="s">
        <v>4167</v>
      </c>
      <c r="F4243" t="s">
        <v>94</v>
      </c>
      <c r="G4243" t="s">
        <v>277</v>
      </c>
      <c r="H4243" s="12">
        <v>6.28</v>
      </c>
      <c r="I4243" s="12">
        <v>-75.442800000000005</v>
      </c>
      <c r="J4243" t="s">
        <v>4168</v>
      </c>
      <c r="K4243" t="s">
        <v>97</v>
      </c>
      <c r="L4243" t="s">
        <v>1273</v>
      </c>
      <c r="M4243">
        <v>11</v>
      </c>
      <c r="P4243" s="13">
        <v>182</v>
      </c>
      <c r="Q4243" s="13">
        <v>44</v>
      </c>
      <c r="R4243">
        <v>24</v>
      </c>
      <c r="S4243">
        <v>46</v>
      </c>
      <c r="T4243" s="13">
        <v>28</v>
      </c>
      <c r="U4243" s="13">
        <v>49</v>
      </c>
      <c r="V4243" t="s">
        <v>99</v>
      </c>
      <c r="X4243" s="13">
        <v>182</v>
      </c>
    </row>
    <row r="4244" spans="1:24" x14ac:dyDescent="0.25">
      <c r="A4244" t="s">
        <v>4179</v>
      </c>
      <c r="B4244" t="s">
        <v>65</v>
      </c>
      <c r="C4244" t="s">
        <v>4165</v>
      </c>
      <c r="D4244" t="s">
        <v>4166</v>
      </c>
      <c r="E4244" t="s">
        <v>4167</v>
      </c>
      <c r="F4244" t="s">
        <v>94</v>
      </c>
      <c r="G4244" t="s">
        <v>277</v>
      </c>
      <c r="H4244" s="12">
        <v>6.28</v>
      </c>
      <c r="I4244" s="12">
        <v>-75.442800000000005</v>
      </c>
      <c r="J4244" t="s">
        <v>4168</v>
      </c>
      <c r="K4244" t="s">
        <v>97</v>
      </c>
      <c r="L4244" t="s">
        <v>1273</v>
      </c>
      <c r="M4244">
        <v>11</v>
      </c>
      <c r="P4244" s="13">
        <v>180</v>
      </c>
      <c r="Q4244" s="13">
        <v>54</v>
      </c>
      <c r="R4244">
        <v>32</v>
      </c>
      <c r="S4244">
        <v>36</v>
      </c>
      <c r="T4244" s="13">
        <v>24</v>
      </c>
      <c r="U4244" s="13">
        <v>31</v>
      </c>
      <c r="V4244" t="s">
        <v>99</v>
      </c>
      <c r="X4244" s="13">
        <v>180</v>
      </c>
    </row>
    <row r="4245" spans="1:24" x14ac:dyDescent="0.25">
      <c r="A4245" t="s">
        <v>4180</v>
      </c>
      <c r="B4245" t="s">
        <v>65</v>
      </c>
      <c r="C4245" t="s">
        <v>4165</v>
      </c>
      <c r="D4245" t="s">
        <v>4166</v>
      </c>
      <c r="E4245" t="s">
        <v>4167</v>
      </c>
      <c r="F4245" t="s">
        <v>94</v>
      </c>
      <c r="G4245" t="s">
        <v>277</v>
      </c>
      <c r="H4245" s="12">
        <v>6.28</v>
      </c>
      <c r="I4245" s="12">
        <v>-75.442800000000005</v>
      </c>
      <c r="J4245" t="s">
        <v>4168</v>
      </c>
      <c r="K4245" t="s">
        <v>97</v>
      </c>
      <c r="L4245" t="s">
        <v>1273</v>
      </c>
      <c r="M4245">
        <v>11</v>
      </c>
      <c r="P4245" s="13">
        <v>176</v>
      </c>
      <c r="Q4245" s="13">
        <v>44</v>
      </c>
      <c r="R4245">
        <v>38</v>
      </c>
      <c r="S4245">
        <v>32</v>
      </c>
      <c r="T4245" s="13">
        <v>22</v>
      </c>
      <c r="U4245" s="13">
        <v>49</v>
      </c>
      <c r="V4245" t="s">
        <v>99</v>
      </c>
      <c r="X4245" s="13">
        <v>176</v>
      </c>
    </row>
    <row r="4246" spans="1:24" x14ac:dyDescent="0.25">
      <c r="A4246" t="s">
        <v>4181</v>
      </c>
      <c r="B4246" t="s">
        <v>65</v>
      </c>
      <c r="C4246" t="s">
        <v>4165</v>
      </c>
      <c r="D4246" t="s">
        <v>4166</v>
      </c>
      <c r="E4246" t="s">
        <v>4167</v>
      </c>
      <c r="F4246" t="s">
        <v>94</v>
      </c>
      <c r="G4246" t="s">
        <v>277</v>
      </c>
      <c r="H4246" s="12">
        <v>6.28</v>
      </c>
      <c r="I4246" s="12">
        <v>-75.442800000000005</v>
      </c>
      <c r="J4246" t="s">
        <v>4168</v>
      </c>
      <c r="K4246" t="s">
        <v>97</v>
      </c>
      <c r="L4246" t="s">
        <v>1273</v>
      </c>
      <c r="M4246">
        <v>11</v>
      </c>
      <c r="P4246" s="13">
        <v>175</v>
      </c>
      <c r="Q4246" s="13">
        <v>37</v>
      </c>
      <c r="R4246">
        <v>32</v>
      </c>
      <c r="S4246">
        <v>48</v>
      </c>
      <c r="T4246" s="13">
        <v>22</v>
      </c>
      <c r="U4246" s="13">
        <v>38</v>
      </c>
      <c r="V4246" t="s">
        <v>99</v>
      </c>
      <c r="X4246" s="13">
        <v>175</v>
      </c>
    </row>
    <row r="4247" spans="1:24" x14ac:dyDescent="0.25">
      <c r="A4247" t="s">
        <v>4182</v>
      </c>
      <c r="B4247" t="s">
        <v>65</v>
      </c>
      <c r="C4247" t="s">
        <v>4165</v>
      </c>
      <c r="D4247" t="s">
        <v>4166</v>
      </c>
      <c r="E4247" t="s">
        <v>4167</v>
      </c>
      <c r="F4247" t="s">
        <v>94</v>
      </c>
      <c r="G4247" t="s">
        <v>277</v>
      </c>
      <c r="H4247" s="12">
        <v>6.28</v>
      </c>
      <c r="I4247" s="12">
        <v>-75.442800000000005</v>
      </c>
      <c r="J4247" t="s">
        <v>4168</v>
      </c>
      <c r="K4247" t="s">
        <v>97</v>
      </c>
      <c r="L4247" t="s">
        <v>1273</v>
      </c>
      <c r="M4247">
        <v>11</v>
      </c>
      <c r="P4247" s="13">
        <v>172</v>
      </c>
      <c r="Q4247" s="13">
        <v>63</v>
      </c>
      <c r="R4247">
        <v>30</v>
      </c>
      <c r="S4247">
        <v>18</v>
      </c>
      <c r="T4247" s="13">
        <v>29</v>
      </c>
      <c r="U4247" s="13">
        <v>25</v>
      </c>
      <c r="V4247" t="s">
        <v>99</v>
      </c>
      <c r="X4247" s="13">
        <v>172</v>
      </c>
    </row>
    <row r="4248" spans="1:24" x14ac:dyDescent="0.25">
      <c r="A4248" t="s">
        <v>4183</v>
      </c>
      <c r="B4248" t="s">
        <v>65</v>
      </c>
      <c r="C4248" t="s">
        <v>4165</v>
      </c>
      <c r="D4248" t="s">
        <v>4166</v>
      </c>
      <c r="E4248" t="s">
        <v>4167</v>
      </c>
      <c r="F4248" t="s">
        <v>94</v>
      </c>
      <c r="G4248" t="s">
        <v>277</v>
      </c>
      <c r="H4248" s="12">
        <v>6.28</v>
      </c>
      <c r="I4248" s="12">
        <v>-75.442800000000005</v>
      </c>
      <c r="J4248" t="s">
        <v>4168</v>
      </c>
      <c r="K4248" t="s">
        <v>97</v>
      </c>
      <c r="L4248" t="s">
        <v>1273</v>
      </c>
      <c r="M4248">
        <v>11</v>
      </c>
      <c r="P4248" s="13">
        <v>170</v>
      </c>
      <c r="Q4248" s="13">
        <v>39</v>
      </c>
      <c r="R4248">
        <v>22</v>
      </c>
      <c r="S4248">
        <v>30</v>
      </c>
      <c r="T4248" s="13">
        <v>36</v>
      </c>
      <c r="U4248" s="13">
        <v>60</v>
      </c>
      <c r="V4248" t="s">
        <v>99</v>
      </c>
      <c r="X4248" s="13">
        <v>170</v>
      </c>
    </row>
    <row r="4249" spans="1:24" x14ac:dyDescent="0.25">
      <c r="A4249" t="s">
        <v>4184</v>
      </c>
      <c r="B4249" t="s">
        <v>65</v>
      </c>
      <c r="C4249" t="s">
        <v>4165</v>
      </c>
      <c r="D4249" t="s">
        <v>4166</v>
      </c>
      <c r="E4249" t="s">
        <v>4167</v>
      </c>
      <c r="F4249" t="s">
        <v>94</v>
      </c>
      <c r="G4249" t="s">
        <v>277</v>
      </c>
      <c r="H4249" s="12">
        <v>6.28</v>
      </c>
      <c r="I4249" s="12">
        <v>-75.442800000000005</v>
      </c>
      <c r="J4249" t="s">
        <v>4168</v>
      </c>
      <c r="K4249" t="s">
        <v>97</v>
      </c>
      <c r="L4249" t="s">
        <v>1273</v>
      </c>
      <c r="M4249">
        <v>11</v>
      </c>
      <c r="P4249" s="13">
        <v>164</v>
      </c>
      <c r="Q4249" s="13">
        <v>46</v>
      </c>
      <c r="R4249">
        <v>30</v>
      </c>
      <c r="S4249">
        <v>28</v>
      </c>
      <c r="T4249" s="13">
        <v>24</v>
      </c>
      <c r="U4249" s="13">
        <v>42</v>
      </c>
      <c r="V4249" t="s">
        <v>99</v>
      </c>
      <c r="X4249" s="13">
        <v>164</v>
      </c>
    </row>
    <row r="4250" spans="1:24" x14ac:dyDescent="0.25">
      <c r="A4250" t="s">
        <v>4185</v>
      </c>
      <c r="B4250" t="s">
        <v>65</v>
      </c>
      <c r="C4250" t="s">
        <v>4165</v>
      </c>
      <c r="D4250" t="s">
        <v>4166</v>
      </c>
      <c r="E4250" t="s">
        <v>4167</v>
      </c>
      <c r="F4250" t="s">
        <v>94</v>
      </c>
      <c r="G4250" t="s">
        <v>277</v>
      </c>
      <c r="H4250" s="12">
        <v>6.28</v>
      </c>
      <c r="I4250" s="12">
        <v>-75.442800000000005</v>
      </c>
      <c r="J4250" t="s">
        <v>4168</v>
      </c>
      <c r="K4250" t="s">
        <v>97</v>
      </c>
      <c r="L4250" t="s">
        <v>1273</v>
      </c>
      <c r="M4250">
        <v>11</v>
      </c>
      <c r="P4250" s="13">
        <v>164</v>
      </c>
      <c r="Q4250" s="13">
        <v>29</v>
      </c>
      <c r="R4250">
        <v>26</v>
      </c>
      <c r="S4250">
        <v>26</v>
      </c>
      <c r="T4250" s="13">
        <v>36</v>
      </c>
      <c r="U4250" s="13">
        <v>73</v>
      </c>
      <c r="V4250" t="s">
        <v>99</v>
      </c>
      <c r="X4250" s="13">
        <v>164</v>
      </c>
    </row>
    <row r="4251" spans="1:24" x14ac:dyDescent="0.25">
      <c r="A4251" t="s">
        <v>4186</v>
      </c>
      <c r="B4251" t="s">
        <v>65</v>
      </c>
      <c r="C4251" t="s">
        <v>4165</v>
      </c>
      <c r="D4251" t="s">
        <v>4166</v>
      </c>
      <c r="E4251" t="s">
        <v>4167</v>
      </c>
      <c r="F4251" t="s">
        <v>94</v>
      </c>
      <c r="G4251" t="s">
        <v>277</v>
      </c>
      <c r="H4251" s="12">
        <v>6.28</v>
      </c>
      <c r="I4251" s="12">
        <v>-75.442800000000005</v>
      </c>
      <c r="J4251" t="s">
        <v>4168</v>
      </c>
      <c r="K4251" t="s">
        <v>97</v>
      </c>
      <c r="L4251" t="s">
        <v>1273</v>
      </c>
      <c r="M4251">
        <v>11</v>
      </c>
      <c r="P4251" s="13">
        <v>163</v>
      </c>
      <c r="Q4251" s="13">
        <v>29</v>
      </c>
      <c r="R4251">
        <v>26</v>
      </c>
      <c r="S4251">
        <v>36</v>
      </c>
      <c r="T4251" s="13">
        <v>34</v>
      </c>
      <c r="U4251" s="13">
        <v>47</v>
      </c>
      <c r="V4251" t="s">
        <v>99</v>
      </c>
      <c r="X4251" s="13">
        <v>163</v>
      </c>
    </row>
    <row r="4252" spans="1:24" x14ac:dyDescent="0.25">
      <c r="A4252" t="s">
        <v>4187</v>
      </c>
      <c r="B4252" t="s">
        <v>65</v>
      </c>
      <c r="C4252" t="s">
        <v>4165</v>
      </c>
      <c r="D4252" t="s">
        <v>4166</v>
      </c>
      <c r="E4252" t="s">
        <v>4167</v>
      </c>
      <c r="F4252" t="s">
        <v>94</v>
      </c>
      <c r="G4252" t="s">
        <v>277</v>
      </c>
      <c r="H4252" s="12">
        <v>6.28</v>
      </c>
      <c r="I4252" s="12">
        <v>-75.442800000000005</v>
      </c>
      <c r="J4252" t="s">
        <v>4168</v>
      </c>
      <c r="K4252" t="s">
        <v>97</v>
      </c>
      <c r="L4252" t="s">
        <v>1273</v>
      </c>
      <c r="M4252">
        <v>11</v>
      </c>
      <c r="P4252" s="13">
        <v>162</v>
      </c>
      <c r="Q4252" s="13">
        <v>37</v>
      </c>
      <c r="R4252">
        <v>32</v>
      </c>
      <c r="S4252">
        <v>34</v>
      </c>
      <c r="T4252" s="13">
        <v>26</v>
      </c>
      <c r="U4252" s="13">
        <v>36</v>
      </c>
      <c r="V4252" t="s">
        <v>99</v>
      </c>
      <c r="X4252" s="13">
        <v>162</v>
      </c>
    </row>
    <row r="4253" spans="1:24" x14ac:dyDescent="0.25">
      <c r="A4253" t="s">
        <v>4188</v>
      </c>
      <c r="B4253" t="s">
        <v>65</v>
      </c>
      <c r="C4253" t="s">
        <v>4165</v>
      </c>
      <c r="D4253" t="s">
        <v>4166</v>
      </c>
      <c r="E4253" t="s">
        <v>4167</v>
      </c>
      <c r="F4253" t="s">
        <v>94</v>
      </c>
      <c r="G4253" t="s">
        <v>277</v>
      </c>
      <c r="H4253" s="12">
        <v>6.28</v>
      </c>
      <c r="I4253" s="12">
        <v>-75.442800000000005</v>
      </c>
      <c r="J4253" t="s">
        <v>4168</v>
      </c>
      <c r="K4253" t="s">
        <v>97</v>
      </c>
      <c r="L4253" t="s">
        <v>1273</v>
      </c>
      <c r="M4253">
        <v>11</v>
      </c>
      <c r="P4253" s="13">
        <v>162</v>
      </c>
      <c r="Q4253" s="13">
        <v>44</v>
      </c>
      <c r="R4253">
        <v>28</v>
      </c>
      <c r="S4253">
        <v>32</v>
      </c>
      <c r="T4253" s="13">
        <v>22</v>
      </c>
      <c r="U4253" s="13">
        <v>42</v>
      </c>
      <c r="V4253" t="s">
        <v>99</v>
      </c>
      <c r="X4253" s="13">
        <v>162</v>
      </c>
    </row>
    <row r="4254" spans="1:24" x14ac:dyDescent="0.25">
      <c r="A4254" t="s">
        <v>4189</v>
      </c>
      <c r="B4254" t="s">
        <v>65</v>
      </c>
      <c r="C4254" t="s">
        <v>4165</v>
      </c>
      <c r="D4254" t="s">
        <v>4166</v>
      </c>
      <c r="E4254" t="s">
        <v>4167</v>
      </c>
      <c r="F4254" t="s">
        <v>94</v>
      </c>
      <c r="G4254" t="s">
        <v>277</v>
      </c>
      <c r="H4254" s="12">
        <v>6.28</v>
      </c>
      <c r="I4254" s="12">
        <v>-75.442800000000005</v>
      </c>
      <c r="J4254" t="s">
        <v>4168</v>
      </c>
      <c r="K4254" t="s">
        <v>97</v>
      </c>
      <c r="L4254" t="s">
        <v>1273</v>
      </c>
      <c r="M4254">
        <v>11</v>
      </c>
      <c r="P4254" s="13">
        <v>160</v>
      </c>
      <c r="Q4254" s="13">
        <v>39</v>
      </c>
      <c r="R4254">
        <v>26</v>
      </c>
      <c r="S4254">
        <v>32</v>
      </c>
      <c r="T4254" s="13">
        <v>33</v>
      </c>
      <c r="U4254" s="13">
        <v>25</v>
      </c>
      <c r="V4254" t="s">
        <v>99</v>
      </c>
      <c r="X4254" s="13">
        <v>160</v>
      </c>
    </row>
    <row r="4255" spans="1:24" x14ac:dyDescent="0.25">
      <c r="A4255" t="s">
        <v>4190</v>
      </c>
      <c r="B4255" t="s">
        <v>65</v>
      </c>
      <c r="C4255" t="s">
        <v>4165</v>
      </c>
      <c r="D4255" t="s">
        <v>4166</v>
      </c>
      <c r="E4255" t="s">
        <v>4167</v>
      </c>
      <c r="F4255" t="s">
        <v>94</v>
      </c>
      <c r="G4255" t="s">
        <v>277</v>
      </c>
      <c r="H4255" s="12">
        <v>6.28</v>
      </c>
      <c r="I4255" s="12">
        <v>-75.442800000000005</v>
      </c>
      <c r="J4255" t="s">
        <v>4168</v>
      </c>
      <c r="K4255" t="s">
        <v>97</v>
      </c>
      <c r="L4255" t="s">
        <v>1273</v>
      </c>
      <c r="M4255">
        <v>11</v>
      </c>
      <c r="P4255" s="13">
        <v>159</v>
      </c>
      <c r="Q4255" s="13">
        <v>41</v>
      </c>
      <c r="R4255">
        <v>36</v>
      </c>
      <c r="S4255">
        <v>22</v>
      </c>
      <c r="T4255" s="13">
        <v>31</v>
      </c>
      <c r="U4255" s="13">
        <v>22</v>
      </c>
      <c r="V4255" t="s">
        <v>99</v>
      </c>
      <c r="X4255" s="13">
        <v>159</v>
      </c>
    </row>
    <row r="4256" spans="1:24" x14ac:dyDescent="0.25">
      <c r="A4256" t="s">
        <v>4191</v>
      </c>
      <c r="B4256" t="s">
        <v>65</v>
      </c>
      <c r="C4256" t="s">
        <v>4165</v>
      </c>
      <c r="D4256" t="s">
        <v>4166</v>
      </c>
      <c r="E4256" t="s">
        <v>4167</v>
      </c>
      <c r="F4256" t="s">
        <v>94</v>
      </c>
      <c r="G4256" t="s">
        <v>277</v>
      </c>
      <c r="H4256" s="12">
        <v>6.28</v>
      </c>
      <c r="I4256" s="12">
        <v>-75.442800000000005</v>
      </c>
      <c r="J4256" t="s">
        <v>4168</v>
      </c>
      <c r="K4256" t="s">
        <v>97</v>
      </c>
      <c r="L4256" t="s">
        <v>1273</v>
      </c>
      <c r="M4256">
        <v>11</v>
      </c>
      <c r="P4256" s="13">
        <v>155</v>
      </c>
      <c r="Q4256" s="13">
        <v>37</v>
      </c>
      <c r="R4256">
        <v>26</v>
      </c>
      <c r="S4256">
        <v>30</v>
      </c>
      <c r="T4256" s="13">
        <v>28</v>
      </c>
      <c r="U4256" s="13">
        <v>44</v>
      </c>
      <c r="V4256" t="s">
        <v>99</v>
      </c>
      <c r="X4256" s="13">
        <v>155</v>
      </c>
    </row>
    <row r="4257" spans="1:24" x14ac:dyDescent="0.25">
      <c r="A4257" t="s">
        <v>4192</v>
      </c>
      <c r="B4257" t="s">
        <v>65</v>
      </c>
      <c r="C4257" t="s">
        <v>4165</v>
      </c>
      <c r="D4257" t="s">
        <v>4166</v>
      </c>
      <c r="E4257" t="s">
        <v>4167</v>
      </c>
      <c r="F4257" t="s">
        <v>94</v>
      </c>
      <c r="G4257" t="s">
        <v>277</v>
      </c>
      <c r="H4257" s="12">
        <v>6.28</v>
      </c>
      <c r="I4257" s="12">
        <v>-75.442800000000005</v>
      </c>
      <c r="J4257" t="s">
        <v>4168</v>
      </c>
      <c r="K4257" t="s">
        <v>97</v>
      </c>
      <c r="L4257" t="s">
        <v>1273</v>
      </c>
      <c r="M4257">
        <v>11</v>
      </c>
      <c r="P4257" s="13">
        <v>150</v>
      </c>
      <c r="Q4257" s="13">
        <v>41</v>
      </c>
      <c r="R4257">
        <v>32</v>
      </c>
      <c r="S4257">
        <v>22</v>
      </c>
      <c r="T4257" s="13">
        <v>28</v>
      </c>
      <c r="U4257" s="13">
        <v>22</v>
      </c>
      <c r="V4257" t="s">
        <v>99</v>
      </c>
      <c r="X4257" s="13">
        <v>150</v>
      </c>
    </row>
    <row r="4258" spans="1:24" x14ac:dyDescent="0.25">
      <c r="A4258" t="s">
        <v>4193</v>
      </c>
      <c r="B4258" t="s">
        <v>65</v>
      </c>
      <c r="C4258" t="s">
        <v>4165</v>
      </c>
      <c r="D4258" t="s">
        <v>4166</v>
      </c>
      <c r="E4258" t="s">
        <v>4167</v>
      </c>
      <c r="F4258" t="s">
        <v>94</v>
      </c>
      <c r="G4258" t="s">
        <v>277</v>
      </c>
      <c r="H4258" s="12">
        <v>6.28</v>
      </c>
      <c r="I4258" s="12">
        <v>-75.442800000000005</v>
      </c>
      <c r="J4258" t="s">
        <v>4168</v>
      </c>
      <c r="K4258" t="s">
        <v>97</v>
      </c>
      <c r="L4258" t="s">
        <v>1273</v>
      </c>
      <c r="M4258">
        <v>11</v>
      </c>
      <c r="P4258" s="13">
        <v>150</v>
      </c>
      <c r="Q4258" s="13">
        <v>39</v>
      </c>
      <c r="R4258">
        <v>26</v>
      </c>
      <c r="S4258">
        <v>34</v>
      </c>
      <c r="T4258" s="13">
        <v>22</v>
      </c>
      <c r="U4258" s="13">
        <v>25</v>
      </c>
      <c r="V4258" t="s">
        <v>99</v>
      </c>
      <c r="X4258" s="13">
        <v>150</v>
      </c>
    </row>
    <row r="4259" spans="1:24" x14ac:dyDescent="0.25">
      <c r="A4259" t="s">
        <v>4194</v>
      </c>
      <c r="B4259" t="s">
        <v>65</v>
      </c>
      <c r="C4259" t="s">
        <v>4165</v>
      </c>
      <c r="D4259" t="s">
        <v>4166</v>
      </c>
      <c r="E4259" t="s">
        <v>4167</v>
      </c>
      <c r="F4259" t="s">
        <v>94</v>
      </c>
      <c r="G4259" t="s">
        <v>277</v>
      </c>
      <c r="H4259" s="12">
        <v>6.28</v>
      </c>
      <c r="I4259" s="12">
        <v>-75.442800000000005</v>
      </c>
      <c r="J4259" t="s">
        <v>4168</v>
      </c>
      <c r="K4259" t="s">
        <v>97</v>
      </c>
      <c r="L4259" t="s">
        <v>1273</v>
      </c>
      <c r="M4259">
        <v>11</v>
      </c>
      <c r="P4259" s="13">
        <v>149</v>
      </c>
      <c r="Q4259" s="13">
        <v>37</v>
      </c>
      <c r="R4259">
        <v>22</v>
      </c>
      <c r="S4259">
        <v>38</v>
      </c>
      <c r="T4259" s="13">
        <v>21</v>
      </c>
      <c r="U4259" s="13">
        <v>35</v>
      </c>
      <c r="V4259" t="s">
        <v>99</v>
      </c>
      <c r="X4259" s="13">
        <v>149</v>
      </c>
    </row>
    <row r="4260" spans="1:24" x14ac:dyDescent="0.25">
      <c r="A4260" t="s">
        <v>4195</v>
      </c>
      <c r="B4260" t="s">
        <v>65</v>
      </c>
      <c r="C4260" t="s">
        <v>4165</v>
      </c>
      <c r="D4260" t="s">
        <v>4166</v>
      </c>
      <c r="E4260" t="s">
        <v>4167</v>
      </c>
      <c r="F4260" t="s">
        <v>94</v>
      </c>
      <c r="G4260" t="s">
        <v>277</v>
      </c>
      <c r="H4260" s="12">
        <v>6.28</v>
      </c>
      <c r="I4260" s="12">
        <v>-75.442800000000005</v>
      </c>
      <c r="J4260" t="s">
        <v>4168</v>
      </c>
      <c r="K4260" t="s">
        <v>97</v>
      </c>
      <c r="L4260" t="s">
        <v>1273</v>
      </c>
      <c r="M4260">
        <v>11</v>
      </c>
      <c r="P4260" s="13">
        <v>146</v>
      </c>
      <c r="Q4260" s="13">
        <v>37</v>
      </c>
      <c r="R4260">
        <v>26</v>
      </c>
      <c r="S4260">
        <v>28</v>
      </c>
      <c r="T4260" s="13">
        <v>26</v>
      </c>
      <c r="U4260" s="13">
        <v>31</v>
      </c>
      <c r="V4260" t="s">
        <v>99</v>
      </c>
      <c r="X4260" s="13">
        <v>146</v>
      </c>
    </row>
    <row r="4261" spans="1:24" x14ac:dyDescent="0.25">
      <c r="A4261" t="s">
        <v>4196</v>
      </c>
      <c r="B4261" t="s">
        <v>65</v>
      </c>
      <c r="C4261" t="s">
        <v>4165</v>
      </c>
      <c r="D4261" t="s">
        <v>4166</v>
      </c>
      <c r="E4261" t="s">
        <v>4167</v>
      </c>
      <c r="F4261" t="s">
        <v>94</v>
      </c>
      <c r="G4261" t="s">
        <v>277</v>
      </c>
      <c r="H4261" s="12">
        <v>6.28</v>
      </c>
      <c r="I4261" s="12">
        <v>-75.442800000000005</v>
      </c>
      <c r="J4261" t="s">
        <v>4168</v>
      </c>
      <c r="K4261" t="s">
        <v>97</v>
      </c>
      <c r="L4261" t="s">
        <v>1273</v>
      </c>
      <c r="M4261">
        <v>11</v>
      </c>
      <c r="P4261" s="13">
        <v>141</v>
      </c>
      <c r="Q4261" s="13">
        <v>37</v>
      </c>
      <c r="R4261">
        <v>26</v>
      </c>
      <c r="S4261">
        <v>32</v>
      </c>
      <c r="T4261" s="13">
        <v>16</v>
      </c>
      <c r="U4261" s="13">
        <v>36</v>
      </c>
      <c r="V4261" t="s">
        <v>99</v>
      </c>
      <c r="X4261" s="13">
        <v>141</v>
      </c>
    </row>
    <row r="4262" spans="1:24" x14ac:dyDescent="0.25">
      <c r="A4262" t="s">
        <v>4197</v>
      </c>
      <c r="B4262" t="s">
        <v>65</v>
      </c>
      <c r="C4262" t="s">
        <v>4165</v>
      </c>
      <c r="D4262" t="s">
        <v>4166</v>
      </c>
      <c r="E4262" t="s">
        <v>4167</v>
      </c>
      <c r="F4262" t="s">
        <v>94</v>
      </c>
      <c r="G4262" t="s">
        <v>277</v>
      </c>
      <c r="H4262" s="12">
        <v>6.28</v>
      </c>
      <c r="I4262" s="12">
        <v>-75.442800000000005</v>
      </c>
      <c r="J4262" t="s">
        <v>4168</v>
      </c>
      <c r="K4262" t="s">
        <v>97</v>
      </c>
      <c r="L4262" t="s">
        <v>1273</v>
      </c>
      <c r="M4262">
        <v>11</v>
      </c>
      <c r="P4262" s="13">
        <v>139</v>
      </c>
      <c r="Q4262" s="13">
        <v>24</v>
      </c>
      <c r="R4262">
        <v>28</v>
      </c>
      <c r="S4262">
        <v>24</v>
      </c>
      <c r="T4262" s="13">
        <v>29</v>
      </c>
      <c r="U4262" s="13">
        <v>44</v>
      </c>
      <c r="V4262" t="s">
        <v>99</v>
      </c>
      <c r="X4262" s="13">
        <v>139</v>
      </c>
    </row>
    <row r="4263" spans="1:24" x14ac:dyDescent="0.25">
      <c r="A4263" t="s">
        <v>4198</v>
      </c>
      <c r="B4263" t="s">
        <v>65</v>
      </c>
      <c r="C4263" t="s">
        <v>4165</v>
      </c>
      <c r="D4263" t="s">
        <v>4166</v>
      </c>
      <c r="E4263" t="s">
        <v>4167</v>
      </c>
      <c r="F4263" t="s">
        <v>94</v>
      </c>
      <c r="G4263" t="s">
        <v>277</v>
      </c>
      <c r="H4263" s="12">
        <v>6.28</v>
      </c>
      <c r="I4263" s="12">
        <v>-75.442800000000005</v>
      </c>
      <c r="J4263" t="s">
        <v>4168</v>
      </c>
      <c r="K4263" t="s">
        <v>97</v>
      </c>
      <c r="L4263" t="s">
        <v>1273</v>
      </c>
      <c r="M4263">
        <v>11</v>
      </c>
      <c r="P4263" s="13">
        <v>127</v>
      </c>
      <c r="Q4263" s="13">
        <v>34</v>
      </c>
      <c r="R4263">
        <v>18</v>
      </c>
      <c r="S4263">
        <v>20</v>
      </c>
      <c r="T4263" s="13">
        <v>31</v>
      </c>
      <c r="U4263" s="13">
        <v>22</v>
      </c>
      <c r="V4263" t="s">
        <v>99</v>
      </c>
      <c r="X4263" s="13">
        <v>127</v>
      </c>
    </row>
    <row r="4264" spans="1:24" x14ac:dyDescent="0.25">
      <c r="A4264" t="s">
        <v>4199</v>
      </c>
      <c r="B4264" t="s">
        <v>65</v>
      </c>
      <c r="C4264" t="s">
        <v>4165</v>
      </c>
      <c r="D4264" t="s">
        <v>4166</v>
      </c>
      <c r="E4264" t="s">
        <v>4167</v>
      </c>
      <c r="F4264" t="s">
        <v>94</v>
      </c>
      <c r="G4264" t="s">
        <v>277</v>
      </c>
      <c r="H4264" s="12">
        <v>6.28</v>
      </c>
      <c r="I4264" s="12">
        <v>-75.442800000000005</v>
      </c>
      <c r="J4264" t="s">
        <v>4168</v>
      </c>
      <c r="K4264" t="s">
        <v>97</v>
      </c>
      <c r="L4264" t="s">
        <v>1273</v>
      </c>
      <c r="M4264">
        <v>11</v>
      </c>
      <c r="P4264" s="13">
        <v>120</v>
      </c>
      <c r="Q4264" s="13">
        <v>34</v>
      </c>
      <c r="R4264">
        <v>26</v>
      </c>
      <c r="S4264">
        <v>16</v>
      </c>
      <c r="T4264" s="13">
        <v>19</v>
      </c>
      <c r="U4264" s="13">
        <v>27</v>
      </c>
      <c r="V4264" t="s">
        <v>99</v>
      </c>
      <c r="X4264" s="13">
        <v>120</v>
      </c>
    </row>
    <row r="4265" spans="1:24" x14ac:dyDescent="0.25">
      <c r="A4265" t="s">
        <v>4200</v>
      </c>
      <c r="B4265" t="s">
        <v>65</v>
      </c>
      <c r="C4265" t="s">
        <v>4165</v>
      </c>
      <c r="D4265" t="s">
        <v>4166</v>
      </c>
      <c r="E4265" t="s">
        <v>4167</v>
      </c>
      <c r="F4265" t="s">
        <v>94</v>
      </c>
      <c r="G4265" t="s">
        <v>277</v>
      </c>
      <c r="H4265" s="12">
        <v>6.28</v>
      </c>
      <c r="I4265" s="12">
        <v>-75.442800000000005</v>
      </c>
      <c r="J4265" t="s">
        <v>4168</v>
      </c>
      <c r="K4265" t="s">
        <v>97</v>
      </c>
      <c r="L4265" t="s">
        <v>1273</v>
      </c>
      <c r="M4265">
        <v>11</v>
      </c>
      <c r="P4265" s="13">
        <v>93</v>
      </c>
      <c r="Q4265" s="13">
        <v>24</v>
      </c>
      <c r="R4265">
        <v>22</v>
      </c>
      <c r="S4265">
        <v>14</v>
      </c>
      <c r="T4265" s="13">
        <v>10</v>
      </c>
      <c r="U4265" s="13">
        <v>29</v>
      </c>
      <c r="V4265" t="s">
        <v>99</v>
      </c>
      <c r="X4265" s="13">
        <v>93</v>
      </c>
    </row>
    <row r="4266" spans="1:24" x14ac:dyDescent="0.25">
      <c r="A4266" t="s">
        <v>4201</v>
      </c>
      <c r="B4266" t="s">
        <v>65</v>
      </c>
      <c r="C4266" t="s">
        <v>4202</v>
      </c>
      <c r="D4266" t="s">
        <v>4203</v>
      </c>
      <c r="E4266" t="s">
        <v>4204</v>
      </c>
      <c r="F4266" t="s">
        <v>94</v>
      </c>
      <c r="G4266" t="s">
        <v>277</v>
      </c>
      <c r="H4266" s="12">
        <v>6.3150000000000004</v>
      </c>
      <c r="I4266" s="12">
        <v>-76.133600000000001</v>
      </c>
      <c r="J4266" t="s">
        <v>4205</v>
      </c>
      <c r="K4266" t="s">
        <v>97</v>
      </c>
      <c r="L4266" t="s">
        <v>1273</v>
      </c>
      <c r="M4266">
        <v>11</v>
      </c>
      <c r="P4266" s="13">
        <v>278</v>
      </c>
      <c r="Q4266" s="13">
        <v>76</v>
      </c>
      <c r="R4266">
        <v>42</v>
      </c>
      <c r="S4266">
        <v>52</v>
      </c>
      <c r="T4266" s="13">
        <v>47</v>
      </c>
      <c r="U4266" s="13">
        <v>75</v>
      </c>
      <c r="V4266" t="s">
        <v>99</v>
      </c>
      <c r="X4266" s="13">
        <v>278</v>
      </c>
    </row>
    <row r="4267" spans="1:24" x14ac:dyDescent="0.25">
      <c r="A4267" t="s">
        <v>4206</v>
      </c>
      <c r="B4267" t="s">
        <v>65</v>
      </c>
      <c r="C4267" t="s">
        <v>4202</v>
      </c>
      <c r="D4267" t="s">
        <v>4203</v>
      </c>
      <c r="E4267" t="s">
        <v>4204</v>
      </c>
      <c r="F4267" t="s">
        <v>94</v>
      </c>
      <c r="G4267" t="s">
        <v>277</v>
      </c>
      <c r="H4267" s="12">
        <v>6.3150000000000004</v>
      </c>
      <c r="I4267" s="12">
        <v>-76.133600000000001</v>
      </c>
      <c r="J4267" t="s">
        <v>4205</v>
      </c>
      <c r="K4267" t="s">
        <v>97</v>
      </c>
      <c r="L4267" t="s">
        <v>1273</v>
      </c>
      <c r="M4267">
        <v>11</v>
      </c>
      <c r="P4267" s="13">
        <v>278</v>
      </c>
      <c r="Q4267" s="13">
        <v>63</v>
      </c>
      <c r="R4267">
        <v>54</v>
      </c>
      <c r="S4267">
        <v>64</v>
      </c>
      <c r="T4267" s="13">
        <v>33</v>
      </c>
      <c r="U4267" s="13">
        <v>80</v>
      </c>
      <c r="V4267" t="s">
        <v>99</v>
      </c>
      <c r="X4267" s="13">
        <v>278</v>
      </c>
    </row>
    <row r="4268" spans="1:24" x14ac:dyDescent="0.25">
      <c r="A4268" t="s">
        <v>4207</v>
      </c>
      <c r="B4268" t="s">
        <v>65</v>
      </c>
      <c r="C4268" t="s">
        <v>4202</v>
      </c>
      <c r="D4268" t="s">
        <v>4203</v>
      </c>
      <c r="E4268" t="s">
        <v>4204</v>
      </c>
      <c r="F4268" t="s">
        <v>94</v>
      </c>
      <c r="G4268" t="s">
        <v>277</v>
      </c>
      <c r="H4268" s="12">
        <v>6.3150000000000004</v>
      </c>
      <c r="I4268" s="12">
        <v>-76.133600000000001</v>
      </c>
      <c r="J4268" t="s">
        <v>4205</v>
      </c>
      <c r="K4268" t="s">
        <v>97</v>
      </c>
      <c r="L4268" t="s">
        <v>1273</v>
      </c>
      <c r="M4268">
        <v>11</v>
      </c>
      <c r="P4268" s="13">
        <v>271</v>
      </c>
      <c r="Q4268" s="13">
        <v>76</v>
      </c>
      <c r="R4268">
        <v>28</v>
      </c>
      <c r="S4268">
        <v>62</v>
      </c>
      <c r="T4268" s="13">
        <v>48</v>
      </c>
      <c r="U4268" s="13">
        <v>64</v>
      </c>
      <c r="V4268" t="s">
        <v>99</v>
      </c>
      <c r="X4268" s="13">
        <v>271</v>
      </c>
    </row>
    <row r="4269" spans="1:24" x14ac:dyDescent="0.25">
      <c r="A4269" t="s">
        <v>4208</v>
      </c>
      <c r="B4269" t="s">
        <v>65</v>
      </c>
      <c r="C4269" t="s">
        <v>4202</v>
      </c>
      <c r="D4269" t="s">
        <v>4203</v>
      </c>
      <c r="E4269" t="s">
        <v>4204</v>
      </c>
      <c r="F4269" t="s">
        <v>94</v>
      </c>
      <c r="G4269" t="s">
        <v>277</v>
      </c>
      <c r="H4269" s="12">
        <v>6.3150000000000004</v>
      </c>
      <c r="I4269" s="12">
        <v>-76.133600000000001</v>
      </c>
      <c r="J4269" t="s">
        <v>4205</v>
      </c>
      <c r="K4269" t="s">
        <v>97</v>
      </c>
      <c r="L4269" t="s">
        <v>1273</v>
      </c>
      <c r="M4269">
        <v>11</v>
      </c>
      <c r="P4269" s="13">
        <v>268</v>
      </c>
      <c r="Q4269" s="13">
        <v>63</v>
      </c>
      <c r="R4269">
        <v>36</v>
      </c>
      <c r="S4269">
        <v>66</v>
      </c>
      <c r="T4269" s="13">
        <v>34</v>
      </c>
      <c r="U4269" s="13">
        <v>96</v>
      </c>
      <c r="V4269" t="s">
        <v>99</v>
      </c>
      <c r="X4269" s="13">
        <v>268</v>
      </c>
    </row>
    <row r="4270" spans="1:24" x14ac:dyDescent="0.25">
      <c r="A4270" t="s">
        <v>4209</v>
      </c>
      <c r="B4270" t="s">
        <v>65</v>
      </c>
      <c r="C4270" t="s">
        <v>4202</v>
      </c>
      <c r="D4270" t="s">
        <v>4203</v>
      </c>
      <c r="E4270" t="s">
        <v>4204</v>
      </c>
      <c r="F4270" t="s">
        <v>94</v>
      </c>
      <c r="G4270" t="s">
        <v>277</v>
      </c>
      <c r="H4270" s="12">
        <v>6.3150000000000004</v>
      </c>
      <c r="I4270" s="12">
        <v>-76.133600000000001</v>
      </c>
      <c r="J4270" t="s">
        <v>4205</v>
      </c>
      <c r="K4270" t="s">
        <v>97</v>
      </c>
      <c r="L4270" t="s">
        <v>1273</v>
      </c>
      <c r="M4270">
        <v>11</v>
      </c>
      <c r="P4270" s="13">
        <v>232</v>
      </c>
      <c r="Q4270" s="13">
        <v>49</v>
      </c>
      <c r="R4270">
        <v>50</v>
      </c>
      <c r="S4270">
        <v>42</v>
      </c>
      <c r="T4270" s="13">
        <v>36</v>
      </c>
      <c r="U4270" s="13">
        <v>73</v>
      </c>
      <c r="V4270" t="s">
        <v>99</v>
      </c>
      <c r="X4270" s="13">
        <v>232</v>
      </c>
    </row>
    <row r="4271" spans="1:24" x14ac:dyDescent="0.25">
      <c r="A4271" t="s">
        <v>4210</v>
      </c>
      <c r="B4271" t="s">
        <v>65</v>
      </c>
      <c r="C4271" t="s">
        <v>4202</v>
      </c>
      <c r="D4271" t="s">
        <v>4203</v>
      </c>
      <c r="E4271" t="s">
        <v>4204</v>
      </c>
      <c r="F4271" t="s">
        <v>94</v>
      </c>
      <c r="G4271" t="s">
        <v>277</v>
      </c>
      <c r="H4271" s="12">
        <v>6.3150000000000004</v>
      </c>
      <c r="I4271" s="12">
        <v>-76.133600000000001</v>
      </c>
      <c r="J4271" t="s">
        <v>4205</v>
      </c>
      <c r="K4271" t="s">
        <v>97</v>
      </c>
      <c r="L4271" t="s">
        <v>1273</v>
      </c>
      <c r="M4271">
        <v>11</v>
      </c>
      <c r="P4271" s="13">
        <v>230</v>
      </c>
      <c r="Q4271" s="13">
        <v>56</v>
      </c>
      <c r="R4271">
        <v>30</v>
      </c>
      <c r="S4271">
        <v>60</v>
      </c>
      <c r="T4271" s="13">
        <v>31</v>
      </c>
      <c r="U4271" s="13">
        <v>65</v>
      </c>
      <c r="V4271" t="s">
        <v>99</v>
      </c>
      <c r="X4271" s="13">
        <v>230</v>
      </c>
    </row>
    <row r="4272" spans="1:24" x14ac:dyDescent="0.25">
      <c r="A4272" t="s">
        <v>4211</v>
      </c>
      <c r="B4272" t="s">
        <v>65</v>
      </c>
      <c r="C4272" t="s">
        <v>4202</v>
      </c>
      <c r="D4272" t="s">
        <v>4203</v>
      </c>
      <c r="E4272" t="s">
        <v>4204</v>
      </c>
      <c r="F4272" t="s">
        <v>94</v>
      </c>
      <c r="G4272" t="s">
        <v>277</v>
      </c>
      <c r="H4272" s="12">
        <v>6.3150000000000004</v>
      </c>
      <c r="I4272" s="12">
        <v>-76.133600000000001</v>
      </c>
      <c r="J4272" t="s">
        <v>4205</v>
      </c>
      <c r="K4272" t="s">
        <v>97</v>
      </c>
      <c r="L4272" t="s">
        <v>1273</v>
      </c>
      <c r="M4272">
        <v>11</v>
      </c>
      <c r="P4272" s="13">
        <v>220</v>
      </c>
      <c r="Q4272" s="13">
        <v>61</v>
      </c>
      <c r="R4272">
        <v>34</v>
      </c>
      <c r="S4272">
        <v>48</v>
      </c>
      <c r="T4272" s="13">
        <v>26</v>
      </c>
      <c r="U4272" s="13">
        <v>65</v>
      </c>
      <c r="V4272" t="s">
        <v>99</v>
      </c>
      <c r="X4272" s="13">
        <v>220</v>
      </c>
    </row>
    <row r="4273" spans="1:24" x14ac:dyDescent="0.25">
      <c r="A4273" t="s">
        <v>4212</v>
      </c>
      <c r="B4273" t="s">
        <v>65</v>
      </c>
      <c r="C4273" t="s">
        <v>4202</v>
      </c>
      <c r="D4273" t="s">
        <v>4203</v>
      </c>
      <c r="E4273" t="s">
        <v>4204</v>
      </c>
      <c r="F4273" t="s">
        <v>94</v>
      </c>
      <c r="G4273" t="s">
        <v>277</v>
      </c>
      <c r="H4273" s="12">
        <v>6.3150000000000004</v>
      </c>
      <c r="I4273" s="12">
        <v>-76.133600000000001</v>
      </c>
      <c r="J4273" t="s">
        <v>4205</v>
      </c>
      <c r="K4273" t="s">
        <v>97</v>
      </c>
      <c r="L4273" t="s">
        <v>1273</v>
      </c>
      <c r="M4273">
        <v>11</v>
      </c>
      <c r="P4273" s="13">
        <v>216</v>
      </c>
      <c r="Q4273" s="13">
        <v>44</v>
      </c>
      <c r="R4273">
        <v>52</v>
      </c>
      <c r="S4273">
        <v>40</v>
      </c>
      <c r="T4273" s="13">
        <v>26</v>
      </c>
      <c r="U4273" s="13">
        <v>76</v>
      </c>
      <c r="V4273" t="s">
        <v>99</v>
      </c>
      <c r="X4273" s="13">
        <v>216</v>
      </c>
    </row>
    <row r="4274" spans="1:24" x14ac:dyDescent="0.25">
      <c r="A4274" t="s">
        <v>4213</v>
      </c>
      <c r="B4274" t="s">
        <v>65</v>
      </c>
      <c r="C4274" t="s">
        <v>4202</v>
      </c>
      <c r="D4274" t="s">
        <v>4203</v>
      </c>
      <c r="E4274" t="s">
        <v>4204</v>
      </c>
      <c r="F4274" t="s">
        <v>94</v>
      </c>
      <c r="G4274" t="s">
        <v>277</v>
      </c>
      <c r="H4274" s="12">
        <v>6.3150000000000004</v>
      </c>
      <c r="I4274" s="12">
        <v>-76.133600000000001</v>
      </c>
      <c r="J4274" t="s">
        <v>4205</v>
      </c>
      <c r="K4274" t="s">
        <v>97</v>
      </c>
      <c r="L4274" t="s">
        <v>1273</v>
      </c>
      <c r="M4274">
        <v>11</v>
      </c>
      <c r="P4274" s="13">
        <v>214</v>
      </c>
      <c r="Q4274" s="13">
        <v>54</v>
      </c>
      <c r="R4274">
        <v>36</v>
      </c>
      <c r="S4274">
        <v>48</v>
      </c>
      <c r="T4274" s="13">
        <v>33</v>
      </c>
      <c r="U4274" s="13">
        <v>45</v>
      </c>
      <c r="V4274" t="s">
        <v>99</v>
      </c>
      <c r="X4274" s="13">
        <v>214</v>
      </c>
    </row>
    <row r="4275" spans="1:24" x14ac:dyDescent="0.25">
      <c r="A4275" t="s">
        <v>4214</v>
      </c>
      <c r="B4275" t="s">
        <v>65</v>
      </c>
      <c r="C4275" t="s">
        <v>4202</v>
      </c>
      <c r="D4275" t="s">
        <v>4203</v>
      </c>
      <c r="E4275" t="s">
        <v>4204</v>
      </c>
      <c r="F4275" t="s">
        <v>94</v>
      </c>
      <c r="G4275" t="s">
        <v>277</v>
      </c>
      <c r="H4275" s="12">
        <v>6.3150000000000004</v>
      </c>
      <c r="I4275" s="12">
        <v>-76.133600000000001</v>
      </c>
      <c r="J4275" t="s">
        <v>4205</v>
      </c>
      <c r="K4275" t="s">
        <v>97</v>
      </c>
      <c r="L4275" t="s">
        <v>1273</v>
      </c>
      <c r="M4275">
        <v>11</v>
      </c>
      <c r="P4275" s="13">
        <v>210</v>
      </c>
      <c r="Q4275" s="13">
        <v>66</v>
      </c>
      <c r="R4275">
        <v>22</v>
      </c>
      <c r="S4275">
        <v>54</v>
      </c>
      <c r="T4275" s="13">
        <v>26</v>
      </c>
      <c r="U4275" s="13">
        <v>44</v>
      </c>
      <c r="V4275" t="s">
        <v>99</v>
      </c>
      <c r="X4275" s="13">
        <v>210</v>
      </c>
    </row>
    <row r="4276" spans="1:24" x14ac:dyDescent="0.25">
      <c r="A4276" t="s">
        <v>4215</v>
      </c>
      <c r="B4276" t="s">
        <v>65</v>
      </c>
      <c r="C4276" t="s">
        <v>4202</v>
      </c>
      <c r="D4276" t="s">
        <v>4203</v>
      </c>
      <c r="E4276" t="s">
        <v>4204</v>
      </c>
      <c r="F4276" t="s">
        <v>94</v>
      </c>
      <c r="G4276" t="s">
        <v>277</v>
      </c>
      <c r="H4276" s="12">
        <v>6.3150000000000004</v>
      </c>
      <c r="I4276" s="12">
        <v>-76.133600000000001</v>
      </c>
      <c r="J4276" t="s">
        <v>4205</v>
      </c>
      <c r="K4276" t="s">
        <v>97</v>
      </c>
      <c r="L4276" t="s">
        <v>1273</v>
      </c>
      <c r="M4276">
        <v>11</v>
      </c>
      <c r="P4276" s="13">
        <v>209</v>
      </c>
      <c r="Q4276" s="13">
        <v>44</v>
      </c>
      <c r="R4276">
        <v>34</v>
      </c>
      <c r="S4276">
        <v>54</v>
      </c>
      <c r="T4276" s="13">
        <v>34</v>
      </c>
      <c r="U4276" s="13">
        <v>45</v>
      </c>
      <c r="V4276" t="s">
        <v>99</v>
      </c>
      <c r="X4276" s="13">
        <v>209</v>
      </c>
    </row>
    <row r="4277" spans="1:24" x14ac:dyDescent="0.25">
      <c r="A4277" t="s">
        <v>4216</v>
      </c>
      <c r="B4277" t="s">
        <v>65</v>
      </c>
      <c r="C4277" t="s">
        <v>4202</v>
      </c>
      <c r="D4277" t="s">
        <v>4203</v>
      </c>
      <c r="E4277" t="s">
        <v>4204</v>
      </c>
      <c r="F4277" t="s">
        <v>94</v>
      </c>
      <c r="G4277" t="s">
        <v>277</v>
      </c>
      <c r="H4277" s="12">
        <v>6.3150000000000004</v>
      </c>
      <c r="I4277" s="12">
        <v>-76.133600000000001</v>
      </c>
      <c r="J4277" t="s">
        <v>4205</v>
      </c>
      <c r="K4277" t="s">
        <v>97</v>
      </c>
      <c r="L4277" t="s">
        <v>1273</v>
      </c>
      <c r="M4277">
        <v>11</v>
      </c>
      <c r="P4277" s="13">
        <v>207</v>
      </c>
      <c r="Q4277" s="13">
        <v>51</v>
      </c>
      <c r="R4277">
        <v>30</v>
      </c>
      <c r="S4277">
        <v>54</v>
      </c>
      <c r="T4277" s="13">
        <v>29</v>
      </c>
      <c r="U4277" s="13">
        <v>44</v>
      </c>
      <c r="V4277" t="s">
        <v>99</v>
      </c>
      <c r="X4277" s="13">
        <v>207</v>
      </c>
    </row>
    <row r="4278" spans="1:24" x14ac:dyDescent="0.25">
      <c r="A4278" t="s">
        <v>4217</v>
      </c>
      <c r="B4278" t="s">
        <v>65</v>
      </c>
      <c r="C4278" t="s">
        <v>4202</v>
      </c>
      <c r="D4278" t="s">
        <v>4203</v>
      </c>
      <c r="E4278" t="s">
        <v>4204</v>
      </c>
      <c r="F4278" t="s">
        <v>94</v>
      </c>
      <c r="G4278" t="s">
        <v>277</v>
      </c>
      <c r="H4278" s="12">
        <v>6.3150000000000004</v>
      </c>
      <c r="I4278" s="12">
        <v>-76.133600000000001</v>
      </c>
      <c r="J4278" t="s">
        <v>4205</v>
      </c>
      <c r="K4278" t="s">
        <v>97</v>
      </c>
      <c r="L4278" t="s">
        <v>1273</v>
      </c>
      <c r="M4278">
        <v>11</v>
      </c>
      <c r="P4278" s="13">
        <v>206</v>
      </c>
      <c r="Q4278" s="13">
        <v>56</v>
      </c>
      <c r="R4278">
        <v>18</v>
      </c>
      <c r="S4278">
        <v>54</v>
      </c>
      <c r="T4278" s="13">
        <v>33</v>
      </c>
      <c r="U4278" s="13">
        <v>53</v>
      </c>
      <c r="V4278" t="s">
        <v>99</v>
      </c>
      <c r="X4278" s="13">
        <v>206</v>
      </c>
    </row>
    <row r="4279" spans="1:24" x14ac:dyDescent="0.25">
      <c r="A4279" t="s">
        <v>4218</v>
      </c>
      <c r="B4279" t="s">
        <v>65</v>
      </c>
      <c r="C4279" t="s">
        <v>4202</v>
      </c>
      <c r="D4279" t="s">
        <v>4203</v>
      </c>
      <c r="E4279" t="s">
        <v>4204</v>
      </c>
      <c r="F4279" t="s">
        <v>94</v>
      </c>
      <c r="G4279" t="s">
        <v>277</v>
      </c>
      <c r="H4279" s="12">
        <v>6.3150000000000004</v>
      </c>
      <c r="I4279" s="12">
        <v>-76.133600000000001</v>
      </c>
      <c r="J4279" t="s">
        <v>4205</v>
      </c>
      <c r="K4279" t="s">
        <v>97</v>
      </c>
      <c r="L4279" t="s">
        <v>1273</v>
      </c>
      <c r="M4279">
        <v>11</v>
      </c>
      <c r="P4279" s="13">
        <v>204</v>
      </c>
      <c r="Q4279" s="13">
        <v>56</v>
      </c>
      <c r="R4279">
        <v>14</v>
      </c>
      <c r="S4279">
        <v>54</v>
      </c>
      <c r="T4279" s="13">
        <v>33</v>
      </c>
      <c r="U4279" s="13">
        <v>60</v>
      </c>
      <c r="V4279" t="s">
        <v>99</v>
      </c>
      <c r="X4279" s="13">
        <v>204</v>
      </c>
    </row>
    <row r="4280" spans="1:24" x14ac:dyDescent="0.25">
      <c r="A4280" t="s">
        <v>4219</v>
      </c>
      <c r="B4280" t="s">
        <v>65</v>
      </c>
      <c r="C4280" t="s">
        <v>4202</v>
      </c>
      <c r="D4280" t="s">
        <v>4203</v>
      </c>
      <c r="E4280" t="s">
        <v>4204</v>
      </c>
      <c r="F4280" t="s">
        <v>94</v>
      </c>
      <c r="G4280" t="s">
        <v>277</v>
      </c>
      <c r="H4280" s="12">
        <v>6.3150000000000004</v>
      </c>
      <c r="I4280" s="12">
        <v>-76.133600000000001</v>
      </c>
      <c r="J4280" t="s">
        <v>4205</v>
      </c>
      <c r="K4280" t="s">
        <v>97</v>
      </c>
      <c r="L4280" t="s">
        <v>1273</v>
      </c>
      <c r="M4280">
        <v>11</v>
      </c>
      <c r="P4280" s="13">
        <v>202</v>
      </c>
      <c r="Q4280" s="13">
        <v>49</v>
      </c>
      <c r="R4280">
        <v>30</v>
      </c>
      <c r="S4280">
        <v>50</v>
      </c>
      <c r="T4280" s="13">
        <v>29</v>
      </c>
      <c r="U4280" s="13">
        <v>51</v>
      </c>
      <c r="V4280" t="s">
        <v>99</v>
      </c>
      <c r="X4280" s="13">
        <v>202</v>
      </c>
    </row>
    <row r="4281" spans="1:24" x14ac:dyDescent="0.25">
      <c r="A4281" t="s">
        <v>4220</v>
      </c>
      <c r="B4281" t="s">
        <v>65</v>
      </c>
      <c r="C4281" t="s">
        <v>4202</v>
      </c>
      <c r="D4281" t="s">
        <v>4203</v>
      </c>
      <c r="E4281" t="s">
        <v>4204</v>
      </c>
      <c r="F4281" t="s">
        <v>94</v>
      </c>
      <c r="G4281" t="s">
        <v>277</v>
      </c>
      <c r="H4281" s="12">
        <v>6.3150000000000004</v>
      </c>
      <c r="I4281" s="12">
        <v>-76.133600000000001</v>
      </c>
      <c r="J4281" t="s">
        <v>4205</v>
      </c>
      <c r="K4281" t="s">
        <v>97</v>
      </c>
      <c r="L4281" t="s">
        <v>1273</v>
      </c>
      <c r="M4281">
        <v>11</v>
      </c>
      <c r="P4281" s="13">
        <v>199</v>
      </c>
      <c r="Q4281" s="13">
        <v>51</v>
      </c>
      <c r="R4281">
        <v>32</v>
      </c>
      <c r="S4281">
        <v>48</v>
      </c>
      <c r="T4281" s="13">
        <v>26</v>
      </c>
      <c r="U4281" s="13">
        <v>45</v>
      </c>
      <c r="V4281" t="s">
        <v>99</v>
      </c>
      <c r="X4281" s="13">
        <v>199</v>
      </c>
    </row>
    <row r="4282" spans="1:24" x14ac:dyDescent="0.25">
      <c r="A4282" t="s">
        <v>4221</v>
      </c>
      <c r="B4282" t="s">
        <v>65</v>
      </c>
      <c r="C4282" t="s">
        <v>4202</v>
      </c>
      <c r="D4282" t="s">
        <v>4203</v>
      </c>
      <c r="E4282" t="s">
        <v>4204</v>
      </c>
      <c r="F4282" t="s">
        <v>94</v>
      </c>
      <c r="G4282" t="s">
        <v>277</v>
      </c>
      <c r="H4282" s="12">
        <v>6.3150000000000004</v>
      </c>
      <c r="I4282" s="12">
        <v>-76.133600000000001</v>
      </c>
      <c r="J4282" t="s">
        <v>4205</v>
      </c>
      <c r="K4282" t="s">
        <v>97</v>
      </c>
      <c r="L4282" t="s">
        <v>1273</v>
      </c>
      <c r="M4282">
        <v>11</v>
      </c>
      <c r="P4282" s="13">
        <v>197</v>
      </c>
      <c r="Q4282" s="13">
        <v>44</v>
      </c>
      <c r="R4282">
        <v>36</v>
      </c>
      <c r="S4282">
        <v>48</v>
      </c>
      <c r="T4282" s="13">
        <v>29</v>
      </c>
      <c r="U4282" s="13">
        <v>40</v>
      </c>
      <c r="V4282" t="s">
        <v>99</v>
      </c>
      <c r="X4282" s="13">
        <v>197</v>
      </c>
    </row>
    <row r="4283" spans="1:24" x14ac:dyDescent="0.25">
      <c r="A4283" t="s">
        <v>4222</v>
      </c>
      <c r="B4283" t="s">
        <v>65</v>
      </c>
      <c r="C4283" t="s">
        <v>4202</v>
      </c>
      <c r="D4283" t="s">
        <v>4203</v>
      </c>
      <c r="E4283" t="s">
        <v>4204</v>
      </c>
      <c r="F4283" t="s">
        <v>94</v>
      </c>
      <c r="G4283" t="s">
        <v>277</v>
      </c>
      <c r="H4283" s="12">
        <v>6.3150000000000004</v>
      </c>
      <c r="I4283" s="12">
        <v>-76.133600000000001</v>
      </c>
      <c r="J4283" t="s">
        <v>4205</v>
      </c>
      <c r="K4283" t="s">
        <v>97</v>
      </c>
      <c r="L4283" t="s">
        <v>1273</v>
      </c>
      <c r="M4283">
        <v>11</v>
      </c>
      <c r="P4283" s="13">
        <v>196</v>
      </c>
      <c r="Q4283" s="13">
        <v>44</v>
      </c>
      <c r="R4283">
        <v>16</v>
      </c>
      <c r="S4283">
        <v>58</v>
      </c>
      <c r="T4283" s="13">
        <v>36</v>
      </c>
      <c r="U4283" s="13">
        <v>47</v>
      </c>
      <c r="V4283" t="s">
        <v>99</v>
      </c>
      <c r="X4283" s="13">
        <v>196</v>
      </c>
    </row>
    <row r="4284" spans="1:24" x14ac:dyDescent="0.25">
      <c r="A4284" t="s">
        <v>4223</v>
      </c>
      <c r="B4284" t="s">
        <v>65</v>
      </c>
      <c r="C4284" t="s">
        <v>4202</v>
      </c>
      <c r="D4284" t="s">
        <v>4203</v>
      </c>
      <c r="E4284" t="s">
        <v>4204</v>
      </c>
      <c r="F4284" t="s">
        <v>94</v>
      </c>
      <c r="G4284" t="s">
        <v>277</v>
      </c>
      <c r="H4284" s="12">
        <v>6.3150000000000004</v>
      </c>
      <c r="I4284" s="12">
        <v>-76.133600000000001</v>
      </c>
      <c r="J4284" t="s">
        <v>4205</v>
      </c>
      <c r="K4284" t="s">
        <v>97</v>
      </c>
      <c r="L4284" t="s">
        <v>1273</v>
      </c>
      <c r="M4284">
        <v>11</v>
      </c>
      <c r="P4284" s="13">
        <v>195</v>
      </c>
      <c r="Q4284" s="13">
        <v>54</v>
      </c>
      <c r="R4284">
        <v>24</v>
      </c>
      <c r="S4284">
        <v>48</v>
      </c>
      <c r="T4284" s="13">
        <v>24</v>
      </c>
      <c r="U4284" s="13">
        <v>56</v>
      </c>
      <c r="V4284" t="s">
        <v>99</v>
      </c>
      <c r="X4284" s="13">
        <v>195</v>
      </c>
    </row>
    <row r="4285" spans="1:24" x14ac:dyDescent="0.25">
      <c r="A4285" t="s">
        <v>4224</v>
      </c>
      <c r="B4285" t="s">
        <v>65</v>
      </c>
      <c r="C4285" t="s">
        <v>4202</v>
      </c>
      <c r="D4285" t="s">
        <v>4203</v>
      </c>
      <c r="E4285" t="s">
        <v>4204</v>
      </c>
      <c r="F4285" t="s">
        <v>94</v>
      </c>
      <c r="G4285" t="s">
        <v>277</v>
      </c>
      <c r="H4285" s="12">
        <v>6.3150000000000004</v>
      </c>
      <c r="I4285" s="12">
        <v>-76.133600000000001</v>
      </c>
      <c r="J4285" t="s">
        <v>4205</v>
      </c>
      <c r="K4285" t="s">
        <v>97</v>
      </c>
      <c r="L4285" t="s">
        <v>1273</v>
      </c>
      <c r="M4285">
        <v>11</v>
      </c>
      <c r="P4285" s="13">
        <v>191</v>
      </c>
      <c r="Q4285" s="13">
        <v>27</v>
      </c>
      <c r="R4285">
        <v>26</v>
      </c>
      <c r="S4285">
        <v>56</v>
      </c>
      <c r="T4285" s="13">
        <v>34</v>
      </c>
      <c r="U4285" s="13">
        <v>67</v>
      </c>
      <c r="V4285" t="s">
        <v>99</v>
      </c>
      <c r="X4285" s="13">
        <v>191</v>
      </c>
    </row>
    <row r="4286" spans="1:24" x14ac:dyDescent="0.25">
      <c r="A4286" t="s">
        <v>4225</v>
      </c>
      <c r="B4286" t="s">
        <v>65</v>
      </c>
      <c r="C4286" t="s">
        <v>4202</v>
      </c>
      <c r="D4286" t="s">
        <v>4203</v>
      </c>
      <c r="E4286" t="s">
        <v>4204</v>
      </c>
      <c r="F4286" t="s">
        <v>94</v>
      </c>
      <c r="G4286" t="s">
        <v>277</v>
      </c>
      <c r="H4286" s="12">
        <v>6.3150000000000004</v>
      </c>
      <c r="I4286" s="12">
        <v>-76.133600000000001</v>
      </c>
      <c r="J4286" t="s">
        <v>4205</v>
      </c>
      <c r="K4286" t="s">
        <v>97</v>
      </c>
      <c r="L4286" t="s">
        <v>1273</v>
      </c>
      <c r="M4286">
        <v>11</v>
      </c>
      <c r="P4286" s="13">
        <v>190</v>
      </c>
      <c r="Q4286" s="13">
        <v>34</v>
      </c>
      <c r="R4286">
        <v>30</v>
      </c>
      <c r="S4286">
        <v>46</v>
      </c>
      <c r="T4286" s="13">
        <v>36</v>
      </c>
      <c r="U4286" s="13">
        <v>55</v>
      </c>
      <c r="V4286" t="s">
        <v>99</v>
      </c>
      <c r="X4286" s="13">
        <v>190</v>
      </c>
    </row>
    <row r="4287" spans="1:24" x14ac:dyDescent="0.25">
      <c r="A4287" t="s">
        <v>4226</v>
      </c>
      <c r="B4287" t="s">
        <v>65</v>
      </c>
      <c r="C4287" t="s">
        <v>4202</v>
      </c>
      <c r="D4287" t="s">
        <v>4203</v>
      </c>
      <c r="E4287" t="s">
        <v>4204</v>
      </c>
      <c r="F4287" t="s">
        <v>94</v>
      </c>
      <c r="G4287" t="s">
        <v>277</v>
      </c>
      <c r="H4287" s="12">
        <v>6.3150000000000004</v>
      </c>
      <c r="I4287" s="12">
        <v>-76.133600000000001</v>
      </c>
      <c r="J4287" t="s">
        <v>4205</v>
      </c>
      <c r="K4287" t="s">
        <v>97</v>
      </c>
      <c r="L4287" t="s">
        <v>1273</v>
      </c>
      <c r="M4287">
        <v>11</v>
      </c>
      <c r="P4287" s="13">
        <v>184</v>
      </c>
      <c r="Q4287" s="13">
        <v>32</v>
      </c>
      <c r="R4287">
        <v>42</v>
      </c>
      <c r="S4287">
        <v>46</v>
      </c>
      <c r="T4287" s="13">
        <v>26</v>
      </c>
      <c r="U4287" s="13">
        <v>42</v>
      </c>
      <c r="V4287" t="s">
        <v>99</v>
      </c>
      <c r="X4287" s="13">
        <v>184</v>
      </c>
    </row>
    <row r="4288" spans="1:24" x14ac:dyDescent="0.25">
      <c r="A4288" t="s">
        <v>4227</v>
      </c>
      <c r="B4288" t="s">
        <v>65</v>
      </c>
      <c r="C4288" t="s">
        <v>4202</v>
      </c>
      <c r="D4288" t="s">
        <v>4203</v>
      </c>
      <c r="E4288" t="s">
        <v>4204</v>
      </c>
      <c r="F4288" t="s">
        <v>94</v>
      </c>
      <c r="G4288" t="s">
        <v>277</v>
      </c>
      <c r="H4288" s="12">
        <v>6.3150000000000004</v>
      </c>
      <c r="I4288" s="12">
        <v>-76.133600000000001</v>
      </c>
      <c r="J4288" t="s">
        <v>4205</v>
      </c>
      <c r="K4288" t="s">
        <v>97</v>
      </c>
      <c r="L4288" t="s">
        <v>1273</v>
      </c>
      <c r="M4288">
        <v>11</v>
      </c>
      <c r="P4288" s="13">
        <v>184</v>
      </c>
      <c r="Q4288" s="13">
        <v>49</v>
      </c>
      <c r="R4288">
        <v>20</v>
      </c>
      <c r="S4288">
        <v>50</v>
      </c>
      <c r="T4288" s="13">
        <v>22</v>
      </c>
      <c r="U4288" s="13">
        <v>55</v>
      </c>
      <c r="V4288" t="s">
        <v>99</v>
      </c>
      <c r="X4288" s="13">
        <v>184</v>
      </c>
    </row>
    <row r="4289" spans="1:24" x14ac:dyDescent="0.25">
      <c r="A4289" t="s">
        <v>4228</v>
      </c>
      <c r="B4289" t="s">
        <v>65</v>
      </c>
      <c r="C4289" t="s">
        <v>4202</v>
      </c>
      <c r="D4289" t="s">
        <v>4203</v>
      </c>
      <c r="E4289" t="s">
        <v>4204</v>
      </c>
      <c r="F4289" t="s">
        <v>94</v>
      </c>
      <c r="G4289" t="s">
        <v>277</v>
      </c>
      <c r="H4289" s="12">
        <v>6.3150000000000004</v>
      </c>
      <c r="I4289" s="12">
        <v>-76.133600000000001</v>
      </c>
      <c r="J4289" t="s">
        <v>4205</v>
      </c>
      <c r="K4289" t="s">
        <v>97</v>
      </c>
      <c r="L4289" t="s">
        <v>1273</v>
      </c>
      <c r="M4289">
        <v>11</v>
      </c>
      <c r="P4289" s="13">
        <v>181</v>
      </c>
      <c r="Q4289" s="13">
        <v>34</v>
      </c>
      <c r="R4289">
        <v>26</v>
      </c>
      <c r="S4289">
        <v>56</v>
      </c>
      <c r="T4289" s="13">
        <v>29</v>
      </c>
      <c r="U4289" s="13">
        <v>35</v>
      </c>
      <c r="V4289" t="s">
        <v>99</v>
      </c>
      <c r="X4289" s="13">
        <v>181</v>
      </c>
    </row>
    <row r="4290" spans="1:24" x14ac:dyDescent="0.25">
      <c r="A4290" t="s">
        <v>4229</v>
      </c>
      <c r="B4290" t="s">
        <v>65</v>
      </c>
      <c r="C4290" t="s">
        <v>4202</v>
      </c>
      <c r="D4290" t="s">
        <v>4203</v>
      </c>
      <c r="E4290" t="s">
        <v>4204</v>
      </c>
      <c r="F4290" t="s">
        <v>94</v>
      </c>
      <c r="G4290" t="s">
        <v>277</v>
      </c>
      <c r="H4290" s="12">
        <v>6.3150000000000004</v>
      </c>
      <c r="I4290" s="12">
        <v>-76.133600000000001</v>
      </c>
      <c r="J4290" t="s">
        <v>4205</v>
      </c>
      <c r="K4290" t="s">
        <v>97</v>
      </c>
      <c r="L4290" t="s">
        <v>1273</v>
      </c>
      <c r="M4290">
        <v>11</v>
      </c>
      <c r="P4290" s="13">
        <v>181</v>
      </c>
      <c r="Q4290" s="13">
        <v>29</v>
      </c>
      <c r="R4290">
        <v>34</v>
      </c>
      <c r="S4290">
        <v>34</v>
      </c>
      <c r="T4290" s="13">
        <v>43</v>
      </c>
      <c r="U4290" s="13">
        <v>49</v>
      </c>
      <c r="V4290" t="s">
        <v>99</v>
      </c>
      <c r="X4290" s="13">
        <v>181</v>
      </c>
    </row>
    <row r="4291" spans="1:24" x14ac:dyDescent="0.25">
      <c r="A4291" t="s">
        <v>4230</v>
      </c>
      <c r="B4291" t="s">
        <v>65</v>
      </c>
      <c r="C4291" t="s">
        <v>4202</v>
      </c>
      <c r="D4291" t="s">
        <v>4203</v>
      </c>
      <c r="E4291" t="s">
        <v>4204</v>
      </c>
      <c r="F4291" t="s">
        <v>94</v>
      </c>
      <c r="G4291" t="s">
        <v>277</v>
      </c>
      <c r="H4291" s="12">
        <v>6.3150000000000004</v>
      </c>
      <c r="I4291" s="12">
        <v>-76.133600000000001</v>
      </c>
      <c r="J4291" t="s">
        <v>4205</v>
      </c>
      <c r="K4291" t="s">
        <v>97</v>
      </c>
      <c r="L4291" t="s">
        <v>1273</v>
      </c>
      <c r="M4291">
        <v>11</v>
      </c>
      <c r="P4291" s="13">
        <v>179</v>
      </c>
      <c r="Q4291" s="13">
        <v>39</v>
      </c>
      <c r="R4291">
        <v>36</v>
      </c>
      <c r="S4291">
        <v>38</v>
      </c>
      <c r="T4291" s="13">
        <v>26</v>
      </c>
      <c r="U4291" s="13">
        <v>49</v>
      </c>
      <c r="V4291" t="s">
        <v>99</v>
      </c>
      <c r="X4291" s="13">
        <v>179</v>
      </c>
    </row>
    <row r="4292" spans="1:24" x14ac:dyDescent="0.25">
      <c r="A4292" t="s">
        <v>4231</v>
      </c>
      <c r="B4292" t="s">
        <v>65</v>
      </c>
      <c r="C4292" t="s">
        <v>4202</v>
      </c>
      <c r="D4292" t="s">
        <v>4203</v>
      </c>
      <c r="E4292" t="s">
        <v>4204</v>
      </c>
      <c r="F4292" t="s">
        <v>94</v>
      </c>
      <c r="G4292" t="s">
        <v>277</v>
      </c>
      <c r="H4292" s="12">
        <v>6.3150000000000004</v>
      </c>
      <c r="I4292" s="12">
        <v>-76.133600000000001</v>
      </c>
      <c r="J4292" t="s">
        <v>4205</v>
      </c>
      <c r="K4292" t="s">
        <v>97</v>
      </c>
      <c r="L4292" t="s">
        <v>1273</v>
      </c>
      <c r="M4292">
        <v>11</v>
      </c>
      <c r="P4292" s="13">
        <v>174</v>
      </c>
      <c r="Q4292" s="13">
        <v>29</v>
      </c>
      <c r="R4292">
        <v>24</v>
      </c>
      <c r="S4292">
        <v>44</v>
      </c>
      <c r="T4292" s="13">
        <v>38</v>
      </c>
      <c r="U4292" s="13">
        <v>47</v>
      </c>
      <c r="V4292" t="s">
        <v>99</v>
      </c>
      <c r="X4292" s="13">
        <v>174</v>
      </c>
    </row>
    <row r="4293" spans="1:24" x14ac:dyDescent="0.25">
      <c r="A4293" t="s">
        <v>4232</v>
      </c>
      <c r="B4293" t="s">
        <v>65</v>
      </c>
      <c r="C4293" t="s">
        <v>4202</v>
      </c>
      <c r="D4293" t="s">
        <v>4203</v>
      </c>
      <c r="E4293" t="s">
        <v>4204</v>
      </c>
      <c r="F4293" t="s">
        <v>94</v>
      </c>
      <c r="G4293" t="s">
        <v>277</v>
      </c>
      <c r="H4293" s="12">
        <v>6.3150000000000004</v>
      </c>
      <c r="I4293" s="12">
        <v>-76.133600000000001</v>
      </c>
      <c r="J4293" t="s">
        <v>4205</v>
      </c>
      <c r="K4293" t="s">
        <v>97</v>
      </c>
      <c r="L4293" t="s">
        <v>1273</v>
      </c>
      <c r="M4293">
        <v>11</v>
      </c>
      <c r="P4293" s="13">
        <v>164</v>
      </c>
      <c r="Q4293" s="13">
        <v>46</v>
      </c>
      <c r="R4293">
        <v>20</v>
      </c>
      <c r="S4293">
        <v>36</v>
      </c>
      <c r="T4293" s="13">
        <v>28</v>
      </c>
      <c r="U4293" s="13">
        <v>36</v>
      </c>
      <c r="V4293" t="s">
        <v>99</v>
      </c>
      <c r="X4293" s="13">
        <v>164</v>
      </c>
    </row>
    <row r="4294" spans="1:24" x14ac:dyDescent="0.25">
      <c r="A4294" t="s">
        <v>4233</v>
      </c>
      <c r="B4294" t="s">
        <v>65</v>
      </c>
      <c r="C4294" t="s">
        <v>4202</v>
      </c>
      <c r="D4294" t="s">
        <v>4203</v>
      </c>
      <c r="E4294" t="s">
        <v>4204</v>
      </c>
      <c r="F4294" t="s">
        <v>94</v>
      </c>
      <c r="G4294" t="s">
        <v>277</v>
      </c>
      <c r="H4294" s="12">
        <v>6.3150000000000004</v>
      </c>
      <c r="I4294" s="12">
        <v>-76.133600000000001</v>
      </c>
      <c r="J4294" t="s">
        <v>4205</v>
      </c>
      <c r="K4294" t="s">
        <v>97</v>
      </c>
      <c r="L4294" t="s">
        <v>1273</v>
      </c>
      <c r="M4294">
        <v>11</v>
      </c>
      <c r="P4294" s="13">
        <v>164</v>
      </c>
      <c r="Q4294" s="13">
        <v>56</v>
      </c>
      <c r="R4294">
        <v>24</v>
      </c>
      <c r="S4294">
        <v>36</v>
      </c>
      <c r="T4294" s="13">
        <v>14</v>
      </c>
      <c r="U4294" s="13">
        <v>36</v>
      </c>
      <c r="V4294" t="s">
        <v>99</v>
      </c>
      <c r="X4294" s="13">
        <v>164</v>
      </c>
    </row>
    <row r="4295" spans="1:24" x14ac:dyDescent="0.25">
      <c r="A4295" t="s">
        <v>4234</v>
      </c>
      <c r="B4295" t="s">
        <v>65</v>
      </c>
      <c r="C4295" t="s">
        <v>4202</v>
      </c>
      <c r="D4295" t="s">
        <v>4203</v>
      </c>
      <c r="E4295" t="s">
        <v>4204</v>
      </c>
      <c r="F4295" t="s">
        <v>94</v>
      </c>
      <c r="G4295" t="s">
        <v>277</v>
      </c>
      <c r="H4295" s="12">
        <v>6.3150000000000004</v>
      </c>
      <c r="I4295" s="12">
        <v>-76.133600000000001</v>
      </c>
      <c r="J4295" t="s">
        <v>4205</v>
      </c>
      <c r="K4295" t="s">
        <v>97</v>
      </c>
      <c r="L4295" t="s">
        <v>1273</v>
      </c>
      <c r="M4295">
        <v>11</v>
      </c>
      <c r="P4295" s="13">
        <v>163</v>
      </c>
      <c r="Q4295" s="13">
        <v>44</v>
      </c>
      <c r="R4295">
        <v>24</v>
      </c>
      <c r="S4295">
        <v>36</v>
      </c>
      <c r="T4295" s="13">
        <v>24</v>
      </c>
      <c r="U4295" s="13">
        <v>40</v>
      </c>
      <c r="V4295" t="s">
        <v>99</v>
      </c>
      <c r="X4295" s="13">
        <v>163</v>
      </c>
    </row>
    <row r="4296" spans="1:24" x14ac:dyDescent="0.25">
      <c r="A4296" t="s">
        <v>4235</v>
      </c>
      <c r="B4296" t="s">
        <v>65</v>
      </c>
      <c r="C4296" t="s">
        <v>4202</v>
      </c>
      <c r="D4296" t="s">
        <v>4203</v>
      </c>
      <c r="E4296" t="s">
        <v>4204</v>
      </c>
      <c r="F4296" t="s">
        <v>94</v>
      </c>
      <c r="G4296" t="s">
        <v>277</v>
      </c>
      <c r="H4296" s="12">
        <v>6.3150000000000004</v>
      </c>
      <c r="I4296" s="12">
        <v>-76.133600000000001</v>
      </c>
      <c r="J4296" t="s">
        <v>4205</v>
      </c>
      <c r="K4296" t="s">
        <v>97</v>
      </c>
      <c r="L4296" t="s">
        <v>1273</v>
      </c>
      <c r="M4296">
        <v>11</v>
      </c>
      <c r="P4296" s="13">
        <v>157</v>
      </c>
      <c r="Q4296" s="13">
        <v>44</v>
      </c>
      <c r="R4296">
        <v>30</v>
      </c>
      <c r="S4296">
        <v>26</v>
      </c>
      <c r="T4296" s="13">
        <v>29</v>
      </c>
      <c r="U4296" s="13">
        <v>22</v>
      </c>
      <c r="V4296" t="s">
        <v>99</v>
      </c>
      <c r="X4296" s="13">
        <v>157</v>
      </c>
    </row>
    <row r="4297" spans="1:24" x14ac:dyDescent="0.25">
      <c r="A4297" t="s">
        <v>4236</v>
      </c>
      <c r="B4297" t="s">
        <v>65</v>
      </c>
      <c r="C4297" t="s">
        <v>4202</v>
      </c>
      <c r="D4297" t="s">
        <v>4203</v>
      </c>
      <c r="E4297" t="s">
        <v>4204</v>
      </c>
      <c r="F4297" t="s">
        <v>94</v>
      </c>
      <c r="G4297" t="s">
        <v>277</v>
      </c>
      <c r="H4297" s="12">
        <v>6.3150000000000004</v>
      </c>
      <c r="I4297" s="12">
        <v>-76.133600000000001</v>
      </c>
      <c r="J4297" t="s">
        <v>4205</v>
      </c>
      <c r="K4297" t="s">
        <v>97</v>
      </c>
      <c r="L4297" t="s">
        <v>1273</v>
      </c>
      <c r="M4297">
        <v>11</v>
      </c>
      <c r="P4297" s="13">
        <v>156</v>
      </c>
      <c r="Q4297" s="13">
        <v>27</v>
      </c>
      <c r="R4297">
        <v>32</v>
      </c>
      <c r="S4297">
        <v>34</v>
      </c>
      <c r="T4297" s="13">
        <v>26</v>
      </c>
      <c r="U4297" s="13">
        <v>49</v>
      </c>
      <c r="V4297" t="s">
        <v>99</v>
      </c>
      <c r="X4297" s="13">
        <v>156</v>
      </c>
    </row>
    <row r="4298" spans="1:24" x14ac:dyDescent="0.25">
      <c r="A4298" t="s">
        <v>4237</v>
      </c>
      <c r="B4298" t="s">
        <v>65</v>
      </c>
      <c r="C4298" t="s">
        <v>4202</v>
      </c>
      <c r="D4298" t="s">
        <v>4203</v>
      </c>
      <c r="E4298" t="s">
        <v>4204</v>
      </c>
      <c r="F4298" t="s">
        <v>94</v>
      </c>
      <c r="G4298" t="s">
        <v>277</v>
      </c>
      <c r="H4298" s="12">
        <v>6.3150000000000004</v>
      </c>
      <c r="I4298" s="12">
        <v>-76.133600000000001</v>
      </c>
      <c r="J4298" t="s">
        <v>4205</v>
      </c>
      <c r="K4298" t="s">
        <v>97</v>
      </c>
      <c r="L4298" t="s">
        <v>1273</v>
      </c>
      <c r="M4298">
        <v>11</v>
      </c>
      <c r="P4298" s="13">
        <v>154</v>
      </c>
      <c r="Q4298" s="13">
        <v>37</v>
      </c>
      <c r="R4298">
        <v>20</v>
      </c>
      <c r="S4298">
        <v>36</v>
      </c>
      <c r="T4298" s="13">
        <v>26</v>
      </c>
      <c r="U4298" s="13">
        <v>45</v>
      </c>
      <c r="V4298" t="s">
        <v>99</v>
      </c>
      <c r="X4298" s="13">
        <v>154</v>
      </c>
    </row>
    <row r="4299" spans="1:24" x14ac:dyDescent="0.25">
      <c r="A4299" t="s">
        <v>4238</v>
      </c>
      <c r="B4299" t="s">
        <v>65</v>
      </c>
      <c r="C4299" t="s">
        <v>4202</v>
      </c>
      <c r="D4299" t="s">
        <v>4203</v>
      </c>
      <c r="E4299" t="s">
        <v>4204</v>
      </c>
      <c r="F4299" t="s">
        <v>94</v>
      </c>
      <c r="G4299" t="s">
        <v>277</v>
      </c>
      <c r="H4299" s="12">
        <v>6.3150000000000004</v>
      </c>
      <c r="I4299" s="12">
        <v>-76.133600000000001</v>
      </c>
      <c r="J4299" t="s">
        <v>4205</v>
      </c>
      <c r="K4299" t="s">
        <v>97</v>
      </c>
      <c r="L4299" t="s">
        <v>1273</v>
      </c>
      <c r="M4299">
        <v>11</v>
      </c>
      <c r="P4299" s="13">
        <v>154</v>
      </c>
      <c r="Q4299" s="13">
        <v>39</v>
      </c>
      <c r="R4299">
        <v>26</v>
      </c>
      <c r="S4299">
        <v>24</v>
      </c>
      <c r="T4299" s="13">
        <v>31</v>
      </c>
      <c r="U4299" s="13">
        <v>40</v>
      </c>
      <c r="V4299" t="s">
        <v>99</v>
      </c>
      <c r="X4299" s="13">
        <v>154</v>
      </c>
    </row>
    <row r="4300" spans="1:24" x14ac:dyDescent="0.25">
      <c r="A4300" t="s">
        <v>4239</v>
      </c>
      <c r="B4300" t="s">
        <v>65</v>
      </c>
      <c r="C4300" t="s">
        <v>4202</v>
      </c>
      <c r="D4300" t="s">
        <v>4203</v>
      </c>
      <c r="E4300" t="s">
        <v>4204</v>
      </c>
      <c r="F4300" t="s">
        <v>94</v>
      </c>
      <c r="G4300" t="s">
        <v>277</v>
      </c>
      <c r="H4300" s="12">
        <v>6.3150000000000004</v>
      </c>
      <c r="I4300" s="12">
        <v>-76.133600000000001</v>
      </c>
      <c r="J4300" t="s">
        <v>4205</v>
      </c>
      <c r="K4300" t="s">
        <v>97</v>
      </c>
      <c r="L4300" t="s">
        <v>1273</v>
      </c>
      <c r="M4300">
        <v>11</v>
      </c>
      <c r="P4300" s="13">
        <v>147</v>
      </c>
      <c r="Q4300" s="13">
        <v>41</v>
      </c>
      <c r="R4300">
        <v>20</v>
      </c>
      <c r="S4300">
        <v>34</v>
      </c>
      <c r="T4300" s="13">
        <v>19</v>
      </c>
      <c r="U4300" s="13">
        <v>38</v>
      </c>
      <c r="V4300" t="s">
        <v>99</v>
      </c>
      <c r="X4300" s="13">
        <v>147</v>
      </c>
    </row>
    <row r="4301" spans="1:24" x14ac:dyDescent="0.25">
      <c r="A4301" t="s">
        <v>4240</v>
      </c>
      <c r="B4301" t="s">
        <v>65</v>
      </c>
      <c r="C4301" t="s">
        <v>4202</v>
      </c>
      <c r="D4301" t="s">
        <v>4203</v>
      </c>
      <c r="E4301" t="s">
        <v>4204</v>
      </c>
      <c r="F4301" t="s">
        <v>94</v>
      </c>
      <c r="G4301" t="s">
        <v>277</v>
      </c>
      <c r="H4301" s="12">
        <v>6.3150000000000004</v>
      </c>
      <c r="I4301" s="12">
        <v>-76.133600000000001</v>
      </c>
      <c r="J4301" t="s">
        <v>4205</v>
      </c>
      <c r="K4301" t="s">
        <v>97</v>
      </c>
      <c r="L4301" t="s">
        <v>1273</v>
      </c>
      <c r="M4301">
        <v>11</v>
      </c>
      <c r="P4301" s="13">
        <v>146</v>
      </c>
      <c r="Q4301" s="13">
        <v>37</v>
      </c>
      <c r="R4301">
        <v>24</v>
      </c>
      <c r="S4301">
        <v>28</v>
      </c>
      <c r="T4301" s="13">
        <v>28</v>
      </c>
      <c r="U4301" s="13">
        <v>31</v>
      </c>
      <c r="V4301" t="s">
        <v>99</v>
      </c>
      <c r="X4301" s="13">
        <v>146</v>
      </c>
    </row>
    <row r="4302" spans="1:24" x14ac:dyDescent="0.25">
      <c r="A4302" t="s">
        <v>4241</v>
      </c>
      <c r="B4302" t="s">
        <v>65</v>
      </c>
      <c r="C4302" t="s">
        <v>4202</v>
      </c>
      <c r="D4302" t="s">
        <v>4203</v>
      </c>
      <c r="E4302" t="s">
        <v>4204</v>
      </c>
      <c r="F4302" t="s">
        <v>94</v>
      </c>
      <c r="G4302" t="s">
        <v>277</v>
      </c>
      <c r="H4302" s="12">
        <v>6.3150000000000004</v>
      </c>
      <c r="I4302" s="12">
        <v>-76.133600000000001</v>
      </c>
      <c r="J4302" t="s">
        <v>4205</v>
      </c>
      <c r="K4302" t="s">
        <v>97</v>
      </c>
      <c r="L4302" t="s">
        <v>1273</v>
      </c>
      <c r="M4302">
        <v>11</v>
      </c>
      <c r="P4302" s="13">
        <v>146</v>
      </c>
      <c r="Q4302" s="13">
        <v>32</v>
      </c>
      <c r="R4302">
        <v>14</v>
      </c>
      <c r="S4302">
        <v>38</v>
      </c>
      <c r="T4302" s="13">
        <v>29</v>
      </c>
      <c r="U4302" s="13">
        <v>40</v>
      </c>
      <c r="V4302" t="s">
        <v>99</v>
      </c>
      <c r="X4302" s="13">
        <v>146</v>
      </c>
    </row>
    <row r="4303" spans="1:24" x14ac:dyDescent="0.25">
      <c r="A4303" t="s">
        <v>4242</v>
      </c>
      <c r="B4303" t="s">
        <v>65</v>
      </c>
      <c r="C4303" t="s">
        <v>4202</v>
      </c>
      <c r="D4303" t="s">
        <v>4203</v>
      </c>
      <c r="E4303" t="s">
        <v>4204</v>
      </c>
      <c r="F4303" t="s">
        <v>94</v>
      </c>
      <c r="G4303" t="s">
        <v>277</v>
      </c>
      <c r="H4303" s="12">
        <v>6.3150000000000004</v>
      </c>
      <c r="I4303" s="12">
        <v>-76.133600000000001</v>
      </c>
      <c r="J4303" t="s">
        <v>4205</v>
      </c>
      <c r="K4303" t="s">
        <v>97</v>
      </c>
      <c r="L4303" t="s">
        <v>1273</v>
      </c>
      <c r="M4303">
        <v>11</v>
      </c>
      <c r="P4303" s="13">
        <v>145</v>
      </c>
      <c r="Q4303" s="13">
        <v>24</v>
      </c>
      <c r="R4303">
        <v>26</v>
      </c>
      <c r="S4303">
        <v>30</v>
      </c>
      <c r="T4303" s="13">
        <v>29</v>
      </c>
      <c r="U4303" s="13">
        <v>47</v>
      </c>
      <c r="V4303" t="s">
        <v>99</v>
      </c>
      <c r="X4303" s="13">
        <v>145</v>
      </c>
    </row>
    <row r="4304" spans="1:24" x14ac:dyDescent="0.25">
      <c r="A4304" t="s">
        <v>4243</v>
      </c>
      <c r="B4304" t="s">
        <v>65</v>
      </c>
      <c r="C4304" t="s">
        <v>4202</v>
      </c>
      <c r="D4304" t="s">
        <v>4203</v>
      </c>
      <c r="E4304" t="s">
        <v>4204</v>
      </c>
      <c r="F4304" t="s">
        <v>94</v>
      </c>
      <c r="G4304" t="s">
        <v>277</v>
      </c>
      <c r="H4304" s="12">
        <v>6.3150000000000004</v>
      </c>
      <c r="I4304" s="12">
        <v>-76.133600000000001</v>
      </c>
      <c r="J4304" t="s">
        <v>4205</v>
      </c>
      <c r="K4304" t="s">
        <v>97</v>
      </c>
      <c r="L4304" t="s">
        <v>1273</v>
      </c>
      <c r="M4304">
        <v>11</v>
      </c>
      <c r="P4304" s="13">
        <v>144</v>
      </c>
      <c r="Q4304" s="13">
        <v>41</v>
      </c>
      <c r="R4304">
        <v>14</v>
      </c>
      <c r="S4304">
        <v>26</v>
      </c>
      <c r="T4304" s="13">
        <v>31</v>
      </c>
      <c r="U4304" s="13">
        <v>36</v>
      </c>
      <c r="V4304" t="s">
        <v>99</v>
      </c>
      <c r="X4304" s="13">
        <v>144</v>
      </c>
    </row>
    <row r="4305" spans="1:24" x14ac:dyDescent="0.25">
      <c r="A4305" t="s">
        <v>4244</v>
      </c>
      <c r="B4305" t="s">
        <v>65</v>
      </c>
      <c r="C4305" t="s">
        <v>4202</v>
      </c>
      <c r="D4305" t="s">
        <v>4203</v>
      </c>
      <c r="E4305" t="s">
        <v>4204</v>
      </c>
      <c r="F4305" t="s">
        <v>94</v>
      </c>
      <c r="G4305" t="s">
        <v>277</v>
      </c>
      <c r="H4305" s="12">
        <v>6.3150000000000004</v>
      </c>
      <c r="I4305" s="12">
        <v>-76.133600000000001</v>
      </c>
      <c r="J4305" t="s">
        <v>4205</v>
      </c>
      <c r="K4305" t="s">
        <v>97</v>
      </c>
      <c r="L4305" t="s">
        <v>1273</v>
      </c>
      <c r="M4305">
        <v>11</v>
      </c>
      <c r="P4305" s="13">
        <v>143</v>
      </c>
      <c r="Q4305" s="13">
        <v>32</v>
      </c>
      <c r="R4305">
        <v>20</v>
      </c>
      <c r="S4305">
        <v>38</v>
      </c>
      <c r="T4305" s="13">
        <v>24</v>
      </c>
      <c r="U4305" s="13">
        <v>31</v>
      </c>
      <c r="V4305" t="s">
        <v>99</v>
      </c>
      <c r="X4305" s="13">
        <v>143</v>
      </c>
    </row>
    <row r="4306" spans="1:24" x14ac:dyDescent="0.25">
      <c r="A4306" t="s">
        <v>4245</v>
      </c>
      <c r="B4306" t="s">
        <v>65</v>
      </c>
      <c r="C4306" t="s">
        <v>4202</v>
      </c>
      <c r="D4306" t="s">
        <v>4203</v>
      </c>
      <c r="E4306" t="s">
        <v>4204</v>
      </c>
      <c r="F4306" t="s">
        <v>94</v>
      </c>
      <c r="G4306" t="s">
        <v>277</v>
      </c>
      <c r="H4306" s="12">
        <v>6.3150000000000004</v>
      </c>
      <c r="I4306" s="12">
        <v>-76.133600000000001</v>
      </c>
      <c r="J4306" t="s">
        <v>4205</v>
      </c>
      <c r="K4306" t="s">
        <v>97</v>
      </c>
      <c r="L4306" t="s">
        <v>1273</v>
      </c>
      <c r="M4306">
        <v>11</v>
      </c>
      <c r="P4306" s="13">
        <v>143</v>
      </c>
      <c r="Q4306" s="13">
        <v>37</v>
      </c>
      <c r="R4306">
        <v>14</v>
      </c>
      <c r="S4306">
        <v>36</v>
      </c>
      <c r="T4306" s="13">
        <v>24</v>
      </c>
      <c r="U4306" s="13">
        <v>40</v>
      </c>
      <c r="V4306" t="s">
        <v>99</v>
      </c>
      <c r="X4306" s="13">
        <v>143</v>
      </c>
    </row>
    <row r="4307" spans="1:24" x14ac:dyDescent="0.25">
      <c r="A4307" t="s">
        <v>4246</v>
      </c>
      <c r="B4307" t="s">
        <v>65</v>
      </c>
      <c r="C4307" t="s">
        <v>4202</v>
      </c>
      <c r="D4307" t="s">
        <v>4203</v>
      </c>
      <c r="E4307" t="s">
        <v>4204</v>
      </c>
      <c r="F4307" t="s">
        <v>94</v>
      </c>
      <c r="G4307" t="s">
        <v>277</v>
      </c>
      <c r="H4307" s="12">
        <v>6.3150000000000004</v>
      </c>
      <c r="I4307" s="12">
        <v>-76.133600000000001</v>
      </c>
      <c r="J4307" t="s">
        <v>4205</v>
      </c>
      <c r="K4307" t="s">
        <v>97</v>
      </c>
      <c r="L4307" t="s">
        <v>1273</v>
      </c>
      <c r="M4307">
        <v>11</v>
      </c>
      <c r="P4307" s="13">
        <v>132</v>
      </c>
      <c r="Q4307" s="13">
        <v>27</v>
      </c>
      <c r="R4307">
        <v>22</v>
      </c>
      <c r="S4307">
        <v>22</v>
      </c>
      <c r="T4307" s="13">
        <v>33</v>
      </c>
      <c r="U4307" s="13">
        <v>33</v>
      </c>
      <c r="V4307" t="s">
        <v>99</v>
      </c>
      <c r="X4307" s="13">
        <v>132</v>
      </c>
    </row>
    <row r="4308" spans="1:24" x14ac:dyDescent="0.25">
      <c r="A4308" t="s">
        <v>4247</v>
      </c>
      <c r="B4308" t="s">
        <v>65</v>
      </c>
      <c r="C4308" t="s">
        <v>4202</v>
      </c>
      <c r="D4308" t="s">
        <v>4203</v>
      </c>
      <c r="E4308" t="s">
        <v>4204</v>
      </c>
      <c r="F4308" t="s">
        <v>94</v>
      </c>
      <c r="G4308" t="s">
        <v>277</v>
      </c>
      <c r="H4308" s="12">
        <v>6.3150000000000004</v>
      </c>
      <c r="I4308" s="12">
        <v>-76.133600000000001</v>
      </c>
      <c r="J4308" t="s">
        <v>4205</v>
      </c>
      <c r="K4308" t="s">
        <v>97</v>
      </c>
      <c r="L4308" t="s">
        <v>1273</v>
      </c>
      <c r="M4308">
        <v>11</v>
      </c>
      <c r="P4308" s="13">
        <v>129</v>
      </c>
      <c r="Q4308" s="13">
        <v>22</v>
      </c>
      <c r="R4308">
        <v>24</v>
      </c>
      <c r="S4308">
        <v>30</v>
      </c>
      <c r="T4308" s="13">
        <v>26</v>
      </c>
      <c r="U4308" s="13">
        <v>29</v>
      </c>
      <c r="V4308" t="s">
        <v>99</v>
      </c>
      <c r="X4308" s="13">
        <v>129</v>
      </c>
    </row>
    <row r="4309" spans="1:24" x14ac:dyDescent="0.25">
      <c r="A4309" t="s">
        <v>4248</v>
      </c>
      <c r="B4309" t="s">
        <v>65</v>
      </c>
      <c r="C4309" t="s">
        <v>4202</v>
      </c>
      <c r="D4309" t="s">
        <v>4203</v>
      </c>
      <c r="E4309" t="s">
        <v>4204</v>
      </c>
      <c r="F4309" t="s">
        <v>94</v>
      </c>
      <c r="G4309" t="s">
        <v>277</v>
      </c>
      <c r="H4309" s="12">
        <v>6.3150000000000004</v>
      </c>
      <c r="I4309" s="12">
        <v>-76.133600000000001</v>
      </c>
      <c r="J4309" t="s">
        <v>4205</v>
      </c>
      <c r="K4309" t="s">
        <v>97</v>
      </c>
      <c r="L4309" t="s">
        <v>1273</v>
      </c>
      <c r="M4309">
        <v>11</v>
      </c>
      <c r="P4309" s="13">
        <v>128</v>
      </c>
      <c r="Q4309" s="13">
        <v>37</v>
      </c>
      <c r="R4309">
        <v>26</v>
      </c>
      <c r="S4309">
        <v>20</v>
      </c>
      <c r="T4309" s="13">
        <v>19</v>
      </c>
      <c r="U4309" s="13">
        <v>29</v>
      </c>
      <c r="V4309" t="s">
        <v>99</v>
      </c>
      <c r="X4309" s="13">
        <v>128</v>
      </c>
    </row>
    <row r="4310" spans="1:24" x14ac:dyDescent="0.25">
      <c r="A4310" t="s">
        <v>4249</v>
      </c>
      <c r="B4310" t="s">
        <v>65</v>
      </c>
      <c r="C4310" t="s">
        <v>4202</v>
      </c>
      <c r="D4310" t="s">
        <v>4203</v>
      </c>
      <c r="E4310" t="s">
        <v>4204</v>
      </c>
      <c r="F4310" t="s">
        <v>94</v>
      </c>
      <c r="G4310" t="s">
        <v>277</v>
      </c>
      <c r="H4310" s="12">
        <v>6.3150000000000004</v>
      </c>
      <c r="I4310" s="12">
        <v>-76.133600000000001</v>
      </c>
      <c r="J4310" t="s">
        <v>4205</v>
      </c>
      <c r="K4310" t="s">
        <v>97</v>
      </c>
      <c r="L4310" t="s">
        <v>1273</v>
      </c>
      <c r="M4310">
        <v>11</v>
      </c>
      <c r="P4310" s="13">
        <v>128</v>
      </c>
      <c r="Q4310" s="13">
        <v>24</v>
      </c>
      <c r="R4310">
        <v>26</v>
      </c>
      <c r="S4310">
        <v>24</v>
      </c>
      <c r="T4310" s="13">
        <v>26</v>
      </c>
      <c r="U4310" s="13">
        <v>33</v>
      </c>
      <c r="V4310" t="s">
        <v>99</v>
      </c>
      <c r="X4310" s="13">
        <v>128</v>
      </c>
    </row>
    <row r="4311" spans="1:24" x14ac:dyDescent="0.25">
      <c r="A4311" t="s">
        <v>4250</v>
      </c>
      <c r="B4311" t="s">
        <v>65</v>
      </c>
      <c r="C4311" t="s">
        <v>4202</v>
      </c>
      <c r="D4311" t="s">
        <v>4203</v>
      </c>
      <c r="E4311" t="s">
        <v>4204</v>
      </c>
      <c r="F4311" t="s">
        <v>94</v>
      </c>
      <c r="G4311" t="s">
        <v>277</v>
      </c>
      <c r="H4311" s="12">
        <v>6.3150000000000004</v>
      </c>
      <c r="I4311" s="12">
        <v>-76.133600000000001</v>
      </c>
      <c r="J4311" t="s">
        <v>4205</v>
      </c>
      <c r="K4311" t="s">
        <v>97</v>
      </c>
      <c r="L4311" t="s">
        <v>1273</v>
      </c>
      <c r="M4311">
        <v>11</v>
      </c>
      <c r="P4311" s="13">
        <v>127</v>
      </c>
      <c r="Q4311" s="13">
        <v>29</v>
      </c>
      <c r="R4311">
        <v>30</v>
      </c>
      <c r="S4311">
        <v>16</v>
      </c>
      <c r="T4311" s="13">
        <v>22</v>
      </c>
      <c r="U4311" s="13">
        <v>36</v>
      </c>
      <c r="V4311" t="s">
        <v>99</v>
      </c>
      <c r="X4311" s="13">
        <v>127</v>
      </c>
    </row>
    <row r="4312" spans="1:24" x14ac:dyDescent="0.25">
      <c r="A4312" t="s">
        <v>4251</v>
      </c>
      <c r="B4312" t="s">
        <v>65</v>
      </c>
      <c r="C4312" t="s">
        <v>4202</v>
      </c>
      <c r="D4312" t="s">
        <v>4203</v>
      </c>
      <c r="E4312" t="s">
        <v>4204</v>
      </c>
      <c r="F4312" t="s">
        <v>94</v>
      </c>
      <c r="G4312" t="s">
        <v>277</v>
      </c>
      <c r="H4312" s="12">
        <v>6.3150000000000004</v>
      </c>
      <c r="I4312" s="12">
        <v>-76.133600000000001</v>
      </c>
      <c r="J4312" t="s">
        <v>4205</v>
      </c>
      <c r="K4312" t="s">
        <v>97</v>
      </c>
      <c r="L4312" t="s">
        <v>1273</v>
      </c>
      <c r="M4312">
        <v>11</v>
      </c>
      <c r="P4312" s="13">
        <v>120</v>
      </c>
      <c r="Q4312" s="13">
        <v>39</v>
      </c>
      <c r="R4312">
        <v>24</v>
      </c>
      <c r="S4312">
        <v>22</v>
      </c>
      <c r="T4312" s="13">
        <v>19</v>
      </c>
      <c r="U4312" s="13">
        <v>0</v>
      </c>
      <c r="V4312" t="s">
        <v>99</v>
      </c>
      <c r="X4312" s="13">
        <v>120</v>
      </c>
    </row>
    <row r="4313" spans="1:24" x14ac:dyDescent="0.25">
      <c r="A4313" t="s">
        <v>4252</v>
      </c>
      <c r="B4313" t="s">
        <v>65</v>
      </c>
      <c r="C4313" t="s">
        <v>4253</v>
      </c>
      <c r="D4313" t="s">
        <v>4254</v>
      </c>
      <c r="E4313" t="s">
        <v>4255</v>
      </c>
      <c r="F4313" t="s">
        <v>94</v>
      </c>
      <c r="G4313" t="s">
        <v>277</v>
      </c>
      <c r="H4313" s="12">
        <v>7.1810999999999998</v>
      </c>
      <c r="I4313" s="12">
        <v>-75.441900000000004</v>
      </c>
      <c r="J4313" t="s">
        <v>4256</v>
      </c>
      <c r="K4313" t="s">
        <v>97</v>
      </c>
      <c r="L4313" t="s">
        <v>1273</v>
      </c>
      <c r="M4313">
        <v>11</v>
      </c>
      <c r="P4313" s="13">
        <v>248</v>
      </c>
      <c r="Q4313" s="13">
        <v>39</v>
      </c>
      <c r="R4313">
        <v>54</v>
      </c>
      <c r="S4313">
        <v>58</v>
      </c>
      <c r="T4313" s="13">
        <v>47</v>
      </c>
      <c r="U4313" s="13">
        <v>53</v>
      </c>
      <c r="V4313" t="s">
        <v>99</v>
      </c>
      <c r="X4313" s="13">
        <v>248</v>
      </c>
    </row>
    <row r="4314" spans="1:24" x14ac:dyDescent="0.25">
      <c r="A4314" t="s">
        <v>4257</v>
      </c>
      <c r="B4314" t="s">
        <v>65</v>
      </c>
      <c r="C4314" t="s">
        <v>4253</v>
      </c>
      <c r="D4314" t="s">
        <v>4254</v>
      </c>
      <c r="E4314" t="s">
        <v>4255</v>
      </c>
      <c r="F4314" t="s">
        <v>94</v>
      </c>
      <c r="G4314" t="s">
        <v>277</v>
      </c>
      <c r="H4314" s="12">
        <v>7.1810999999999998</v>
      </c>
      <c r="I4314" s="12">
        <v>-75.441900000000004</v>
      </c>
      <c r="J4314" t="s">
        <v>4256</v>
      </c>
      <c r="K4314" t="s">
        <v>97</v>
      </c>
      <c r="L4314" t="s">
        <v>1273</v>
      </c>
      <c r="M4314">
        <v>11</v>
      </c>
      <c r="P4314" s="13">
        <v>225</v>
      </c>
      <c r="Q4314" s="13">
        <v>61</v>
      </c>
      <c r="R4314">
        <v>36</v>
      </c>
      <c r="S4314">
        <v>48</v>
      </c>
      <c r="T4314" s="13">
        <v>33</v>
      </c>
      <c r="U4314" s="13">
        <v>53</v>
      </c>
      <c r="V4314" t="s">
        <v>99</v>
      </c>
      <c r="X4314" s="13">
        <v>225</v>
      </c>
    </row>
    <row r="4315" spans="1:24" x14ac:dyDescent="0.25">
      <c r="A4315" t="s">
        <v>4258</v>
      </c>
      <c r="B4315" t="s">
        <v>65</v>
      </c>
      <c r="C4315" t="s">
        <v>4253</v>
      </c>
      <c r="D4315" t="s">
        <v>4254</v>
      </c>
      <c r="E4315" t="s">
        <v>4255</v>
      </c>
      <c r="F4315" t="s">
        <v>94</v>
      </c>
      <c r="G4315" t="s">
        <v>277</v>
      </c>
      <c r="H4315" s="12">
        <v>7.1810999999999998</v>
      </c>
      <c r="I4315" s="12">
        <v>-75.441900000000004</v>
      </c>
      <c r="J4315" t="s">
        <v>4256</v>
      </c>
      <c r="K4315" t="s">
        <v>97</v>
      </c>
      <c r="L4315" t="s">
        <v>1273</v>
      </c>
      <c r="M4315">
        <v>11</v>
      </c>
      <c r="P4315" s="13">
        <v>225</v>
      </c>
      <c r="Q4315" s="13">
        <v>59</v>
      </c>
      <c r="R4315">
        <v>30</v>
      </c>
      <c r="S4315">
        <v>54</v>
      </c>
      <c r="T4315" s="13">
        <v>31</v>
      </c>
      <c r="U4315" s="13">
        <v>64</v>
      </c>
      <c r="V4315" t="s">
        <v>99</v>
      </c>
      <c r="X4315" s="13">
        <v>225</v>
      </c>
    </row>
    <row r="4316" spans="1:24" x14ac:dyDescent="0.25">
      <c r="A4316" t="s">
        <v>4259</v>
      </c>
      <c r="B4316" t="s">
        <v>65</v>
      </c>
      <c r="C4316" t="s">
        <v>4253</v>
      </c>
      <c r="D4316" t="s">
        <v>4254</v>
      </c>
      <c r="E4316" t="s">
        <v>4255</v>
      </c>
      <c r="F4316" t="s">
        <v>94</v>
      </c>
      <c r="G4316" t="s">
        <v>277</v>
      </c>
      <c r="H4316" s="12">
        <v>7.1810999999999998</v>
      </c>
      <c r="I4316" s="12">
        <v>-75.441900000000004</v>
      </c>
      <c r="J4316" t="s">
        <v>4256</v>
      </c>
      <c r="K4316" t="s">
        <v>97</v>
      </c>
      <c r="L4316" t="s">
        <v>1273</v>
      </c>
      <c r="M4316">
        <v>11</v>
      </c>
      <c r="P4316" s="13">
        <v>215</v>
      </c>
      <c r="Q4316" s="13">
        <v>54</v>
      </c>
      <c r="R4316">
        <v>30</v>
      </c>
      <c r="S4316">
        <v>50</v>
      </c>
      <c r="T4316" s="13">
        <v>40</v>
      </c>
      <c r="U4316" s="13">
        <v>40</v>
      </c>
      <c r="V4316" t="s">
        <v>99</v>
      </c>
      <c r="X4316" s="13">
        <v>215</v>
      </c>
    </row>
    <row r="4317" spans="1:24" x14ac:dyDescent="0.25">
      <c r="A4317" t="s">
        <v>4260</v>
      </c>
      <c r="B4317" t="s">
        <v>65</v>
      </c>
      <c r="C4317" t="s">
        <v>4253</v>
      </c>
      <c r="D4317" t="s">
        <v>4254</v>
      </c>
      <c r="E4317" t="s">
        <v>4255</v>
      </c>
      <c r="F4317" t="s">
        <v>94</v>
      </c>
      <c r="G4317" t="s">
        <v>277</v>
      </c>
      <c r="H4317" s="12">
        <v>7.1810999999999998</v>
      </c>
      <c r="I4317" s="12">
        <v>-75.441900000000004</v>
      </c>
      <c r="J4317" t="s">
        <v>4256</v>
      </c>
      <c r="K4317" t="s">
        <v>97</v>
      </c>
      <c r="L4317" t="s">
        <v>1273</v>
      </c>
      <c r="M4317">
        <v>11</v>
      </c>
      <c r="P4317" s="13">
        <v>211</v>
      </c>
      <c r="Q4317" s="13">
        <v>56</v>
      </c>
      <c r="R4317">
        <v>32</v>
      </c>
      <c r="S4317">
        <v>42</v>
      </c>
      <c r="T4317" s="13">
        <v>40</v>
      </c>
      <c r="U4317" s="13">
        <v>40</v>
      </c>
      <c r="V4317" t="s">
        <v>99</v>
      </c>
      <c r="X4317" s="13">
        <v>211</v>
      </c>
    </row>
    <row r="4318" spans="1:24" x14ac:dyDescent="0.25">
      <c r="A4318" t="s">
        <v>4261</v>
      </c>
      <c r="B4318" t="s">
        <v>65</v>
      </c>
      <c r="C4318" t="s">
        <v>4253</v>
      </c>
      <c r="D4318" t="s">
        <v>4254</v>
      </c>
      <c r="E4318" t="s">
        <v>4255</v>
      </c>
      <c r="F4318" t="s">
        <v>94</v>
      </c>
      <c r="G4318" t="s">
        <v>277</v>
      </c>
      <c r="H4318" s="12">
        <v>7.1810999999999998</v>
      </c>
      <c r="I4318" s="12">
        <v>-75.441900000000004</v>
      </c>
      <c r="J4318" t="s">
        <v>4256</v>
      </c>
      <c r="K4318" t="s">
        <v>97</v>
      </c>
      <c r="L4318" t="s">
        <v>1273</v>
      </c>
      <c r="M4318">
        <v>11</v>
      </c>
      <c r="P4318" s="13">
        <v>210</v>
      </c>
      <c r="Q4318" s="13">
        <v>51</v>
      </c>
      <c r="R4318">
        <v>36</v>
      </c>
      <c r="S4318">
        <v>56</v>
      </c>
      <c r="T4318" s="13">
        <v>26</v>
      </c>
      <c r="U4318" s="13">
        <v>38</v>
      </c>
      <c r="V4318" t="s">
        <v>99</v>
      </c>
      <c r="X4318" s="13">
        <v>210</v>
      </c>
    </row>
    <row r="4319" spans="1:24" x14ac:dyDescent="0.25">
      <c r="A4319" t="s">
        <v>4262</v>
      </c>
      <c r="B4319" t="s">
        <v>65</v>
      </c>
      <c r="C4319" t="s">
        <v>4253</v>
      </c>
      <c r="D4319" t="s">
        <v>4254</v>
      </c>
      <c r="E4319" t="s">
        <v>4255</v>
      </c>
      <c r="F4319" t="s">
        <v>94</v>
      </c>
      <c r="G4319" t="s">
        <v>277</v>
      </c>
      <c r="H4319" s="12">
        <v>7.1810999999999998</v>
      </c>
      <c r="I4319" s="12">
        <v>-75.441900000000004</v>
      </c>
      <c r="J4319" t="s">
        <v>4256</v>
      </c>
      <c r="K4319" t="s">
        <v>97</v>
      </c>
      <c r="L4319" t="s">
        <v>1273</v>
      </c>
      <c r="M4319">
        <v>11</v>
      </c>
      <c r="P4319" s="13">
        <v>206</v>
      </c>
      <c r="Q4319" s="13">
        <v>46</v>
      </c>
      <c r="R4319">
        <v>30</v>
      </c>
      <c r="S4319">
        <v>50</v>
      </c>
      <c r="T4319" s="13">
        <v>38</v>
      </c>
      <c r="U4319" s="13">
        <v>42</v>
      </c>
      <c r="V4319" t="s">
        <v>99</v>
      </c>
      <c r="X4319" s="13">
        <v>206</v>
      </c>
    </row>
    <row r="4320" spans="1:24" x14ac:dyDescent="0.25">
      <c r="A4320" t="s">
        <v>4263</v>
      </c>
      <c r="B4320" t="s">
        <v>65</v>
      </c>
      <c r="C4320" t="s">
        <v>4253</v>
      </c>
      <c r="D4320" t="s">
        <v>4254</v>
      </c>
      <c r="E4320" t="s">
        <v>4255</v>
      </c>
      <c r="F4320" t="s">
        <v>94</v>
      </c>
      <c r="G4320" t="s">
        <v>277</v>
      </c>
      <c r="H4320" s="12">
        <v>7.1810999999999998</v>
      </c>
      <c r="I4320" s="12">
        <v>-75.441900000000004</v>
      </c>
      <c r="J4320" t="s">
        <v>4256</v>
      </c>
      <c r="K4320" t="s">
        <v>97</v>
      </c>
      <c r="L4320" t="s">
        <v>1273</v>
      </c>
      <c r="M4320">
        <v>11</v>
      </c>
      <c r="P4320" s="13">
        <v>197</v>
      </c>
      <c r="Q4320" s="13">
        <v>51</v>
      </c>
      <c r="R4320">
        <v>26</v>
      </c>
      <c r="S4320">
        <v>46</v>
      </c>
      <c r="T4320" s="13">
        <v>34</v>
      </c>
      <c r="U4320" s="13">
        <v>38</v>
      </c>
      <c r="V4320" t="s">
        <v>99</v>
      </c>
      <c r="X4320" s="13">
        <v>197</v>
      </c>
    </row>
    <row r="4321" spans="1:24" x14ac:dyDescent="0.25">
      <c r="A4321" t="s">
        <v>4264</v>
      </c>
      <c r="B4321" t="s">
        <v>65</v>
      </c>
      <c r="C4321" t="s">
        <v>4253</v>
      </c>
      <c r="D4321" t="s">
        <v>4254</v>
      </c>
      <c r="E4321" t="s">
        <v>4255</v>
      </c>
      <c r="F4321" t="s">
        <v>94</v>
      </c>
      <c r="G4321" t="s">
        <v>277</v>
      </c>
      <c r="H4321" s="12">
        <v>7.1810999999999998</v>
      </c>
      <c r="I4321" s="12">
        <v>-75.441900000000004</v>
      </c>
      <c r="J4321" t="s">
        <v>4256</v>
      </c>
      <c r="K4321" t="s">
        <v>97</v>
      </c>
      <c r="L4321" t="s">
        <v>1273</v>
      </c>
      <c r="M4321">
        <v>11</v>
      </c>
      <c r="P4321" s="13">
        <v>188</v>
      </c>
      <c r="Q4321" s="13">
        <v>44</v>
      </c>
      <c r="R4321">
        <v>26</v>
      </c>
      <c r="S4321">
        <v>54</v>
      </c>
      <c r="T4321" s="13">
        <v>34</v>
      </c>
      <c r="U4321" s="13">
        <v>15</v>
      </c>
      <c r="V4321" t="s">
        <v>99</v>
      </c>
      <c r="X4321" s="13">
        <v>188</v>
      </c>
    </row>
    <row r="4322" spans="1:24" x14ac:dyDescent="0.25">
      <c r="A4322" t="s">
        <v>4265</v>
      </c>
      <c r="B4322" t="s">
        <v>65</v>
      </c>
      <c r="C4322" t="s">
        <v>4253</v>
      </c>
      <c r="D4322" t="s">
        <v>4254</v>
      </c>
      <c r="E4322" t="s">
        <v>4255</v>
      </c>
      <c r="F4322" t="s">
        <v>94</v>
      </c>
      <c r="G4322" t="s">
        <v>277</v>
      </c>
      <c r="H4322" s="12">
        <v>7.1810999999999998</v>
      </c>
      <c r="I4322" s="12">
        <v>-75.441900000000004</v>
      </c>
      <c r="J4322" t="s">
        <v>4256</v>
      </c>
      <c r="K4322" t="s">
        <v>97</v>
      </c>
      <c r="L4322" t="s">
        <v>1273</v>
      </c>
      <c r="M4322">
        <v>11</v>
      </c>
      <c r="P4322" s="13">
        <v>188</v>
      </c>
      <c r="Q4322" s="13">
        <v>39</v>
      </c>
      <c r="R4322">
        <v>30</v>
      </c>
      <c r="S4322">
        <v>52</v>
      </c>
      <c r="T4322" s="13">
        <v>26</v>
      </c>
      <c r="U4322" s="13">
        <v>47</v>
      </c>
      <c r="V4322" t="s">
        <v>99</v>
      </c>
      <c r="X4322" s="13">
        <v>188</v>
      </c>
    </row>
    <row r="4323" spans="1:24" x14ac:dyDescent="0.25">
      <c r="A4323" t="s">
        <v>4266</v>
      </c>
      <c r="B4323" t="s">
        <v>65</v>
      </c>
      <c r="C4323" t="s">
        <v>4253</v>
      </c>
      <c r="D4323" t="s">
        <v>4254</v>
      </c>
      <c r="E4323" t="s">
        <v>4255</v>
      </c>
      <c r="F4323" t="s">
        <v>94</v>
      </c>
      <c r="G4323" t="s">
        <v>277</v>
      </c>
      <c r="H4323" s="12">
        <v>7.1810999999999998</v>
      </c>
      <c r="I4323" s="12">
        <v>-75.441900000000004</v>
      </c>
      <c r="J4323" t="s">
        <v>4256</v>
      </c>
      <c r="K4323" t="s">
        <v>97</v>
      </c>
      <c r="L4323" t="s">
        <v>1273</v>
      </c>
      <c r="M4323">
        <v>11</v>
      </c>
      <c r="P4323" s="13">
        <v>175</v>
      </c>
      <c r="Q4323" s="13">
        <v>34</v>
      </c>
      <c r="R4323">
        <v>20</v>
      </c>
      <c r="S4323">
        <v>36</v>
      </c>
      <c r="T4323" s="13">
        <v>47</v>
      </c>
      <c r="U4323" s="13">
        <v>45</v>
      </c>
      <c r="V4323" t="s">
        <v>99</v>
      </c>
      <c r="X4323" s="13">
        <v>175</v>
      </c>
    </row>
    <row r="4324" spans="1:24" x14ac:dyDescent="0.25">
      <c r="A4324" t="s">
        <v>4267</v>
      </c>
      <c r="B4324" t="s">
        <v>65</v>
      </c>
      <c r="C4324" t="s">
        <v>4253</v>
      </c>
      <c r="D4324" t="s">
        <v>4254</v>
      </c>
      <c r="E4324" t="s">
        <v>4255</v>
      </c>
      <c r="F4324" t="s">
        <v>94</v>
      </c>
      <c r="G4324" t="s">
        <v>277</v>
      </c>
      <c r="H4324" s="12">
        <v>7.1810999999999998</v>
      </c>
      <c r="I4324" s="12">
        <v>-75.441900000000004</v>
      </c>
      <c r="J4324" t="s">
        <v>4256</v>
      </c>
      <c r="K4324" t="s">
        <v>97</v>
      </c>
      <c r="L4324" t="s">
        <v>1273</v>
      </c>
      <c r="M4324">
        <v>11</v>
      </c>
      <c r="P4324" s="13">
        <v>171</v>
      </c>
      <c r="Q4324" s="13">
        <v>27</v>
      </c>
      <c r="R4324">
        <v>32</v>
      </c>
      <c r="S4324">
        <v>54</v>
      </c>
      <c r="T4324" s="13">
        <v>26</v>
      </c>
      <c r="U4324" s="13">
        <v>27</v>
      </c>
      <c r="V4324" t="s">
        <v>99</v>
      </c>
      <c r="X4324" s="13">
        <v>171</v>
      </c>
    </row>
    <row r="4325" spans="1:24" x14ac:dyDescent="0.25">
      <c r="A4325" t="s">
        <v>4268</v>
      </c>
      <c r="B4325" t="s">
        <v>65</v>
      </c>
      <c r="C4325" t="s">
        <v>4253</v>
      </c>
      <c r="D4325" t="s">
        <v>4254</v>
      </c>
      <c r="E4325" t="s">
        <v>4255</v>
      </c>
      <c r="F4325" t="s">
        <v>94</v>
      </c>
      <c r="G4325" t="s">
        <v>277</v>
      </c>
      <c r="H4325" s="12">
        <v>7.1810999999999998</v>
      </c>
      <c r="I4325" s="12">
        <v>-75.441900000000004</v>
      </c>
      <c r="J4325" t="s">
        <v>4256</v>
      </c>
      <c r="K4325" t="s">
        <v>97</v>
      </c>
      <c r="L4325" t="s">
        <v>1273</v>
      </c>
      <c r="M4325">
        <v>11</v>
      </c>
      <c r="P4325" s="13">
        <v>168</v>
      </c>
      <c r="Q4325" s="13">
        <v>39</v>
      </c>
      <c r="R4325">
        <v>22</v>
      </c>
      <c r="S4325">
        <v>36</v>
      </c>
      <c r="T4325" s="13">
        <v>38</v>
      </c>
      <c r="U4325" s="13">
        <v>33</v>
      </c>
      <c r="V4325" t="s">
        <v>99</v>
      </c>
      <c r="X4325" s="13">
        <v>168</v>
      </c>
    </row>
    <row r="4326" spans="1:24" x14ac:dyDescent="0.25">
      <c r="A4326" t="s">
        <v>4269</v>
      </c>
      <c r="B4326" t="s">
        <v>65</v>
      </c>
      <c r="C4326" t="s">
        <v>4253</v>
      </c>
      <c r="D4326" t="s">
        <v>4254</v>
      </c>
      <c r="E4326" t="s">
        <v>4255</v>
      </c>
      <c r="F4326" t="s">
        <v>94</v>
      </c>
      <c r="G4326" t="s">
        <v>277</v>
      </c>
      <c r="H4326" s="12">
        <v>7.1810999999999998</v>
      </c>
      <c r="I4326" s="12">
        <v>-75.441900000000004</v>
      </c>
      <c r="J4326" t="s">
        <v>4256</v>
      </c>
      <c r="K4326" t="s">
        <v>97</v>
      </c>
      <c r="L4326" t="s">
        <v>1273</v>
      </c>
      <c r="M4326">
        <v>11</v>
      </c>
      <c r="P4326" s="13">
        <v>167</v>
      </c>
      <c r="Q4326" s="13">
        <v>20</v>
      </c>
      <c r="R4326">
        <v>38</v>
      </c>
      <c r="S4326">
        <v>42</v>
      </c>
      <c r="T4326" s="13">
        <v>31</v>
      </c>
      <c r="U4326" s="13">
        <v>44</v>
      </c>
      <c r="V4326" t="s">
        <v>99</v>
      </c>
      <c r="X4326" s="13">
        <v>167</v>
      </c>
    </row>
    <row r="4327" spans="1:24" x14ac:dyDescent="0.25">
      <c r="A4327" t="s">
        <v>4270</v>
      </c>
      <c r="B4327" t="s">
        <v>65</v>
      </c>
      <c r="C4327" t="s">
        <v>4253</v>
      </c>
      <c r="D4327" t="s">
        <v>4254</v>
      </c>
      <c r="E4327" t="s">
        <v>4255</v>
      </c>
      <c r="F4327" t="s">
        <v>94</v>
      </c>
      <c r="G4327" t="s">
        <v>277</v>
      </c>
      <c r="H4327" s="12">
        <v>7.1810999999999998</v>
      </c>
      <c r="I4327" s="12">
        <v>-75.441900000000004</v>
      </c>
      <c r="J4327" t="s">
        <v>4256</v>
      </c>
      <c r="K4327" t="s">
        <v>97</v>
      </c>
      <c r="L4327" t="s">
        <v>1273</v>
      </c>
      <c r="M4327">
        <v>11</v>
      </c>
      <c r="P4327" s="13">
        <v>167</v>
      </c>
      <c r="Q4327" s="13">
        <v>32</v>
      </c>
      <c r="R4327">
        <v>24</v>
      </c>
      <c r="S4327">
        <v>50</v>
      </c>
      <c r="T4327" s="13">
        <v>22</v>
      </c>
      <c r="U4327" s="13">
        <v>49</v>
      </c>
      <c r="V4327" t="s">
        <v>99</v>
      </c>
      <c r="X4327" s="13">
        <v>167</v>
      </c>
    </row>
    <row r="4328" spans="1:24" x14ac:dyDescent="0.25">
      <c r="A4328" t="s">
        <v>4271</v>
      </c>
      <c r="B4328" t="s">
        <v>65</v>
      </c>
      <c r="C4328" t="s">
        <v>4253</v>
      </c>
      <c r="D4328" t="s">
        <v>4254</v>
      </c>
      <c r="E4328" t="s">
        <v>4255</v>
      </c>
      <c r="F4328" t="s">
        <v>94</v>
      </c>
      <c r="G4328" t="s">
        <v>277</v>
      </c>
      <c r="H4328" s="12">
        <v>7.1810999999999998</v>
      </c>
      <c r="I4328" s="12">
        <v>-75.441900000000004</v>
      </c>
      <c r="J4328" t="s">
        <v>4256</v>
      </c>
      <c r="K4328" t="s">
        <v>97</v>
      </c>
      <c r="L4328" t="s">
        <v>1273</v>
      </c>
      <c r="M4328">
        <v>11</v>
      </c>
      <c r="P4328" s="13">
        <v>163</v>
      </c>
      <c r="Q4328" s="13">
        <v>44</v>
      </c>
      <c r="R4328">
        <v>22</v>
      </c>
      <c r="S4328">
        <v>32</v>
      </c>
      <c r="T4328" s="13">
        <v>31</v>
      </c>
      <c r="U4328" s="13">
        <v>38</v>
      </c>
      <c r="V4328" t="s">
        <v>99</v>
      </c>
      <c r="X4328" s="13">
        <v>163</v>
      </c>
    </row>
    <row r="4329" spans="1:24" x14ac:dyDescent="0.25">
      <c r="A4329" t="s">
        <v>4272</v>
      </c>
      <c r="B4329" t="s">
        <v>65</v>
      </c>
      <c r="C4329" t="s">
        <v>4253</v>
      </c>
      <c r="D4329" t="s">
        <v>4254</v>
      </c>
      <c r="E4329" t="s">
        <v>4255</v>
      </c>
      <c r="F4329" t="s">
        <v>94</v>
      </c>
      <c r="G4329" t="s">
        <v>277</v>
      </c>
      <c r="H4329" s="12">
        <v>7.1810999999999998</v>
      </c>
      <c r="I4329" s="12">
        <v>-75.441900000000004</v>
      </c>
      <c r="J4329" t="s">
        <v>4256</v>
      </c>
      <c r="K4329" t="s">
        <v>97</v>
      </c>
      <c r="L4329" t="s">
        <v>1273</v>
      </c>
      <c r="M4329">
        <v>11</v>
      </c>
      <c r="P4329" s="13">
        <v>158</v>
      </c>
      <c r="Q4329" s="13">
        <v>29</v>
      </c>
      <c r="R4329">
        <v>26</v>
      </c>
      <c r="S4329">
        <v>44</v>
      </c>
      <c r="T4329" s="13">
        <v>26</v>
      </c>
      <c r="U4329" s="13">
        <v>35</v>
      </c>
      <c r="V4329" t="s">
        <v>99</v>
      </c>
      <c r="X4329" s="13">
        <v>158</v>
      </c>
    </row>
    <row r="4330" spans="1:24" x14ac:dyDescent="0.25">
      <c r="A4330" t="s">
        <v>4273</v>
      </c>
      <c r="B4330" t="s">
        <v>65</v>
      </c>
      <c r="C4330" t="s">
        <v>4253</v>
      </c>
      <c r="D4330" t="s">
        <v>4254</v>
      </c>
      <c r="E4330" t="s">
        <v>4255</v>
      </c>
      <c r="F4330" t="s">
        <v>94</v>
      </c>
      <c r="G4330" t="s">
        <v>277</v>
      </c>
      <c r="H4330" s="12">
        <v>7.1810999999999998</v>
      </c>
      <c r="I4330" s="12">
        <v>-75.441900000000004</v>
      </c>
      <c r="J4330" t="s">
        <v>4256</v>
      </c>
      <c r="K4330" t="s">
        <v>97</v>
      </c>
      <c r="L4330" t="s">
        <v>1273</v>
      </c>
      <c r="M4330">
        <v>11</v>
      </c>
      <c r="P4330" s="13">
        <v>156</v>
      </c>
      <c r="Q4330" s="13">
        <v>39</v>
      </c>
      <c r="R4330">
        <v>28</v>
      </c>
      <c r="S4330">
        <v>28</v>
      </c>
      <c r="T4330" s="13">
        <v>24</v>
      </c>
      <c r="U4330" s="13">
        <v>47</v>
      </c>
      <c r="V4330" t="s">
        <v>99</v>
      </c>
      <c r="X4330" s="13">
        <v>156</v>
      </c>
    </row>
    <row r="4331" spans="1:24" x14ac:dyDescent="0.25">
      <c r="A4331" t="s">
        <v>4274</v>
      </c>
      <c r="B4331" t="s">
        <v>65</v>
      </c>
      <c r="C4331" t="s">
        <v>4253</v>
      </c>
      <c r="D4331" t="s">
        <v>4254</v>
      </c>
      <c r="E4331" t="s">
        <v>4255</v>
      </c>
      <c r="F4331" t="s">
        <v>94</v>
      </c>
      <c r="G4331" t="s">
        <v>277</v>
      </c>
      <c r="H4331" s="12">
        <v>7.1810999999999998</v>
      </c>
      <c r="I4331" s="12">
        <v>-75.441900000000004</v>
      </c>
      <c r="J4331" t="s">
        <v>4256</v>
      </c>
      <c r="K4331" t="s">
        <v>97</v>
      </c>
      <c r="L4331" t="s">
        <v>1273</v>
      </c>
      <c r="M4331">
        <v>11</v>
      </c>
      <c r="P4331" s="13">
        <v>155</v>
      </c>
      <c r="Q4331" s="13">
        <v>37</v>
      </c>
      <c r="R4331">
        <v>32</v>
      </c>
      <c r="S4331">
        <v>30</v>
      </c>
      <c r="T4331" s="13">
        <v>26</v>
      </c>
      <c r="U4331" s="13">
        <v>31</v>
      </c>
      <c r="V4331" t="s">
        <v>99</v>
      </c>
      <c r="X4331" s="13">
        <v>155</v>
      </c>
    </row>
    <row r="4332" spans="1:24" x14ac:dyDescent="0.25">
      <c r="A4332" t="s">
        <v>4275</v>
      </c>
      <c r="B4332" t="s">
        <v>65</v>
      </c>
      <c r="C4332" t="s">
        <v>4253</v>
      </c>
      <c r="D4332" t="s">
        <v>4254</v>
      </c>
      <c r="E4332" t="s">
        <v>4255</v>
      </c>
      <c r="F4332" t="s">
        <v>94</v>
      </c>
      <c r="G4332" t="s">
        <v>277</v>
      </c>
      <c r="H4332" s="12">
        <v>7.1810999999999998</v>
      </c>
      <c r="I4332" s="12">
        <v>-75.441900000000004</v>
      </c>
      <c r="J4332" t="s">
        <v>4256</v>
      </c>
      <c r="K4332" t="s">
        <v>97</v>
      </c>
      <c r="L4332" t="s">
        <v>1273</v>
      </c>
      <c r="M4332">
        <v>11</v>
      </c>
      <c r="P4332" s="13">
        <v>155</v>
      </c>
      <c r="Q4332" s="13">
        <v>29</v>
      </c>
      <c r="R4332">
        <v>34</v>
      </c>
      <c r="S4332">
        <v>36</v>
      </c>
      <c r="T4332" s="13">
        <v>28</v>
      </c>
      <c r="U4332" s="13">
        <v>24</v>
      </c>
      <c r="V4332" t="s">
        <v>99</v>
      </c>
      <c r="X4332" s="13">
        <v>155</v>
      </c>
    </row>
    <row r="4333" spans="1:24" x14ac:dyDescent="0.25">
      <c r="A4333" t="s">
        <v>4276</v>
      </c>
      <c r="B4333" t="s">
        <v>65</v>
      </c>
      <c r="C4333" t="s">
        <v>4253</v>
      </c>
      <c r="D4333" t="s">
        <v>4254</v>
      </c>
      <c r="E4333" t="s">
        <v>4255</v>
      </c>
      <c r="F4333" t="s">
        <v>94</v>
      </c>
      <c r="G4333" t="s">
        <v>277</v>
      </c>
      <c r="H4333" s="12">
        <v>7.1810999999999998</v>
      </c>
      <c r="I4333" s="12">
        <v>-75.441900000000004</v>
      </c>
      <c r="J4333" t="s">
        <v>4256</v>
      </c>
      <c r="K4333" t="s">
        <v>97</v>
      </c>
      <c r="L4333" t="s">
        <v>1273</v>
      </c>
      <c r="M4333">
        <v>11</v>
      </c>
      <c r="P4333" s="13">
        <v>155</v>
      </c>
      <c r="Q4333" s="13">
        <v>37</v>
      </c>
      <c r="R4333">
        <v>24</v>
      </c>
      <c r="S4333">
        <v>36</v>
      </c>
      <c r="T4333" s="13">
        <v>28</v>
      </c>
      <c r="U4333" s="13">
        <v>31</v>
      </c>
      <c r="V4333" t="s">
        <v>99</v>
      </c>
      <c r="X4333" s="13">
        <v>155</v>
      </c>
    </row>
    <row r="4334" spans="1:24" x14ac:dyDescent="0.25">
      <c r="A4334" t="s">
        <v>4277</v>
      </c>
      <c r="B4334" t="s">
        <v>65</v>
      </c>
      <c r="C4334" t="s">
        <v>4253</v>
      </c>
      <c r="D4334" t="s">
        <v>4254</v>
      </c>
      <c r="E4334" t="s">
        <v>4255</v>
      </c>
      <c r="F4334" t="s">
        <v>94</v>
      </c>
      <c r="G4334" t="s">
        <v>277</v>
      </c>
      <c r="H4334" s="12">
        <v>7.1810999999999998</v>
      </c>
      <c r="I4334" s="12">
        <v>-75.441900000000004</v>
      </c>
      <c r="J4334" t="s">
        <v>4256</v>
      </c>
      <c r="K4334" t="s">
        <v>97</v>
      </c>
      <c r="L4334" t="s">
        <v>1273</v>
      </c>
      <c r="M4334">
        <v>11</v>
      </c>
      <c r="P4334" s="13">
        <v>154</v>
      </c>
      <c r="Q4334" s="13">
        <v>32</v>
      </c>
      <c r="R4334">
        <v>26</v>
      </c>
      <c r="S4334">
        <v>38</v>
      </c>
      <c r="T4334" s="13">
        <v>22</v>
      </c>
      <c r="U4334" s="13">
        <v>45</v>
      </c>
      <c r="V4334" t="s">
        <v>99</v>
      </c>
      <c r="X4334" s="13">
        <v>154</v>
      </c>
    </row>
    <row r="4335" spans="1:24" x14ac:dyDescent="0.25">
      <c r="A4335" t="s">
        <v>4278</v>
      </c>
      <c r="B4335" t="s">
        <v>65</v>
      </c>
      <c r="C4335" t="s">
        <v>4253</v>
      </c>
      <c r="D4335" t="s">
        <v>4254</v>
      </c>
      <c r="E4335" t="s">
        <v>4255</v>
      </c>
      <c r="F4335" t="s">
        <v>94</v>
      </c>
      <c r="G4335" t="s">
        <v>277</v>
      </c>
      <c r="H4335" s="12">
        <v>7.1810999999999998</v>
      </c>
      <c r="I4335" s="12">
        <v>-75.441900000000004</v>
      </c>
      <c r="J4335" t="s">
        <v>4256</v>
      </c>
      <c r="K4335" t="s">
        <v>97</v>
      </c>
      <c r="L4335" t="s">
        <v>1273</v>
      </c>
      <c r="M4335">
        <v>11</v>
      </c>
      <c r="P4335" s="13">
        <v>153</v>
      </c>
      <c r="Q4335" s="13">
        <v>34</v>
      </c>
      <c r="R4335">
        <v>24</v>
      </c>
      <c r="S4335">
        <v>36</v>
      </c>
      <c r="T4335" s="13">
        <v>31</v>
      </c>
      <c r="U4335" s="13">
        <v>22</v>
      </c>
      <c r="V4335" t="s">
        <v>99</v>
      </c>
      <c r="X4335" s="13">
        <v>153</v>
      </c>
    </row>
    <row r="4336" spans="1:24" x14ac:dyDescent="0.25">
      <c r="A4336" t="s">
        <v>4279</v>
      </c>
      <c r="B4336" t="s">
        <v>65</v>
      </c>
      <c r="C4336" t="s">
        <v>4253</v>
      </c>
      <c r="D4336" t="s">
        <v>4254</v>
      </c>
      <c r="E4336" t="s">
        <v>4255</v>
      </c>
      <c r="F4336" t="s">
        <v>94</v>
      </c>
      <c r="G4336" t="s">
        <v>277</v>
      </c>
      <c r="H4336" s="12">
        <v>7.1810999999999998</v>
      </c>
      <c r="I4336" s="12">
        <v>-75.441900000000004</v>
      </c>
      <c r="J4336" t="s">
        <v>4256</v>
      </c>
      <c r="K4336" t="s">
        <v>97</v>
      </c>
      <c r="L4336" t="s">
        <v>1273</v>
      </c>
      <c r="M4336">
        <v>11</v>
      </c>
      <c r="P4336" s="13">
        <v>153</v>
      </c>
      <c r="Q4336" s="13">
        <v>24</v>
      </c>
      <c r="R4336">
        <v>28</v>
      </c>
      <c r="S4336">
        <v>36</v>
      </c>
      <c r="T4336" s="13">
        <v>26</v>
      </c>
      <c r="U4336" s="13">
        <v>55</v>
      </c>
      <c r="V4336" t="s">
        <v>99</v>
      </c>
      <c r="X4336" s="13">
        <v>153</v>
      </c>
    </row>
    <row r="4337" spans="1:24" x14ac:dyDescent="0.25">
      <c r="A4337" t="s">
        <v>4280</v>
      </c>
      <c r="B4337" t="s">
        <v>65</v>
      </c>
      <c r="C4337" t="s">
        <v>4253</v>
      </c>
      <c r="D4337" t="s">
        <v>4254</v>
      </c>
      <c r="E4337" t="s">
        <v>4255</v>
      </c>
      <c r="F4337" t="s">
        <v>94</v>
      </c>
      <c r="G4337" t="s">
        <v>277</v>
      </c>
      <c r="H4337" s="12">
        <v>7.1810999999999998</v>
      </c>
      <c r="I4337" s="12">
        <v>-75.441900000000004</v>
      </c>
      <c r="J4337" t="s">
        <v>4256</v>
      </c>
      <c r="K4337" t="s">
        <v>97</v>
      </c>
      <c r="L4337" t="s">
        <v>1273</v>
      </c>
      <c r="M4337">
        <v>11</v>
      </c>
      <c r="P4337" s="13">
        <v>150</v>
      </c>
      <c r="Q4337" s="13">
        <v>46</v>
      </c>
      <c r="R4337">
        <v>22</v>
      </c>
      <c r="S4337">
        <v>42</v>
      </c>
      <c r="T4337" s="13">
        <v>5</v>
      </c>
      <c r="U4337" s="13">
        <v>44</v>
      </c>
      <c r="V4337" t="s">
        <v>99</v>
      </c>
      <c r="X4337" s="13">
        <v>150</v>
      </c>
    </row>
    <row r="4338" spans="1:24" x14ac:dyDescent="0.25">
      <c r="A4338" t="s">
        <v>4281</v>
      </c>
      <c r="B4338" t="s">
        <v>65</v>
      </c>
      <c r="C4338" t="s">
        <v>4253</v>
      </c>
      <c r="D4338" t="s">
        <v>4254</v>
      </c>
      <c r="E4338" t="s">
        <v>4255</v>
      </c>
      <c r="F4338" t="s">
        <v>94</v>
      </c>
      <c r="G4338" t="s">
        <v>277</v>
      </c>
      <c r="H4338" s="12">
        <v>7.1810999999999998</v>
      </c>
      <c r="I4338" s="12">
        <v>-75.441900000000004</v>
      </c>
      <c r="J4338" t="s">
        <v>4256</v>
      </c>
      <c r="K4338" t="s">
        <v>97</v>
      </c>
      <c r="L4338" t="s">
        <v>1273</v>
      </c>
      <c r="M4338">
        <v>11</v>
      </c>
      <c r="P4338" s="13">
        <v>148</v>
      </c>
      <c r="Q4338" s="13">
        <v>24</v>
      </c>
      <c r="R4338">
        <v>32</v>
      </c>
      <c r="S4338">
        <v>40</v>
      </c>
      <c r="T4338" s="13">
        <v>19</v>
      </c>
      <c r="U4338" s="13">
        <v>38</v>
      </c>
      <c r="V4338" t="s">
        <v>99</v>
      </c>
      <c r="X4338" s="13">
        <v>148</v>
      </c>
    </row>
    <row r="4339" spans="1:24" x14ac:dyDescent="0.25">
      <c r="A4339" t="s">
        <v>4282</v>
      </c>
      <c r="B4339" t="s">
        <v>65</v>
      </c>
      <c r="C4339" t="s">
        <v>4253</v>
      </c>
      <c r="D4339" t="s">
        <v>4254</v>
      </c>
      <c r="E4339" t="s">
        <v>4255</v>
      </c>
      <c r="F4339" t="s">
        <v>94</v>
      </c>
      <c r="G4339" t="s">
        <v>277</v>
      </c>
      <c r="H4339" s="12">
        <v>7.1810999999999998</v>
      </c>
      <c r="I4339" s="12">
        <v>-75.441900000000004</v>
      </c>
      <c r="J4339" t="s">
        <v>4256</v>
      </c>
      <c r="K4339" t="s">
        <v>97</v>
      </c>
      <c r="L4339" t="s">
        <v>1273</v>
      </c>
      <c r="M4339">
        <v>11</v>
      </c>
      <c r="P4339" s="13">
        <v>145</v>
      </c>
      <c r="Q4339" s="13">
        <v>32</v>
      </c>
      <c r="R4339">
        <v>20</v>
      </c>
      <c r="S4339">
        <v>40</v>
      </c>
      <c r="T4339" s="13">
        <v>22</v>
      </c>
      <c r="U4339" s="13">
        <v>35</v>
      </c>
      <c r="V4339" t="s">
        <v>99</v>
      </c>
      <c r="X4339" s="13">
        <v>145</v>
      </c>
    </row>
    <row r="4340" spans="1:24" x14ac:dyDescent="0.25">
      <c r="A4340" t="s">
        <v>4283</v>
      </c>
      <c r="B4340" t="s">
        <v>65</v>
      </c>
      <c r="C4340" t="s">
        <v>4253</v>
      </c>
      <c r="D4340" t="s">
        <v>4254</v>
      </c>
      <c r="E4340" t="s">
        <v>4255</v>
      </c>
      <c r="F4340" t="s">
        <v>94</v>
      </c>
      <c r="G4340" t="s">
        <v>277</v>
      </c>
      <c r="H4340" s="12">
        <v>7.1810999999999998</v>
      </c>
      <c r="I4340" s="12">
        <v>-75.441900000000004</v>
      </c>
      <c r="J4340" t="s">
        <v>4256</v>
      </c>
      <c r="K4340" t="s">
        <v>97</v>
      </c>
      <c r="L4340" t="s">
        <v>1273</v>
      </c>
      <c r="M4340">
        <v>11</v>
      </c>
      <c r="P4340" s="13">
        <v>145</v>
      </c>
      <c r="Q4340" s="13">
        <v>17</v>
      </c>
      <c r="R4340">
        <v>28</v>
      </c>
      <c r="S4340">
        <v>38</v>
      </c>
      <c r="T4340" s="13">
        <v>31</v>
      </c>
      <c r="U4340" s="13">
        <v>35</v>
      </c>
      <c r="V4340" t="s">
        <v>99</v>
      </c>
      <c r="X4340" s="13">
        <v>145</v>
      </c>
    </row>
    <row r="4341" spans="1:24" x14ac:dyDescent="0.25">
      <c r="A4341" t="s">
        <v>4284</v>
      </c>
      <c r="B4341" t="s">
        <v>65</v>
      </c>
      <c r="C4341" t="s">
        <v>4253</v>
      </c>
      <c r="D4341" t="s">
        <v>4254</v>
      </c>
      <c r="E4341" t="s">
        <v>4255</v>
      </c>
      <c r="F4341" t="s">
        <v>94</v>
      </c>
      <c r="G4341" t="s">
        <v>277</v>
      </c>
      <c r="H4341" s="12">
        <v>7.1810999999999998</v>
      </c>
      <c r="I4341" s="12">
        <v>-75.441900000000004</v>
      </c>
      <c r="J4341" t="s">
        <v>4256</v>
      </c>
      <c r="K4341" t="s">
        <v>97</v>
      </c>
      <c r="L4341" t="s">
        <v>1273</v>
      </c>
      <c r="M4341">
        <v>11</v>
      </c>
      <c r="P4341" s="13">
        <v>145</v>
      </c>
      <c r="Q4341" s="13">
        <v>24</v>
      </c>
      <c r="R4341">
        <v>30</v>
      </c>
      <c r="S4341">
        <v>30</v>
      </c>
      <c r="T4341" s="13">
        <v>28</v>
      </c>
      <c r="U4341" s="13">
        <v>40</v>
      </c>
      <c r="V4341" t="s">
        <v>99</v>
      </c>
      <c r="X4341" s="13">
        <v>145</v>
      </c>
    </row>
    <row r="4342" spans="1:24" x14ac:dyDescent="0.25">
      <c r="A4342" t="s">
        <v>4285</v>
      </c>
      <c r="B4342" t="s">
        <v>65</v>
      </c>
      <c r="C4342" t="s">
        <v>4253</v>
      </c>
      <c r="D4342" t="s">
        <v>4254</v>
      </c>
      <c r="E4342" t="s">
        <v>4255</v>
      </c>
      <c r="F4342" t="s">
        <v>94</v>
      </c>
      <c r="G4342" t="s">
        <v>277</v>
      </c>
      <c r="H4342" s="12">
        <v>7.1810999999999998</v>
      </c>
      <c r="I4342" s="12">
        <v>-75.441900000000004</v>
      </c>
      <c r="J4342" t="s">
        <v>4256</v>
      </c>
      <c r="K4342" t="s">
        <v>97</v>
      </c>
      <c r="L4342" t="s">
        <v>1273</v>
      </c>
      <c r="M4342">
        <v>11</v>
      </c>
      <c r="P4342" s="13">
        <v>143</v>
      </c>
      <c r="Q4342" s="13">
        <v>34</v>
      </c>
      <c r="R4342">
        <v>22</v>
      </c>
      <c r="S4342">
        <v>28</v>
      </c>
      <c r="T4342" s="13">
        <v>19</v>
      </c>
      <c r="U4342" s="13">
        <v>64</v>
      </c>
      <c r="V4342" t="s">
        <v>99</v>
      </c>
      <c r="X4342" s="13">
        <v>143</v>
      </c>
    </row>
    <row r="4343" spans="1:24" x14ac:dyDescent="0.25">
      <c r="A4343" t="s">
        <v>4286</v>
      </c>
      <c r="B4343" t="s">
        <v>65</v>
      </c>
      <c r="C4343" t="s">
        <v>4253</v>
      </c>
      <c r="D4343" t="s">
        <v>4254</v>
      </c>
      <c r="E4343" t="s">
        <v>4255</v>
      </c>
      <c r="F4343" t="s">
        <v>94</v>
      </c>
      <c r="G4343" t="s">
        <v>277</v>
      </c>
      <c r="H4343" s="12">
        <v>7.1810999999999998</v>
      </c>
      <c r="I4343" s="12">
        <v>-75.441900000000004</v>
      </c>
      <c r="J4343" t="s">
        <v>4256</v>
      </c>
      <c r="K4343" t="s">
        <v>97</v>
      </c>
      <c r="L4343" t="s">
        <v>1273</v>
      </c>
      <c r="M4343">
        <v>11</v>
      </c>
      <c r="P4343" s="13">
        <v>143</v>
      </c>
      <c r="Q4343" s="13">
        <v>37</v>
      </c>
      <c r="R4343">
        <v>12</v>
      </c>
      <c r="S4343">
        <v>36</v>
      </c>
      <c r="T4343" s="13">
        <v>28</v>
      </c>
      <c r="U4343" s="13">
        <v>35</v>
      </c>
      <c r="V4343" t="s">
        <v>99</v>
      </c>
      <c r="X4343" s="13">
        <v>143</v>
      </c>
    </row>
    <row r="4344" spans="1:24" x14ac:dyDescent="0.25">
      <c r="A4344" t="s">
        <v>4287</v>
      </c>
      <c r="B4344" t="s">
        <v>65</v>
      </c>
      <c r="C4344" t="s">
        <v>4253</v>
      </c>
      <c r="D4344" t="s">
        <v>4254</v>
      </c>
      <c r="E4344" t="s">
        <v>4255</v>
      </c>
      <c r="F4344" t="s">
        <v>94</v>
      </c>
      <c r="G4344" t="s">
        <v>277</v>
      </c>
      <c r="H4344" s="12">
        <v>7.1810999999999998</v>
      </c>
      <c r="I4344" s="12">
        <v>-75.441900000000004</v>
      </c>
      <c r="J4344" t="s">
        <v>4256</v>
      </c>
      <c r="K4344" t="s">
        <v>97</v>
      </c>
      <c r="L4344" t="s">
        <v>1273</v>
      </c>
      <c r="M4344">
        <v>11</v>
      </c>
      <c r="P4344" s="13">
        <v>142</v>
      </c>
      <c r="Q4344" s="13">
        <v>15</v>
      </c>
      <c r="R4344">
        <v>24</v>
      </c>
      <c r="S4344">
        <v>44</v>
      </c>
      <c r="T4344" s="13">
        <v>19</v>
      </c>
      <c r="U4344" s="13">
        <v>64</v>
      </c>
      <c r="V4344" t="s">
        <v>99</v>
      </c>
      <c r="X4344" s="13">
        <v>142</v>
      </c>
    </row>
    <row r="4345" spans="1:24" x14ac:dyDescent="0.25">
      <c r="A4345" t="s">
        <v>4288</v>
      </c>
      <c r="B4345" t="s">
        <v>65</v>
      </c>
      <c r="C4345" t="s">
        <v>4253</v>
      </c>
      <c r="D4345" t="s">
        <v>4254</v>
      </c>
      <c r="E4345" t="s">
        <v>4255</v>
      </c>
      <c r="F4345" t="s">
        <v>94</v>
      </c>
      <c r="G4345" t="s">
        <v>277</v>
      </c>
      <c r="H4345" s="12">
        <v>7.1810999999999998</v>
      </c>
      <c r="I4345" s="12">
        <v>-75.441900000000004</v>
      </c>
      <c r="J4345" t="s">
        <v>4256</v>
      </c>
      <c r="K4345" t="s">
        <v>97</v>
      </c>
      <c r="L4345" t="s">
        <v>1273</v>
      </c>
      <c r="M4345">
        <v>11</v>
      </c>
      <c r="P4345" s="13">
        <v>139</v>
      </c>
      <c r="Q4345" s="13">
        <v>32</v>
      </c>
      <c r="R4345">
        <v>14</v>
      </c>
      <c r="S4345">
        <v>42</v>
      </c>
      <c r="T4345" s="13">
        <v>22</v>
      </c>
      <c r="U4345" s="13">
        <v>31</v>
      </c>
      <c r="V4345" t="s">
        <v>99</v>
      </c>
      <c r="X4345" s="13">
        <v>139</v>
      </c>
    </row>
    <row r="4346" spans="1:24" x14ac:dyDescent="0.25">
      <c r="A4346" t="s">
        <v>4289</v>
      </c>
      <c r="B4346" t="s">
        <v>65</v>
      </c>
      <c r="C4346" t="s">
        <v>4253</v>
      </c>
      <c r="D4346" t="s">
        <v>4254</v>
      </c>
      <c r="E4346" t="s">
        <v>4255</v>
      </c>
      <c r="F4346" t="s">
        <v>94</v>
      </c>
      <c r="G4346" t="s">
        <v>277</v>
      </c>
      <c r="H4346" s="12">
        <v>7.1810999999999998</v>
      </c>
      <c r="I4346" s="12">
        <v>-75.441900000000004</v>
      </c>
      <c r="J4346" t="s">
        <v>4256</v>
      </c>
      <c r="K4346" t="s">
        <v>97</v>
      </c>
      <c r="L4346" t="s">
        <v>1273</v>
      </c>
      <c r="M4346">
        <v>11</v>
      </c>
      <c r="P4346" s="13">
        <v>134</v>
      </c>
      <c r="Q4346" s="13">
        <v>24</v>
      </c>
      <c r="R4346">
        <v>36</v>
      </c>
      <c r="S4346">
        <v>30</v>
      </c>
      <c r="T4346" s="13">
        <v>17</v>
      </c>
      <c r="U4346" s="13">
        <v>25</v>
      </c>
      <c r="V4346" t="s">
        <v>99</v>
      </c>
      <c r="X4346" s="13">
        <v>134</v>
      </c>
    </row>
    <row r="4347" spans="1:24" x14ac:dyDescent="0.25">
      <c r="A4347" t="s">
        <v>4290</v>
      </c>
      <c r="B4347" t="s">
        <v>65</v>
      </c>
      <c r="C4347" t="s">
        <v>4253</v>
      </c>
      <c r="D4347" t="s">
        <v>4254</v>
      </c>
      <c r="E4347" t="s">
        <v>4255</v>
      </c>
      <c r="F4347" t="s">
        <v>94</v>
      </c>
      <c r="G4347" t="s">
        <v>277</v>
      </c>
      <c r="H4347" s="12">
        <v>7.1810999999999998</v>
      </c>
      <c r="I4347" s="12">
        <v>-75.441900000000004</v>
      </c>
      <c r="J4347" t="s">
        <v>4256</v>
      </c>
      <c r="K4347" t="s">
        <v>97</v>
      </c>
      <c r="L4347" t="s">
        <v>1273</v>
      </c>
      <c r="M4347">
        <v>11</v>
      </c>
      <c r="P4347" s="13">
        <v>132</v>
      </c>
      <c r="Q4347" s="13">
        <v>32</v>
      </c>
      <c r="R4347">
        <v>12</v>
      </c>
      <c r="S4347">
        <v>36</v>
      </c>
      <c r="T4347" s="13">
        <v>19</v>
      </c>
      <c r="U4347" s="13">
        <v>47</v>
      </c>
      <c r="V4347" t="s">
        <v>99</v>
      </c>
      <c r="X4347" s="13">
        <v>132</v>
      </c>
    </row>
    <row r="4348" spans="1:24" x14ac:dyDescent="0.25">
      <c r="A4348" t="s">
        <v>4291</v>
      </c>
      <c r="B4348" t="s">
        <v>65</v>
      </c>
      <c r="C4348" t="s">
        <v>4253</v>
      </c>
      <c r="D4348" t="s">
        <v>4254</v>
      </c>
      <c r="E4348" t="s">
        <v>4255</v>
      </c>
      <c r="F4348" t="s">
        <v>94</v>
      </c>
      <c r="G4348" t="s">
        <v>277</v>
      </c>
      <c r="H4348" s="12">
        <v>7.1810999999999998</v>
      </c>
      <c r="I4348" s="12">
        <v>-75.441900000000004</v>
      </c>
      <c r="J4348" t="s">
        <v>4256</v>
      </c>
      <c r="K4348" t="s">
        <v>97</v>
      </c>
      <c r="L4348" t="s">
        <v>1273</v>
      </c>
      <c r="M4348">
        <v>11</v>
      </c>
      <c r="P4348" s="13">
        <v>128</v>
      </c>
      <c r="Q4348" s="13">
        <v>22</v>
      </c>
      <c r="R4348">
        <v>22</v>
      </c>
      <c r="S4348">
        <v>30</v>
      </c>
      <c r="T4348" s="13">
        <v>28</v>
      </c>
      <c r="U4348" s="13">
        <v>29</v>
      </c>
      <c r="V4348" t="s">
        <v>99</v>
      </c>
      <c r="X4348" s="13">
        <v>128</v>
      </c>
    </row>
    <row r="4349" spans="1:24" x14ac:dyDescent="0.25">
      <c r="A4349" t="s">
        <v>4292</v>
      </c>
      <c r="B4349" t="s">
        <v>65</v>
      </c>
      <c r="C4349" t="s">
        <v>4253</v>
      </c>
      <c r="D4349" t="s">
        <v>4254</v>
      </c>
      <c r="E4349" t="s">
        <v>4255</v>
      </c>
      <c r="F4349" t="s">
        <v>94</v>
      </c>
      <c r="G4349" t="s">
        <v>277</v>
      </c>
      <c r="H4349" s="12">
        <v>7.1810999999999998</v>
      </c>
      <c r="I4349" s="12">
        <v>-75.441900000000004</v>
      </c>
      <c r="J4349" t="s">
        <v>4256</v>
      </c>
      <c r="K4349" t="s">
        <v>97</v>
      </c>
      <c r="L4349" t="s">
        <v>1273</v>
      </c>
      <c r="M4349">
        <v>11</v>
      </c>
      <c r="P4349" s="13">
        <v>128</v>
      </c>
      <c r="Q4349" s="13">
        <v>24</v>
      </c>
      <c r="R4349">
        <v>10</v>
      </c>
      <c r="S4349">
        <v>44</v>
      </c>
      <c r="T4349" s="13">
        <v>21</v>
      </c>
      <c r="U4349" s="13">
        <v>35</v>
      </c>
      <c r="V4349" t="s">
        <v>99</v>
      </c>
      <c r="X4349" s="13">
        <v>128</v>
      </c>
    </row>
    <row r="4350" spans="1:24" x14ac:dyDescent="0.25">
      <c r="A4350" t="s">
        <v>4293</v>
      </c>
      <c r="B4350" t="s">
        <v>65</v>
      </c>
      <c r="C4350" t="s">
        <v>4253</v>
      </c>
      <c r="D4350" t="s">
        <v>4254</v>
      </c>
      <c r="E4350" t="s">
        <v>4255</v>
      </c>
      <c r="F4350" t="s">
        <v>94</v>
      </c>
      <c r="G4350" t="s">
        <v>277</v>
      </c>
      <c r="H4350" s="12">
        <v>7.1810999999999998</v>
      </c>
      <c r="I4350" s="12">
        <v>-75.441900000000004</v>
      </c>
      <c r="J4350" t="s">
        <v>4256</v>
      </c>
      <c r="K4350" t="s">
        <v>97</v>
      </c>
      <c r="L4350" t="s">
        <v>1273</v>
      </c>
      <c r="M4350">
        <v>11</v>
      </c>
      <c r="P4350" s="13">
        <v>123</v>
      </c>
      <c r="Q4350" s="13">
        <v>22</v>
      </c>
      <c r="R4350">
        <v>22</v>
      </c>
      <c r="S4350">
        <v>34</v>
      </c>
      <c r="T4350" s="13">
        <v>17</v>
      </c>
      <c r="U4350" s="13">
        <v>35</v>
      </c>
      <c r="V4350" t="s">
        <v>99</v>
      </c>
      <c r="X4350" s="13">
        <v>123</v>
      </c>
    </row>
    <row r="4351" spans="1:24" x14ac:dyDescent="0.25">
      <c r="A4351" t="s">
        <v>4294</v>
      </c>
      <c r="B4351" t="s">
        <v>65</v>
      </c>
      <c r="C4351" t="s">
        <v>4253</v>
      </c>
      <c r="D4351" t="s">
        <v>4254</v>
      </c>
      <c r="E4351" t="s">
        <v>4255</v>
      </c>
      <c r="F4351" t="s">
        <v>94</v>
      </c>
      <c r="G4351" t="s">
        <v>277</v>
      </c>
      <c r="H4351" s="12">
        <v>7.1810999999999998</v>
      </c>
      <c r="I4351" s="12">
        <v>-75.441900000000004</v>
      </c>
      <c r="J4351" t="s">
        <v>4256</v>
      </c>
      <c r="K4351" t="s">
        <v>97</v>
      </c>
      <c r="L4351" t="s">
        <v>1273</v>
      </c>
      <c r="M4351">
        <v>11</v>
      </c>
      <c r="P4351" s="13">
        <v>117</v>
      </c>
      <c r="Q4351" s="13">
        <v>37</v>
      </c>
      <c r="R4351">
        <v>18</v>
      </c>
      <c r="S4351">
        <v>28</v>
      </c>
      <c r="T4351" s="13">
        <v>19</v>
      </c>
      <c r="U4351" s="13">
        <v>0</v>
      </c>
      <c r="V4351" t="s">
        <v>99</v>
      </c>
      <c r="X4351" s="13">
        <v>117</v>
      </c>
    </row>
    <row r="4352" spans="1:24" x14ac:dyDescent="0.25">
      <c r="A4352" t="s">
        <v>4295</v>
      </c>
      <c r="B4352" t="s">
        <v>65</v>
      </c>
      <c r="C4352" t="s">
        <v>4296</v>
      </c>
      <c r="D4352" t="s">
        <v>4297</v>
      </c>
      <c r="E4352" t="s">
        <v>4298</v>
      </c>
      <c r="F4352" t="s">
        <v>94</v>
      </c>
      <c r="G4352" t="s">
        <v>277</v>
      </c>
      <c r="H4352" s="12">
        <v>8.4285999999999994</v>
      </c>
      <c r="I4352" s="12">
        <v>-76.786100000000005</v>
      </c>
      <c r="J4352" t="s">
        <v>4299</v>
      </c>
      <c r="K4352" t="s">
        <v>97</v>
      </c>
      <c r="L4352" t="s">
        <v>1273</v>
      </c>
      <c r="M4352">
        <v>11</v>
      </c>
      <c r="P4352" s="13">
        <v>191</v>
      </c>
      <c r="Q4352" s="13">
        <v>34</v>
      </c>
      <c r="R4352">
        <v>44</v>
      </c>
      <c r="S4352">
        <v>42</v>
      </c>
      <c r="T4352" s="13">
        <v>29</v>
      </c>
      <c r="U4352" s="13">
        <v>49</v>
      </c>
      <c r="V4352" t="s">
        <v>99</v>
      </c>
      <c r="X4352" s="13">
        <v>191</v>
      </c>
    </row>
    <row r="4353" spans="1:24" x14ac:dyDescent="0.25">
      <c r="A4353" t="s">
        <v>4300</v>
      </c>
      <c r="B4353" t="s">
        <v>65</v>
      </c>
      <c r="C4353" t="s">
        <v>4296</v>
      </c>
      <c r="D4353" t="s">
        <v>4297</v>
      </c>
      <c r="E4353" t="s">
        <v>4298</v>
      </c>
      <c r="F4353" t="s">
        <v>94</v>
      </c>
      <c r="G4353" t="s">
        <v>277</v>
      </c>
      <c r="H4353" s="12">
        <v>8.4285999999999994</v>
      </c>
      <c r="I4353" s="12">
        <v>-76.786100000000005</v>
      </c>
      <c r="J4353" t="s">
        <v>4299</v>
      </c>
      <c r="K4353" t="s">
        <v>97</v>
      </c>
      <c r="L4353" t="s">
        <v>1273</v>
      </c>
      <c r="M4353">
        <v>11</v>
      </c>
      <c r="P4353" s="13">
        <v>191</v>
      </c>
      <c r="Q4353" s="13">
        <v>39</v>
      </c>
      <c r="R4353">
        <v>34</v>
      </c>
      <c r="S4353">
        <v>46</v>
      </c>
      <c r="T4353" s="13">
        <v>36</v>
      </c>
      <c r="U4353" s="13">
        <v>31</v>
      </c>
      <c r="V4353" t="s">
        <v>99</v>
      </c>
      <c r="X4353" s="13">
        <v>191</v>
      </c>
    </row>
    <row r="4354" spans="1:24" x14ac:dyDescent="0.25">
      <c r="A4354" t="s">
        <v>4301</v>
      </c>
      <c r="B4354" t="s">
        <v>65</v>
      </c>
      <c r="C4354" t="s">
        <v>4296</v>
      </c>
      <c r="D4354" t="s">
        <v>4297</v>
      </c>
      <c r="E4354" t="s">
        <v>4298</v>
      </c>
      <c r="F4354" t="s">
        <v>94</v>
      </c>
      <c r="G4354" t="s">
        <v>277</v>
      </c>
      <c r="H4354" s="12">
        <v>8.4285999999999994</v>
      </c>
      <c r="I4354" s="12">
        <v>-76.786100000000005</v>
      </c>
      <c r="J4354" t="s">
        <v>4299</v>
      </c>
      <c r="K4354" t="s">
        <v>97</v>
      </c>
      <c r="L4354" t="s">
        <v>1273</v>
      </c>
      <c r="M4354">
        <v>11</v>
      </c>
      <c r="P4354" s="13">
        <v>189</v>
      </c>
      <c r="Q4354" s="13">
        <v>49</v>
      </c>
      <c r="R4354">
        <v>22</v>
      </c>
      <c r="S4354">
        <v>54</v>
      </c>
      <c r="T4354" s="13">
        <v>24</v>
      </c>
      <c r="U4354" s="13">
        <v>44</v>
      </c>
      <c r="V4354" t="s">
        <v>99</v>
      </c>
      <c r="X4354" s="13">
        <v>189</v>
      </c>
    </row>
    <row r="4355" spans="1:24" x14ac:dyDescent="0.25">
      <c r="A4355" t="s">
        <v>4302</v>
      </c>
      <c r="B4355" t="s">
        <v>65</v>
      </c>
      <c r="C4355" t="s">
        <v>4296</v>
      </c>
      <c r="D4355" t="s">
        <v>4297</v>
      </c>
      <c r="E4355" t="s">
        <v>4298</v>
      </c>
      <c r="F4355" t="s">
        <v>94</v>
      </c>
      <c r="G4355" t="s">
        <v>277</v>
      </c>
      <c r="H4355" s="12">
        <v>8.4285999999999994</v>
      </c>
      <c r="I4355" s="12">
        <v>-76.786100000000005</v>
      </c>
      <c r="J4355" t="s">
        <v>4299</v>
      </c>
      <c r="K4355" t="s">
        <v>97</v>
      </c>
      <c r="L4355" t="s">
        <v>1273</v>
      </c>
      <c r="M4355">
        <v>11</v>
      </c>
      <c r="P4355" s="13">
        <v>182</v>
      </c>
      <c r="Q4355" s="13">
        <v>41</v>
      </c>
      <c r="R4355">
        <v>26</v>
      </c>
      <c r="S4355">
        <v>42</v>
      </c>
      <c r="T4355" s="13">
        <v>33</v>
      </c>
      <c r="U4355" s="13">
        <v>45</v>
      </c>
      <c r="V4355" t="s">
        <v>99</v>
      </c>
      <c r="X4355" s="13">
        <v>182</v>
      </c>
    </row>
    <row r="4356" spans="1:24" x14ac:dyDescent="0.25">
      <c r="A4356" t="s">
        <v>4303</v>
      </c>
      <c r="B4356" t="s">
        <v>65</v>
      </c>
      <c r="C4356" t="s">
        <v>4296</v>
      </c>
      <c r="D4356" t="s">
        <v>4297</v>
      </c>
      <c r="E4356" t="s">
        <v>4298</v>
      </c>
      <c r="F4356" t="s">
        <v>94</v>
      </c>
      <c r="G4356" t="s">
        <v>277</v>
      </c>
      <c r="H4356" s="12">
        <v>8.4285999999999994</v>
      </c>
      <c r="I4356" s="12">
        <v>-76.786100000000005</v>
      </c>
      <c r="J4356" t="s">
        <v>4299</v>
      </c>
      <c r="K4356" t="s">
        <v>97</v>
      </c>
      <c r="L4356" t="s">
        <v>1273</v>
      </c>
      <c r="M4356">
        <v>11</v>
      </c>
      <c r="P4356" s="13">
        <v>180</v>
      </c>
      <c r="Q4356" s="13">
        <v>34</v>
      </c>
      <c r="R4356">
        <v>28</v>
      </c>
      <c r="S4356">
        <v>50</v>
      </c>
      <c r="T4356" s="13">
        <v>31</v>
      </c>
      <c r="U4356" s="13">
        <v>38</v>
      </c>
      <c r="V4356" t="s">
        <v>99</v>
      </c>
      <c r="X4356" s="13">
        <v>180</v>
      </c>
    </row>
    <row r="4357" spans="1:24" x14ac:dyDescent="0.25">
      <c r="A4357" t="s">
        <v>4304</v>
      </c>
      <c r="B4357" t="s">
        <v>65</v>
      </c>
      <c r="C4357" t="s">
        <v>4296</v>
      </c>
      <c r="D4357" t="s">
        <v>4297</v>
      </c>
      <c r="E4357" t="s">
        <v>4298</v>
      </c>
      <c r="F4357" t="s">
        <v>94</v>
      </c>
      <c r="G4357" t="s">
        <v>277</v>
      </c>
      <c r="H4357" s="12">
        <v>8.4285999999999994</v>
      </c>
      <c r="I4357" s="12">
        <v>-76.786100000000005</v>
      </c>
      <c r="J4357" t="s">
        <v>4299</v>
      </c>
      <c r="K4357" t="s">
        <v>97</v>
      </c>
      <c r="L4357" t="s">
        <v>1273</v>
      </c>
      <c r="M4357">
        <v>11</v>
      </c>
      <c r="P4357" s="13">
        <v>179</v>
      </c>
      <c r="Q4357" s="13">
        <v>39</v>
      </c>
      <c r="R4357">
        <v>16</v>
      </c>
      <c r="S4357">
        <v>52</v>
      </c>
      <c r="T4357" s="13">
        <v>34</v>
      </c>
      <c r="U4357" s="13">
        <v>40</v>
      </c>
      <c r="V4357" t="s">
        <v>99</v>
      </c>
      <c r="X4357" s="13">
        <v>179</v>
      </c>
    </row>
    <row r="4358" spans="1:24" x14ac:dyDescent="0.25">
      <c r="A4358" t="s">
        <v>4305</v>
      </c>
      <c r="B4358" t="s">
        <v>65</v>
      </c>
      <c r="C4358" t="s">
        <v>4296</v>
      </c>
      <c r="D4358" t="s">
        <v>4297</v>
      </c>
      <c r="E4358" t="s">
        <v>4298</v>
      </c>
      <c r="F4358" t="s">
        <v>94</v>
      </c>
      <c r="G4358" t="s">
        <v>277</v>
      </c>
      <c r="H4358" s="12">
        <v>8.4285999999999994</v>
      </c>
      <c r="I4358" s="12">
        <v>-76.786100000000005</v>
      </c>
      <c r="J4358" t="s">
        <v>4299</v>
      </c>
      <c r="K4358" t="s">
        <v>97</v>
      </c>
      <c r="L4358" t="s">
        <v>1273</v>
      </c>
      <c r="M4358">
        <v>11</v>
      </c>
      <c r="P4358" s="13">
        <v>176</v>
      </c>
      <c r="Q4358" s="13">
        <v>49</v>
      </c>
      <c r="R4358">
        <v>20</v>
      </c>
      <c r="S4358">
        <v>40</v>
      </c>
      <c r="T4358" s="13">
        <v>31</v>
      </c>
      <c r="U4358" s="13">
        <v>38</v>
      </c>
      <c r="V4358" t="s">
        <v>99</v>
      </c>
      <c r="X4358" s="13">
        <v>176</v>
      </c>
    </row>
    <row r="4359" spans="1:24" x14ac:dyDescent="0.25">
      <c r="A4359" t="s">
        <v>4306</v>
      </c>
      <c r="B4359" t="s">
        <v>65</v>
      </c>
      <c r="C4359" t="s">
        <v>4296</v>
      </c>
      <c r="D4359" t="s">
        <v>4297</v>
      </c>
      <c r="E4359" t="s">
        <v>4298</v>
      </c>
      <c r="F4359" t="s">
        <v>94</v>
      </c>
      <c r="G4359" t="s">
        <v>277</v>
      </c>
      <c r="H4359" s="12">
        <v>8.4285999999999994</v>
      </c>
      <c r="I4359" s="12">
        <v>-76.786100000000005</v>
      </c>
      <c r="J4359" t="s">
        <v>4299</v>
      </c>
      <c r="K4359" t="s">
        <v>97</v>
      </c>
      <c r="L4359" t="s">
        <v>1273</v>
      </c>
      <c r="M4359">
        <v>11</v>
      </c>
      <c r="P4359" s="13">
        <v>172</v>
      </c>
      <c r="Q4359" s="13">
        <v>32</v>
      </c>
      <c r="R4359">
        <v>26</v>
      </c>
      <c r="S4359">
        <v>44</v>
      </c>
      <c r="T4359" s="13">
        <v>36</v>
      </c>
      <c r="U4359" s="13">
        <v>35</v>
      </c>
      <c r="V4359" t="s">
        <v>99</v>
      </c>
      <c r="X4359" s="13">
        <v>172</v>
      </c>
    </row>
    <row r="4360" spans="1:24" x14ac:dyDescent="0.25">
      <c r="A4360" t="s">
        <v>4307</v>
      </c>
      <c r="B4360" t="s">
        <v>65</v>
      </c>
      <c r="C4360" t="s">
        <v>4296</v>
      </c>
      <c r="D4360" t="s">
        <v>4297</v>
      </c>
      <c r="E4360" t="s">
        <v>4298</v>
      </c>
      <c r="F4360" t="s">
        <v>94</v>
      </c>
      <c r="G4360" t="s">
        <v>277</v>
      </c>
      <c r="H4360" s="12">
        <v>8.4285999999999994</v>
      </c>
      <c r="I4360" s="12">
        <v>-76.786100000000005</v>
      </c>
      <c r="J4360" t="s">
        <v>4299</v>
      </c>
      <c r="K4360" t="s">
        <v>97</v>
      </c>
      <c r="L4360" t="s">
        <v>1273</v>
      </c>
      <c r="M4360">
        <v>11</v>
      </c>
      <c r="P4360" s="13">
        <v>172</v>
      </c>
      <c r="Q4360" s="13">
        <v>37</v>
      </c>
      <c r="R4360">
        <v>16</v>
      </c>
      <c r="S4360">
        <v>50</v>
      </c>
      <c r="T4360" s="13">
        <v>36</v>
      </c>
      <c r="U4360" s="13">
        <v>31</v>
      </c>
      <c r="V4360" t="s">
        <v>99</v>
      </c>
      <c r="X4360" s="13">
        <v>172</v>
      </c>
    </row>
    <row r="4361" spans="1:24" x14ac:dyDescent="0.25">
      <c r="A4361" t="s">
        <v>4308</v>
      </c>
      <c r="B4361" t="s">
        <v>65</v>
      </c>
      <c r="C4361" t="s">
        <v>4296</v>
      </c>
      <c r="D4361" t="s">
        <v>4297</v>
      </c>
      <c r="E4361" t="s">
        <v>4298</v>
      </c>
      <c r="F4361" t="s">
        <v>94</v>
      </c>
      <c r="G4361" t="s">
        <v>277</v>
      </c>
      <c r="H4361" s="12">
        <v>8.4285999999999994</v>
      </c>
      <c r="I4361" s="12">
        <v>-76.786100000000005</v>
      </c>
      <c r="J4361" t="s">
        <v>4299</v>
      </c>
      <c r="K4361" t="s">
        <v>97</v>
      </c>
      <c r="L4361" t="s">
        <v>1273</v>
      </c>
      <c r="M4361">
        <v>11</v>
      </c>
      <c r="P4361" s="13">
        <v>167</v>
      </c>
      <c r="Q4361" s="13">
        <v>34</v>
      </c>
      <c r="R4361">
        <v>18</v>
      </c>
      <c r="S4361">
        <v>48</v>
      </c>
      <c r="T4361" s="13">
        <v>34</v>
      </c>
      <c r="U4361" s="13">
        <v>31</v>
      </c>
      <c r="V4361" t="s">
        <v>99</v>
      </c>
      <c r="X4361" s="13">
        <v>167</v>
      </c>
    </row>
    <row r="4362" spans="1:24" x14ac:dyDescent="0.25">
      <c r="A4362" t="s">
        <v>4309</v>
      </c>
      <c r="B4362" t="s">
        <v>65</v>
      </c>
      <c r="C4362" t="s">
        <v>4296</v>
      </c>
      <c r="D4362" t="s">
        <v>4297</v>
      </c>
      <c r="E4362" t="s">
        <v>4298</v>
      </c>
      <c r="F4362" t="s">
        <v>94</v>
      </c>
      <c r="G4362" t="s">
        <v>277</v>
      </c>
      <c r="H4362" s="12">
        <v>8.4285999999999994</v>
      </c>
      <c r="I4362" s="12">
        <v>-76.786100000000005</v>
      </c>
      <c r="J4362" t="s">
        <v>4299</v>
      </c>
      <c r="K4362" t="s">
        <v>97</v>
      </c>
      <c r="L4362" t="s">
        <v>1273</v>
      </c>
      <c r="M4362">
        <v>11</v>
      </c>
      <c r="P4362" s="13">
        <v>167</v>
      </c>
      <c r="Q4362" s="13">
        <v>46</v>
      </c>
      <c r="R4362">
        <v>22</v>
      </c>
      <c r="S4362">
        <v>38</v>
      </c>
      <c r="T4362" s="13">
        <v>28</v>
      </c>
      <c r="U4362" s="13">
        <v>33</v>
      </c>
      <c r="V4362" t="s">
        <v>99</v>
      </c>
      <c r="X4362" s="13">
        <v>167</v>
      </c>
    </row>
    <row r="4363" spans="1:24" x14ac:dyDescent="0.25">
      <c r="A4363" t="s">
        <v>4310</v>
      </c>
      <c r="B4363" t="s">
        <v>65</v>
      </c>
      <c r="C4363" t="s">
        <v>4296</v>
      </c>
      <c r="D4363" t="s">
        <v>4297</v>
      </c>
      <c r="E4363" t="s">
        <v>4298</v>
      </c>
      <c r="F4363" t="s">
        <v>94</v>
      </c>
      <c r="G4363" t="s">
        <v>277</v>
      </c>
      <c r="H4363" s="12">
        <v>8.4285999999999994</v>
      </c>
      <c r="I4363" s="12">
        <v>-76.786100000000005</v>
      </c>
      <c r="J4363" t="s">
        <v>4299</v>
      </c>
      <c r="K4363" t="s">
        <v>97</v>
      </c>
      <c r="L4363" t="s">
        <v>1273</v>
      </c>
      <c r="M4363">
        <v>11</v>
      </c>
      <c r="P4363" s="13">
        <v>163</v>
      </c>
      <c r="Q4363" s="13">
        <v>29</v>
      </c>
      <c r="R4363">
        <v>32</v>
      </c>
      <c r="S4363">
        <v>42</v>
      </c>
      <c r="T4363" s="13">
        <v>29</v>
      </c>
      <c r="U4363" s="13">
        <v>27</v>
      </c>
      <c r="V4363" t="s">
        <v>99</v>
      </c>
      <c r="X4363" s="13">
        <v>163</v>
      </c>
    </row>
    <row r="4364" spans="1:24" x14ac:dyDescent="0.25">
      <c r="A4364" t="s">
        <v>4311</v>
      </c>
      <c r="B4364" t="s">
        <v>65</v>
      </c>
      <c r="C4364" t="s">
        <v>4296</v>
      </c>
      <c r="D4364" t="s">
        <v>4297</v>
      </c>
      <c r="E4364" t="s">
        <v>4298</v>
      </c>
      <c r="F4364" t="s">
        <v>94</v>
      </c>
      <c r="G4364" t="s">
        <v>277</v>
      </c>
      <c r="H4364" s="12">
        <v>8.4285999999999994</v>
      </c>
      <c r="I4364" s="12">
        <v>-76.786100000000005</v>
      </c>
      <c r="J4364" t="s">
        <v>4299</v>
      </c>
      <c r="K4364" t="s">
        <v>97</v>
      </c>
      <c r="L4364" t="s">
        <v>1273</v>
      </c>
      <c r="M4364">
        <v>11</v>
      </c>
      <c r="P4364" s="13">
        <v>161</v>
      </c>
      <c r="Q4364" s="13">
        <v>32</v>
      </c>
      <c r="R4364">
        <v>34</v>
      </c>
      <c r="S4364">
        <v>20</v>
      </c>
      <c r="T4364" s="13">
        <v>38</v>
      </c>
      <c r="U4364" s="13">
        <v>47</v>
      </c>
      <c r="V4364" t="s">
        <v>99</v>
      </c>
      <c r="X4364" s="13">
        <v>161</v>
      </c>
    </row>
    <row r="4365" spans="1:24" x14ac:dyDescent="0.25">
      <c r="A4365" t="s">
        <v>4312</v>
      </c>
      <c r="B4365" t="s">
        <v>65</v>
      </c>
      <c r="C4365" t="s">
        <v>4296</v>
      </c>
      <c r="D4365" t="s">
        <v>4297</v>
      </c>
      <c r="E4365" t="s">
        <v>4298</v>
      </c>
      <c r="F4365" t="s">
        <v>94</v>
      </c>
      <c r="G4365" t="s">
        <v>277</v>
      </c>
      <c r="H4365" s="12">
        <v>8.4285999999999994</v>
      </c>
      <c r="I4365" s="12">
        <v>-76.786100000000005</v>
      </c>
      <c r="J4365" t="s">
        <v>4299</v>
      </c>
      <c r="K4365" t="s">
        <v>97</v>
      </c>
      <c r="L4365" t="s">
        <v>1273</v>
      </c>
      <c r="M4365">
        <v>11</v>
      </c>
      <c r="P4365" s="13">
        <v>160</v>
      </c>
      <c r="Q4365" s="13">
        <v>27</v>
      </c>
      <c r="R4365">
        <v>20</v>
      </c>
      <c r="S4365">
        <v>46</v>
      </c>
      <c r="T4365" s="13">
        <v>33</v>
      </c>
      <c r="U4365" s="13">
        <v>40</v>
      </c>
      <c r="V4365" t="s">
        <v>99</v>
      </c>
      <c r="X4365" s="13">
        <v>160</v>
      </c>
    </row>
    <row r="4366" spans="1:24" x14ac:dyDescent="0.25">
      <c r="A4366" t="s">
        <v>4313</v>
      </c>
      <c r="B4366" t="s">
        <v>65</v>
      </c>
      <c r="C4366" t="s">
        <v>4296</v>
      </c>
      <c r="D4366" t="s">
        <v>4297</v>
      </c>
      <c r="E4366" t="s">
        <v>4298</v>
      </c>
      <c r="F4366" t="s">
        <v>94</v>
      </c>
      <c r="G4366" t="s">
        <v>277</v>
      </c>
      <c r="H4366" s="12">
        <v>8.4285999999999994</v>
      </c>
      <c r="I4366" s="12">
        <v>-76.786100000000005</v>
      </c>
      <c r="J4366" t="s">
        <v>4299</v>
      </c>
      <c r="K4366" t="s">
        <v>97</v>
      </c>
      <c r="L4366" t="s">
        <v>1273</v>
      </c>
      <c r="M4366">
        <v>11</v>
      </c>
      <c r="P4366" s="13">
        <v>158</v>
      </c>
      <c r="Q4366" s="13">
        <v>29</v>
      </c>
      <c r="R4366">
        <v>42</v>
      </c>
      <c r="S4366">
        <v>34</v>
      </c>
      <c r="T4366" s="13">
        <v>24</v>
      </c>
      <c r="U4366" s="13">
        <v>24</v>
      </c>
      <c r="V4366" t="s">
        <v>99</v>
      </c>
      <c r="X4366" s="13">
        <v>158</v>
      </c>
    </row>
    <row r="4367" spans="1:24" x14ac:dyDescent="0.25">
      <c r="A4367" t="s">
        <v>4314</v>
      </c>
      <c r="B4367" t="s">
        <v>65</v>
      </c>
      <c r="C4367" t="s">
        <v>4296</v>
      </c>
      <c r="D4367" t="s">
        <v>4297</v>
      </c>
      <c r="E4367" t="s">
        <v>4298</v>
      </c>
      <c r="F4367" t="s">
        <v>94</v>
      </c>
      <c r="G4367" t="s">
        <v>277</v>
      </c>
      <c r="H4367" s="12">
        <v>8.4285999999999994</v>
      </c>
      <c r="I4367" s="12">
        <v>-76.786100000000005</v>
      </c>
      <c r="J4367" t="s">
        <v>4299</v>
      </c>
      <c r="K4367" t="s">
        <v>97</v>
      </c>
      <c r="L4367" t="s">
        <v>1273</v>
      </c>
      <c r="M4367">
        <v>11</v>
      </c>
      <c r="P4367" s="13">
        <v>158</v>
      </c>
      <c r="Q4367" s="13">
        <v>41</v>
      </c>
      <c r="R4367">
        <v>22</v>
      </c>
      <c r="S4367">
        <v>34</v>
      </c>
      <c r="T4367" s="13">
        <v>28</v>
      </c>
      <c r="U4367" s="13">
        <v>36</v>
      </c>
      <c r="V4367" t="s">
        <v>99</v>
      </c>
      <c r="X4367" s="13">
        <v>158</v>
      </c>
    </row>
    <row r="4368" spans="1:24" x14ac:dyDescent="0.25">
      <c r="A4368" t="s">
        <v>4315</v>
      </c>
      <c r="B4368" t="s">
        <v>65</v>
      </c>
      <c r="C4368" t="s">
        <v>4296</v>
      </c>
      <c r="D4368" t="s">
        <v>4297</v>
      </c>
      <c r="E4368" t="s">
        <v>4298</v>
      </c>
      <c r="F4368" t="s">
        <v>94</v>
      </c>
      <c r="G4368" t="s">
        <v>277</v>
      </c>
      <c r="H4368" s="12">
        <v>8.4285999999999994</v>
      </c>
      <c r="I4368" s="12">
        <v>-76.786100000000005</v>
      </c>
      <c r="J4368" t="s">
        <v>4299</v>
      </c>
      <c r="K4368" t="s">
        <v>97</v>
      </c>
      <c r="L4368" t="s">
        <v>1273</v>
      </c>
      <c r="M4368">
        <v>11</v>
      </c>
      <c r="P4368" s="13">
        <v>153</v>
      </c>
      <c r="Q4368" s="13">
        <v>34</v>
      </c>
      <c r="R4368">
        <v>24</v>
      </c>
      <c r="S4368">
        <v>28</v>
      </c>
      <c r="T4368" s="13">
        <v>38</v>
      </c>
      <c r="U4368" s="13">
        <v>25</v>
      </c>
      <c r="V4368" t="s">
        <v>99</v>
      </c>
      <c r="X4368" s="13">
        <v>153</v>
      </c>
    </row>
    <row r="4369" spans="1:24" x14ac:dyDescent="0.25">
      <c r="A4369" t="s">
        <v>4316</v>
      </c>
      <c r="B4369" t="s">
        <v>65</v>
      </c>
      <c r="C4369" t="s">
        <v>4296</v>
      </c>
      <c r="D4369" t="s">
        <v>4297</v>
      </c>
      <c r="E4369" t="s">
        <v>4298</v>
      </c>
      <c r="F4369" t="s">
        <v>94</v>
      </c>
      <c r="G4369" t="s">
        <v>277</v>
      </c>
      <c r="H4369" s="12">
        <v>8.4285999999999994</v>
      </c>
      <c r="I4369" s="12">
        <v>-76.786100000000005</v>
      </c>
      <c r="J4369" t="s">
        <v>4299</v>
      </c>
      <c r="K4369" t="s">
        <v>97</v>
      </c>
      <c r="L4369" t="s">
        <v>1273</v>
      </c>
      <c r="M4369">
        <v>11</v>
      </c>
      <c r="P4369" s="13">
        <v>150</v>
      </c>
      <c r="Q4369" s="13">
        <v>32</v>
      </c>
      <c r="R4369">
        <v>24</v>
      </c>
      <c r="S4369">
        <v>30</v>
      </c>
      <c r="T4369" s="13">
        <v>36</v>
      </c>
      <c r="U4369" s="13">
        <v>24</v>
      </c>
      <c r="V4369" t="s">
        <v>99</v>
      </c>
      <c r="X4369" s="13">
        <v>150</v>
      </c>
    </row>
    <row r="4370" spans="1:24" x14ac:dyDescent="0.25">
      <c r="A4370" t="s">
        <v>4317</v>
      </c>
      <c r="B4370" t="s">
        <v>65</v>
      </c>
      <c r="C4370" t="s">
        <v>4296</v>
      </c>
      <c r="D4370" t="s">
        <v>4297</v>
      </c>
      <c r="E4370" t="s">
        <v>4298</v>
      </c>
      <c r="F4370" t="s">
        <v>94</v>
      </c>
      <c r="G4370" t="s">
        <v>277</v>
      </c>
      <c r="H4370" s="12">
        <v>8.4285999999999994</v>
      </c>
      <c r="I4370" s="12">
        <v>-76.786100000000005</v>
      </c>
      <c r="J4370" t="s">
        <v>4299</v>
      </c>
      <c r="K4370" t="s">
        <v>97</v>
      </c>
      <c r="L4370" t="s">
        <v>1273</v>
      </c>
      <c r="M4370">
        <v>11</v>
      </c>
      <c r="P4370" s="13">
        <v>149</v>
      </c>
      <c r="Q4370" s="13">
        <v>37</v>
      </c>
      <c r="R4370">
        <v>20</v>
      </c>
      <c r="S4370">
        <v>32</v>
      </c>
      <c r="T4370" s="13">
        <v>29</v>
      </c>
      <c r="U4370" s="13">
        <v>35</v>
      </c>
      <c r="V4370" t="s">
        <v>99</v>
      </c>
      <c r="X4370" s="13">
        <v>149</v>
      </c>
    </row>
    <row r="4371" spans="1:24" x14ac:dyDescent="0.25">
      <c r="A4371" t="s">
        <v>4318</v>
      </c>
      <c r="B4371" t="s">
        <v>65</v>
      </c>
      <c r="C4371" t="s">
        <v>4296</v>
      </c>
      <c r="D4371" t="s">
        <v>4297</v>
      </c>
      <c r="E4371" t="s">
        <v>4298</v>
      </c>
      <c r="F4371" t="s">
        <v>94</v>
      </c>
      <c r="G4371" t="s">
        <v>277</v>
      </c>
      <c r="H4371" s="12">
        <v>8.4285999999999994</v>
      </c>
      <c r="I4371" s="12">
        <v>-76.786100000000005</v>
      </c>
      <c r="J4371" t="s">
        <v>4299</v>
      </c>
      <c r="K4371" t="s">
        <v>97</v>
      </c>
      <c r="L4371" t="s">
        <v>1273</v>
      </c>
      <c r="M4371">
        <v>11</v>
      </c>
      <c r="P4371" s="13">
        <v>149</v>
      </c>
      <c r="Q4371" s="13">
        <v>29</v>
      </c>
      <c r="R4371">
        <v>38</v>
      </c>
      <c r="S4371">
        <v>28</v>
      </c>
      <c r="T4371" s="13">
        <v>22</v>
      </c>
      <c r="U4371" s="13">
        <v>35</v>
      </c>
      <c r="V4371" t="s">
        <v>99</v>
      </c>
      <c r="X4371" s="13">
        <v>149</v>
      </c>
    </row>
    <row r="4372" spans="1:24" x14ac:dyDescent="0.25">
      <c r="A4372" t="s">
        <v>4319</v>
      </c>
      <c r="B4372" t="s">
        <v>65</v>
      </c>
      <c r="C4372" t="s">
        <v>4296</v>
      </c>
      <c r="D4372" t="s">
        <v>4297</v>
      </c>
      <c r="E4372" t="s">
        <v>4298</v>
      </c>
      <c r="F4372" t="s">
        <v>94</v>
      </c>
      <c r="G4372" t="s">
        <v>277</v>
      </c>
      <c r="H4372" s="12">
        <v>8.4285999999999994</v>
      </c>
      <c r="I4372" s="12">
        <v>-76.786100000000005</v>
      </c>
      <c r="J4372" t="s">
        <v>4299</v>
      </c>
      <c r="K4372" t="s">
        <v>97</v>
      </c>
      <c r="L4372" t="s">
        <v>1273</v>
      </c>
      <c r="M4372">
        <v>11</v>
      </c>
      <c r="P4372" s="13">
        <v>149</v>
      </c>
      <c r="Q4372" s="13">
        <v>37</v>
      </c>
      <c r="R4372">
        <v>22</v>
      </c>
      <c r="S4372">
        <v>30</v>
      </c>
      <c r="T4372" s="13">
        <v>26</v>
      </c>
      <c r="U4372" s="13">
        <v>44</v>
      </c>
      <c r="V4372" t="s">
        <v>99</v>
      </c>
      <c r="X4372" s="13">
        <v>149</v>
      </c>
    </row>
    <row r="4373" spans="1:24" x14ac:dyDescent="0.25">
      <c r="A4373" t="s">
        <v>4320</v>
      </c>
      <c r="B4373" t="s">
        <v>65</v>
      </c>
      <c r="C4373" t="s">
        <v>4296</v>
      </c>
      <c r="D4373" t="s">
        <v>4297</v>
      </c>
      <c r="E4373" t="s">
        <v>4298</v>
      </c>
      <c r="F4373" t="s">
        <v>94</v>
      </c>
      <c r="G4373" t="s">
        <v>277</v>
      </c>
      <c r="H4373" s="12">
        <v>8.4285999999999994</v>
      </c>
      <c r="I4373" s="12">
        <v>-76.786100000000005</v>
      </c>
      <c r="J4373" t="s">
        <v>4299</v>
      </c>
      <c r="K4373" t="s">
        <v>97</v>
      </c>
      <c r="L4373" t="s">
        <v>1273</v>
      </c>
      <c r="M4373">
        <v>11</v>
      </c>
      <c r="P4373" s="13">
        <v>147</v>
      </c>
      <c r="Q4373" s="13">
        <v>34</v>
      </c>
      <c r="R4373">
        <v>24</v>
      </c>
      <c r="S4373">
        <v>30</v>
      </c>
      <c r="T4373" s="13">
        <v>29</v>
      </c>
      <c r="U4373" s="13">
        <v>29</v>
      </c>
      <c r="V4373" t="s">
        <v>99</v>
      </c>
      <c r="X4373" s="13">
        <v>147</v>
      </c>
    </row>
    <row r="4374" spans="1:24" x14ac:dyDescent="0.25">
      <c r="A4374" t="s">
        <v>4321</v>
      </c>
      <c r="B4374" t="s">
        <v>65</v>
      </c>
      <c r="C4374" t="s">
        <v>4296</v>
      </c>
      <c r="D4374" t="s">
        <v>4297</v>
      </c>
      <c r="E4374" t="s">
        <v>4298</v>
      </c>
      <c r="F4374" t="s">
        <v>94</v>
      </c>
      <c r="G4374" t="s">
        <v>277</v>
      </c>
      <c r="H4374" s="12">
        <v>8.4285999999999994</v>
      </c>
      <c r="I4374" s="12">
        <v>-76.786100000000005</v>
      </c>
      <c r="J4374" t="s">
        <v>4299</v>
      </c>
      <c r="K4374" t="s">
        <v>97</v>
      </c>
      <c r="L4374" t="s">
        <v>1273</v>
      </c>
      <c r="M4374">
        <v>11</v>
      </c>
      <c r="P4374" s="13">
        <v>144</v>
      </c>
      <c r="Q4374" s="13">
        <v>27</v>
      </c>
      <c r="R4374">
        <v>24</v>
      </c>
      <c r="S4374">
        <v>42</v>
      </c>
      <c r="T4374" s="13">
        <v>21</v>
      </c>
      <c r="U4374" s="13">
        <v>33</v>
      </c>
      <c r="V4374" t="s">
        <v>99</v>
      </c>
      <c r="X4374" s="13">
        <v>144</v>
      </c>
    </row>
    <row r="4375" spans="1:24" x14ac:dyDescent="0.25">
      <c r="A4375" t="s">
        <v>4322</v>
      </c>
      <c r="B4375" t="s">
        <v>65</v>
      </c>
      <c r="C4375" t="s">
        <v>4296</v>
      </c>
      <c r="D4375" t="s">
        <v>4297</v>
      </c>
      <c r="E4375" t="s">
        <v>4298</v>
      </c>
      <c r="F4375" t="s">
        <v>94</v>
      </c>
      <c r="G4375" t="s">
        <v>277</v>
      </c>
      <c r="H4375" s="12">
        <v>8.4285999999999994</v>
      </c>
      <c r="I4375" s="12">
        <v>-76.786100000000005</v>
      </c>
      <c r="J4375" t="s">
        <v>4299</v>
      </c>
      <c r="K4375" t="s">
        <v>97</v>
      </c>
      <c r="L4375" t="s">
        <v>1273</v>
      </c>
      <c r="M4375">
        <v>11</v>
      </c>
      <c r="P4375" s="13">
        <v>140</v>
      </c>
      <c r="Q4375" s="13">
        <v>32</v>
      </c>
      <c r="R4375">
        <v>34</v>
      </c>
      <c r="S4375">
        <v>28</v>
      </c>
      <c r="T4375" s="13">
        <v>21</v>
      </c>
      <c r="U4375" s="13">
        <v>22</v>
      </c>
      <c r="V4375" t="s">
        <v>99</v>
      </c>
      <c r="X4375" s="13">
        <v>140</v>
      </c>
    </row>
    <row r="4376" spans="1:24" x14ac:dyDescent="0.25">
      <c r="A4376" t="s">
        <v>4323</v>
      </c>
      <c r="B4376" t="s">
        <v>65</v>
      </c>
      <c r="C4376" t="s">
        <v>4296</v>
      </c>
      <c r="D4376" t="s">
        <v>4297</v>
      </c>
      <c r="E4376" t="s">
        <v>4298</v>
      </c>
      <c r="F4376" t="s">
        <v>94</v>
      </c>
      <c r="G4376" t="s">
        <v>277</v>
      </c>
      <c r="H4376" s="12">
        <v>8.4285999999999994</v>
      </c>
      <c r="I4376" s="12">
        <v>-76.786100000000005</v>
      </c>
      <c r="J4376" t="s">
        <v>4299</v>
      </c>
      <c r="K4376" t="s">
        <v>97</v>
      </c>
      <c r="L4376" t="s">
        <v>1273</v>
      </c>
      <c r="M4376">
        <v>11</v>
      </c>
      <c r="P4376" s="13">
        <v>139</v>
      </c>
      <c r="Q4376" s="13">
        <v>37</v>
      </c>
      <c r="R4376">
        <v>18</v>
      </c>
      <c r="S4376">
        <v>38</v>
      </c>
      <c r="T4376" s="13">
        <v>16</v>
      </c>
      <c r="U4376" s="13">
        <v>38</v>
      </c>
      <c r="V4376" t="s">
        <v>99</v>
      </c>
      <c r="X4376" s="13">
        <v>139</v>
      </c>
    </row>
    <row r="4377" spans="1:24" x14ac:dyDescent="0.25">
      <c r="A4377" t="s">
        <v>4324</v>
      </c>
      <c r="B4377" t="s">
        <v>65</v>
      </c>
      <c r="C4377" t="s">
        <v>4296</v>
      </c>
      <c r="D4377" t="s">
        <v>4297</v>
      </c>
      <c r="E4377" t="s">
        <v>4298</v>
      </c>
      <c r="F4377" t="s">
        <v>94</v>
      </c>
      <c r="G4377" t="s">
        <v>277</v>
      </c>
      <c r="H4377" s="12">
        <v>8.4285999999999994</v>
      </c>
      <c r="I4377" s="12">
        <v>-76.786100000000005</v>
      </c>
      <c r="J4377" t="s">
        <v>4299</v>
      </c>
      <c r="K4377" t="s">
        <v>97</v>
      </c>
      <c r="L4377" t="s">
        <v>1273</v>
      </c>
      <c r="M4377">
        <v>11</v>
      </c>
      <c r="P4377" s="13">
        <v>137</v>
      </c>
      <c r="Q4377" s="13">
        <v>32</v>
      </c>
      <c r="R4377">
        <v>24</v>
      </c>
      <c r="S4377">
        <v>30</v>
      </c>
      <c r="T4377" s="13">
        <v>22</v>
      </c>
      <c r="U4377" s="13">
        <v>31</v>
      </c>
      <c r="V4377" t="s">
        <v>99</v>
      </c>
      <c r="X4377" s="13">
        <v>137</v>
      </c>
    </row>
    <row r="4378" spans="1:24" x14ac:dyDescent="0.25">
      <c r="A4378" t="s">
        <v>4325</v>
      </c>
      <c r="B4378" t="s">
        <v>65</v>
      </c>
      <c r="C4378" t="s">
        <v>4296</v>
      </c>
      <c r="D4378" t="s">
        <v>4297</v>
      </c>
      <c r="E4378" t="s">
        <v>4298</v>
      </c>
      <c r="F4378" t="s">
        <v>94</v>
      </c>
      <c r="G4378" t="s">
        <v>277</v>
      </c>
      <c r="H4378" s="12">
        <v>8.4285999999999994</v>
      </c>
      <c r="I4378" s="12">
        <v>-76.786100000000005</v>
      </c>
      <c r="J4378" t="s">
        <v>4299</v>
      </c>
      <c r="K4378" t="s">
        <v>97</v>
      </c>
      <c r="L4378" t="s">
        <v>1273</v>
      </c>
      <c r="M4378">
        <v>11</v>
      </c>
      <c r="P4378" s="13">
        <v>135</v>
      </c>
      <c r="Q4378" s="13">
        <v>20</v>
      </c>
      <c r="R4378">
        <v>20</v>
      </c>
      <c r="S4378">
        <v>32</v>
      </c>
      <c r="T4378" s="13">
        <v>28</v>
      </c>
      <c r="U4378" s="13">
        <v>55</v>
      </c>
      <c r="V4378" t="s">
        <v>99</v>
      </c>
      <c r="X4378" s="13">
        <v>135</v>
      </c>
    </row>
    <row r="4379" spans="1:24" x14ac:dyDescent="0.25">
      <c r="A4379" t="s">
        <v>4326</v>
      </c>
      <c r="B4379" t="s">
        <v>65</v>
      </c>
      <c r="C4379" t="s">
        <v>4296</v>
      </c>
      <c r="D4379" t="s">
        <v>4297</v>
      </c>
      <c r="E4379" t="s">
        <v>4298</v>
      </c>
      <c r="F4379" t="s">
        <v>94</v>
      </c>
      <c r="G4379" t="s">
        <v>277</v>
      </c>
      <c r="H4379" s="12">
        <v>8.4285999999999994</v>
      </c>
      <c r="I4379" s="12">
        <v>-76.786100000000005</v>
      </c>
      <c r="J4379" t="s">
        <v>4299</v>
      </c>
      <c r="K4379" t="s">
        <v>97</v>
      </c>
      <c r="L4379" t="s">
        <v>1273</v>
      </c>
      <c r="M4379">
        <v>11</v>
      </c>
      <c r="P4379" s="13">
        <v>134</v>
      </c>
      <c r="Q4379" s="13">
        <v>41</v>
      </c>
      <c r="R4379">
        <v>18</v>
      </c>
      <c r="S4379">
        <v>32</v>
      </c>
      <c r="T4379" s="13">
        <v>17</v>
      </c>
      <c r="U4379" s="13">
        <v>22</v>
      </c>
      <c r="V4379" t="s">
        <v>99</v>
      </c>
      <c r="X4379" s="13">
        <v>134</v>
      </c>
    </row>
    <row r="4380" spans="1:24" x14ac:dyDescent="0.25">
      <c r="A4380" t="s">
        <v>4327</v>
      </c>
      <c r="B4380" t="s">
        <v>65</v>
      </c>
      <c r="C4380" t="s">
        <v>4296</v>
      </c>
      <c r="D4380" t="s">
        <v>4297</v>
      </c>
      <c r="E4380" t="s">
        <v>4298</v>
      </c>
      <c r="F4380" t="s">
        <v>94</v>
      </c>
      <c r="G4380" t="s">
        <v>277</v>
      </c>
      <c r="H4380" s="12">
        <v>8.4285999999999994</v>
      </c>
      <c r="I4380" s="12">
        <v>-76.786100000000005</v>
      </c>
      <c r="J4380" t="s">
        <v>4299</v>
      </c>
      <c r="K4380" t="s">
        <v>97</v>
      </c>
      <c r="L4380" t="s">
        <v>1273</v>
      </c>
      <c r="M4380">
        <v>11</v>
      </c>
      <c r="P4380" s="13">
        <v>134</v>
      </c>
      <c r="Q4380" s="13">
        <v>24</v>
      </c>
      <c r="R4380">
        <v>36</v>
      </c>
      <c r="S4380">
        <v>28</v>
      </c>
      <c r="T4380" s="13">
        <v>17</v>
      </c>
      <c r="U4380" s="13">
        <v>31</v>
      </c>
      <c r="V4380" t="s">
        <v>99</v>
      </c>
      <c r="X4380" s="13">
        <v>134</v>
      </c>
    </row>
    <row r="4381" spans="1:24" x14ac:dyDescent="0.25">
      <c r="A4381" t="s">
        <v>4328</v>
      </c>
      <c r="B4381" t="s">
        <v>65</v>
      </c>
      <c r="C4381" t="s">
        <v>4296</v>
      </c>
      <c r="D4381" t="s">
        <v>4297</v>
      </c>
      <c r="E4381" t="s">
        <v>4298</v>
      </c>
      <c r="F4381" t="s">
        <v>94</v>
      </c>
      <c r="G4381" t="s">
        <v>277</v>
      </c>
      <c r="H4381" s="12">
        <v>8.4285999999999994</v>
      </c>
      <c r="I4381" s="12">
        <v>-76.786100000000005</v>
      </c>
      <c r="J4381" t="s">
        <v>4299</v>
      </c>
      <c r="K4381" t="s">
        <v>97</v>
      </c>
      <c r="L4381" t="s">
        <v>1273</v>
      </c>
      <c r="M4381">
        <v>11</v>
      </c>
      <c r="P4381" s="13">
        <v>133</v>
      </c>
      <c r="Q4381" s="13">
        <v>22</v>
      </c>
      <c r="R4381">
        <v>24</v>
      </c>
      <c r="S4381">
        <v>32</v>
      </c>
      <c r="T4381" s="13">
        <v>28</v>
      </c>
      <c r="U4381" s="13">
        <v>29</v>
      </c>
      <c r="V4381" t="s">
        <v>99</v>
      </c>
      <c r="X4381" s="13">
        <v>133</v>
      </c>
    </row>
    <row r="4382" spans="1:24" x14ac:dyDescent="0.25">
      <c r="A4382" t="s">
        <v>4329</v>
      </c>
      <c r="B4382" t="s">
        <v>65</v>
      </c>
      <c r="C4382" t="s">
        <v>4296</v>
      </c>
      <c r="D4382" t="s">
        <v>4297</v>
      </c>
      <c r="E4382" t="s">
        <v>4298</v>
      </c>
      <c r="F4382" t="s">
        <v>94</v>
      </c>
      <c r="G4382" t="s">
        <v>277</v>
      </c>
      <c r="H4382" s="12">
        <v>8.4285999999999994</v>
      </c>
      <c r="I4382" s="12">
        <v>-76.786100000000005</v>
      </c>
      <c r="J4382" t="s">
        <v>4299</v>
      </c>
      <c r="K4382" t="s">
        <v>97</v>
      </c>
      <c r="L4382" t="s">
        <v>1273</v>
      </c>
      <c r="M4382">
        <v>11</v>
      </c>
      <c r="P4382" s="13">
        <v>131</v>
      </c>
      <c r="Q4382" s="13">
        <v>22</v>
      </c>
      <c r="R4382">
        <v>20</v>
      </c>
      <c r="S4382">
        <v>34</v>
      </c>
      <c r="T4382" s="13">
        <v>28</v>
      </c>
      <c r="U4382" s="13">
        <v>31</v>
      </c>
      <c r="V4382" t="s">
        <v>99</v>
      </c>
      <c r="X4382" s="13">
        <v>131</v>
      </c>
    </row>
    <row r="4383" spans="1:24" x14ac:dyDescent="0.25">
      <c r="A4383" t="s">
        <v>4330</v>
      </c>
      <c r="B4383" t="s">
        <v>65</v>
      </c>
      <c r="C4383" t="s">
        <v>4296</v>
      </c>
      <c r="D4383" t="s">
        <v>4297</v>
      </c>
      <c r="E4383" t="s">
        <v>4298</v>
      </c>
      <c r="F4383" t="s">
        <v>94</v>
      </c>
      <c r="G4383" t="s">
        <v>277</v>
      </c>
      <c r="H4383" s="12">
        <v>8.4285999999999994</v>
      </c>
      <c r="I4383" s="12">
        <v>-76.786100000000005</v>
      </c>
      <c r="J4383" t="s">
        <v>4299</v>
      </c>
      <c r="K4383" t="s">
        <v>97</v>
      </c>
      <c r="L4383" t="s">
        <v>1273</v>
      </c>
      <c r="M4383">
        <v>11</v>
      </c>
      <c r="P4383" s="13">
        <v>130</v>
      </c>
      <c r="Q4383" s="13">
        <v>17</v>
      </c>
      <c r="R4383">
        <v>36</v>
      </c>
      <c r="S4383">
        <v>32</v>
      </c>
      <c r="T4383" s="13">
        <v>17</v>
      </c>
      <c r="U4383" s="13">
        <v>31</v>
      </c>
      <c r="V4383" t="s">
        <v>99</v>
      </c>
      <c r="X4383" s="13">
        <v>130</v>
      </c>
    </row>
    <row r="4384" spans="1:24" x14ac:dyDescent="0.25">
      <c r="A4384" t="s">
        <v>4331</v>
      </c>
      <c r="B4384" t="s">
        <v>65</v>
      </c>
      <c r="C4384" t="s">
        <v>4296</v>
      </c>
      <c r="D4384" t="s">
        <v>4297</v>
      </c>
      <c r="E4384" t="s">
        <v>4298</v>
      </c>
      <c r="F4384" t="s">
        <v>94</v>
      </c>
      <c r="G4384" t="s">
        <v>277</v>
      </c>
      <c r="H4384" s="12">
        <v>8.4285999999999994</v>
      </c>
      <c r="I4384" s="12">
        <v>-76.786100000000005</v>
      </c>
      <c r="J4384" t="s">
        <v>4299</v>
      </c>
      <c r="K4384" t="s">
        <v>97</v>
      </c>
      <c r="L4384" t="s">
        <v>1273</v>
      </c>
      <c r="M4384">
        <v>11</v>
      </c>
      <c r="P4384" s="13">
        <v>129</v>
      </c>
      <c r="Q4384" s="13">
        <v>27</v>
      </c>
      <c r="R4384">
        <v>20</v>
      </c>
      <c r="S4384">
        <v>20</v>
      </c>
      <c r="T4384" s="13">
        <v>36</v>
      </c>
      <c r="U4384" s="13">
        <v>27</v>
      </c>
      <c r="V4384" t="s">
        <v>99</v>
      </c>
      <c r="X4384" s="13">
        <v>129</v>
      </c>
    </row>
    <row r="4385" spans="1:24" x14ac:dyDescent="0.25">
      <c r="A4385" t="s">
        <v>4332</v>
      </c>
      <c r="B4385" t="s">
        <v>65</v>
      </c>
      <c r="C4385" t="s">
        <v>4296</v>
      </c>
      <c r="D4385" t="s">
        <v>4297</v>
      </c>
      <c r="E4385" t="s">
        <v>4298</v>
      </c>
      <c r="F4385" t="s">
        <v>94</v>
      </c>
      <c r="G4385" t="s">
        <v>277</v>
      </c>
      <c r="H4385" s="12">
        <v>8.4285999999999994</v>
      </c>
      <c r="I4385" s="12">
        <v>-76.786100000000005</v>
      </c>
      <c r="J4385" t="s">
        <v>4299</v>
      </c>
      <c r="K4385" t="s">
        <v>97</v>
      </c>
      <c r="L4385" t="s">
        <v>1273</v>
      </c>
      <c r="M4385">
        <v>11</v>
      </c>
      <c r="P4385" s="13">
        <v>121</v>
      </c>
      <c r="Q4385" s="13">
        <v>32</v>
      </c>
      <c r="R4385">
        <v>30</v>
      </c>
      <c r="S4385">
        <v>22</v>
      </c>
      <c r="T4385" s="13">
        <v>14</v>
      </c>
      <c r="U4385" s="13">
        <v>22</v>
      </c>
      <c r="V4385" t="s">
        <v>99</v>
      </c>
      <c r="X4385" s="13">
        <v>121</v>
      </c>
    </row>
    <row r="4386" spans="1:24" x14ac:dyDescent="0.25">
      <c r="A4386" t="s">
        <v>4333</v>
      </c>
      <c r="B4386" t="s">
        <v>65</v>
      </c>
      <c r="C4386" t="s">
        <v>4296</v>
      </c>
      <c r="D4386" t="s">
        <v>4297</v>
      </c>
      <c r="E4386" t="s">
        <v>4298</v>
      </c>
      <c r="F4386" t="s">
        <v>94</v>
      </c>
      <c r="G4386" t="s">
        <v>277</v>
      </c>
      <c r="H4386" s="12">
        <v>8.4285999999999994</v>
      </c>
      <c r="I4386" s="12">
        <v>-76.786100000000005</v>
      </c>
      <c r="J4386" t="s">
        <v>4299</v>
      </c>
      <c r="K4386" t="s">
        <v>97</v>
      </c>
      <c r="L4386" t="s">
        <v>1273</v>
      </c>
      <c r="M4386">
        <v>11</v>
      </c>
      <c r="P4386" s="13">
        <v>120</v>
      </c>
      <c r="Q4386" s="13">
        <v>27</v>
      </c>
      <c r="R4386">
        <v>30</v>
      </c>
      <c r="S4386">
        <v>20</v>
      </c>
      <c r="T4386" s="13">
        <v>19</v>
      </c>
      <c r="U4386" s="13">
        <v>25</v>
      </c>
      <c r="V4386" t="s">
        <v>99</v>
      </c>
      <c r="X4386" s="13">
        <v>120</v>
      </c>
    </row>
    <row r="4387" spans="1:24" x14ac:dyDescent="0.25">
      <c r="A4387" t="s">
        <v>4334</v>
      </c>
      <c r="B4387" t="s">
        <v>65</v>
      </c>
      <c r="C4387" t="s">
        <v>4296</v>
      </c>
      <c r="D4387" t="s">
        <v>4297</v>
      </c>
      <c r="E4387" t="s">
        <v>4298</v>
      </c>
      <c r="F4387" t="s">
        <v>94</v>
      </c>
      <c r="G4387" t="s">
        <v>277</v>
      </c>
      <c r="H4387" s="12">
        <v>8.4285999999999994</v>
      </c>
      <c r="I4387" s="12">
        <v>-76.786100000000005</v>
      </c>
      <c r="J4387" t="s">
        <v>4299</v>
      </c>
      <c r="K4387" t="s">
        <v>97</v>
      </c>
      <c r="L4387" t="s">
        <v>1273</v>
      </c>
      <c r="M4387">
        <v>11</v>
      </c>
      <c r="P4387" s="13">
        <v>118</v>
      </c>
      <c r="Q4387" s="13">
        <v>17</v>
      </c>
      <c r="R4387">
        <v>18</v>
      </c>
      <c r="S4387">
        <v>28</v>
      </c>
      <c r="T4387" s="13">
        <v>28</v>
      </c>
      <c r="U4387" s="13">
        <v>35</v>
      </c>
      <c r="V4387" t="s">
        <v>99</v>
      </c>
      <c r="X4387" s="13">
        <v>118</v>
      </c>
    </row>
    <row r="4388" spans="1:24" x14ac:dyDescent="0.25">
      <c r="A4388" t="s">
        <v>4335</v>
      </c>
      <c r="B4388" t="s">
        <v>65</v>
      </c>
      <c r="C4388" t="s">
        <v>4296</v>
      </c>
      <c r="D4388" t="s">
        <v>4297</v>
      </c>
      <c r="E4388" t="s">
        <v>4298</v>
      </c>
      <c r="F4388" t="s">
        <v>94</v>
      </c>
      <c r="G4388" t="s">
        <v>277</v>
      </c>
      <c r="H4388" s="12">
        <v>8.4285999999999994</v>
      </c>
      <c r="I4388" s="12">
        <v>-76.786100000000005</v>
      </c>
      <c r="J4388" t="s">
        <v>4299</v>
      </c>
      <c r="K4388" t="s">
        <v>97</v>
      </c>
      <c r="L4388" t="s">
        <v>1273</v>
      </c>
      <c r="M4388">
        <v>11</v>
      </c>
      <c r="P4388" s="13">
        <v>118</v>
      </c>
      <c r="Q4388" s="13">
        <v>27</v>
      </c>
      <c r="R4388">
        <v>24</v>
      </c>
      <c r="S4388">
        <v>12</v>
      </c>
      <c r="T4388" s="13">
        <v>26</v>
      </c>
      <c r="U4388" s="13">
        <v>40</v>
      </c>
      <c r="V4388" t="s">
        <v>99</v>
      </c>
      <c r="X4388" s="13">
        <v>118</v>
      </c>
    </row>
    <row r="4389" spans="1:24" x14ac:dyDescent="0.25">
      <c r="A4389" t="s">
        <v>4336</v>
      </c>
      <c r="B4389" t="s">
        <v>65</v>
      </c>
      <c r="C4389" t="s">
        <v>4296</v>
      </c>
      <c r="D4389" t="s">
        <v>4297</v>
      </c>
      <c r="E4389" t="s">
        <v>4298</v>
      </c>
      <c r="F4389" t="s">
        <v>94</v>
      </c>
      <c r="G4389" t="s">
        <v>277</v>
      </c>
      <c r="H4389" s="12">
        <v>8.4285999999999994</v>
      </c>
      <c r="I4389" s="12">
        <v>-76.786100000000005</v>
      </c>
      <c r="J4389" t="s">
        <v>4299</v>
      </c>
      <c r="K4389" t="s">
        <v>97</v>
      </c>
      <c r="L4389" t="s">
        <v>1273</v>
      </c>
      <c r="M4389">
        <v>11</v>
      </c>
      <c r="P4389" s="13">
        <v>115</v>
      </c>
      <c r="Q4389" s="13">
        <v>32</v>
      </c>
      <c r="R4389">
        <v>14</v>
      </c>
      <c r="S4389">
        <v>24</v>
      </c>
      <c r="T4389" s="13">
        <v>22</v>
      </c>
      <c r="U4389" s="13">
        <v>24</v>
      </c>
      <c r="V4389" t="s">
        <v>99</v>
      </c>
      <c r="X4389" s="13">
        <v>115</v>
      </c>
    </row>
    <row r="4390" spans="1:24" x14ac:dyDescent="0.25">
      <c r="A4390" t="s">
        <v>4337</v>
      </c>
      <c r="B4390" t="s">
        <v>65</v>
      </c>
      <c r="C4390" t="s">
        <v>4296</v>
      </c>
      <c r="D4390" t="s">
        <v>4297</v>
      </c>
      <c r="E4390" t="s">
        <v>4298</v>
      </c>
      <c r="F4390" t="s">
        <v>94</v>
      </c>
      <c r="G4390" t="s">
        <v>277</v>
      </c>
      <c r="H4390" s="12">
        <v>8.4285999999999994</v>
      </c>
      <c r="I4390" s="12">
        <v>-76.786100000000005</v>
      </c>
      <c r="J4390" t="s">
        <v>4299</v>
      </c>
      <c r="K4390" t="s">
        <v>97</v>
      </c>
      <c r="L4390" t="s">
        <v>1273</v>
      </c>
      <c r="M4390">
        <v>11</v>
      </c>
      <c r="P4390" s="13">
        <v>114</v>
      </c>
      <c r="Q4390" s="13">
        <v>20</v>
      </c>
      <c r="R4390">
        <v>22</v>
      </c>
      <c r="S4390">
        <v>28</v>
      </c>
      <c r="T4390" s="13">
        <v>17</v>
      </c>
      <c r="U4390" s="13">
        <v>36</v>
      </c>
      <c r="V4390" t="s">
        <v>99</v>
      </c>
      <c r="X4390" s="13">
        <v>114</v>
      </c>
    </row>
    <row r="4391" spans="1:24" x14ac:dyDescent="0.25">
      <c r="A4391" t="s">
        <v>4338</v>
      </c>
      <c r="B4391" t="s">
        <v>65</v>
      </c>
      <c r="C4391" t="s">
        <v>4296</v>
      </c>
      <c r="D4391" t="s">
        <v>4297</v>
      </c>
      <c r="E4391" t="s">
        <v>4298</v>
      </c>
      <c r="F4391" t="s">
        <v>94</v>
      </c>
      <c r="G4391" t="s">
        <v>277</v>
      </c>
      <c r="H4391" s="12">
        <v>8.4285999999999994</v>
      </c>
      <c r="I4391" s="12">
        <v>-76.786100000000005</v>
      </c>
      <c r="J4391" t="s">
        <v>4299</v>
      </c>
      <c r="K4391" t="s">
        <v>97</v>
      </c>
      <c r="L4391" t="s">
        <v>1273</v>
      </c>
      <c r="M4391">
        <v>11</v>
      </c>
      <c r="P4391" s="13">
        <v>114</v>
      </c>
      <c r="Q4391" s="13">
        <v>27</v>
      </c>
      <c r="R4391">
        <v>28</v>
      </c>
      <c r="S4391">
        <v>28</v>
      </c>
      <c r="T4391" s="13">
        <v>9</v>
      </c>
      <c r="U4391" s="13">
        <v>22</v>
      </c>
      <c r="V4391" t="s">
        <v>99</v>
      </c>
      <c r="X4391" s="13">
        <v>114</v>
      </c>
    </row>
    <row r="4392" spans="1:24" x14ac:dyDescent="0.25">
      <c r="A4392" t="s">
        <v>4339</v>
      </c>
      <c r="B4392" t="s">
        <v>65</v>
      </c>
      <c r="C4392" t="s">
        <v>4296</v>
      </c>
      <c r="D4392" t="s">
        <v>4297</v>
      </c>
      <c r="E4392" t="s">
        <v>4298</v>
      </c>
      <c r="F4392" t="s">
        <v>94</v>
      </c>
      <c r="G4392" t="s">
        <v>277</v>
      </c>
      <c r="H4392" s="12">
        <v>8.4285999999999994</v>
      </c>
      <c r="I4392" s="12">
        <v>-76.786100000000005</v>
      </c>
      <c r="J4392" t="s">
        <v>4299</v>
      </c>
      <c r="K4392" t="s">
        <v>97</v>
      </c>
      <c r="L4392" t="s">
        <v>1273</v>
      </c>
      <c r="M4392">
        <v>11</v>
      </c>
      <c r="P4392" s="13">
        <v>108</v>
      </c>
      <c r="Q4392" s="13">
        <v>24</v>
      </c>
      <c r="R4392">
        <v>22</v>
      </c>
      <c r="S4392">
        <v>22</v>
      </c>
      <c r="T4392" s="13">
        <v>12</v>
      </c>
      <c r="U4392" s="13">
        <v>38</v>
      </c>
      <c r="V4392" t="s">
        <v>99</v>
      </c>
      <c r="X4392" s="13">
        <v>108</v>
      </c>
    </row>
    <row r="4393" spans="1:24" x14ac:dyDescent="0.25">
      <c r="A4393" t="s">
        <v>4340</v>
      </c>
      <c r="B4393" t="s">
        <v>65</v>
      </c>
      <c r="C4393" t="s">
        <v>4296</v>
      </c>
      <c r="D4393" t="s">
        <v>4297</v>
      </c>
      <c r="E4393" t="s">
        <v>4298</v>
      </c>
      <c r="F4393" t="s">
        <v>94</v>
      </c>
      <c r="G4393" t="s">
        <v>277</v>
      </c>
      <c r="H4393" s="12">
        <v>8.4285999999999994</v>
      </c>
      <c r="I4393" s="12">
        <v>-76.786100000000005</v>
      </c>
      <c r="J4393" t="s">
        <v>4299</v>
      </c>
      <c r="K4393" t="s">
        <v>97</v>
      </c>
      <c r="L4393" t="s">
        <v>1273</v>
      </c>
      <c r="M4393">
        <v>11</v>
      </c>
      <c r="P4393" s="13">
        <v>89</v>
      </c>
      <c r="Q4393" s="13">
        <v>37</v>
      </c>
      <c r="R4393">
        <v>10</v>
      </c>
      <c r="S4393">
        <v>24</v>
      </c>
      <c r="T4393" s="13">
        <v>7</v>
      </c>
      <c r="U4393" s="13">
        <v>0</v>
      </c>
      <c r="V4393" t="s">
        <v>99</v>
      </c>
      <c r="X4393" s="13">
        <v>89</v>
      </c>
    </row>
    <row r="4394" spans="1:24" x14ac:dyDescent="0.25">
      <c r="A4394" t="s">
        <v>4341</v>
      </c>
      <c r="B4394" t="s">
        <v>65</v>
      </c>
      <c r="C4394" t="s">
        <v>4296</v>
      </c>
      <c r="D4394" t="s">
        <v>4297</v>
      </c>
      <c r="E4394" t="s">
        <v>4298</v>
      </c>
      <c r="F4394" t="s">
        <v>94</v>
      </c>
      <c r="G4394" t="s">
        <v>277</v>
      </c>
      <c r="H4394" s="12">
        <v>8.4285999999999994</v>
      </c>
      <c r="I4394" s="12">
        <v>-76.786100000000005</v>
      </c>
      <c r="J4394" t="s">
        <v>4299</v>
      </c>
      <c r="K4394" t="s">
        <v>97</v>
      </c>
      <c r="L4394" t="s">
        <v>1273</v>
      </c>
      <c r="M4394">
        <v>11</v>
      </c>
      <c r="P4394" s="13">
        <v>66</v>
      </c>
      <c r="Q4394" s="13">
        <v>24</v>
      </c>
      <c r="R4394">
        <v>12</v>
      </c>
      <c r="S4394">
        <v>14</v>
      </c>
      <c r="T4394" s="13">
        <v>7</v>
      </c>
      <c r="U4394" s="13">
        <v>0</v>
      </c>
      <c r="V4394" t="s">
        <v>99</v>
      </c>
      <c r="X4394" s="13">
        <v>66</v>
      </c>
    </row>
    <row r="4395" spans="1:24" x14ac:dyDescent="0.25">
      <c r="A4395" t="s">
        <v>4342</v>
      </c>
      <c r="B4395" t="s">
        <v>65</v>
      </c>
      <c r="C4395" t="s">
        <v>4343</v>
      </c>
      <c r="D4395" t="s">
        <v>4344</v>
      </c>
      <c r="E4395" t="s">
        <v>4345</v>
      </c>
      <c r="F4395" t="s">
        <v>94</v>
      </c>
      <c r="G4395" t="s">
        <v>277</v>
      </c>
      <c r="H4395" s="12">
        <v>6.4718999999999998</v>
      </c>
      <c r="I4395" s="12">
        <v>-75.166899999999998</v>
      </c>
      <c r="J4395" t="s">
        <v>4346</v>
      </c>
      <c r="K4395" t="s">
        <v>97</v>
      </c>
      <c r="L4395" t="s">
        <v>1273</v>
      </c>
      <c r="M4395">
        <v>11</v>
      </c>
      <c r="P4395" s="13">
        <v>262</v>
      </c>
      <c r="Q4395" s="13">
        <v>61</v>
      </c>
      <c r="R4395">
        <v>34</v>
      </c>
      <c r="S4395">
        <v>74</v>
      </c>
      <c r="T4395" s="13">
        <v>47</v>
      </c>
      <c r="U4395" s="13">
        <v>35</v>
      </c>
      <c r="V4395" t="s">
        <v>99</v>
      </c>
      <c r="X4395" s="13">
        <v>262</v>
      </c>
    </row>
    <row r="4396" spans="1:24" x14ac:dyDescent="0.25">
      <c r="A4396" t="s">
        <v>4347</v>
      </c>
      <c r="B4396" t="s">
        <v>65</v>
      </c>
      <c r="C4396" t="s">
        <v>4343</v>
      </c>
      <c r="D4396" t="s">
        <v>4344</v>
      </c>
      <c r="E4396" t="s">
        <v>4345</v>
      </c>
      <c r="F4396" t="s">
        <v>94</v>
      </c>
      <c r="G4396" t="s">
        <v>277</v>
      </c>
      <c r="H4396" s="12">
        <v>6.4718999999999998</v>
      </c>
      <c r="I4396" s="12">
        <v>-75.166899999999998</v>
      </c>
      <c r="J4396" t="s">
        <v>4346</v>
      </c>
      <c r="K4396" t="s">
        <v>97</v>
      </c>
      <c r="L4396" t="s">
        <v>1273</v>
      </c>
      <c r="M4396">
        <v>11</v>
      </c>
      <c r="P4396" s="13">
        <v>225</v>
      </c>
      <c r="Q4396" s="13">
        <v>54</v>
      </c>
      <c r="R4396">
        <v>30</v>
      </c>
      <c r="S4396">
        <v>58</v>
      </c>
      <c r="T4396" s="13">
        <v>40</v>
      </c>
      <c r="U4396" s="13">
        <v>42</v>
      </c>
      <c r="V4396" t="s">
        <v>99</v>
      </c>
      <c r="X4396" s="13">
        <v>225</v>
      </c>
    </row>
    <row r="4397" spans="1:24" x14ac:dyDescent="0.25">
      <c r="A4397" t="s">
        <v>4348</v>
      </c>
      <c r="B4397" t="s">
        <v>65</v>
      </c>
      <c r="C4397" t="s">
        <v>4343</v>
      </c>
      <c r="D4397" t="s">
        <v>4344</v>
      </c>
      <c r="E4397" t="s">
        <v>4345</v>
      </c>
      <c r="F4397" t="s">
        <v>94</v>
      </c>
      <c r="G4397" t="s">
        <v>277</v>
      </c>
      <c r="H4397" s="12">
        <v>6.4718999999999998</v>
      </c>
      <c r="I4397" s="12">
        <v>-75.166899999999998</v>
      </c>
      <c r="J4397" t="s">
        <v>4346</v>
      </c>
      <c r="K4397" t="s">
        <v>97</v>
      </c>
      <c r="L4397" t="s">
        <v>1273</v>
      </c>
      <c r="M4397">
        <v>11</v>
      </c>
      <c r="P4397" s="13">
        <v>218</v>
      </c>
      <c r="Q4397" s="13">
        <v>56</v>
      </c>
      <c r="R4397">
        <v>40</v>
      </c>
      <c r="S4397">
        <v>46</v>
      </c>
      <c r="T4397" s="13">
        <v>31</v>
      </c>
      <c r="U4397" s="13">
        <v>47</v>
      </c>
      <c r="V4397" t="s">
        <v>99</v>
      </c>
      <c r="X4397" s="13">
        <v>218</v>
      </c>
    </row>
    <row r="4398" spans="1:24" x14ac:dyDescent="0.25">
      <c r="A4398" t="s">
        <v>4349</v>
      </c>
      <c r="B4398" t="s">
        <v>65</v>
      </c>
      <c r="C4398" t="s">
        <v>4343</v>
      </c>
      <c r="D4398" t="s">
        <v>4344</v>
      </c>
      <c r="E4398" t="s">
        <v>4345</v>
      </c>
      <c r="F4398" t="s">
        <v>94</v>
      </c>
      <c r="G4398" t="s">
        <v>277</v>
      </c>
      <c r="H4398" s="12">
        <v>6.4718999999999998</v>
      </c>
      <c r="I4398" s="12">
        <v>-75.166899999999998</v>
      </c>
      <c r="J4398" t="s">
        <v>4346</v>
      </c>
      <c r="K4398" t="s">
        <v>97</v>
      </c>
      <c r="L4398" t="s">
        <v>1273</v>
      </c>
      <c r="M4398">
        <v>11</v>
      </c>
      <c r="P4398" s="13">
        <v>213</v>
      </c>
      <c r="Q4398" s="13">
        <v>66</v>
      </c>
      <c r="R4398">
        <v>40</v>
      </c>
      <c r="S4398">
        <v>34</v>
      </c>
      <c r="T4398" s="13">
        <v>31</v>
      </c>
      <c r="U4398" s="13">
        <v>42</v>
      </c>
      <c r="V4398" t="s">
        <v>99</v>
      </c>
      <c r="X4398" s="13">
        <v>213</v>
      </c>
    </row>
    <row r="4399" spans="1:24" x14ac:dyDescent="0.25">
      <c r="A4399" t="s">
        <v>4350</v>
      </c>
      <c r="B4399" t="s">
        <v>65</v>
      </c>
      <c r="C4399" t="s">
        <v>4343</v>
      </c>
      <c r="D4399" t="s">
        <v>4344</v>
      </c>
      <c r="E4399" t="s">
        <v>4345</v>
      </c>
      <c r="F4399" t="s">
        <v>94</v>
      </c>
      <c r="G4399" t="s">
        <v>277</v>
      </c>
      <c r="H4399" s="12">
        <v>6.4718999999999998</v>
      </c>
      <c r="I4399" s="12">
        <v>-75.166899999999998</v>
      </c>
      <c r="J4399" t="s">
        <v>4346</v>
      </c>
      <c r="K4399" t="s">
        <v>97</v>
      </c>
      <c r="L4399" t="s">
        <v>1273</v>
      </c>
      <c r="M4399">
        <v>11</v>
      </c>
      <c r="P4399" s="13">
        <v>210</v>
      </c>
      <c r="Q4399" s="13">
        <v>54</v>
      </c>
      <c r="R4399">
        <v>28</v>
      </c>
      <c r="S4399">
        <v>50</v>
      </c>
      <c r="T4399" s="13">
        <v>33</v>
      </c>
      <c r="U4399" s="13">
        <v>53</v>
      </c>
      <c r="V4399" t="s">
        <v>99</v>
      </c>
      <c r="X4399" s="13">
        <v>210</v>
      </c>
    </row>
    <row r="4400" spans="1:24" x14ac:dyDescent="0.25">
      <c r="A4400" t="s">
        <v>4351</v>
      </c>
      <c r="B4400" t="s">
        <v>65</v>
      </c>
      <c r="C4400" t="s">
        <v>4343</v>
      </c>
      <c r="D4400" t="s">
        <v>4344</v>
      </c>
      <c r="E4400" t="s">
        <v>4345</v>
      </c>
      <c r="F4400" t="s">
        <v>94</v>
      </c>
      <c r="G4400" t="s">
        <v>277</v>
      </c>
      <c r="H4400" s="12">
        <v>6.4718999999999998</v>
      </c>
      <c r="I4400" s="12">
        <v>-75.166899999999998</v>
      </c>
      <c r="J4400" t="s">
        <v>4346</v>
      </c>
      <c r="K4400" t="s">
        <v>97</v>
      </c>
      <c r="L4400" t="s">
        <v>1273</v>
      </c>
      <c r="M4400">
        <v>11</v>
      </c>
      <c r="P4400" s="13">
        <v>192</v>
      </c>
      <c r="Q4400" s="13">
        <v>44</v>
      </c>
      <c r="R4400">
        <v>34</v>
      </c>
      <c r="S4400">
        <v>50</v>
      </c>
      <c r="T4400" s="13">
        <v>24</v>
      </c>
      <c r="U4400" s="13">
        <v>42</v>
      </c>
      <c r="V4400" t="s">
        <v>99</v>
      </c>
      <c r="X4400" s="13">
        <v>192</v>
      </c>
    </row>
    <row r="4401" spans="1:24" x14ac:dyDescent="0.25">
      <c r="A4401" t="s">
        <v>4352</v>
      </c>
      <c r="B4401" t="s">
        <v>65</v>
      </c>
      <c r="C4401" t="s">
        <v>4343</v>
      </c>
      <c r="D4401" t="s">
        <v>4344</v>
      </c>
      <c r="E4401" t="s">
        <v>4345</v>
      </c>
      <c r="F4401" t="s">
        <v>94</v>
      </c>
      <c r="G4401" t="s">
        <v>277</v>
      </c>
      <c r="H4401" s="12">
        <v>6.4718999999999998</v>
      </c>
      <c r="I4401" s="12">
        <v>-75.166899999999998</v>
      </c>
      <c r="J4401" t="s">
        <v>4346</v>
      </c>
      <c r="K4401" t="s">
        <v>97</v>
      </c>
      <c r="L4401" t="s">
        <v>1273</v>
      </c>
      <c r="M4401">
        <v>11</v>
      </c>
      <c r="P4401" s="13">
        <v>190</v>
      </c>
      <c r="Q4401" s="13">
        <v>34</v>
      </c>
      <c r="R4401">
        <v>40</v>
      </c>
      <c r="S4401">
        <v>48</v>
      </c>
      <c r="T4401" s="13">
        <v>34</v>
      </c>
      <c r="U4401" s="13">
        <v>24</v>
      </c>
      <c r="V4401" t="s">
        <v>99</v>
      </c>
      <c r="X4401" s="13">
        <v>190</v>
      </c>
    </row>
    <row r="4402" spans="1:24" x14ac:dyDescent="0.25">
      <c r="A4402" t="s">
        <v>4353</v>
      </c>
      <c r="B4402" t="s">
        <v>65</v>
      </c>
      <c r="C4402" t="s">
        <v>4343</v>
      </c>
      <c r="D4402" t="s">
        <v>4344</v>
      </c>
      <c r="E4402" t="s">
        <v>4345</v>
      </c>
      <c r="F4402" t="s">
        <v>94</v>
      </c>
      <c r="G4402" t="s">
        <v>277</v>
      </c>
      <c r="H4402" s="12">
        <v>6.4718999999999998</v>
      </c>
      <c r="I4402" s="12">
        <v>-75.166899999999998</v>
      </c>
      <c r="J4402" t="s">
        <v>4346</v>
      </c>
      <c r="K4402" t="s">
        <v>97</v>
      </c>
      <c r="L4402" t="s">
        <v>1273</v>
      </c>
      <c r="M4402">
        <v>11</v>
      </c>
      <c r="P4402" s="13">
        <v>190</v>
      </c>
      <c r="Q4402" s="13">
        <v>46</v>
      </c>
      <c r="R4402">
        <v>34</v>
      </c>
      <c r="S4402">
        <v>42</v>
      </c>
      <c r="T4402" s="13">
        <v>29</v>
      </c>
      <c r="U4402" s="13">
        <v>38</v>
      </c>
      <c r="V4402" t="s">
        <v>99</v>
      </c>
      <c r="X4402" s="13">
        <v>190</v>
      </c>
    </row>
    <row r="4403" spans="1:24" x14ac:dyDescent="0.25">
      <c r="A4403" t="s">
        <v>4354</v>
      </c>
      <c r="B4403" t="s">
        <v>65</v>
      </c>
      <c r="C4403" t="s">
        <v>4343</v>
      </c>
      <c r="D4403" t="s">
        <v>4344</v>
      </c>
      <c r="E4403" t="s">
        <v>4345</v>
      </c>
      <c r="F4403" t="s">
        <v>94</v>
      </c>
      <c r="G4403" t="s">
        <v>277</v>
      </c>
      <c r="H4403" s="12">
        <v>6.4718999999999998</v>
      </c>
      <c r="I4403" s="12">
        <v>-75.166899999999998</v>
      </c>
      <c r="J4403" t="s">
        <v>4346</v>
      </c>
      <c r="K4403" t="s">
        <v>97</v>
      </c>
      <c r="L4403" t="s">
        <v>1273</v>
      </c>
      <c r="M4403">
        <v>11</v>
      </c>
      <c r="P4403" s="13">
        <v>180</v>
      </c>
      <c r="Q4403" s="13">
        <v>29</v>
      </c>
      <c r="R4403">
        <v>26</v>
      </c>
      <c r="S4403">
        <v>48</v>
      </c>
      <c r="T4403" s="13">
        <v>38</v>
      </c>
      <c r="U4403" s="13">
        <v>44</v>
      </c>
      <c r="V4403" t="s">
        <v>99</v>
      </c>
      <c r="X4403" s="13">
        <v>180</v>
      </c>
    </row>
    <row r="4404" spans="1:24" x14ac:dyDescent="0.25">
      <c r="A4404" t="s">
        <v>4355</v>
      </c>
      <c r="B4404" t="s">
        <v>65</v>
      </c>
      <c r="C4404" t="s">
        <v>4343</v>
      </c>
      <c r="D4404" t="s">
        <v>4344</v>
      </c>
      <c r="E4404" t="s">
        <v>4345</v>
      </c>
      <c r="F4404" t="s">
        <v>94</v>
      </c>
      <c r="G4404" t="s">
        <v>277</v>
      </c>
      <c r="H4404" s="12">
        <v>6.4718999999999998</v>
      </c>
      <c r="I4404" s="12">
        <v>-75.166899999999998</v>
      </c>
      <c r="J4404" t="s">
        <v>4346</v>
      </c>
      <c r="K4404" t="s">
        <v>97</v>
      </c>
      <c r="L4404" t="s">
        <v>1273</v>
      </c>
      <c r="M4404">
        <v>11</v>
      </c>
      <c r="P4404" s="13">
        <v>179</v>
      </c>
      <c r="Q4404" s="13">
        <v>44</v>
      </c>
      <c r="R4404">
        <v>20</v>
      </c>
      <c r="S4404">
        <v>40</v>
      </c>
      <c r="T4404" s="13">
        <v>38</v>
      </c>
      <c r="U4404" s="13">
        <v>40</v>
      </c>
      <c r="V4404" t="s">
        <v>99</v>
      </c>
      <c r="X4404" s="13">
        <v>179</v>
      </c>
    </row>
    <row r="4405" spans="1:24" x14ac:dyDescent="0.25">
      <c r="A4405" t="s">
        <v>4356</v>
      </c>
      <c r="B4405" t="s">
        <v>65</v>
      </c>
      <c r="C4405" t="s">
        <v>4343</v>
      </c>
      <c r="D4405" t="s">
        <v>4344</v>
      </c>
      <c r="E4405" t="s">
        <v>4345</v>
      </c>
      <c r="F4405" t="s">
        <v>94</v>
      </c>
      <c r="G4405" t="s">
        <v>277</v>
      </c>
      <c r="H4405" s="12">
        <v>6.4718999999999998</v>
      </c>
      <c r="I4405" s="12">
        <v>-75.166899999999998</v>
      </c>
      <c r="J4405" t="s">
        <v>4346</v>
      </c>
      <c r="K4405" t="s">
        <v>97</v>
      </c>
      <c r="L4405" t="s">
        <v>1273</v>
      </c>
      <c r="M4405">
        <v>11</v>
      </c>
      <c r="P4405" s="13">
        <v>167</v>
      </c>
      <c r="Q4405" s="13">
        <v>32</v>
      </c>
      <c r="R4405">
        <v>28</v>
      </c>
      <c r="S4405">
        <v>44</v>
      </c>
      <c r="T4405" s="13">
        <v>34</v>
      </c>
      <c r="U4405" s="13">
        <v>20</v>
      </c>
      <c r="V4405" t="s">
        <v>99</v>
      </c>
      <c r="X4405" s="13">
        <v>167</v>
      </c>
    </row>
    <row r="4406" spans="1:24" x14ac:dyDescent="0.25">
      <c r="A4406" t="s">
        <v>4357</v>
      </c>
      <c r="B4406" t="s">
        <v>65</v>
      </c>
      <c r="C4406" t="s">
        <v>4343</v>
      </c>
      <c r="D4406" t="s">
        <v>4344</v>
      </c>
      <c r="E4406" t="s">
        <v>4345</v>
      </c>
      <c r="F4406" t="s">
        <v>94</v>
      </c>
      <c r="G4406" t="s">
        <v>277</v>
      </c>
      <c r="H4406" s="12">
        <v>6.4718999999999998</v>
      </c>
      <c r="I4406" s="12">
        <v>-75.166899999999998</v>
      </c>
      <c r="J4406" t="s">
        <v>4346</v>
      </c>
      <c r="K4406" t="s">
        <v>97</v>
      </c>
      <c r="L4406" t="s">
        <v>1273</v>
      </c>
      <c r="M4406">
        <v>11</v>
      </c>
      <c r="P4406" s="13">
        <v>158</v>
      </c>
      <c r="Q4406" s="13">
        <v>39</v>
      </c>
      <c r="R4406">
        <v>22</v>
      </c>
      <c r="S4406">
        <v>40</v>
      </c>
      <c r="T4406" s="13">
        <v>28</v>
      </c>
      <c r="U4406" s="13">
        <v>25</v>
      </c>
      <c r="V4406" t="s">
        <v>99</v>
      </c>
      <c r="X4406" s="13">
        <v>158</v>
      </c>
    </row>
    <row r="4407" spans="1:24" x14ac:dyDescent="0.25">
      <c r="A4407" t="s">
        <v>4358</v>
      </c>
      <c r="B4407" t="s">
        <v>65</v>
      </c>
      <c r="C4407" t="s">
        <v>4343</v>
      </c>
      <c r="D4407" t="s">
        <v>4344</v>
      </c>
      <c r="E4407" t="s">
        <v>4345</v>
      </c>
      <c r="F4407" t="s">
        <v>94</v>
      </c>
      <c r="G4407" t="s">
        <v>277</v>
      </c>
      <c r="H4407" s="12">
        <v>6.4718999999999998</v>
      </c>
      <c r="I4407" s="12">
        <v>-75.166899999999998</v>
      </c>
      <c r="J4407" t="s">
        <v>4346</v>
      </c>
      <c r="K4407" t="s">
        <v>97</v>
      </c>
      <c r="L4407" t="s">
        <v>1273</v>
      </c>
      <c r="M4407">
        <v>11</v>
      </c>
      <c r="P4407" s="13">
        <v>157</v>
      </c>
      <c r="Q4407" s="13">
        <v>34</v>
      </c>
      <c r="R4407">
        <v>16</v>
      </c>
      <c r="S4407">
        <v>54</v>
      </c>
      <c r="T4407" s="13">
        <v>21</v>
      </c>
      <c r="U4407" s="13">
        <v>33</v>
      </c>
      <c r="V4407" t="s">
        <v>99</v>
      </c>
      <c r="X4407" s="13">
        <v>157</v>
      </c>
    </row>
    <row r="4408" spans="1:24" x14ac:dyDescent="0.25">
      <c r="A4408" t="s">
        <v>4359</v>
      </c>
      <c r="B4408" t="s">
        <v>65</v>
      </c>
      <c r="C4408" t="s">
        <v>4343</v>
      </c>
      <c r="D4408" t="s">
        <v>4344</v>
      </c>
      <c r="E4408" t="s">
        <v>4345</v>
      </c>
      <c r="F4408" t="s">
        <v>94</v>
      </c>
      <c r="G4408" t="s">
        <v>277</v>
      </c>
      <c r="H4408" s="12">
        <v>6.4718999999999998</v>
      </c>
      <c r="I4408" s="12">
        <v>-75.166899999999998</v>
      </c>
      <c r="J4408" t="s">
        <v>4346</v>
      </c>
      <c r="K4408" t="s">
        <v>97</v>
      </c>
      <c r="L4408" t="s">
        <v>1273</v>
      </c>
      <c r="M4408">
        <v>11</v>
      </c>
      <c r="P4408" s="13">
        <v>150</v>
      </c>
      <c r="Q4408" s="13">
        <v>34</v>
      </c>
      <c r="R4408">
        <v>26</v>
      </c>
      <c r="S4408">
        <v>32</v>
      </c>
      <c r="T4408" s="13">
        <v>28</v>
      </c>
      <c r="U4408" s="13">
        <v>31</v>
      </c>
      <c r="V4408" t="s">
        <v>99</v>
      </c>
      <c r="X4408" s="13">
        <v>150</v>
      </c>
    </row>
    <row r="4409" spans="1:24" x14ac:dyDescent="0.25">
      <c r="A4409" t="s">
        <v>4360</v>
      </c>
      <c r="B4409" t="s">
        <v>65</v>
      </c>
      <c r="C4409" t="s">
        <v>4343</v>
      </c>
      <c r="D4409" t="s">
        <v>4344</v>
      </c>
      <c r="E4409" t="s">
        <v>4345</v>
      </c>
      <c r="F4409" t="s">
        <v>94</v>
      </c>
      <c r="G4409" t="s">
        <v>277</v>
      </c>
      <c r="H4409" s="12">
        <v>6.4718999999999998</v>
      </c>
      <c r="I4409" s="12">
        <v>-75.166899999999998</v>
      </c>
      <c r="J4409" t="s">
        <v>4346</v>
      </c>
      <c r="K4409" t="s">
        <v>97</v>
      </c>
      <c r="L4409" t="s">
        <v>1273</v>
      </c>
      <c r="M4409">
        <v>11</v>
      </c>
      <c r="P4409" s="13">
        <v>144</v>
      </c>
      <c r="Q4409" s="13">
        <v>24</v>
      </c>
      <c r="R4409">
        <v>32</v>
      </c>
      <c r="S4409">
        <v>36</v>
      </c>
      <c r="T4409" s="13">
        <v>22</v>
      </c>
      <c r="U4409" s="13">
        <v>29</v>
      </c>
      <c r="V4409" t="s">
        <v>99</v>
      </c>
      <c r="X4409" s="13">
        <v>144</v>
      </c>
    </row>
    <row r="4410" spans="1:24" x14ac:dyDescent="0.25">
      <c r="A4410" t="s">
        <v>4361</v>
      </c>
      <c r="B4410" t="s">
        <v>65</v>
      </c>
      <c r="C4410" t="s">
        <v>4343</v>
      </c>
      <c r="D4410" t="s">
        <v>4344</v>
      </c>
      <c r="E4410" t="s">
        <v>4345</v>
      </c>
      <c r="F4410" t="s">
        <v>94</v>
      </c>
      <c r="G4410" t="s">
        <v>277</v>
      </c>
      <c r="H4410" s="12">
        <v>6.4718999999999998</v>
      </c>
      <c r="I4410" s="12">
        <v>-75.166899999999998</v>
      </c>
      <c r="J4410" t="s">
        <v>4346</v>
      </c>
      <c r="K4410" t="s">
        <v>97</v>
      </c>
      <c r="L4410" t="s">
        <v>1273</v>
      </c>
      <c r="M4410">
        <v>11</v>
      </c>
      <c r="P4410" s="13">
        <v>136</v>
      </c>
      <c r="Q4410" s="13">
        <v>32</v>
      </c>
      <c r="R4410">
        <v>16</v>
      </c>
      <c r="S4410">
        <v>28</v>
      </c>
      <c r="T4410" s="13">
        <v>34</v>
      </c>
      <c r="U4410" s="13">
        <v>22</v>
      </c>
      <c r="V4410" t="s">
        <v>99</v>
      </c>
      <c r="X4410" s="13">
        <v>136</v>
      </c>
    </row>
    <row r="4411" spans="1:24" x14ac:dyDescent="0.25">
      <c r="A4411" t="s">
        <v>4362</v>
      </c>
      <c r="B4411" t="s">
        <v>65</v>
      </c>
      <c r="C4411" t="s">
        <v>4343</v>
      </c>
      <c r="D4411" t="s">
        <v>4344</v>
      </c>
      <c r="E4411" t="s">
        <v>4345</v>
      </c>
      <c r="F4411" t="s">
        <v>94</v>
      </c>
      <c r="G4411" t="s">
        <v>277</v>
      </c>
      <c r="H4411" s="12">
        <v>6.4718999999999998</v>
      </c>
      <c r="I4411" s="12">
        <v>-75.166899999999998</v>
      </c>
      <c r="J4411" t="s">
        <v>4346</v>
      </c>
      <c r="K4411" t="s">
        <v>97</v>
      </c>
      <c r="L4411" t="s">
        <v>1273</v>
      </c>
      <c r="M4411">
        <v>11</v>
      </c>
      <c r="P4411" s="13">
        <v>131</v>
      </c>
      <c r="Q4411" s="13">
        <v>24</v>
      </c>
      <c r="R4411">
        <v>24</v>
      </c>
      <c r="S4411">
        <v>26</v>
      </c>
      <c r="T4411" s="13">
        <v>29</v>
      </c>
      <c r="U4411" s="13">
        <v>29</v>
      </c>
      <c r="V4411" t="s">
        <v>99</v>
      </c>
      <c r="X4411" s="13">
        <v>131</v>
      </c>
    </row>
    <row r="4412" spans="1:24" x14ac:dyDescent="0.25">
      <c r="A4412" t="s">
        <v>4363</v>
      </c>
      <c r="B4412" t="s">
        <v>65</v>
      </c>
      <c r="C4412" t="s">
        <v>4343</v>
      </c>
      <c r="D4412" t="s">
        <v>4344</v>
      </c>
      <c r="E4412" t="s">
        <v>4345</v>
      </c>
      <c r="F4412" t="s">
        <v>94</v>
      </c>
      <c r="G4412" t="s">
        <v>277</v>
      </c>
      <c r="H4412" s="12">
        <v>6.4718999999999998</v>
      </c>
      <c r="I4412" s="12">
        <v>-75.166899999999998</v>
      </c>
      <c r="J4412" t="s">
        <v>4346</v>
      </c>
      <c r="K4412" t="s">
        <v>97</v>
      </c>
      <c r="L4412" t="s">
        <v>1273</v>
      </c>
      <c r="M4412">
        <v>11</v>
      </c>
      <c r="P4412" s="13">
        <v>129</v>
      </c>
      <c r="Q4412" s="13">
        <v>39</v>
      </c>
      <c r="R4412">
        <v>30</v>
      </c>
      <c r="S4412">
        <v>18</v>
      </c>
      <c r="T4412" s="13">
        <v>17</v>
      </c>
      <c r="U4412" s="13">
        <v>24</v>
      </c>
      <c r="V4412" t="s">
        <v>99</v>
      </c>
      <c r="X4412" s="13">
        <v>129</v>
      </c>
    </row>
    <row r="4413" spans="1:24" x14ac:dyDescent="0.25">
      <c r="A4413" t="s">
        <v>4364</v>
      </c>
      <c r="B4413" t="s">
        <v>65</v>
      </c>
      <c r="C4413" t="s">
        <v>4343</v>
      </c>
      <c r="D4413" t="s">
        <v>4344</v>
      </c>
      <c r="E4413" t="s">
        <v>4345</v>
      </c>
      <c r="F4413" t="s">
        <v>94</v>
      </c>
      <c r="G4413" t="s">
        <v>277</v>
      </c>
      <c r="H4413" s="12">
        <v>6.4718999999999998</v>
      </c>
      <c r="I4413" s="12">
        <v>-75.166899999999998</v>
      </c>
      <c r="J4413" t="s">
        <v>4346</v>
      </c>
      <c r="K4413" t="s">
        <v>97</v>
      </c>
      <c r="L4413" t="s">
        <v>1273</v>
      </c>
      <c r="M4413">
        <v>11</v>
      </c>
      <c r="P4413" s="13">
        <v>120</v>
      </c>
      <c r="Q4413" s="13">
        <v>27</v>
      </c>
      <c r="R4413">
        <v>26</v>
      </c>
      <c r="S4413">
        <v>22</v>
      </c>
      <c r="T4413" s="13">
        <v>19</v>
      </c>
      <c r="U4413" s="13">
        <v>31</v>
      </c>
      <c r="V4413" t="s">
        <v>99</v>
      </c>
      <c r="X4413" s="13">
        <v>120</v>
      </c>
    </row>
    <row r="4414" spans="1:24" x14ac:dyDescent="0.25">
      <c r="A4414" t="s">
        <v>4365</v>
      </c>
      <c r="B4414" t="s">
        <v>65</v>
      </c>
      <c r="C4414" t="s">
        <v>4343</v>
      </c>
      <c r="D4414" t="s">
        <v>4344</v>
      </c>
      <c r="E4414" t="s">
        <v>4345</v>
      </c>
      <c r="F4414" t="s">
        <v>94</v>
      </c>
      <c r="G4414" t="s">
        <v>277</v>
      </c>
      <c r="H4414" s="12">
        <v>6.4718999999999998</v>
      </c>
      <c r="I4414" s="12">
        <v>-75.166899999999998</v>
      </c>
      <c r="J4414" t="s">
        <v>4346</v>
      </c>
      <c r="K4414" t="s">
        <v>97</v>
      </c>
      <c r="L4414" t="s">
        <v>1273</v>
      </c>
      <c r="M4414">
        <v>11</v>
      </c>
      <c r="P4414" s="13">
        <v>117</v>
      </c>
      <c r="Q4414" s="13">
        <v>39</v>
      </c>
      <c r="R4414">
        <v>16</v>
      </c>
      <c r="S4414">
        <v>22</v>
      </c>
      <c r="T4414" s="13">
        <v>24</v>
      </c>
      <c r="U4414" s="13">
        <v>0</v>
      </c>
      <c r="V4414" t="s">
        <v>99</v>
      </c>
      <c r="X4414" s="13">
        <v>117</v>
      </c>
    </row>
    <row r="4415" spans="1:24" x14ac:dyDescent="0.25">
      <c r="A4415" t="s">
        <v>4366</v>
      </c>
      <c r="B4415" t="s">
        <v>65</v>
      </c>
      <c r="C4415" t="s">
        <v>4343</v>
      </c>
      <c r="D4415" t="s">
        <v>4344</v>
      </c>
      <c r="E4415" t="s">
        <v>4345</v>
      </c>
      <c r="F4415" t="s">
        <v>94</v>
      </c>
      <c r="G4415" t="s">
        <v>277</v>
      </c>
      <c r="H4415" s="12">
        <v>6.4718999999999998</v>
      </c>
      <c r="I4415" s="12">
        <v>-75.166899999999998</v>
      </c>
      <c r="J4415" t="s">
        <v>4346</v>
      </c>
      <c r="K4415" t="s">
        <v>97</v>
      </c>
      <c r="L4415" t="s">
        <v>1273</v>
      </c>
      <c r="M4415">
        <v>11</v>
      </c>
      <c r="P4415" s="13">
        <v>63</v>
      </c>
      <c r="Q4415" s="13">
        <v>0</v>
      </c>
      <c r="R4415">
        <v>12</v>
      </c>
      <c r="S4415">
        <v>18</v>
      </c>
      <c r="T4415" s="13">
        <v>12</v>
      </c>
      <c r="U4415" s="13">
        <v>38</v>
      </c>
      <c r="V4415" t="s">
        <v>99</v>
      </c>
      <c r="X4415" s="13">
        <v>63</v>
      </c>
    </row>
    <row r="4416" spans="1:24" x14ac:dyDescent="0.25">
      <c r="A4416" t="s">
        <v>4367</v>
      </c>
      <c r="B4416" t="s">
        <v>65</v>
      </c>
      <c r="C4416" t="s">
        <v>4368</v>
      </c>
      <c r="D4416" t="s">
        <v>4369</v>
      </c>
      <c r="E4416" t="s">
        <v>4370</v>
      </c>
      <c r="F4416" t="s">
        <v>94</v>
      </c>
      <c r="G4416" t="s">
        <v>277</v>
      </c>
      <c r="H4416" s="12">
        <v>5.7925000000000004</v>
      </c>
      <c r="I4416" s="12">
        <v>-75.786900000000003</v>
      </c>
      <c r="J4416" t="s">
        <v>4371</v>
      </c>
      <c r="K4416" t="s">
        <v>97</v>
      </c>
      <c r="L4416" t="s">
        <v>1273</v>
      </c>
      <c r="M4416">
        <v>11</v>
      </c>
      <c r="P4416" s="13">
        <v>243</v>
      </c>
      <c r="Q4416" s="13">
        <v>46</v>
      </c>
      <c r="R4416">
        <v>32</v>
      </c>
      <c r="S4416">
        <v>50</v>
      </c>
      <c r="T4416" s="13">
        <v>55</v>
      </c>
      <c r="U4416" s="13">
        <v>80</v>
      </c>
      <c r="V4416" t="s">
        <v>99</v>
      </c>
      <c r="X4416" s="13">
        <v>243</v>
      </c>
    </row>
    <row r="4417" spans="1:24" x14ac:dyDescent="0.25">
      <c r="A4417" t="s">
        <v>4372</v>
      </c>
      <c r="B4417" t="s">
        <v>65</v>
      </c>
      <c r="C4417" t="s">
        <v>4368</v>
      </c>
      <c r="D4417" t="s">
        <v>4369</v>
      </c>
      <c r="E4417" t="s">
        <v>4370</v>
      </c>
      <c r="F4417" t="s">
        <v>94</v>
      </c>
      <c r="G4417" t="s">
        <v>277</v>
      </c>
      <c r="H4417" s="12">
        <v>5.7925000000000004</v>
      </c>
      <c r="I4417" s="12">
        <v>-75.786900000000003</v>
      </c>
      <c r="J4417" t="s">
        <v>4371</v>
      </c>
      <c r="K4417" t="s">
        <v>97</v>
      </c>
      <c r="L4417" t="s">
        <v>1273</v>
      </c>
      <c r="M4417">
        <v>11</v>
      </c>
      <c r="P4417" s="13">
        <v>238</v>
      </c>
      <c r="Q4417" s="13">
        <v>63</v>
      </c>
      <c r="R4417">
        <v>32</v>
      </c>
      <c r="S4417">
        <v>60</v>
      </c>
      <c r="T4417" s="13">
        <v>38</v>
      </c>
      <c r="U4417" s="13">
        <v>40</v>
      </c>
      <c r="V4417" t="s">
        <v>99</v>
      </c>
      <c r="X4417" s="13">
        <v>238</v>
      </c>
    </row>
    <row r="4418" spans="1:24" x14ac:dyDescent="0.25">
      <c r="A4418" t="s">
        <v>4373</v>
      </c>
      <c r="B4418" t="s">
        <v>65</v>
      </c>
      <c r="C4418" t="s">
        <v>4368</v>
      </c>
      <c r="D4418" t="s">
        <v>4369</v>
      </c>
      <c r="E4418" t="s">
        <v>4370</v>
      </c>
      <c r="F4418" t="s">
        <v>94</v>
      </c>
      <c r="G4418" t="s">
        <v>277</v>
      </c>
      <c r="H4418" s="12">
        <v>5.7925000000000004</v>
      </c>
      <c r="I4418" s="12">
        <v>-75.786900000000003</v>
      </c>
      <c r="J4418" t="s">
        <v>4371</v>
      </c>
      <c r="K4418" t="s">
        <v>97</v>
      </c>
      <c r="L4418" t="s">
        <v>1273</v>
      </c>
      <c r="M4418">
        <v>11</v>
      </c>
      <c r="P4418" s="13">
        <v>227</v>
      </c>
      <c r="Q4418" s="13">
        <v>61</v>
      </c>
      <c r="R4418">
        <v>30</v>
      </c>
      <c r="S4418">
        <v>54</v>
      </c>
      <c r="T4418" s="13">
        <v>34</v>
      </c>
      <c r="U4418" s="13">
        <v>53</v>
      </c>
      <c r="V4418" t="s">
        <v>99</v>
      </c>
      <c r="X4418" s="13">
        <v>227</v>
      </c>
    </row>
    <row r="4419" spans="1:24" x14ac:dyDescent="0.25">
      <c r="A4419" t="s">
        <v>4374</v>
      </c>
      <c r="B4419" t="s">
        <v>65</v>
      </c>
      <c r="C4419" t="s">
        <v>4368</v>
      </c>
      <c r="D4419" t="s">
        <v>4369</v>
      </c>
      <c r="E4419" t="s">
        <v>4370</v>
      </c>
      <c r="F4419" t="s">
        <v>94</v>
      </c>
      <c r="G4419" t="s">
        <v>277</v>
      </c>
      <c r="H4419" s="12">
        <v>5.7925000000000004</v>
      </c>
      <c r="I4419" s="12">
        <v>-75.786900000000003</v>
      </c>
      <c r="J4419" t="s">
        <v>4371</v>
      </c>
      <c r="K4419" t="s">
        <v>97</v>
      </c>
      <c r="L4419" t="s">
        <v>1273</v>
      </c>
      <c r="M4419">
        <v>11</v>
      </c>
      <c r="P4419" s="13">
        <v>224</v>
      </c>
      <c r="Q4419" s="13">
        <v>56</v>
      </c>
      <c r="R4419">
        <v>38</v>
      </c>
      <c r="S4419">
        <v>50</v>
      </c>
      <c r="T4419" s="13">
        <v>36</v>
      </c>
      <c r="U4419" s="13">
        <v>42</v>
      </c>
      <c r="V4419" t="s">
        <v>99</v>
      </c>
      <c r="X4419" s="13">
        <v>224</v>
      </c>
    </row>
    <row r="4420" spans="1:24" x14ac:dyDescent="0.25">
      <c r="A4420" t="s">
        <v>4375</v>
      </c>
      <c r="B4420" t="s">
        <v>65</v>
      </c>
      <c r="C4420" t="s">
        <v>4368</v>
      </c>
      <c r="D4420" t="s">
        <v>4369</v>
      </c>
      <c r="E4420" t="s">
        <v>4370</v>
      </c>
      <c r="F4420" t="s">
        <v>94</v>
      </c>
      <c r="G4420" t="s">
        <v>277</v>
      </c>
      <c r="H4420" s="12">
        <v>5.7925000000000004</v>
      </c>
      <c r="I4420" s="12">
        <v>-75.786900000000003</v>
      </c>
      <c r="J4420" t="s">
        <v>4371</v>
      </c>
      <c r="K4420" t="s">
        <v>97</v>
      </c>
      <c r="L4420" t="s">
        <v>1273</v>
      </c>
      <c r="M4420">
        <v>11</v>
      </c>
      <c r="P4420" s="13">
        <v>221</v>
      </c>
      <c r="Q4420" s="13">
        <v>54</v>
      </c>
      <c r="R4420">
        <v>40</v>
      </c>
      <c r="S4420">
        <v>46</v>
      </c>
      <c r="T4420" s="13">
        <v>36</v>
      </c>
      <c r="U4420" s="13">
        <v>47</v>
      </c>
      <c r="V4420" t="s">
        <v>99</v>
      </c>
      <c r="X4420" s="13">
        <v>221</v>
      </c>
    </row>
    <row r="4421" spans="1:24" x14ac:dyDescent="0.25">
      <c r="A4421" t="s">
        <v>4376</v>
      </c>
      <c r="B4421" t="s">
        <v>65</v>
      </c>
      <c r="C4421" t="s">
        <v>4368</v>
      </c>
      <c r="D4421" t="s">
        <v>4369</v>
      </c>
      <c r="E4421" t="s">
        <v>4370</v>
      </c>
      <c r="F4421" t="s">
        <v>94</v>
      </c>
      <c r="G4421" t="s">
        <v>277</v>
      </c>
      <c r="H4421" s="12">
        <v>5.7925000000000004</v>
      </c>
      <c r="I4421" s="12">
        <v>-75.786900000000003</v>
      </c>
      <c r="J4421" t="s">
        <v>4371</v>
      </c>
      <c r="K4421" t="s">
        <v>97</v>
      </c>
      <c r="L4421" t="s">
        <v>1273</v>
      </c>
      <c r="M4421">
        <v>11</v>
      </c>
      <c r="P4421" s="13">
        <v>208</v>
      </c>
      <c r="Q4421" s="13">
        <v>39</v>
      </c>
      <c r="R4421">
        <v>28</v>
      </c>
      <c r="S4421">
        <v>52</v>
      </c>
      <c r="T4421" s="13">
        <v>40</v>
      </c>
      <c r="U4421" s="13">
        <v>65</v>
      </c>
      <c r="V4421" t="s">
        <v>99</v>
      </c>
      <c r="X4421" s="13">
        <v>208</v>
      </c>
    </row>
    <row r="4422" spans="1:24" x14ac:dyDescent="0.25">
      <c r="A4422" t="s">
        <v>4377</v>
      </c>
      <c r="B4422" t="s">
        <v>65</v>
      </c>
      <c r="C4422" t="s">
        <v>4368</v>
      </c>
      <c r="D4422" t="s">
        <v>4369</v>
      </c>
      <c r="E4422" t="s">
        <v>4370</v>
      </c>
      <c r="F4422" t="s">
        <v>94</v>
      </c>
      <c r="G4422" t="s">
        <v>277</v>
      </c>
      <c r="H4422" s="12">
        <v>5.7925000000000004</v>
      </c>
      <c r="I4422" s="12">
        <v>-75.786900000000003</v>
      </c>
      <c r="J4422" t="s">
        <v>4371</v>
      </c>
      <c r="K4422" t="s">
        <v>97</v>
      </c>
      <c r="L4422" t="s">
        <v>1273</v>
      </c>
      <c r="M4422">
        <v>11</v>
      </c>
      <c r="P4422" s="13">
        <v>202</v>
      </c>
      <c r="Q4422" s="13">
        <v>66</v>
      </c>
      <c r="R4422">
        <v>28</v>
      </c>
      <c r="S4422">
        <v>36</v>
      </c>
      <c r="T4422" s="13">
        <v>31</v>
      </c>
      <c r="U4422" s="13">
        <v>44</v>
      </c>
      <c r="V4422" t="s">
        <v>99</v>
      </c>
      <c r="X4422" s="13">
        <v>202</v>
      </c>
    </row>
    <row r="4423" spans="1:24" x14ac:dyDescent="0.25">
      <c r="A4423" t="s">
        <v>4378</v>
      </c>
      <c r="B4423" t="s">
        <v>65</v>
      </c>
      <c r="C4423" t="s">
        <v>4368</v>
      </c>
      <c r="D4423" t="s">
        <v>4369</v>
      </c>
      <c r="E4423" t="s">
        <v>4370</v>
      </c>
      <c r="F4423" t="s">
        <v>94</v>
      </c>
      <c r="G4423" t="s">
        <v>277</v>
      </c>
      <c r="H4423" s="12">
        <v>5.7925000000000004</v>
      </c>
      <c r="I4423" s="12">
        <v>-75.786900000000003</v>
      </c>
      <c r="J4423" t="s">
        <v>4371</v>
      </c>
      <c r="K4423" t="s">
        <v>97</v>
      </c>
      <c r="L4423" t="s">
        <v>1273</v>
      </c>
      <c r="M4423">
        <v>11</v>
      </c>
      <c r="P4423" s="13">
        <v>200</v>
      </c>
      <c r="Q4423" s="13">
        <v>59</v>
      </c>
      <c r="R4423">
        <v>24</v>
      </c>
      <c r="S4423">
        <v>46</v>
      </c>
      <c r="T4423" s="13">
        <v>29</v>
      </c>
      <c r="U4423" s="13">
        <v>47</v>
      </c>
      <c r="V4423" t="s">
        <v>99</v>
      </c>
      <c r="X4423" s="13">
        <v>200</v>
      </c>
    </row>
    <row r="4424" spans="1:24" x14ac:dyDescent="0.25">
      <c r="A4424" t="s">
        <v>4379</v>
      </c>
      <c r="B4424" t="s">
        <v>65</v>
      </c>
      <c r="C4424" t="s">
        <v>4368</v>
      </c>
      <c r="D4424" t="s">
        <v>4369</v>
      </c>
      <c r="E4424" t="s">
        <v>4370</v>
      </c>
      <c r="F4424" t="s">
        <v>94</v>
      </c>
      <c r="G4424" t="s">
        <v>277</v>
      </c>
      <c r="H4424" s="12">
        <v>5.7925000000000004</v>
      </c>
      <c r="I4424" s="12">
        <v>-75.786900000000003</v>
      </c>
      <c r="J4424" t="s">
        <v>4371</v>
      </c>
      <c r="K4424" t="s">
        <v>97</v>
      </c>
      <c r="L4424" t="s">
        <v>1273</v>
      </c>
      <c r="M4424">
        <v>11</v>
      </c>
      <c r="P4424" s="13">
        <v>198</v>
      </c>
      <c r="Q4424" s="13">
        <v>51</v>
      </c>
      <c r="R4424">
        <v>30</v>
      </c>
      <c r="S4424">
        <v>50</v>
      </c>
      <c r="T4424" s="13">
        <v>26</v>
      </c>
      <c r="U4424" s="13">
        <v>44</v>
      </c>
      <c r="V4424" t="s">
        <v>99</v>
      </c>
      <c r="X4424" s="13">
        <v>198</v>
      </c>
    </row>
    <row r="4425" spans="1:24" x14ac:dyDescent="0.25">
      <c r="A4425" t="s">
        <v>4380</v>
      </c>
      <c r="B4425" t="s">
        <v>65</v>
      </c>
      <c r="C4425" t="s">
        <v>4368</v>
      </c>
      <c r="D4425" t="s">
        <v>4369</v>
      </c>
      <c r="E4425" t="s">
        <v>4370</v>
      </c>
      <c r="F4425" t="s">
        <v>94</v>
      </c>
      <c r="G4425" t="s">
        <v>277</v>
      </c>
      <c r="H4425" s="12">
        <v>5.7925000000000004</v>
      </c>
      <c r="I4425" s="12">
        <v>-75.786900000000003</v>
      </c>
      <c r="J4425" t="s">
        <v>4371</v>
      </c>
      <c r="K4425" t="s">
        <v>97</v>
      </c>
      <c r="L4425" t="s">
        <v>1273</v>
      </c>
      <c r="M4425">
        <v>11</v>
      </c>
      <c r="P4425" s="13">
        <v>181</v>
      </c>
      <c r="Q4425" s="13">
        <v>51</v>
      </c>
      <c r="R4425">
        <v>18</v>
      </c>
      <c r="S4425">
        <v>50</v>
      </c>
      <c r="T4425" s="13">
        <v>26</v>
      </c>
      <c r="U4425" s="13">
        <v>36</v>
      </c>
      <c r="V4425" t="s">
        <v>99</v>
      </c>
      <c r="X4425" s="13">
        <v>181</v>
      </c>
    </row>
    <row r="4426" spans="1:24" x14ac:dyDescent="0.25">
      <c r="A4426" t="s">
        <v>4381</v>
      </c>
      <c r="B4426" t="s">
        <v>65</v>
      </c>
      <c r="C4426" t="s">
        <v>4368</v>
      </c>
      <c r="D4426" t="s">
        <v>4369</v>
      </c>
      <c r="E4426" t="s">
        <v>4370</v>
      </c>
      <c r="F4426" t="s">
        <v>94</v>
      </c>
      <c r="G4426" t="s">
        <v>277</v>
      </c>
      <c r="H4426" s="12">
        <v>5.7925000000000004</v>
      </c>
      <c r="I4426" s="12">
        <v>-75.786900000000003</v>
      </c>
      <c r="J4426" t="s">
        <v>4371</v>
      </c>
      <c r="K4426" t="s">
        <v>97</v>
      </c>
      <c r="L4426" t="s">
        <v>1273</v>
      </c>
      <c r="M4426">
        <v>11</v>
      </c>
      <c r="P4426" s="13">
        <v>180</v>
      </c>
      <c r="Q4426" s="13">
        <v>49</v>
      </c>
      <c r="R4426">
        <v>24</v>
      </c>
      <c r="S4426">
        <v>46</v>
      </c>
      <c r="T4426" s="13">
        <v>28</v>
      </c>
      <c r="U4426" s="13">
        <v>29</v>
      </c>
      <c r="V4426" t="s">
        <v>99</v>
      </c>
      <c r="X4426" s="13">
        <v>180</v>
      </c>
    </row>
    <row r="4427" spans="1:24" x14ac:dyDescent="0.25">
      <c r="A4427" t="s">
        <v>4382</v>
      </c>
      <c r="B4427" t="s">
        <v>65</v>
      </c>
      <c r="C4427" t="s">
        <v>4368</v>
      </c>
      <c r="D4427" t="s">
        <v>4369</v>
      </c>
      <c r="E4427" t="s">
        <v>4370</v>
      </c>
      <c r="F4427" t="s">
        <v>94</v>
      </c>
      <c r="G4427" t="s">
        <v>277</v>
      </c>
      <c r="H4427" s="12">
        <v>5.7925000000000004</v>
      </c>
      <c r="I4427" s="12">
        <v>-75.786900000000003</v>
      </c>
      <c r="J4427" t="s">
        <v>4371</v>
      </c>
      <c r="K4427" t="s">
        <v>97</v>
      </c>
      <c r="L4427" t="s">
        <v>1273</v>
      </c>
      <c r="M4427">
        <v>11</v>
      </c>
      <c r="P4427" s="13">
        <v>172</v>
      </c>
      <c r="Q4427" s="13">
        <v>34</v>
      </c>
      <c r="R4427">
        <v>30</v>
      </c>
      <c r="S4427">
        <v>52</v>
      </c>
      <c r="T4427" s="13">
        <v>26</v>
      </c>
      <c r="U4427" s="13">
        <v>22</v>
      </c>
      <c r="V4427" t="s">
        <v>99</v>
      </c>
      <c r="X4427" s="13">
        <v>172</v>
      </c>
    </row>
    <row r="4428" spans="1:24" x14ac:dyDescent="0.25">
      <c r="A4428" t="s">
        <v>4383</v>
      </c>
      <c r="B4428" t="s">
        <v>65</v>
      </c>
      <c r="C4428" t="s">
        <v>4368</v>
      </c>
      <c r="D4428" t="s">
        <v>4369</v>
      </c>
      <c r="E4428" t="s">
        <v>4370</v>
      </c>
      <c r="F4428" t="s">
        <v>94</v>
      </c>
      <c r="G4428" t="s">
        <v>277</v>
      </c>
      <c r="H4428" s="12">
        <v>5.7925000000000004</v>
      </c>
      <c r="I4428" s="12">
        <v>-75.786900000000003</v>
      </c>
      <c r="J4428" t="s">
        <v>4371</v>
      </c>
      <c r="K4428" t="s">
        <v>97</v>
      </c>
      <c r="L4428" t="s">
        <v>1273</v>
      </c>
      <c r="M4428">
        <v>11</v>
      </c>
      <c r="P4428" s="13">
        <v>162</v>
      </c>
      <c r="Q4428" s="13">
        <v>37</v>
      </c>
      <c r="R4428">
        <v>30</v>
      </c>
      <c r="S4428">
        <v>36</v>
      </c>
      <c r="T4428" s="13">
        <v>28</v>
      </c>
      <c r="U4428" s="13">
        <v>31</v>
      </c>
      <c r="V4428" t="s">
        <v>99</v>
      </c>
      <c r="X4428" s="13">
        <v>162</v>
      </c>
    </row>
    <row r="4429" spans="1:24" x14ac:dyDescent="0.25">
      <c r="A4429" t="s">
        <v>4384</v>
      </c>
      <c r="B4429" t="s">
        <v>65</v>
      </c>
      <c r="C4429" t="s">
        <v>4368</v>
      </c>
      <c r="D4429" t="s">
        <v>4369</v>
      </c>
      <c r="E4429" t="s">
        <v>4370</v>
      </c>
      <c r="F4429" t="s">
        <v>94</v>
      </c>
      <c r="G4429" t="s">
        <v>277</v>
      </c>
      <c r="H4429" s="12">
        <v>5.7925000000000004</v>
      </c>
      <c r="I4429" s="12">
        <v>-75.786900000000003</v>
      </c>
      <c r="J4429" t="s">
        <v>4371</v>
      </c>
      <c r="K4429" t="s">
        <v>97</v>
      </c>
      <c r="L4429" t="s">
        <v>1273</v>
      </c>
      <c r="M4429">
        <v>11</v>
      </c>
      <c r="P4429" s="13">
        <v>157</v>
      </c>
      <c r="Q4429" s="13">
        <v>39</v>
      </c>
      <c r="R4429">
        <v>12</v>
      </c>
      <c r="S4429">
        <v>50</v>
      </c>
      <c r="T4429" s="13">
        <v>28</v>
      </c>
      <c r="U4429" s="13">
        <v>22</v>
      </c>
      <c r="V4429" t="s">
        <v>99</v>
      </c>
      <c r="X4429" s="13">
        <v>157</v>
      </c>
    </row>
    <row r="4430" spans="1:24" x14ac:dyDescent="0.25">
      <c r="A4430" t="s">
        <v>4385</v>
      </c>
      <c r="B4430" t="s">
        <v>65</v>
      </c>
      <c r="C4430" t="s">
        <v>4368</v>
      </c>
      <c r="D4430" t="s">
        <v>4369</v>
      </c>
      <c r="E4430" t="s">
        <v>4370</v>
      </c>
      <c r="F4430" t="s">
        <v>94</v>
      </c>
      <c r="G4430" t="s">
        <v>277</v>
      </c>
      <c r="H4430" s="12">
        <v>5.7925000000000004</v>
      </c>
      <c r="I4430" s="12">
        <v>-75.786900000000003</v>
      </c>
      <c r="J4430" t="s">
        <v>4371</v>
      </c>
      <c r="K4430" t="s">
        <v>97</v>
      </c>
      <c r="L4430" t="s">
        <v>1273</v>
      </c>
      <c r="M4430">
        <v>11</v>
      </c>
      <c r="P4430" s="13">
        <v>155</v>
      </c>
      <c r="Q4430" s="13">
        <v>27</v>
      </c>
      <c r="R4430">
        <v>24</v>
      </c>
      <c r="S4430">
        <v>46</v>
      </c>
      <c r="T4430" s="13">
        <v>26</v>
      </c>
      <c r="U4430" s="13">
        <v>35</v>
      </c>
      <c r="V4430" t="s">
        <v>99</v>
      </c>
      <c r="X4430" s="13">
        <v>155</v>
      </c>
    </row>
    <row r="4431" spans="1:24" x14ac:dyDescent="0.25">
      <c r="A4431" t="s">
        <v>4386</v>
      </c>
      <c r="B4431" t="s">
        <v>65</v>
      </c>
      <c r="C4431" t="s">
        <v>4368</v>
      </c>
      <c r="D4431" t="s">
        <v>4369</v>
      </c>
      <c r="E4431" t="s">
        <v>4370</v>
      </c>
      <c r="F4431" t="s">
        <v>94</v>
      </c>
      <c r="G4431" t="s">
        <v>277</v>
      </c>
      <c r="H4431" s="12">
        <v>5.7925000000000004</v>
      </c>
      <c r="I4431" s="12">
        <v>-75.786900000000003</v>
      </c>
      <c r="J4431" t="s">
        <v>4371</v>
      </c>
      <c r="K4431" t="s">
        <v>97</v>
      </c>
      <c r="L4431" t="s">
        <v>1273</v>
      </c>
      <c r="M4431">
        <v>11</v>
      </c>
      <c r="P4431" s="13">
        <v>150</v>
      </c>
      <c r="Q4431" s="13">
        <v>34</v>
      </c>
      <c r="R4431">
        <v>36</v>
      </c>
      <c r="S4431">
        <v>28</v>
      </c>
      <c r="T4431" s="13">
        <v>22</v>
      </c>
      <c r="U4431" s="13">
        <v>29</v>
      </c>
      <c r="V4431" t="s">
        <v>99</v>
      </c>
      <c r="X4431" s="13">
        <v>150</v>
      </c>
    </row>
    <row r="4432" spans="1:24" x14ac:dyDescent="0.25">
      <c r="A4432" t="s">
        <v>4387</v>
      </c>
      <c r="B4432" t="s">
        <v>65</v>
      </c>
      <c r="C4432" t="s">
        <v>4368</v>
      </c>
      <c r="D4432" t="s">
        <v>4369</v>
      </c>
      <c r="E4432" t="s">
        <v>4370</v>
      </c>
      <c r="F4432" t="s">
        <v>94</v>
      </c>
      <c r="G4432" t="s">
        <v>277</v>
      </c>
      <c r="H4432" s="12">
        <v>5.7925000000000004</v>
      </c>
      <c r="I4432" s="12">
        <v>-75.786900000000003</v>
      </c>
      <c r="J4432" t="s">
        <v>4371</v>
      </c>
      <c r="K4432" t="s">
        <v>97</v>
      </c>
      <c r="L4432" t="s">
        <v>1273</v>
      </c>
      <c r="M4432">
        <v>11</v>
      </c>
      <c r="P4432" s="13">
        <v>150</v>
      </c>
      <c r="Q4432" s="13">
        <v>46</v>
      </c>
      <c r="R4432">
        <v>24</v>
      </c>
      <c r="S4432">
        <v>26</v>
      </c>
      <c r="T4432" s="13">
        <v>24</v>
      </c>
      <c r="U4432" s="13">
        <v>27</v>
      </c>
      <c r="V4432" t="s">
        <v>99</v>
      </c>
      <c r="X4432" s="13">
        <v>150</v>
      </c>
    </row>
    <row r="4433" spans="1:24" x14ac:dyDescent="0.25">
      <c r="A4433" t="s">
        <v>4388</v>
      </c>
      <c r="B4433" t="s">
        <v>65</v>
      </c>
      <c r="C4433" t="s">
        <v>4368</v>
      </c>
      <c r="D4433" t="s">
        <v>4369</v>
      </c>
      <c r="E4433" t="s">
        <v>4370</v>
      </c>
      <c r="F4433" t="s">
        <v>94</v>
      </c>
      <c r="G4433" t="s">
        <v>277</v>
      </c>
      <c r="H4433" s="12">
        <v>5.7925000000000004</v>
      </c>
      <c r="I4433" s="12">
        <v>-75.786900000000003</v>
      </c>
      <c r="J4433" t="s">
        <v>4371</v>
      </c>
      <c r="K4433" t="s">
        <v>97</v>
      </c>
      <c r="L4433" t="s">
        <v>1273</v>
      </c>
      <c r="M4433">
        <v>11</v>
      </c>
      <c r="P4433" s="13">
        <v>147</v>
      </c>
      <c r="Q4433" s="13">
        <v>41</v>
      </c>
      <c r="R4433">
        <v>26</v>
      </c>
      <c r="S4433">
        <v>24</v>
      </c>
      <c r="T4433" s="13">
        <v>26</v>
      </c>
      <c r="U4433" s="13">
        <v>31</v>
      </c>
      <c r="V4433" t="s">
        <v>99</v>
      </c>
      <c r="X4433" s="13">
        <v>147</v>
      </c>
    </row>
    <row r="4434" spans="1:24" x14ac:dyDescent="0.25">
      <c r="A4434" t="s">
        <v>4389</v>
      </c>
      <c r="B4434" t="s">
        <v>65</v>
      </c>
      <c r="C4434" t="s">
        <v>4368</v>
      </c>
      <c r="D4434" t="s">
        <v>4369</v>
      </c>
      <c r="E4434" t="s">
        <v>4370</v>
      </c>
      <c r="F4434" t="s">
        <v>94</v>
      </c>
      <c r="G4434" t="s">
        <v>277</v>
      </c>
      <c r="H4434" s="12">
        <v>5.7925000000000004</v>
      </c>
      <c r="I4434" s="12">
        <v>-75.786900000000003</v>
      </c>
      <c r="J4434" t="s">
        <v>4371</v>
      </c>
      <c r="K4434" t="s">
        <v>97</v>
      </c>
      <c r="L4434" t="s">
        <v>1273</v>
      </c>
      <c r="M4434">
        <v>11</v>
      </c>
      <c r="P4434" s="13">
        <v>147</v>
      </c>
      <c r="Q4434" s="13">
        <v>39</v>
      </c>
      <c r="R4434">
        <v>28</v>
      </c>
      <c r="S4434">
        <v>22</v>
      </c>
      <c r="T4434" s="13">
        <v>29</v>
      </c>
      <c r="U4434" s="13">
        <v>27</v>
      </c>
      <c r="V4434" t="s">
        <v>99</v>
      </c>
      <c r="X4434" s="13">
        <v>147</v>
      </c>
    </row>
    <row r="4435" spans="1:24" x14ac:dyDescent="0.25">
      <c r="A4435" t="s">
        <v>4390</v>
      </c>
      <c r="B4435" t="s">
        <v>65</v>
      </c>
      <c r="C4435" t="s">
        <v>4368</v>
      </c>
      <c r="D4435" t="s">
        <v>4369</v>
      </c>
      <c r="E4435" t="s">
        <v>4370</v>
      </c>
      <c r="F4435" t="s">
        <v>94</v>
      </c>
      <c r="G4435" t="s">
        <v>277</v>
      </c>
      <c r="H4435" s="12">
        <v>5.7925000000000004</v>
      </c>
      <c r="I4435" s="12">
        <v>-75.786900000000003</v>
      </c>
      <c r="J4435" t="s">
        <v>4371</v>
      </c>
      <c r="K4435" t="s">
        <v>97</v>
      </c>
      <c r="L4435" t="s">
        <v>1273</v>
      </c>
      <c r="M4435">
        <v>11</v>
      </c>
      <c r="P4435" s="13">
        <v>143</v>
      </c>
      <c r="Q4435" s="13">
        <v>34</v>
      </c>
      <c r="R4435">
        <v>26</v>
      </c>
      <c r="S4435">
        <v>32</v>
      </c>
      <c r="T4435" s="13">
        <v>22</v>
      </c>
      <c r="U4435" s="13">
        <v>29</v>
      </c>
      <c r="V4435" t="s">
        <v>99</v>
      </c>
      <c r="X4435" s="13">
        <v>143</v>
      </c>
    </row>
    <row r="4436" spans="1:24" x14ac:dyDescent="0.25">
      <c r="A4436" t="s">
        <v>4391</v>
      </c>
      <c r="B4436" t="s">
        <v>65</v>
      </c>
      <c r="C4436" t="s">
        <v>4368</v>
      </c>
      <c r="D4436" t="s">
        <v>4369</v>
      </c>
      <c r="E4436" t="s">
        <v>4370</v>
      </c>
      <c r="F4436" t="s">
        <v>94</v>
      </c>
      <c r="G4436" t="s">
        <v>277</v>
      </c>
      <c r="H4436" s="12">
        <v>5.7925000000000004</v>
      </c>
      <c r="I4436" s="12">
        <v>-75.786900000000003</v>
      </c>
      <c r="J4436" t="s">
        <v>4371</v>
      </c>
      <c r="K4436" t="s">
        <v>97</v>
      </c>
      <c r="L4436" t="s">
        <v>1273</v>
      </c>
      <c r="M4436">
        <v>11</v>
      </c>
      <c r="P4436" s="13">
        <v>142</v>
      </c>
      <c r="Q4436" s="13">
        <v>32</v>
      </c>
      <c r="R4436">
        <v>26</v>
      </c>
      <c r="S4436">
        <v>34</v>
      </c>
      <c r="T4436" s="13">
        <v>21</v>
      </c>
      <c r="U4436" s="13">
        <v>33</v>
      </c>
      <c r="V4436" t="s">
        <v>99</v>
      </c>
      <c r="X4436" s="13">
        <v>142</v>
      </c>
    </row>
    <row r="4437" spans="1:24" x14ac:dyDescent="0.25">
      <c r="A4437" t="s">
        <v>4392</v>
      </c>
      <c r="B4437" t="s">
        <v>65</v>
      </c>
      <c r="C4437" t="s">
        <v>4368</v>
      </c>
      <c r="D4437" t="s">
        <v>4369</v>
      </c>
      <c r="E4437" t="s">
        <v>4370</v>
      </c>
      <c r="F4437" t="s">
        <v>94</v>
      </c>
      <c r="G4437" t="s">
        <v>277</v>
      </c>
      <c r="H4437" s="12">
        <v>5.7925000000000004</v>
      </c>
      <c r="I4437" s="12">
        <v>-75.786900000000003</v>
      </c>
      <c r="J4437" t="s">
        <v>4371</v>
      </c>
      <c r="K4437" t="s">
        <v>97</v>
      </c>
      <c r="L4437" t="s">
        <v>1273</v>
      </c>
      <c r="M4437">
        <v>11</v>
      </c>
      <c r="P4437" s="13">
        <v>141</v>
      </c>
      <c r="Q4437" s="13">
        <v>24</v>
      </c>
      <c r="R4437">
        <v>26</v>
      </c>
      <c r="S4437">
        <v>30</v>
      </c>
      <c r="T4437" s="13">
        <v>31</v>
      </c>
      <c r="U4437" s="13">
        <v>33</v>
      </c>
      <c r="V4437" t="s">
        <v>99</v>
      </c>
      <c r="X4437" s="13">
        <v>141</v>
      </c>
    </row>
    <row r="4438" spans="1:24" x14ac:dyDescent="0.25">
      <c r="A4438" t="s">
        <v>4393</v>
      </c>
      <c r="B4438" t="s">
        <v>65</v>
      </c>
      <c r="C4438" t="s">
        <v>4368</v>
      </c>
      <c r="D4438" t="s">
        <v>4369</v>
      </c>
      <c r="E4438" t="s">
        <v>4370</v>
      </c>
      <c r="F4438" t="s">
        <v>94</v>
      </c>
      <c r="G4438" t="s">
        <v>277</v>
      </c>
      <c r="H4438" s="12">
        <v>5.7925000000000004</v>
      </c>
      <c r="I4438" s="12">
        <v>-75.786900000000003</v>
      </c>
      <c r="J4438" t="s">
        <v>4371</v>
      </c>
      <c r="K4438" t="s">
        <v>97</v>
      </c>
      <c r="L4438" t="s">
        <v>1273</v>
      </c>
      <c r="M4438">
        <v>11</v>
      </c>
      <c r="P4438" s="13">
        <v>140</v>
      </c>
      <c r="Q4438" s="13">
        <v>29</v>
      </c>
      <c r="R4438">
        <v>28</v>
      </c>
      <c r="S4438">
        <v>30</v>
      </c>
      <c r="T4438" s="13">
        <v>29</v>
      </c>
      <c r="U4438" s="13">
        <v>15</v>
      </c>
      <c r="V4438" t="s">
        <v>99</v>
      </c>
      <c r="X4438" s="13">
        <v>140</v>
      </c>
    </row>
    <row r="4439" spans="1:24" x14ac:dyDescent="0.25">
      <c r="A4439" t="s">
        <v>4394</v>
      </c>
      <c r="B4439" t="s">
        <v>65</v>
      </c>
      <c r="C4439" t="s">
        <v>4368</v>
      </c>
      <c r="D4439" t="s">
        <v>4369</v>
      </c>
      <c r="E4439" t="s">
        <v>4370</v>
      </c>
      <c r="F4439" t="s">
        <v>94</v>
      </c>
      <c r="G4439" t="s">
        <v>277</v>
      </c>
      <c r="H4439" s="12">
        <v>5.7925000000000004</v>
      </c>
      <c r="I4439" s="12">
        <v>-75.786900000000003</v>
      </c>
      <c r="J4439" t="s">
        <v>4371</v>
      </c>
      <c r="K4439" t="s">
        <v>97</v>
      </c>
      <c r="L4439" t="s">
        <v>1273</v>
      </c>
      <c r="M4439">
        <v>11</v>
      </c>
      <c r="P4439" s="13">
        <v>135</v>
      </c>
      <c r="Q4439" s="13">
        <v>17</v>
      </c>
      <c r="R4439">
        <v>32</v>
      </c>
      <c r="S4439">
        <v>28</v>
      </c>
      <c r="T4439" s="13">
        <v>29</v>
      </c>
      <c r="U4439" s="13">
        <v>33</v>
      </c>
      <c r="V4439" t="s">
        <v>99</v>
      </c>
      <c r="X4439" s="13">
        <v>135</v>
      </c>
    </row>
    <row r="4440" spans="1:24" x14ac:dyDescent="0.25">
      <c r="A4440" t="s">
        <v>4395</v>
      </c>
      <c r="B4440" t="s">
        <v>65</v>
      </c>
      <c r="C4440" t="s">
        <v>4368</v>
      </c>
      <c r="D4440" t="s">
        <v>4369</v>
      </c>
      <c r="E4440" t="s">
        <v>4370</v>
      </c>
      <c r="F4440" t="s">
        <v>94</v>
      </c>
      <c r="G4440" t="s">
        <v>277</v>
      </c>
      <c r="H4440" s="12">
        <v>5.7925000000000004</v>
      </c>
      <c r="I4440" s="12">
        <v>-75.786900000000003</v>
      </c>
      <c r="J4440" t="s">
        <v>4371</v>
      </c>
      <c r="K4440" t="s">
        <v>97</v>
      </c>
      <c r="L4440" t="s">
        <v>1273</v>
      </c>
      <c r="M4440">
        <v>11</v>
      </c>
      <c r="P4440" s="13">
        <v>134</v>
      </c>
      <c r="Q4440" s="13">
        <v>49</v>
      </c>
      <c r="R4440">
        <v>22</v>
      </c>
      <c r="S4440">
        <v>30</v>
      </c>
      <c r="T4440" s="13">
        <v>16</v>
      </c>
      <c r="U4440" s="13">
        <v>0</v>
      </c>
      <c r="V4440" t="s">
        <v>99</v>
      </c>
      <c r="X4440" s="13">
        <v>134</v>
      </c>
    </row>
    <row r="4441" spans="1:24" x14ac:dyDescent="0.25">
      <c r="A4441" t="s">
        <v>4396</v>
      </c>
      <c r="B4441" t="s">
        <v>65</v>
      </c>
      <c r="C4441" t="s">
        <v>4368</v>
      </c>
      <c r="D4441" t="s">
        <v>4369</v>
      </c>
      <c r="E4441" t="s">
        <v>4370</v>
      </c>
      <c r="F4441" t="s">
        <v>94</v>
      </c>
      <c r="G4441" t="s">
        <v>277</v>
      </c>
      <c r="H4441" s="12">
        <v>5.7925000000000004</v>
      </c>
      <c r="I4441" s="12">
        <v>-75.786900000000003</v>
      </c>
      <c r="J4441" t="s">
        <v>4371</v>
      </c>
      <c r="K4441" t="s">
        <v>97</v>
      </c>
      <c r="L4441" t="s">
        <v>1273</v>
      </c>
      <c r="M4441">
        <v>11</v>
      </c>
      <c r="P4441" s="13">
        <v>128</v>
      </c>
      <c r="Q4441" s="13">
        <v>34</v>
      </c>
      <c r="R4441">
        <v>18</v>
      </c>
      <c r="S4441">
        <v>24</v>
      </c>
      <c r="T4441" s="13">
        <v>28</v>
      </c>
      <c r="U4441" s="13">
        <v>22</v>
      </c>
      <c r="V4441" t="s">
        <v>99</v>
      </c>
      <c r="X4441" s="13">
        <v>128</v>
      </c>
    </row>
    <row r="4442" spans="1:24" x14ac:dyDescent="0.25">
      <c r="A4442" t="s">
        <v>4397</v>
      </c>
      <c r="B4442" t="s">
        <v>65</v>
      </c>
      <c r="C4442" t="s">
        <v>4368</v>
      </c>
      <c r="D4442" t="s">
        <v>4369</v>
      </c>
      <c r="E4442" t="s">
        <v>4370</v>
      </c>
      <c r="F4442" t="s">
        <v>94</v>
      </c>
      <c r="G4442" t="s">
        <v>277</v>
      </c>
      <c r="H4442" s="12">
        <v>5.7925000000000004</v>
      </c>
      <c r="I4442" s="12">
        <v>-75.786900000000003</v>
      </c>
      <c r="J4442" t="s">
        <v>4371</v>
      </c>
      <c r="K4442" t="s">
        <v>97</v>
      </c>
      <c r="L4442" t="s">
        <v>1273</v>
      </c>
      <c r="M4442">
        <v>11</v>
      </c>
      <c r="P4442" s="13">
        <v>123</v>
      </c>
      <c r="Q4442" s="13">
        <v>34</v>
      </c>
      <c r="R4442">
        <v>32</v>
      </c>
      <c r="S4442">
        <v>12</v>
      </c>
      <c r="T4442" s="13">
        <v>19</v>
      </c>
      <c r="U4442" s="13">
        <v>27</v>
      </c>
      <c r="V4442" t="s">
        <v>99</v>
      </c>
      <c r="X4442" s="13">
        <v>123</v>
      </c>
    </row>
    <row r="4443" spans="1:24" x14ac:dyDescent="0.25">
      <c r="A4443" t="s">
        <v>4398</v>
      </c>
      <c r="B4443" t="s">
        <v>65</v>
      </c>
      <c r="C4443" t="s">
        <v>4368</v>
      </c>
      <c r="D4443" t="s">
        <v>4369</v>
      </c>
      <c r="E4443" t="s">
        <v>4370</v>
      </c>
      <c r="F4443" t="s">
        <v>94</v>
      </c>
      <c r="G4443" t="s">
        <v>277</v>
      </c>
      <c r="H4443" s="12">
        <v>5.7925000000000004</v>
      </c>
      <c r="I4443" s="12">
        <v>-75.786900000000003</v>
      </c>
      <c r="J4443" t="s">
        <v>4371</v>
      </c>
      <c r="K4443" t="s">
        <v>97</v>
      </c>
      <c r="L4443" t="s">
        <v>1273</v>
      </c>
      <c r="M4443">
        <v>11</v>
      </c>
      <c r="P4443" s="13">
        <v>121</v>
      </c>
      <c r="Q4443" s="13">
        <v>32</v>
      </c>
      <c r="R4443">
        <v>20</v>
      </c>
      <c r="S4443">
        <v>30</v>
      </c>
      <c r="T4443" s="13">
        <v>14</v>
      </c>
      <c r="U4443" s="13">
        <v>27</v>
      </c>
      <c r="V4443" t="s">
        <v>99</v>
      </c>
      <c r="X4443" s="13">
        <v>121</v>
      </c>
    </row>
    <row r="4444" spans="1:24" x14ac:dyDescent="0.25">
      <c r="A4444" t="s">
        <v>4399</v>
      </c>
      <c r="B4444" t="s">
        <v>65</v>
      </c>
      <c r="C4444" t="s">
        <v>4368</v>
      </c>
      <c r="D4444" t="s">
        <v>4369</v>
      </c>
      <c r="E4444" t="s">
        <v>4370</v>
      </c>
      <c r="F4444" t="s">
        <v>94</v>
      </c>
      <c r="G4444" t="s">
        <v>277</v>
      </c>
      <c r="H4444" s="12">
        <v>5.7925000000000004</v>
      </c>
      <c r="I4444" s="12">
        <v>-75.786900000000003</v>
      </c>
      <c r="J4444" t="s">
        <v>4371</v>
      </c>
      <c r="K4444" t="s">
        <v>97</v>
      </c>
      <c r="L4444" t="s">
        <v>1273</v>
      </c>
      <c r="M4444">
        <v>11</v>
      </c>
      <c r="P4444" s="13">
        <v>112</v>
      </c>
      <c r="Q4444" s="13">
        <v>20</v>
      </c>
      <c r="R4444">
        <v>26</v>
      </c>
      <c r="S4444">
        <v>18</v>
      </c>
      <c r="T4444" s="13">
        <v>26</v>
      </c>
      <c r="U4444" s="13">
        <v>22</v>
      </c>
      <c r="V4444" t="s">
        <v>99</v>
      </c>
      <c r="X4444" s="13">
        <v>112</v>
      </c>
    </row>
    <row r="4445" spans="1:24" x14ac:dyDescent="0.25">
      <c r="A4445" t="s">
        <v>4400</v>
      </c>
      <c r="B4445" t="s">
        <v>65</v>
      </c>
      <c r="C4445" t="s">
        <v>4368</v>
      </c>
      <c r="D4445" t="s">
        <v>4369</v>
      </c>
      <c r="E4445" t="s">
        <v>4370</v>
      </c>
      <c r="F4445" t="s">
        <v>94</v>
      </c>
      <c r="G4445" t="s">
        <v>277</v>
      </c>
      <c r="H4445" s="12">
        <v>5.7925000000000004</v>
      </c>
      <c r="I4445" s="12">
        <v>-75.786900000000003</v>
      </c>
      <c r="J4445" t="s">
        <v>4371</v>
      </c>
      <c r="K4445" t="s">
        <v>97</v>
      </c>
      <c r="L4445" t="s">
        <v>1273</v>
      </c>
      <c r="M4445">
        <v>11</v>
      </c>
      <c r="P4445" s="13">
        <v>86</v>
      </c>
      <c r="Q4445" s="13">
        <v>32</v>
      </c>
      <c r="R4445">
        <v>18</v>
      </c>
      <c r="S4445">
        <v>16</v>
      </c>
      <c r="T4445" s="13">
        <v>9</v>
      </c>
      <c r="U4445" s="13">
        <v>0</v>
      </c>
      <c r="V4445" t="s">
        <v>99</v>
      </c>
      <c r="X4445" s="13">
        <v>86</v>
      </c>
    </row>
    <row r="4446" spans="1:24" x14ac:dyDescent="0.25">
      <c r="A4446" t="s">
        <v>4401</v>
      </c>
      <c r="B4446" t="s">
        <v>65</v>
      </c>
      <c r="C4446" t="s">
        <v>4368</v>
      </c>
      <c r="D4446" t="s">
        <v>4369</v>
      </c>
      <c r="E4446" t="s">
        <v>4370</v>
      </c>
      <c r="F4446" t="s">
        <v>94</v>
      </c>
      <c r="G4446" t="s">
        <v>277</v>
      </c>
      <c r="H4446" s="12">
        <v>5.7925000000000004</v>
      </c>
      <c r="I4446" s="12">
        <v>-75.786900000000003</v>
      </c>
      <c r="J4446" t="s">
        <v>4371</v>
      </c>
      <c r="K4446" t="s">
        <v>97</v>
      </c>
      <c r="L4446" t="s">
        <v>1273</v>
      </c>
      <c r="M4446">
        <v>11</v>
      </c>
      <c r="P4446" s="13">
        <v>53</v>
      </c>
      <c r="Q4446" s="13">
        <v>46</v>
      </c>
      <c r="R4446">
        <v>0</v>
      </c>
      <c r="S4446">
        <v>0</v>
      </c>
      <c r="T4446" s="13">
        <v>0</v>
      </c>
      <c r="U4446" s="13">
        <v>0</v>
      </c>
      <c r="V4446" t="s">
        <v>99</v>
      </c>
      <c r="X4446" s="13">
        <v>53</v>
      </c>
    </row>
    <row r="4447" spans="1:24" x14ac:dyDescent="0.25">
      <c r="A4447" t="s">
        <v>4402</v>
      </c>
      <c r="B4447" t="s">
        <v>65</v>
      </c>
      <c r="C4447" t="s">
        <v>4403</v>
      </c>
      <c r="D4447" t="s">
        <v>4404</v>
      </c>
      <c r="E4447" t="s">
        <v>2414</v>
      </c>
      <c r="F4447" t="s">
        <v>94</v>
      </c>
      <c r="G4447" t="s">
        <v>277</v>
      </c>
      <c r="H4447" s="12">
        <v>7.7577999999999996</v>
      </c>
      <c r="I4447" s="12">
        <v>-76.654700000000005</v>
      </c>
      <c r="J4447" t="s">
        <v>4405</v>
      </c>
      <c r="K4447" t="s">
        <v>97</v>
      </c>
      <c r="L4447" t="s">
        <v>1273</v>
      </c>
      <c r="M4447">
        <v>11</v>
      </c>
      <c r="P4447" s="13">
        <v>227</v>
      </c>
      <c r="Q4447" s="13">
        <v>59</v>
      </c>
      <c r="R4447">
        <v>20</v>
      </c>
      <c r="S4447">
        <v>74</v>
      </c>
      <c r="T4447" s="13">
        <v>31</v>
      </c>
      <c r="U4447" s="13">
        <v>40</v>
      </c>
      <c r="V4447" t="s">
        <v>99</v>
      </c>
      <c r="X4447" s="13">
        <v>227</v>
      </c>
    </row>
    <row r="4448" spans="1:24" x14ac:dyDescent="0.25">
      <c r="A4448" t="s">
        <v>4406</v>
      </c>
      <c r="B4448" t="s">
        <v>65</v>
      </c>
      <c r="C4448" t="s">
        <v>4403</v>
      </c>
      <c r="D4448" t="s">
        <v>4404</v>
      </c>
      <c r="E4448" t="s">
        <v>2414</v>
      </c>
      <c r="F4448" t="s">
        <v>94</v>
      </c>
      <c r="G4448" t="s">
        <v>277</v>
      </c>
      <c r="H4448" s="12">
        <v>7.7577999999999996</v>
      </c>
      <c r="I4448" s="12">
        <v>-76.654700000000005</v>
      </c>
      <c r="J4448" t="s">
        <v>4405</v>
      </c>
      <c r="K4448" t="s">
        <v>97</v>
      </c>
      <c r="L4448" t="s">
        <v>1273</v>
      </c>
      <c r="M4448">
        <v>11</v>
      </c>
      <c r="P4448" s="13">
        <v>220</v>
      </c>
      <c r="Q4448" s="13">
        <v>54</v>
      </c>
      <c r="R4448">
        <v>24</v>
      </c>
      <c r="S4448">
        <v>60</v>
      </c>
      <c r="T4448" s="13">
        <v>34</v>
      </c>
      <c r="U4448" s="13">
        <v>55</v>
      </c>
      <c r="V4448" t="s">
        <v>99</v>
      </c>
      <c r="X4448" s="13">
        <v>220</v>
      </c>
    </row>
    <row r="4449" spans="1:24" x14ac:dyDescent="0.25">
      <c r="A4449" t="s">
        <v>4407</v>
      </c>
      <c r="B4449" t="s">
        <v>65</v>
      </c>
      <c r="C4449" t="s">
        <v>4403</v>
      </c>
      <c r="D4449" t="s">
        <v>4404</v>
      </c>
      <c r="E4449" t="s">
        <v>2414</v>
      </c>
      <c r="F4449" t="s">
        <v>94</v>
      </c>
      <c r="G4449" t="s">
        <v>277</v>
      </c>
      <c r="H4449" s="12">
        <v>7.7577999999999996</v>
      </c>
      <c r="I4449" s="12">
        <v>-76.654700000000005</v>
      </c>
      <c r="J4449" t="s">
        <v>4405</v>
      </c>
      <c r="K4449" t="s">
        <v>97</v>
      </c>
      <c r="L4449" t="s">
        <v>1273</v>
      </c>
      <c r="M4449">
        <v>11</v>
      </c>
      <c r="P4449" s="13">
        <v>219</v>
      </c>
      <c r="Q4449" s="13">
        <v>51</v>
      </c>
      <c r="R4449">
        <v>30</v>
      </c>
      <c r="S4449">
        <v>62</v>
      </c>
      <c r="T4449" s="13">
        <v>29</v>
      </c>
      <c r="U4449" s="13">
        <v>53</v>
      </c>
      <c r="V4449" t="s">
        <v>99</v>
      </c>
      <c r="X4449" s="13">
        <v>219</v>
      </c>
    </row>
    <row r="4450" spans="1:24" x14ac:dyDescent="0.25">
      <c r="A4450" t="s">
        <v>4408</v>
      </c>
      <c r="B4450" t="s">
        <v>65</v>
      </c>
      <c r="C4450" t="s">
        <v>4403</v>
      </c>
      <c r="D4450" t="s">
        <v>4404</v>
      </c>
      <c r="E4450" t="s">
        <v>2414</v>
      </c>
      <c r="F4450" t="s">
        <v>94</v>
      </c>
      <c r="G4450" t="s">
        <v>277</v>
      </c>
      <c r="H4450" s="12">
        <v>7.7577999999999996</v>
      </c>
      <c r="I4450" s="12">
        <v>-76.654700000000005</v>
      </c>
      <c r="J4450" t="s">
        <v>4405</v>
      </c>
      <c r="K4450" t="s">
        <v>97</v>
      </c>
      <c r="L4450" t="s">
        <v>1273</v>
      </c>
      <c r="M4450">
        <v>11</v>
      </c>
      <c r="P4450" s="13">
        <v>210</v>
      </c>
      <c r="Q4450" s="13">
        <v>46</v>
      </c>
      <c r="R4450">
        <v>26</v>
      </c>
      <c r="S4450">
        <v>50</v>
      </c>
      <c r="T4450" s="13">
        <v>43</v>
      </c>
      <c r="U4450" s="13">
        <v>51</v>
      </c>
      <c r="V4450" t="s">
        <v>99</v>
      </c>
      <c r="X4450" s="13">
        <v>210</v>
      </c>
    </row>
    <row r="4451" spans="1:24" x14ac:dyDescent="0.25">
      <c r="A4451" t="s">
        <v>4409</v>
      </c>
      <c r="B4451" t="s">
        <v>65</v>
      </c>
      <c r="C4451" t="s">
        <v>4403</v>
      </c>
      <c r="D4451" t="s">
        <v>4404</v>
      </c>
      <c r="E4451" t="s">
        <v>2414</v>
      </c>
      <c r="F4451" t="s">
        <v>94</v>
      </c>
      <c r="G4451" t="s">
        <v>277</v>
      </c>
      <c r="H4451" s="12">
        <v>7.7577999999999996</v>
      </c>
      <c r="I4451" s="12">
        <v>-76.654700000000005</v>
      </c>
      <c r="J4451" t="s">
        <v>4405</v>
      </c>
      <c r="K4451" t="s">
        <v>97</v>
      </c>
      <c r="L4451" t="s">
        <v>1273</v>
      </c>
      <c r="M4451">
        <v>11</v>
      </c>
      <c r="P4451" s="13">
        <v>208</v>
      </c>
      <c r="Q4451" s="13">
        <v>56</v>
      </c>
      <c r="R4451">
        <v>42</v>
      </c>
      <c r="S4451">
        <v>42</v>
      </c>
      <c r="T4451" s="13">
        <v>22</v>
      </c>
      <c r="U4451" s="13">
        <v>53</v>
      </c>
      <c r="V4451" t="s">
        <v>99</v>
      </c>
      <c r="X4451" s="13">
        <v>208</v>
      </c>
    </row>
    <row r="4452" spans="1:24" x14ac:dyDescent="0.25">
      <c r="A4452" t="s">
        <v>4410</v>
      </c>
      <c r="B4452" t="s">
        <v>65</v>
      </c>
      <c r="C4452" t="s">
        <v>4403</v>
      </c>
      <c r="D4452" t="s">
        <v>4404</v>
      </c>
      <c r="E4452" t="s">
        <v>2414</v>
      </c>
      <c r="F4452" t="s">
        <v>94</v>
      </c>
      <c r="G4452" t="s">
        <v>277</v>
      </c>
      <c r="H4452" s="12">
        <v>7.7577999999999996</v>
      </c>
      <c r="I4452" s="12">
        <v>-76.654700000000005</v>
      </c>
      <c r="J4452" t="s">
        <v>4405</v>
      </c>
      <c r="K4452" t="s">
        <v>97</v>
      </c>
      <c r="L4452" t="s">
        <v>1273</v>
      </c>
      <c r="M4452">
        <v>11</v>
      </c>
      <c r="P4452" s="13">
        <v>203</v>
      </c>
      <c r="Q4452" s="13">
        <v>49</v>
      </c>
      <c r="R4452">
        <v>36</v>
      </c>
      <c r="S4452">
        <v>40</v>
      </c>
      <c r="T4452" s="13">
        <v>24</v>
      </c>
      <c r="U4452" s="13">
        <v>80</v>
      </c>
      <c r="V4452" t="s">
        <v>99</v>
      </c>
      <c r="X4452" s="13">
        <v>203</v>
      </c>
    </row>
    <row r="4453" spans="1:24" x14ac:dyDescent="0.25">
      <c r="A4453" t="s">
        <v>4411</v>
      </c>
      <c r="B4453" t="s">
        <v>65</v>
      </c>
      <c r="C4453" t="s">
        <v>4403</v>
      </c>
      <c r="D4453" t="s">
        <v>4404</v>
      </c>
      <c r="E4453" t="s">
        <v>2414</v>
      </c>
      <c r="F4453" t="s">
        <v>94</v>
      </c>
      <c r="G4453" t="s">
        <v>277</v>
      </c>
      <c r="H4453" s="12">
        <v>7.7577999999999996</v>
      </c>
      <c r="I4453" s="12">
        <v>-76.654700000000005</v>
      </c>
      <c r="J4453" t="s">
        <v>4405</v>
      </c>
      <c r="K4453" t="s">
        <v>97</v>
      </c>
      <c r="L4453" t="s">
        <v>1273</v>
      </c>
      <c r="M4453">
        <v>11</v>
      </c>
      <c r="P4453" s="13">
        <v>187</v>
      </c>
      <c r="Q4453" s="13">
        <v>51</v>
      </c>
      <c r="R4453">
        <v>22</v>
      </c>
      <c r="S4453">
        <v>50</v>
      </c>
      <c r="T4453" s="13">
        <v>26</v>
      </c>
      <c r="U4453" s="13">
        <v>40</v>
      </c>
      <c r="V4453" t="s">
        <v>99</v>
      </c>
      <c r="X4453" s="13">
        <v>187</v>
      </c>
    </row>
    <row r="4454" spans="1:24" x14ac:dyDescent="0.25">
      <c r="A4454" t="s">
        <v>4412</v>
      </c>
      <c r="B4454" t="s">
        <v>65</v>
      </c>
      <c r="C4454" t="s">
        <v>4403</v>
      </c>
      <c r="D4454" t="s">
        <v>4404</v>
      </c>
      <c r="E4454" t="s">
        <v>2414</v>
      </c>
      <c r="F4454" t="s">
        <v>94</v>
      </c>
      <c r="G4454" t="s">
        <v>277</v>
      </c>
      <c r="H4454" s="12">
        <v>7.7577999999999996</v>
      </c>
      <c r="I4454" s="12">
        <v>-76.654700000000005</v>
      </c>
      <c r="J4454" t="s">
        <v>4405</v>
      </c>
      <c r="K4454" t="s">
        <v>97</v>
      </c>
      <c r="L4454" t="s">
        <v>1273</v>
      </c>
      <c r="M4454">
        <v>11</v>
      </c>
      <c r="P4454" s="13">
        <v>186</v>
      </c>
      <c r="Q4454" s="13">
        <v>39</v>
      </c>
      <c r="R4454">
        <v>32</v>
      </c>
      <c r="S4454">
        <v>54</v>
      </c>
      <c r="T4454" s="13">
        <v>28</v>
      </c>
      <c r="U4454" s="13">
        <v>25</v>
      </c>
      <c r="V4454" t="s">
        <v>99</v>
      </c>
      <c r="X4454" s="13">
        <v>186</v>
      </c>
    </row>
    <row r="4455" spans="1:24" x14ac:dyDescent="0.25">
      <c r="A4455" t="s">
        <v>4413</v>
      </c>
      <c r="B4455" t="s">
        <v>65</v>
      </c>
      <c r="C4455" t="s">
        <v>4403</v>
      </c>
      <c r="D4455" t="s">
        <v>4404</v>
      </c>
      <c r="E4455" t="s">
        <v>2414</v>
      </c>
      <c r="F4455" t="s">
        <v>94</v>
      </c>
      <c r="G4455" t="s">
        <v>277</v>
      </c>
      <c r="H4455" s="12">
        <v>7.7577999999999996</v>
      </c>
      <c r="I4455" s="12">
        <v>-76.654700000000005</v>
      </c>
      <c r="J4455" t="s">
        <v>4405</v>
      </c>
      <c r="K4455" t="s">
        <v>97</v>
      </c>
      <c r="L4455" t="s">
        <v>1273</v>
      </c>
      <c r="M4455">
        <v>11</v>
      </c>
      <c r="P4455" s="13">
        <v>170</v>
      </c>
      <c r="Q4455" s="13">
        <v>44</v>
      </c>
      <c r="R4455">
        <v>26</v>
      </c>
      <c r="S4455">
        <v>34</v>
      </c>
      <c r="T4455" s="13">
        <v>31</v>
      </c>
      <c r="U4455" s="13">
        <v>38</v>
      </c>
      <c r="V4455" t="s">
        <v>99</v>
      </c>
      <c r="X4455" s="13">
        <v>170</v>
      </c>
    </row>
    <row r="4456" spans="1:24" x14ac:dyDescent="0.25">
      <c r="A4456" t="s">
        <v>4414</v>
      </c>
      <c r="B4456" t="s">
        <v>65</v>
      </c>
      <c r="C4456" t="s">
        <v>4403</v>
      </c>
      <c r="D4456" t="s">
        <v>4404</v>
      </c>
      <c r="E4456" t="s">
        <v>2414</v>
      </c>
      <c r="F4456" t="s">
        <v>94</v>
      </c>
      <c r="G4456" t="s">
        <v>277</v>
      </c>
      <c r="H4456" s="12">
        <v>7.7577999999999996</v>
      </c>
      <c r="I4456" s="12">
        <v>-76.654700000000005</v>
      </c>
      <c r="J4456" t="s">
        <v>4405</v>
      </c>
      <c r="K4456" t="s">
        <v>97</v>
      </c>
      <c r="L4456" t="s">
        <v>1273</v>
      </c>
      <c r="M4456">
        <v>11</v>
      </c>
      <c r="P4456" s="13">
        <v>169</v>
      </c>
      <c r="Q4456" s="13">
        <v>44</v>
      </c>
      <c r="R4456">
        <v>22</v>
      </c>
      <c r="S4456">
        <v>36</v>
      </c>
      <c r="T4456" s="13">
        <v>34</v>
      </c>
      <c r="U4456" s="13">
        <v>31</v>
      </c>
      <c r="V4456" t="s">
        <v>99</v>
      </c>
      <c r="X4456" s="13">
        <v>169</v>
      </c>
    </row>
    <row r="4457" spans="1:24" x14ac:dyDescent="0.25">
      <c r="A4457" t="s">
        <v>4415</v>
      </c>
      <c r="B4457" t="s">
        <v>65</v>
      </c>
      <c r="C4457" t="s">
        <v>4403</v>
      </c>
      <c r="D4457" t="s">
        <v>4404</v>
      </c>
      <c r="E4457" t="s">
        <v>2414</v>
      </c>
      <c r="F4457" t="s">
        <v>94</v>
      </c>
      <c r="G4457" t="s">
        <v>277</v>
      </c>
      <c r="H4457" s="12">
        <v>7.7577999999999996</v>
      </c>
      <c r="I4457" s="12">
        <v>-76.654700000000005</v>
      </c>
      <c r="J4457" t="s">
        <v>4405</v>
      </c>
      <c r="K4457" t="s">
        <v>97</v>
      </c>
      <c r="L4457" t="s">
        <v>1273</v>
      </c>
      <c r="M4457">
        <v>11</v>
      </c>
      <c r="P4457" s="13">
        <v>168</v>
      </c>
      <c r="Q4457" s="13">
        <v>39</v>
      </c>
      <c r="R4457">
        <v>28</v>
      </c>
      <c r="S4457">
        <v>46</v>
      </c>
      <c r="T4457" s="13">
        <v>22</v>
      </c>
      <c r="U4457" s="13">
        <v>31</v>
      </c>
      <c r="V4457" t="s">
        <v>99</v>
      </c>
      <c r="X4457" s="13">
        <v>168</v>
      </c>
    </row>
    <row r="4458" spans="1:24" x14ac:dyDescent="0.25">
      <c r="A4458" t="s">
        <v>4416</v>
      </c>
      <c r="B4458" t="s">
        <v>65</v>
      </c>
      <c r="C4458" t="s">
        <v>4403</v>
      </c>
      <c r="D4458" t="s">
        <v>4404</v>
      </c>
      <c r="E4458" t="s">
        <v>2414</v>
      </c>
      <c r="F4458" t="s">
        <v>94</v>
      </c>
      <c r="G4458" t="s">
        <v>277</v>
      </c>
      <c r="H4458" s="12">
        <v>7.7577999999999996</v>
      </c>
      <c r="I4458" s="12">
        <v>-76.654700000000005</v>
      </c>
      <c r="J4458" t="s">
        <v>4405</v>
      </c>
      <c r="K4458" t="s">
        <v>97</v>
      </c>
      <c r="L4458" t="s">
        <v>1273</v>
      </c>
      <c r="M4458">
        <v>11</v>
      </c>
      <c r="P4458" s="13">
        <v>167</v>
      </c>
      <c r="Q4458" s="13">
        <v>37</v>
      </c>
      <c r="R4458">
        <v>38</v>
      </c>
      <c r="S4458">
        <v>36</v>
      </c>
      <c r="T4458" s="13">
        <v>22</v>
      </c>
      <c r="U4458" s="13">
        <v>36</v>
      </c>
      <c r="V4458" t="s">
        <v>99</v>
      </c>
      <c r="X4458" s="13">
        <v>167</v>
      </c>
    </row>
    <row r="4459" spans="1:24" x14ac:dyDescent="0.25">
      <c r="A4459" t="s">
        <v>4417</v>
      </c>
      <c r="B4459" t="s">
        <v>65</v>
      </c>
      <c r="C4459" t="s">
        <v>4403</v>
      </c>
      <c r="D4459" t="s">
        <v>4404</v>
      </c>
      <c r="E4459" t="s">
        <v>2414</v>
      </c>
      <c r="F4459" t="s">
        <v>94</v>
      </c>
      <c r="G4459" t="s">
        <v>277</v>
      </c>
      <c r="H4459" s="12">
        <v>7.7577999999999996</v>
      </c>
      <c r="I4459" s="12">
        <v>-76.654700000000005</v>
      </c>
      <c r="J4459" t="s">
        <v>4405</v>
      </c>
      <c r="K4459" t="s">
        <v>97</v>
      </c>
      <c r="L4459" t="s">
        <v>1273</v>
      </c>
      <c r="M4459">
        <v>11</v>
      </c>
      <c r="P4459" s="13">
        <v>167</v>
      </c>
      <c r="Q4459" s="13">
        <v>37</v>
      </c>
      <c r="R4459">
        <v>24</v>
      </c>
      <c r="S4459">
        <v>50</v>
      </c>
      <c r="T4459" s="13">
        <v>26</v>
      </c>
      <c r="U4459" s="13">
        <v>25</v>
      </c>
      <c r="V4459" t="s">
        <v>99</v>
      </c>
      <c r="X4459" s="13">
        <v>167</v>
      </c>
    </row>
    <row r="4460" spans="1:24" x14ac:dyDescent="0.25">
      <c r="A4460" t="s">
        <v>4418</v>
      </c>
      <c r="B4460" t="s">
        <v>65</v>
      </c>
      <c r="C4460" t="s">
        <v>4403</v>
      </c>
      <c r="D4460" t="s">
        <v>4404</v>
      </c>
      <c r="E4460" t="s">
        <v>2414</v>
      </c>
      <c r="F4460" t="s">
        <v>94</v>
      </c>
      <c r="G4460" t="s">
        <v>277</v>
      </c>
      <c r="H4460" s="12">
        <v>7.7577999999999996</v>
      </c>
      <c r="I4460" s="12">
        <v>-76.654700000000005</v>
      </c>
      <c r="J4460" t="s">
        <v>4405</v>
      </c>
      <c r="K4460" t="s">
        <v>97</v>
      </c>
      <c r="L4460" t="s">
        <v>1273</v>
      </c>
      <c r="M4460">
        <v>11</v>
      </c>
      <c r="P4460" s="13">
        <v>159</v>
      </c>
      <c r="Q4460" s="13">
        <v>44</v>
      </c>
      <c r="R4460">
        <v>24</v>
      </c>
      <c r="S4460">
        <v>38</v>
      </c>
      <c r="T4460" s="13">
        <v>24</v>
      </c>
      <c r="U4460" s="13">
        <v>24</v>
      </c>
      <c r="V4460" t="s">
        <v>99</v>
      </c>
      <c r="X4460" s="13">
        <v>159</v>
      </c>
    </row>
    <row r="4461" spans="1:24" x14ac:dyDescent="0.25">
      <c r="A4461" t="s">
        <v>4419</v>
      </c>
      <c r="B4461" t="s">
        <v>65</v>
      </c>
      <c r="C4461" t="s">
        <v>4403</v>
      </c>
      <c r="D4461" t="s">
        <v>4404</v>
      </c>
      <c r="E4461" t="s">
        <v>2414</v>
      </c>
      <c r="F4461" t="s">
        <v>94</v>
      </c>
      <c r="G4461" t="s">
        <v>277</v>
      </c>
      <c r="H4461" s="12">
        <v>7.7577999999999996</v>
      </c>
      <c r="I4461" s="12">
        <v>-76.654700000000005</v>
      </c>
      <c r="J4461" t="s">
        <v>4405</v>
      </c>
      <c r="K4461" t="s">
        <v>97</v>
      </c>
      <c r="L4461" t="s">
        <v>1273</v>
      </c>
      <c r="M4461">
        <v>11</v>
      </c>
      <c r="P4461" s="13">
        <v>158</v>
      </c>
      <c r="Q4461" s="13">
        <v>29</v>
      </c>
      <c r="R4461">
        <v>22</v>
      </c>
      <c r="S4461">
        <v>38</v>
      </c>
      <c r="T4461" s="13">
        <v>36</v>
      </c>
      <c r="U4461" s="13">
        <v>35</v>
      </c>
      <c r="V4461" t="s">
        <v>99</v>
      </c>
      <c r="X4461" s="13">
        <v>158</v>
      </c>
    </row>
    <row r="4462" spans="1:24" x14ac:dyDescent="0.25">
      <c r="A4462" t="s">
        <v>4420</v>
      </c>
      <c r="B4462" t="s">
        <v>65</v>
      </c>
      <c r="C4462" t="s">
        <v>4403</v>
      </c>
      <c r="D4462" t="s">
        <v>4404</v>
      </c>
      <c r="E4462" t="s">
        <v>2414</v>
      </c>
      <c r="F4462" t="s">
        <v>94</v>
      </c>
      <c r="G4462" t="s">
        <v>277</v>
      </c>
      <c r="H4462" s="12">
        <v>7.7577999999999996</v>
      </c>
      <c r="I4462" s="12">
        <v>-76.654700000000005</v>
      </c>
      <c r="J4462" t="s">
        <v>4405</v>
      </c>
      <c r="K4462" t="s">
        <v>97</v>
      </c>
      <c r="L4462" t="s">
        <v>1273</v>
      </c>
      <c r="M4462">
        <v>11</v>
      </c>
      <c r="P4462" s="13">
        <v>155</v>
      </c>
      <c r="Q4462" s="13">
        <v>39</v>
      </c>
      <c r="R4462">
        <v>18</v>
      </c>
      <c r="S4462">
        <v>42</v>
      </c>
      <c r="T4462" s="13">
        <v>24</v>
      </c>
      <c r="U4462" s="13">
        <v>33</v>
      </c>
      <c r="V4462" t="s">
        <v>99</v>
      </c>
      <c r="X4462" s="13">
        <v>155</v>
      </c>
    </row>
    <row r="4463" spans="1:24" x14ac:dyDescent="0.25">
      <c r="A4463" t="s">
        <v>4421</v>
      </c>
      <c r="B4463" t="s">
        <v>65</v>
      </c>
      <c r="C4463" t="s">
        <v>4403</v>
      </c>
      <c r="D4463" t="s">
        <v>4404</v>
      </c>
      <c r="E4463" t="s">
        <v>2414</v>
      </c>
      <c r="F4463" t="s">
        <v>94</v>
      </c>
      <c r="G4463" t="s">
        <v>277</v>
      </c>
      <c r="H4463" s="12">
        <v>7.7577999999999996</v>
      </c>
      <c r="I4463" s="12">
        <v>-76.654700000000005</v>
      </c>
      <c r="J4463" t="s">
        <v>4405</v>
      </c>
      <c r="K4463" t="s">
        <v>97</v>
      </c>
      <c r="L4463" t="s">
        <v>1273</v>
      </c>
      <c r="M4463">
        <v>11</v>
      </c>
      <c r="P4463" s="13">
        <v>153</v>
      </c>
      <c r="Q4463" s="13">
        <v>34</v>
      </c>
      <c r="R4463">
        <v>16</v>
      </c>
      <c r="S4463">
        <v>44</v>
      </c>
      <c r="T4463" s="13">
        <v>31</v>
      </c>
      <c r="U4463" s="13">
        <v>22</v>
      </c>
      <c r="V4463" t="s">
        <v>99</v>
      </c>
      <c r="X4463" s="13">
        <v>153</v>
      </c>
    </row>
    <row r="4464" spans="1:24" x14ac:dyDescent="0.25">
      <c r="A4464" t="s">
        <v>4422</v>
      </c>
      <c r="B4464" t="s">
        <v>65</v>
      </c>
      <c r="C4464" t="s">
        <v>4403</v>
      </c>
      <c r="D4464" t="s">
        <v>4404</v>
      </c>
      <c r="E4464" t="s">
        <v>2414</v>
      </c>
      <c r="F4464" t="s">
        <v>94</v>
      </c>
      <c r="G4464" t="s">
        <v>277</v>
      </c>
      <c r="H4464" s="12">
        <v>7.7577999999999996</v>
      </c>
      <c r="I4464" s="12">
        <v>-76.654700000000005</v>
      </c>
      <c r="J4464" t="s">
        <v>4405</v>
      </c>
      <c r="K4464" t="s">
        <v>97</v>
      </c>
      <c r="L4464" t="s">
        <v>1273</v>
      </c>
      <c r="M4464">
        <v>11</v>
      </c>
      <c r="P4464" s="13">
        <v>148</v>
      </c>
      <c r="Q4464" s="13">
        <v>49</v>
      </c>
      <c r="R4464">
        <v>26</v>
      </c>
      <c r="S4464">
        <v>32</v>
      </c>
      <c r="T4464" s="13">
        <v>12</v>
      </c>
      <c r="U4464" s="13">
        <v>29</v>
      </c>
      <c r="V4464" t="s">
        <v>99</v>
      </c>
      <c r="X4464" s="13">
        <v>148</v>
      </c>
    </row>
    <row r="4465" spans="1:24" x14ac:dyDescent="0.25">
      <c r="A4465" t="s">
        <v>4423</v>
      </c>
      <c r="B4465" t="s">
        <v>65</v>
      </c>
      <c r="C4465" t="s">
        <v>4403</v>
      </c>
      <c r="D4465" t="s">
        <v>4404</v>
      </c>
      <c r="E4465" t="s">
        <v>2414</v>
      </c>
      <c r="F4465" t="s">
        <v>94</v>
      </c>
      <c r="G4465" t="s">
        <v>277</v>
      </c>
      <c r="H4465" s="12">
        <v>7.7577999999999996</v>
      </c>
      <c r="I4465" s="12">
        <v>-76.654700000000005</v>
      </c>
      <c r="J4465" t="s">
        <v>4405</v>
      </c>
      <c r="K4465" t="s">
        <v>97</v>
      </c>
      <c r="L4465" t="s">
        <v>1273</v>
      </c>
      <c r="M4465">
        <v>11</v>
      </c>
      <c r="P4465" s="13">
        <v>147</v>
      </c>
      <c r="Q4465" s="13">
        <v>51</v>
      </c>
      <c r="R4465">
        <v>26</v>
      </c>
      <c r="S4465">
        <v>30</v>
      </c>
      <c r="T4465" s="13">
        <v>12</v>
      </c>
      <c r="U4465" s="13">
        <v>25</v>
      </c>
      <c r="V4465" t="s">
        <v>99</v>
      </c>
      <c r="X4465" s="13">
        <v>147</v>
      </c>
    </row>
    <row r="4466" spans="1:24" x14ac:dyDescent="0.25">
      <c r="A4466" t="s">
        <v>4424</v>
      </c>
      <c r="B4466" t="s">
        <v>65</v>
      </c>
      <c r="C4466" t="s">
        <v>4403</v>
      </c>
      <c r="D4466" t="s">
        <v>4404</v>
      </c>
      <c r="E4466" t="s">
        <v>2414</v>
      </c>
      <c r="F4466" t="s">
        <v>94</v>
      </c>
      <c r="G4466" t="s">
        <v>277</v>
      </c>
      <c r="H4466" s="12">
        <v>7.7577999999999996</v>
      </c>
      <c r="I4466" s="12">
        <v>-76.654700000000005</v>
      </c>
      <c r="J4466" t="s">
        <v>4405</v>
      </c>
      <c r="K4466" t="s">
        <v>97</v>
      </c>
      <c r="L4466" t="s">
        <v>1273</v>
      </c>
      <c r="M4466">
        <v>11</v>
      </c>
      <c r="P4466" s="13">
        <v>146</v>
      </c>
      <c r="Q4466" s="13">
        <v>22</v>
      </c>
      <c r="R4466">
        <v>34</v>
      </c>
      <c r="S4466">
        <v>34</v>
      </c>
      <c r="T4466" s="13">
        <v>24</v>
      </c>
      <c r="U4466" s="13">
        <v>38</v>
      </c>
      <c r="V4466" t="s">
        <v>99</v>
      </c>
      <c r="X4466" s="13">
        <v>146</v>
      </c>
    </row>
    <row r="4467" spans="1:24" x14ac:dyDescent="0.25">
      <c r="A4467" t="s">
        <v>4425</v>
      </c>
      <c r="B4467" t="s">
        <v>65</v>
      </c>
      <c r="C4467" t="s">
        <v>4403</v>
      </c>
      <c r="D4467" t="s">
        <v>4404</v>
      </c>
      <c r="E4467" t="s">
        <v>2414</v>
      </c>
      <c r="F4467" t="s">
        <v>94</v>
      </c>
      <c r="G4467" t="s">
        <v>277</v>
      </c>
      <c r="H4467" s="12">
        <v>7.7577999999999996</v>
      </c>
      <c r="I4467" s="12">
        <v>-76.654700000000005</v>
      </c>
      <c r="J4467" t="s">
        <v>4405</v>
      </c>
      <c r="K4467" t="s">
        <v>97</v>
      </c>
      <c r="L4467" t="s">
        <v>1273</v>
      </c>
      <c r="M4467">
        <v>11</v>
      </c>
      <c r="P4467" s="13">
        <v>137</v>
      </c>
      <c r="Q4467" s="13">
        <v>37</v>
      </c>
      <c r="R4467">
        <v>26</v>
      </c>
      <c r="S4467">
        <v>22</v>
      </c>
      <c r="T4467" s="13">
        <v>24</v>
      </c>
      <c r="U4467" s="13">
        <v>31</v>
      </c>
      <c r="V4467" t="s">
        <v>99</v>
      </c>
      <c r="X4467" s="13">
        <v>137</v>
      </c>
    </row>
    <row r="4468" spans="1:24" x14ac:dyDescent="0.25">
      <c r="A4468" t="s">
        <v>4426</v>
      </c>
      <c r="B4468" t="s">
        <v>65</v>
      </c>
      <c r="C4468" t="s">
        <v>4403</v>
      </c>
      <c r="D4468" t="s">
        <v>4404</v>
      </c>
      <c r="E4468" t="s">
        <v>2414</v>
      </c>
      <c r="F4468" t="s">
        <v>94</v>
      </c>
      <c r="G4468" t="s">
        <v>277</v>
      </c>
      <c r="H4468" s="12">
        <v>7.7577999999999996</v>
      </c>
      <c r="I4468" s="12">
        <v>-76.654700000000005</v>
      </c>
      <c r="J4468" t="s">
        <v>4405</v>
      </c>
      <c r="K4468" t="s">
        <v>97</v>
      </c>
      <c r="L4468" t="s">
        <v>1273</v>
      </c>
      <c r="M4468">
        <v>11</v>
      </c>
      <c r="P4468" s="13">
        <v>134</v>
      </c>
      <c r="Q4468" s="13">
        <v>32</v>
      </c>
      <c r="R4468">
        <v>20</v>
      </c>
      <c r="S4468">
        <v>32</v>
      </c>
      <c r="T4468" s="13">
        <v>21</v>
      </c>
      <c r="U4468" s="13">
        <v>35</v>
      </c>
      <c r="V4468" t="s">
        <v>99</v>
      </c>
      <c r="X4468" s="13">
        <v>134</v>
      </c>
    </row>
    <row r="4469" spans="1:24" x14ac:dyDescent="0.25">
      <c r="A4469" t="s">
        <v>4427</v>
      </c>
      <c r="B4469" t="s">
        <v>65</v>
      </c>
      <c r="C4469" t="s">
        <v>4403</v>
      </c>
      <c r="D4469" t="s">
        <v>4404</v>
      </c>
      <c r="E4469" t="s">
        <v>2414</v>
      </c>
      <c r="F4469" t="s">
        <v>94</v>
      </c>
      <c r="G4469" t="s">
        <v>277</v>
      </c>
      <c r="H4469" s="12">
        <v>7.7577999999999996</v>
      </c>
      <c r="I4469" s="12">
        <v>-76.654700000000005</v>
      </c>
      <c r="J4469" t="s">
        <v>4405</v>
      </c>
      <c r="K4469" t="s">
        <v>97</v>
      </c>
      <c r="L4469" t="s">
        <v>1273</v>
      </c>
      <c r="M4469">
        <v>11</v>
      </c>
      <c r="P4469" s="13">
        <v>133</v>
      </c>
      <c r="Q4469" s="13">
        <v>32</v>
      </c>
      <c r="R4469">
        <v>20</v>
      </c>
      <c r="S4469">
        <v>26</v>
      </c>
      <c r="T4469" s="13">
        <v>29</v>
      </c>
      <c r="U4469" s="13">
        <v>24</v>
      </c>
      <c r="V4469" t="s">
        <v>99</v>
      </c>
      <c r="X4469" s="13">
        <v>133</v>
      </c>
    </row>
    <row r="4470" spans="1:24" x14ac:dyDescent="0.25">
      <c r="A4470" t="s">
        <v>4428</v>
      </c>
      <c r="B4470" t="s">
        <v>65</v>
      </c>
      <c r="C4470" t="s">
        <v>4403</v>
      </c>
      <c r="D4470" t="s">
        <v>4404</v>
      </c>
      <c r="E4470" t="s">
        <v>2414</v>
      </c>
      <c r="F4470" t="s">
        <v>94</v>
      </c>
      <c r="G4470" t="s">
        <v>277</v>
      </c>
      <c r="H4470" s="12">
        <v>7.7577999999999996</v>
      </c>
      <c r="I4470" s="12">
        <v>-76.654700000000005</v>
      </c>
      <c r="J4470" t="s">
        <v>4405</v>
      </c>
      <c r="K4470" t="s">
        <v>97</v>
      </c>
      <c r="L4470" t="s">
        <v>1273</v>
      </c>
      <c r="M4470">
        <v>11</v>
      </c>
      <c r="P4470" s="13">
        <v>131</v>
      </c>
      <c r="Q4470" s="13">
        <v>34</v>
      </c>
      <c r="R4470">
        <v>16</v>
      </c>
      <c r="S4470">
        <v>34</v>
      </c>
      <c r="T4470" s="13">
        <v>22</v>
      </c>
      <c r="U4470" s="13">
        <v>22</v>
      </c>
      <c r="V4470" t="s">
        <v>99</v>
      </c>
      <c r="X4470" s="13">
        <v>131</v>
      </c>
    </row>
    <row r="4471" spans="1:24" x14ac:dyDescent="0.25">
      <c r="A4471" t="s">
        <v>4429</v>
      </c>
      <c r="B4471" t="s">
        <v>65</v>
      </c>
      <c r="C4471" t="s">
        <v>4403</v>
      </c>
      <c r="D4471" t="s">
        <v>4404</v>
      </c>
      <c r="E4471" t="s">
        <v>2414</v>
      </c>
      <c r="F4471" t="s">
        <v>94</v>
      </c>
      <c r="G4471" t="s">
        <v>277</v>
      </c>
      <c r="H4471" s="12">
        <v>7.7577999999999996</v>
      </c>
      <c r="I4471" s="12">
        <v>-76.654700000000005</v>
      </c>
      <c r="J4471" t="s">
        <v>4405</v>
      </c>
      <c r="K4471" t="s">
        <v>97</v>
      </c>
      <c r="L4471" t="s">
        <v>1273</v>
      </c>
      <c r="M4471">
        <v>11</v>
      </c>
      <c r="P4471" s="13">
        <v>129</v>
      </c>
      <c r="Q4471" s="13">
        <v>29</v>
      </c>
      <c r="R4471">
        <v>14</v>
      </c>
      <c r="S4471">
        <v>32</v>
      </c>
      <c r="T4471" s="13">
        <v>28</v>
      </c>
      <c r="U4471" s="13">
        <v>27</v>
      </c>
      <c r="V4471" t="s">
        <v>99</v>
      </c>
      <c r="X4471" s="13">
        <v>129</v>
      </c>
    </row>
    <row r="4472" spans="1:24" x14ac:dyDescent="0.25">
      <c r="A4472" t="s">
        <v>4430</v>
      </c>
      <c r="B4472" t="s">
        <v>65</v>
      </c>
      <c r="C4472" t="s">
        <v>4403</v>
      </c>
      <c r="D4472" t="s">
        <v>4404</v>
      </c>
      <c r="E4472" t="s">
        <v>2414</v>
      </c>
      <c r="F4472" t="s">
        <v>94</v>
      </c>
      <c r="G4472" t="s">
        <v>277</v>
      </c>
      <c r="H4472" s="12">
        <v>7.7577999999999996</v>
      </c>
      <c r="I4472" s="12">
        <v>-76.654700000000005</v>
      </c>
      <c r="J4472" t="s">
        <v>4405</v>
      </c>
      <c r="K4472" t="s">
        <v>97</v>
      </c>
      <c r="L4472" t="s">
        <v>1273</v>
      </c>
      <c r="M4472">
        <v>11</v>
      </c>
      <c r="P4472" s="13">
        <v>129</v>
      </c>
      <c r="Q4472" s="13">
        <v>29</v>
      </c>
      <c r="R4472">
        <v>18</v>
      </c>
      <c r="S4472">
        <v>32</v>
      </c>
      <c r="T4472" s="13">
        <v>22</v>
      </c>
      <c r="U4472" s="13">
        <v>29</v>
      </c>
      <c r="V4472" t="s">
        <v>99</v>
      </c>
      <c r="X4472" s="13">
        <v>129</v>
      </c>
    </row>
    <row r="4473" spans="1:24" x14ac:dyDescent="0.25">
      <c r="A4473" t="s">
        <v>4431</v>
      </c>
      <c r="B4473" t="s">
        <v>65</v>
      </c>
      <c r="C4473" t="s">
        <v>4403</v>
      </c>
      <c r="D4473" t="s">
        <v>4404</v>
      </c>
      <c r="E4473" t="s">
        <v>2414</v>
      </c>
      <c r="F4473" t="s">
        <v>94</v>
      </c>
      <c r="G4473" t="s">
        <v>277</v>
      </c>
      <c r="H4473" s="12">
        <v>7.7577999999999996</v>
      </c>
      <c r="I4473" s="12">
        <v>-76.654700000000005</v>
      </c>
      <c r="J4473" t="s">
        <v>4405</v>
      </c>
      <c r="K4473" t="s">
        <v>97</v>
      </c>
      <c r="L4473" t="s">
        <v>1273</v>
      </c>
      <c r="M4473">
        <v>11</v>
      </c>
      <c r="P4473" s="13">
        <v>118</v>
      </c>
      <c r="Q4473" s="13">
        <v>24</v>
      </c>
      <c r="R4473">
        <v>22</v>
      </c>
      <c r="S4473">
        <v>24</v>
      </c>
      <c r="T4473" s="13">
        <v>22</v>
      </c>
      <c r="U4473" s="13">
        <v>27</v>
      </c>
      <c r="V4473" t="s">
        <v>99</v>
      </c>
      <c r="X4473" s="13">
        <v>118</v>
      </c>
    </row>
    <row r="4474" spans="1:24" x14ac:dyDescent="0.25">
      <c r="A4474" t="s">
        <v>4432</v>
      </c>
      <c r="B4474" t="s">
        <v>65</v>
      </c>
      <c r="C4474" t="s">
        <v>4403</v>
      </c>
      <c r="D4474" t="s">
        <v>4404</v>
      </c>
      <c r="E4474" t="s">
        <v>2414</v>
      </c>
      <c r="F4474" t="s">
        <v>94</v>
      </c>
      <c r="G4474" t="s">
        <v>277</v>
      </c>
      <c r="H4474" s="12">
        <v>7.7577999999999996</v>
      </c>
      <c r="I4474" s="12">
        <v>-76.654700000000005</v>
      </c>
      <c r="J4474" t="s">
        <v>4405</v>
      </c>
      <c r="K4474" t="s">
        <v>97</v>
      </c>
      <c r="L4474" t="s">
        <v>1273</v>
      </c>
      <c r="M4474">
        <v>11</v>
      </c>
      <c r="P4474" s="13">
        <v>113</v>
      </c>
      <c r="Q4474" s="13">
        <v>34</v>
      </c>
      <c r="R4474">
        <v>14</v>
      </c>
      <c r="S4474">
        <v>20</v>
      </c>
      <c r="T4474" s="13">
        <v>21</v>
      </c>
      <c r="U4474" s="13">
        <v>27</v>
      </c>
      <c r="V4474" t="s">
        <v>99</v>
      </c>
      <c r="X4474" s="13">
        <v>113</v>
      </c>
    </row>
    <row r="4475" spans="1:24" x14ac:dyDescent="0.25">
      <c r="A4475" t="s">
        <v>4433</v>
      </c>
      <c r="B4475" t="s">
        <v>65</v>
      </c>
      <c r="C4475" t="s">
        <v>4403</v>
      </c>
      <c r="D4475" t="s">
        <v>4404</v>
      </c>
      <c r="E4475" t="s">
        <v>2414</v>
      </c>
      <c r="F4475" t="s">
        <v>94</v>
      </c>
      <c r="G4475" t="s">
        <v>277</v>
      </c>
      <c r="H4475" s="12">
        <v>7.7577999999999996</v>
      </c>
      <c r="I4475" s="12">
        <v>-76.654700000000005</v>
      </c>
      <c r="J4475" t="s">
        <v>4405</v>
      </c>
      <c r="K4475" t="s">
        <v>97</v>
      </c>
      <c r="L4475" t="s">
        <v>1273</v>
      </c>
      <c r="M4475">
        <v>11</v>
      </c>
      <c r="P4475" s="13">
        <v>106</v>
      </c>
      <c r="Q4475" s="13">
        <v>32</v>
      </c>
      <c r="R4475">
        <v>26</v>
      </c>
      <c r="S4475">
        <v>24</v>
      </c>
      <c r="T4475" s="13">
        <v>5</v>
      </c>
      <c r="U4475" s="13">
        <v>15</v>
      </c>
      <c r="V4475" t="s">
        <v>99</v>
      </c>
      <c r="X4475" s="13">
        <v>106</v>
      </c>
    </row>
    <row r="4476" spans="1:24" x14ac:dyDescent="0.25">
      <c r="A4476" t="s">
        <v>4434</v>
      </c>
      <c r="B4476" t="s">
        <v>65</v>
      </c>
      <c r="C4476" t="s">
        <v>4435</v>
      </c>
      <c r="D4476" t="s">
        <v>4436</v>
      </c>
      <c r="E4476" t="s">
        <v>4298</v>
      </c>
      <c r="F4476" t="s">
        <v>94</v>
      </c>
      <c r="G4476" t="s">
        <v>277</v>
      </c>
      <c r="H4476" s="12">
        <v>8.4285999999999994</v>
      </c>
      <c r="I4476" s="12">
        <v>-76.786100000000005</v>
      </c>
      <c r="J4476" t="s">
        <v>4437</v>
      </c>
      <c r="K4476" t="s">
        <v>97</v>
      </c>
      <c r="L4476" t="s">
        <v>1273</v>
      </c>
      <c r="M4476">
        <v>11</v>
      </c>
      <c r="P4476" s="13">
        <v>300</v>
      </c>
      <c r="Q4476" s="13">
        <v>66</v>
      </c>
      <c r="R4476">
        <v>52</v>
      </c>
      <c r="S4476">
        <v>70</v>
      </c>
      <c r="T4476" s="13">
        <v>48</v>
      </c>
      <c r="U4476" s="13">
        <v>73</v>
      </c>
      <c r="V4476" t="s">
        <v>99</v>
      </c>
      <c r="X4476" s="13">
        <v>300</v>
      </c>
    </row>
    <row r="4477" spans="1:24" x14ac:dyDescent="0.25">
      <c r="A4477" t="s">
        <v>4438</v>
      </c>
      <c r="B4477" t="s">
        <v>65</v>
      </c>
      <c r="C4477" t="s">
        <v>4435</v>
      </c>
      <c r="D4477" t="s">
        <v>4436</v>
      </c>
      <c r="E4477" t="s">
        <v>4298</v>
      </c>
      <c r="F4477" t="s">
        <v>94</v>
      </c>
      <c r="G4477" t="s">
        <v>277</v>
      </c>
      <c r="H4477" s="12">
        <v>8.4285999999999994</v>
      </c>
      <c r="I4477" s="12">
        <v>-76.786100000000005</v>
      </c>
      <c r="J4477" t="s">
        <v>4437</v>
      </c>
      <c r="K4477" t="s">
        <v>97</v>
      </c>
      <c r="L4477" t="s">
        <v>1273</v>
      </c>
      <c r="M4477">
        <v>11</v>
      </c>
      <c r="P4477" s="13">
        <v>237</v>
      </c>
      <c r="Q4477" s="13">
        <v>63</v>
      </c>
      <c r="R4477">
        <v>44</v>
      </c>
      <c r="S4477">
        <v>64</v>
      </c>
      <c r="T4477" s="13">
        <v>19</v>
      </c>
      <c r="U4477" s="13">
        <v>45</v>
      </c>
      <c r="V4477" t="s">
        <v>99</v>
      </c>
      <c r="X4477" s="13">
        <v>237</v>
      </c>
    </row>
    <row r="4478" spans="1:24" x14ac:dyDescent="0.25">
      <c r="A4478" t="s">
        <v>4439</v>
      </c>
      <c r="B4478" t="s">
        <v>65</v>
      </c>
      <c r="C4478" t="s">
        <v>4435</v>
      </c>
      <c r="D4478" t="s">
        <v>4436</v>
      </c>
      <c r="E4478" t="s">
        <v>4298</v>
      </c>
      <c r="F4478" t="s">
        <v>94</v>
      </c>
      <c r="G4478" t="s">
        <v>277</v>
      </c>
      <c r="H4478" s="12">
        <v>8.4285999999999994</v>
      </c>
      <c r="I4478" s="12">
        <v>-76.786100000000005</v>
      </c>
      <c r="J4478" t="s">
        <v>4437</v>
      </c>
      <c r="K4478" t="s">
        <v>97</v>
      </c>
      <c r="L4478" t="s">
        <v>1273</v>
      </c>
      <c r="M4478">
        <v>11</v>
      </c>
      <c r="P4478" s="13">
        <v>219</v>
      </c>
      <c r="Q4478" s="13">
        <v>56</v>
      </c>
      <c r="R4478">
        <v>46</v>
      </c>
      <c r="S4478">
        <v>42</v>
      </c>
      <c r="T4478" s="13">
        <v>31</v>
      </c>
      <c r="U4478" s="13">
        <v>44</v>
      </c>
      <c r="V4478" t="s">
        <v>99</v>
      </c>
      <c r="X4478" s="13">
        <v>219</v>
      </c>
    </row>
    <row r="4479" spans="1:24" x14ac:dyDescent="0.25">
      <c r="A4479" t="s">
        <v>4440</v>
      </c>
      <c r="B4479" t="s">
        <v>65</v>
      </c>
      <c r="C4479" t="s">
        <v>4435</v>
      </c>
      <c r="D4479" t="s">
        <v>4436</v>
      </c>
      <c r="E4479" t="s">
        <v>4298</v>
      </c>
      <c r="F4479" t="s">
        <v>94</v>
      </c>
      <c r="G4479" t="s">
        <v>277</v>
      </c>
      <c r="H4479" s="12">
        <v>8.4285999999999994</v>
      </c>
      <c r="I4479" s="12">
        <v>-76.786100000000005</v>
      </c>
      <c r="J4479" t="s">
        <v>4437</v>
      </c>
      <c r="K4479" t="s">
        <v>97</v>
      </c>
      <c r="L4479" t="s">
        <v>1273</v>
      </c>
      <c r="M4479">
        <v>11</v>
      </c>
      <c r="P4479" s="13">
        <v>215</v>
      </c>
      <c r="Q4479" s="13">
        <v>34</v>
      </c>
      <c r="R4479">
        <v>34</v>
      </c>
      <c r="S4479">
        <v>56</v>
      </c>
      <c r="T4479" s="13">
        <v>45</v>
      </c>
      <c r="U4479" s="13">
        <v>51</v>
      </c>
      <c r="V4479" t="s">
        <v>99</v>
      </c>
      <c r="X4479" s="13">
        <v>215</v>
      </c>
    </row>
    <row r="4480" spans="1:24" x14ac:dyDescent="0.25">
      <c r="A4480" t="s">
        <v>4441</v>
      </c>
      <c r="B4480" t="s">
        <v>65</v>
      </c>
      <c r="C4480" t="s">
        <v>4435</v>
      </c>
      <c r="D4480" t="s">
        <v>4436</v>
      </c>
      <c r="E4480" t="s">
        <v>4298</v>
      </c>
      <c r="F4480" t="s">
        <v>94</v>
      </c>
      <c r="G4480" t="s">
        <v>277</v>
      </c>
      <c r="H4480" s="12">
        <v>8.4285999999999994</v>
      </c>
      <c r="I4480" s="12">
        <v>-76.786100000000005</v>
      </c>
      <c r="J4480" t="s">
        <v>4437</v>
      </c>
      <c r="K4480" t="s">
        <v>97</v>
      </c>
      <c r="L4480" t="s">
        <v>1273</v>
      </c>
      <c r="M4480">
        <v>11</v>
      </c>
      <c r="P4480" s="13">
        <v>204</v>
      </c>
      <c r="Q4480" s="13">
        <v>51</v>
      </c>
      <c r="R4480">
        <v>38</v>
      </c>
      <c r="S4480">
        <v>52</v>
      </c>
      <c r="T4480" s="13">
        <v>21</v>
      </c>
      <c r="U4480" s="13">
        <v>45</v>
      </c>
      <c r="V4480" t="s">
        <v>99</v>
      </c>
      <c r="X4480" s="13">
        <v>204</v>
      </c>
    </row>
    <row r="4481" spans="1:24" x14ac:dyDescent="0.25">
      <c r="A4481" t="s">
        <v>4442</v>
      </c>
      <c r="B4481" t="s">
        <v>65</v>
      </c>
      <c r="C4481" t="s">
        <v>4435</v>
      </c>
      <c r="D4481" t="s">
        <v>4436</v>
      </c>
      <c r="E4481" t="s">
        <v>4298</v>
      </c>
      <c r="F4481" t="s">
        <v>94</v>
      </c>
      <c r="G4481" t="s">
        <v>277</v>
      </c>
      <c r="H4481" s="12">
        <v>8.4285999999999994</v>
      </c>
      <c r="I4481" s="12">
        <v>-76.786100000000005</v>
      </c>
      <c r="J4481" t="s">
        <v>4437</v>
      </c>
      <c r="K4481" t="s">
        <v>97</v>
      </c>
      <c r="L4481" t="s">
        <v>1273</v>
      </c>
      <c r="M4481">
        <v>11</v>
      </c>
      <c r="P4481" s="13">
        <v>203</v>
      </c>
      <c r="Q4481" s="13">
        <v>59</v>
      </c>
      <c r="R4481">
        <v>24</v>
      </c>
      <c r="S4481">
        <v>46</v>
      </c>
      <c r="T4481" s="13">
        <v>33</v>
      </c>
      <c r="U4481" s="13">
        <v>44</v>
      </c>
      <c r="V4481" t="s">
        <v>99</v>
      </c>
      <c r="X4481" s="13">
        <v>203</v>
      </c>
    </row>
    <row r="4482" spans="1:24" x14ac:dyDescent="0.25">
      <c r="A4482" t="s">
        <v>4443</v>
      </c>
      <c r="B4482" t="s">
        <v>65</v>
      </c>
      <c r="C4482" t="s">
        <v>4435</v>
      </c>
      <c r="D4482" t="s">
        <v>4436</v>
      </c>
      <c r="E4482" t="s">
        <v>4298</v>
      </c>
      <c r="F4482" t="s">
        <v>94</v>
      </c>
      <c r="G4482" t="s">
        <v>277</v>
      </c>
      <c r="H4482" s="12">
        <v>8.4285999999999994</v>
      </c>
      <c r="I4482" s="12">
        <v>-76.786100000000005</v>
      </c>
      <c r="J4482" t="s">
        <v>4437</v>
      </c>
      <c r="K4482" t="s">
        <v>97</v>
      </c>
      <c r="L4482" t="s">
        <v>1273</v>
      </c>
      <c r="M4482">
        <v>11</v>
      </c>
      <c r="P4482" s="13">
        <v>190</v>
      </c>
      <c r="Q4482" s="13">
        <v>41</v>
      </c>
      <c r="R4482">
        <v>34</v>
      </c>
      <c r="S4482">
        <v>52</v>
      </c>
      <c r="T4482" s="13">
        <v>22</v>
      </c>
      <c r="U4482" s="13">
        <v>45</v>
      </c>
      <c r="V4482" t="s">
        <v>99</v>
      </c>
      <c r="X4482" s="13">
        <v>190</v>
      </c>
    </row>
    <row r="4483" spans="1:24" x14ac:dyDescent="0.25">
      <c r="A4483" t="s">
        <v>4444</v>
      </c>
      <c r="B4483" t="s">
        <v>65</v>
      </c>
      <c r="C4483" t="s">
        <v>4435</v>
      </c>
      <c r="D4483" t="s">
        <v>4436</v>
      </c>
      <c r="E4483" t="s">
        <v>4298</v>
      </c>
      <c r="F4483" t="s">
        <v>94</v>
      </c>
      <c r="G4483" t="s">
        <v>277</v>
      </c>
      <c r="H4483" s="12">
        <v>8.4285999999999994</v>
      </c>
      <c r="I4483" s="12">
        <v>-76.786100000000005</v>
      </c>
      <c r="J4483" t="s">
        <v>4437</v>
      </c>
      <c r="K4483" t="s">
        <v>97</v>
      </c>
      <c r="L4483" t="s">
        <v>1273</v>
      </c>
      <c r="M4483">
        <v>11</v>
      </c>
      <c r="P4483" s="13">
        <v>188</v>
      </c>
      <c r="Q4483" s="13">
        <v>39</v>
      </c>
      <c r="R4483">
        <v>22</v>
      </c>
      <c r="S4483">
        <v>60</v>
      </c>
      <c r="T4483" s="13">
        <v>28</v>
      </c>
      <c r="U4483" s="13">
        <v>44</v>
      </c>
      <c r="V4483" t="s">
        <v>99</v>
      </c>
      <c r="X4483" s="13">
        <v>188</v>
      </c>
    </row>
    <row r="4484" spans="1:24" x14ac:dyDescent="0.25">
      <c r="A4484" t="s">
        <v>4445</v>
      </c>
      <c r="B4484" t="s">
        <v>65</v>
      </c>
      <c r="C4484" t="s">
        <v>4435</v>
      </c>
      <c r="D4484" t="s">
        <v>4436</v>
      </c>
      <c r="E4484" t="s">
        <v>4298</v>
      </c>
      <c r="F4484" t="s">
        <v>94</v>
      </c>
      <c r="G4484" t="s">
        <v>277</v>
      </c>
      <c r="H4484" s="12">
        <v>8.4285999999999994</v>
      </c>
      <c r="I4484" s="12">
        <v>-76.786100000000005</v>
      </c>
      <c r="J4484" t="s">
        <v>4437</v>
      </c>
      <c r="K4484" t="s">
        <v>97</v>
      </c>
      <c r="L4484" t="s">
        <v>1273</v>
      </c>
      <c r="M4484">
        <v>11</v>
      </c>
      <c r="P4484" s="13">
        <v>187</v>
      </c>
      <c r="Q4484" s="13">
        <v>34</v>
      </c>
      <c r="R4484">
        <v>36</v>
      </c>
      <c r="S4484">
        <v>48</v>
      </c>
      <c r="T4484" s="13">
        <v>31</v>
      </c>
      <c r="U4484" s="13">
        <v>38</v>
      </c>
      <c r="V4484" t="s">
        <v>99</v>
      </c>
      <c r="X4484" s="13">
        <v>187</v>
      </c>
    </row>
    <row r="4485" spans="1:24" x14ac:dyDescent="0.25">
      <c r="A4485" t="s">
        <v>4446</v>
      </c>
      <c r="B4485" t="s">
        <v>65</v>
      </c>
      <c r="C4485" t="s">
        <v>4435</v>
      </c>
      <c r="D4485" t="s">
        <v>4436</v>
      </c>
      <c r="E4485" t="s">
        <v>4298</v>
      </c>
      <c r="F4485" t="s">
        <v>94</v>
      </c>
      <c r="G4485" t="s">
        <v>277</v>
      </c>
      <c r="H4485" s="12">
        <v>8.4285999999999994</v>
      </c>
      <c r="I4485" s="12">
        <v>-76.786100000000005</v>
      </c>
      <c r="J4485" t="s">
        <v>4437</v>
      </c>
      <c r="K4485" t="s">
        <v>97</v>
      </c>
      <c r="L4485" t="s">
        <v>1273</v>
      </c>
      <c r="M4485">
        <v>11</v>
      </c>
      <c r="P4485" s="13">
        <v>187</v>
      </c>
      <c r="Q4485" s="13">
        <v>41</v>
      </c>
      <c r="R4485">
        <v>22</v>
      </c>
      <c r="S4485">
        <v>50</v>
      </c>
      <c r="T4485" s="13">
        <v>34</v>
      </c>
      <c r="U4485" s="13">
        <v>42</v>
      </c>
      <c r="V4485" t="s">
        <v>99</v>
      </c>
      <c r="X4485" s="13">
        <v>187</v>
      </c>
    </row>
    <row r="4486" spans="1:24" x14ac:dyDescent="0.25">
      <c r="A4486" t="s">
        <v>4447</v>
      </c>
      <c r="B4486" t="s">
        <v>65</v>
      </c>
      <c r="C4486" t="s">
        <v>4435</v>
      </c>
      <c r="D4486" t="s">
        <v>4436</v>
      </c>
      <c r="E4486" t="s">
        <v>4298</v>
      </c>
      <c r="F4486" t="s">
        <v>94</v>
      </c>
      <c r="G4486" t="s">
        <v>277</v>
      </c>
      <c r="H4486" s="12">
        <v>8.4285999999999994</v>
      </c>
      <c r="I4486" s="12">
        <v>-76.786100000000005</v>
      </c>
      <c r="J4486" t="s">
        <v>4437</v>
      </c>
      <c r="K4486" t="s">
        <v>97</v>
      </c>
      <c r="L4486" t="s">
        <v>1273</v>
      </c>
      <c r="M4486">
        <v>11</v>
      </c>
      <c r="P4486" s="13">
        <v>184</v>
      </c>
      <c r="Q4486" s="13">
        <v>41</v>
      </c>
      <c r="R4486">
        <v>36</v>
      </c>
      <c r="S4486">
        <v>50</v>
      </c>
      <c r="T4486" s="13">
        <v>21</v>
      </c>
      <c r="U4486" s="13">
        <v>33</v>
      </c>
      <c r="V4486" t="s">
        <v>99</v>
      </c>
      <c r="X4486" s="13">
        <v>184</v>
      </c>
    </row>
    <row r="4487" spans="1:24" x14ac:dyDescent="0.25">
      <c r="A4487" t="s">
        <v>4448</v>
      </c>
      <c r="B4487" t="s">
        <v>65</v>
      </c>
      <c r="C4487" t="s">
        <v>4435</v>
      </c>
      <c r="D4487" t="s">
        <v>4436</v>
      </c>
      <c r="E4487" t="s">
        <v>4298</v>
      </c>
      <c r="F4487" t="s">
        <v>94</v>
      </c>
      <c r="G4487" t="s">
        <v>277</v>
      </c>
      <c r="H4487" s="12">
        <v>8.4285999999999994</v>
      </c>
      <c r="I4487" s="12">
        <v>-76.786100000000005</v>
      </c>
      <c r="J4487" t="s">
        <v>4437</v>
      </c>
      <c r="K4487" t="s">
        <v>97</v>
      </c>
      <c r="L4487" t="s">
        <v>1273</v>
      </c>
      <c r="M4487">
        <v>11</v>
      </c>
      <c r="P4487" s="13">
        <v>182</v>
      </c>
      <c r="Q4487" s="13">
        <v>44</v>
      </c>
      <c r="R4487">
        <v>24</v>
      </c>
      <c r="S4487">
        <v>44</v>
      </c>
      <c r="T4487" s="13">
        <v>29</v>
      </c>
      <c r="U4487" s="13">
        <v>49</v>
      </c>
      <c r="V4487" t="s">
        <v>99</v>
      </c>
      <c r="X4487" s="13">
        <v>182</v>
      </c>
    </row>
    <row r="4488" spans="1:24" x14ac:dyDescent="0.25">
      <c r="A4488" t="s">
        <v>4449</v>
      </c>
      <c r="B4488" t="s">
        <v>65</v>
      </c>
      <c r="C4488" t="s">
        <v>4435</v>
      </c>
      <c r="D4488" t="s">
        <v>4436</v>
      </c>
      <c r="E4488" t="s">
        <v>4298</v>
      </c>
      <c r="F4488" t="s">
        <v>94</v>
      </c>
      <c r="G4488" t="s">
        <v>277</v>
      </c>
      <c r="H4488" s="12">
        <v>8.4285999999999994</v>
      </c>
      <c r="I4488" s="12">
        <v>-76.786100000000005</v>
      </c>
      <c r="J4488" t="s">
        <v>4437</v>
      </c>
      <c r="K4488" t="s">
        <v>97</v>
      </c>
      <c r="L4488" t="s">
        <v>1273</v>
      </c>
      <c r="M4488">
        <v>11</v>
      </c>
      <c r="P4488" s="13">
        <v>182</v>
      </c>
      <c r="Q4488" s="13">
        <v>41</v>
      </c>
      <c r="R4488">
        <v>22</v>
      </c>
      <c r="S4488">
        <v>60</v>
      </c>
      <c r="T4488" s="13">
        <v>21</v>
      </c>
      <c r="U4488" s="13">
        <v>40</v>
      </c>
      <c r="V4488" t="s">
        <v>99</v>
      </c>
      <c r="X4488" s="13">
        <v>182</v>
      </c>
    </row>
    <row r="4489" spans="1:24" x14ac:dyDescent="0.25">
      <c r="A4489" t="s">
        <v>4450</v>
      </c>
      <c r="B4489" t="s">
        <v>65</v>
      </c>
      <c r="C4489" t="s">
        <v>4435</v>
      </c>
      <c r="D4489" t="s">
        <v>4436</v>
      </c>
      <c r="E4489" t="s">
        <v>4298</v>
      </c>
      <c r="F4489" t="s">
        <v>94</v>
      </c>
      <c r="G4489" t="s">
        <v>277</v>
      </c>
      <c r="H4489" s="12">
        <v>8.4285999999999994</v>
      </c>
      <c r="I4489" s="12">
        <v>-76.786100000000005</v>
      </c>
      <c r="J4489" t="s">
        <v>4437</v>
      </c>
      <c r="K4489" t="s">
        <v>97</v>
      </c>
      <c r="L4489" t="s">
        <v>1273</v>
      </c>
      <c r="M4489">
        <v>11</v>
      </c>
      <c r="P4489" s="13">
        <v>181</v>
      </c>
      <c r="Q4489" s="13">
        <v>54</v>
      </c>
      <c r="R4489">
        <v>22</v>
      </c>
      <c r="S4489">
        <v>46</v>
      </c>
      <c r="T4489" s="13">
        <v>19</v>
      </c>
      <c r="U4489" s="13">
        <v>49</v>
      </c>
      <c r="V4489" t="s">
        <v>99</v>
      </c>
      <c r="X4489" s="13">
        <v>181</v>
      </c>
    </row>
    <row r="4490" spans="1:24" x14ac:dyDescent="0.25">
      <c r="A4490" t="s">
        <v>4451</v>
      </c>
      <c r="B4490" t="s">
        <v>65</v>
      </c>
      <c r="C4490" t="s">
        <v>4435</v>
      </c>
      <c r="D4490" t="s">
        <v>4436</v>
      </c>
      <c r="E4490" t="s">
        <v>4298</v>
      </c>
      <c r="F4490" t="s">
        <v>94</v>
      </c>
      <c r="G4490" t="s">
        <v>277</v>
      </c>
      <c r="H4490" s="12">
        <v>8.4285999999999994</v>
      </c>
      <c r="I4490" s="12">
        <v>-76.786100000000005</v>
      </c>
      <c r="J4490" t="s">
        <v>4437</v>
      </c>
      <c r="K4490" t="s">
        <v>97</v>
      </c>
      <c r="L4490" t="s">
        <v>1273</v>
      </c>
      <c r="M4490">
        <v>11</v>
      </c>
      <c r="P4490" s="13">
        <v>178</v>
      </c>
      <c r="Q4490" s="13">
        <v>61</v>
      </c>
      <c r="R4490">
        <v>32</v>
      </c>
      <c r="S4490">
        <v>38</v>
      </c>
      <c r="T4490" s="13">
        <v>16</v>
      </c>
      <c r="U4490" s="13">
        <v>24</v>
      </c>
      <c r="V4490" t="s">
        <v>99</v>
      </c>
      <c r="X4490" s="13">
        <v>178</v>
      </c>
    </row>
    <row r="4491" spans="1:24" x14ac:dyDescent="0.25">
      <c r="A4491" t="s">
        <v>4452</v>
      </c>
      <c r="B4491" t="s">
        <v>65</v>
      </c>
      <c r="C4491" t="s">
        <v>4435</v>
      </c>
      <c r="D4491" t="s">
        <v>4436</v>
      </c>
      <c r="E4491" t="s">
        <v>4298</v>
      </c>
      <c r="F4491" t="s">
        <v>94</v>
      </c>
      <c r="G4491" t="s">
        <v>277</v>
      </c>
      <c r="H4491" s="12">
        <v>8.4285999999999994</v>
      </c>
      <c r="I4491" s="12">
        <v>-76.786100000000005</v>
      </c>
      <c r="J4491" t="s">
        <v>4437</v>
      </c>
      <c r="K4491" t="s">
        <v>97</v>
      </c>
      <c r="L4491" t="s">
        <v>1273</v>
      </c>
      <c r="M4491">
        <v>11</v>
      </c>
      <c r="P4491" s="13">
        <v>176</v>
      </c>
      <c r="Q4491" s="13">
        <v>39</v>
      </c>
      <c r="R4491">
        <v>26</v>
      </c>
      <c r="S4491">
        <v>46</v>
      </c>
      <c r="T4491" s="13">
        <v>28</v>
      </c>
      <c r="U4491" s="13">
        <v>42</v>
      </c>
      <c r="V4491" t="s">
        <v>99</v>
      </c>
      <c r="X4491" s="13">
        <v>176</v>
      </c>
    </row>
    <row r="4492" spans="1:24" x14ac:dyDescent="0.25">
      <c r="A4492" t="s">
        <v>4453</v>
      </c>
      <c r="B4492" t="s">
        <v>65</v>
      </c>
      <c r="C4492" t="s">
        <v>4435</v>
      </c>
      <c r="D4492" t="s">
        <v>4436</v>
      </c>
      <c r="E4492" t="s">
        <v>4298</v>
      </c>
      <c r="F4492" t="s">
        <v>94</v>
      </c>
      <c r="G4492" t="s">
        <v>277</v>
      </c>
      <c r="H4492" s="12">
        <v>8.4285999999999994</v>
      </c>
      <c r="I4492" s="12">
        <v>-76.786100000000005</v>
      </c>
      <c r="J4492" t="s">
        <v>4437</v>
      </c>
      <c r="K4492" t="s">
        <v>97</v>
      </c>
      <c r="L4492" t="s">
        <v>1273</v>
      </c>
      <c r="M4492">
        <v>11</v>
      </c>
      <c r="P4492" s="13">
        <v>174</v>
      </c>
      <c r="Q4492" s="13">
        <v>37</v>
      </c>
      <c r="R4492">
        <v>20</v>
      </c>
      <c r="S4492">
        <v>52</v>
      </c>
      <c r="T4492" s="13">
        <v>29</v>
      </c>
      <c r="U4492" s="13">
        <v>40</v>
      </c>
      <c r="V4492" t="s">
        <v>99</v>
      </c>
      <c r="X4492" s="13">
        <v>174</v>
      </c>
    </row>
    <row r="4493" spans="1:24" x14ac:dyDescent="0.25">
      <c r="A4493" t="s">
        <v>4454</v>
      </c>
      <c r="B4493" t="s">
        <v>65</v>
      </c>
      <c r="C4493" t="s">
        <v>4435</v>
      </c>
      <c r="D4493" t="s">
        <v>4436</v>
      </c>
      <c r="E4493" t="s">
        <v>4298</v>
      </c>
      <c r="F4493" t="s">
        <v>94</v>
      </c>
      <c r="G4493" t="s">
        <v>277</v>
      </c>
      <c r="H4493" s="12">
        <v>8.4285999999999994</v>
      </c>
      <c r="I4493" s="12">
        <v>-76.786100000000005</v>
      </c>
      <c r="J4493" t="s">
        <v>4437</v>
      </c>
      <c r="K4493" t="s">
        <v>97</v>
      </c>
      <c r="L4493" t="s">
        <v>1273</v>
      </c>
      <c r="M4493">
        <v>11</v>
      </c>
      <c r="P4493" s="13">
        <v>163</v>
      </c>
      <c r="Q4493" s="13">
        <v>41</v>
      </c>
      <c r="R4493">
        <v>26</v>
      </c>
      <c r="S4493">
        <v>28</v>
      </c>
      <c r="T4493" s="13">
        <v>34</v>
      </c>
      <c r="U4493" s="13">
        <v>33</v>
      </c>
      <c r="V4493" t="s">
        <v>99</v>
      </c>
      <c r="X4493" s="13">
        <v>163</v>
      </c>
    </row>
    <row r="4494" spans="1:24" x14ac:dyDescent="0.25">
      <c r="A4494" t="s">
        <v>4455</v>
      </c>
      <c r="B4494" t="s">
        <v>65</v>
      </c>
      <c r="C4494" t="s">
        <v>4435</v>
      </c>
      <c r="D4494" t="s">
        <v>4436</v>
      </c>
      <c r="E4494" t="s">
        <v>4298</v>
      </c>
      <c r="F4494" t="s">
        <v>94</v>
      </c>
      <c r="G4494" t="s">
        <v>277</v>
      </c>
      <c r="H4494" s="12">
        <v>8.4285999999999994</v>
      </c>
      <c r="I4494" s="12">
        <v>-76.786100000000005</v>
      </c>
      <c r="J4494" t="s">
        <v>4437</v>
      </c>
      <c r="K4494" t="s">
        <v>97</v>
      </c>
      <c r="L4494" t="s">
        <v>1273</v>
      </c>
      <c r="M4494">
        <v>11</v>
      </c>
      <c r="P4494" s="13">
        <v>162</v>
      </c>
      <c r="Q4494" s="13">
        <v>39</v>
      </c>
      <c r="R4494">
        <v>28</v>
      </c>
      <c r="S4494">
        <v>32</v>
      </c>
      <c r="T4494" s="13">
        <v>28</v>
      </c>
      <c r="U4494" s="13">
        <v>42</v>
      </c>
      <c r="V4494" t="s">
        <v>99</v>
      </c>
      <c r="X4494" s="13">
        <v>162</v>
      </c>
    </row>
    <row r="4495" spans="1:24" x14ac:dyDescent="0.25">
      <c r="A4495" t="s">
        <v>4456</v>
      </c>
      <c r="B4495" t="s">
        <v>65</v>
      </c>
      <c r="C4495" t="s">
        <v>4435</v>
      </c>
      <c r="D4495" t="s">
        <v>4436</v>
      </c>
      <c r="E4495" t="s">
        <v>4298</v>
      </c>
      <c r="F4495" t="s">
        <v>94</v>
      </c>
      <c r="G4495" t="s">
        <v>277</v>
      </c>
      <c r="H4495" s="12">
        <v>8.4285999999999994</v>
      </c>
      <c r="I4495" s="12">
        <v>-76.786100000000005</v>
      </c>
      <c r="J4495" t="s">
        <v>4437</v>
      </c>
      <c r="K4495" t="s">
        <v>97</v>
      </c>
      <c r="L4495" t="s">
        <v>1273</v>
      </c>
      <c r="M4495">
        <v>11</v>
      </c>
      <c r="P4495" s="13">
        <v>152</v>
      </c>
      <c r="Q4495" s="13">
        <v>27</v>
      </c>
      <c r="R4495">
        <v>34</v>
      </c>
      <c r="S4495">
        <v>28</v>
      </c>
      <c r="T4495" s="13">
        <v>29</v>
      </c>
      <c r="U4495" s="13">
        <v>40</v>
      </c>
      <c r="V4495" t="s">
        <v>99</v>
      </c>
      <c r="X4495" s="13">
        <v>152</v>
      </c>
    </row>
    <row r="4496" spans="1:24" x14ac:dyDescent="0.25">
      <c r="A4496" t="s">
        <v>4457</v>
      </c>
      <c r="B4496" t="s">
        <v>65</v>
      </c>
      <c r="C4496" t="s">
        <v>4435</v>
      </c>
      <c r="D4496" t="s">
        <v>4436</v>
      </c>
      <c r="E4496" t="s">
        <v>4298</v>
      </c>
      <c r="F4496" t="s">
        <v>94</v>
      </c>
      <c r="G4496" t="s">
        <v>277</v>
      </c>
      <c r="H4496" s="12">
        <v>8.4285999999999994</v>
      </c>
      <c r="I4496" s="12">
        <v>-76.786100000000005</v>
      </c>
      <c r="J4496" t="s">
        <v>4437</v>
      </c>
      <c r="K4496" t="s">
        <v>97</v>
      </c>
      <c r="L4496" t="s">
        <v>1273</v>
      </c>
      <c r="M4496">
        <v>11</v>
      </c>
      <c r="P4496" s="13">
        <v>150</v>
      </c>
      <c r="Q4496" s="13">
        <v>32</v>
      </c>
      <c r="R4496">
        <v>28</v>
      </c>
      <c r="S4496">
        <v>28</v>
      </c>
      <c r="T4496" s="13">
        <v>33</v>
      </c>
      <c r="U4496" s="13">
        <v>29</v>
      </c>
      <c r="V4496" t="s">
        <v>99</v>
      </c>
      <c r="X4496" s="13">
        <v>150</v>
      </c>
    </row>
    <row r="4497" spans="1:24" x14ac:dyDescent="0.25">
      <c r="A4497" t="s">
        <v>4458</v>
      </c>
      <c r="B4497" t="s">
        <v>65</v>
      </c>
      <c r="C4497" t="s">
        <v>4435</v>
      </c>
      <c r="D4497" t="s">
        <v>4436</v>
      </c>
      <c r="E4497" t="s">
        <v>4298</v>
      </c>
      <c r="F4497" t="s">
        <v>94</v>
      </c>
      <c r="G4497" t="s">
        <v>277</v>
      </c>
      <c r="H4497" s="12">
        <v>8.4285999999999994</v>
      </c>
      <c r="I4497" s="12">
        <v>-76.786100000000005</v>
      </c>
      <c r="J4497" t="s">
        <v>4437</v>
      </c>
      <c r="K4497" t="s">
        <v>97</v>
      </c>
      <c r="L4497" t="s">
        <v>1273</v>
      </c>
      <c r="M4497">
        <v>11</v>
      </c>
      <c r="P4497" s="13">
        <v>147</v>
      </c>
      <c r="Q4497" s="13">
        <v>32</v>
      </c>
      <c r="R4497">
        <v>20</v>
      </c>
      <c r="S4497">
        <v>30</v>
      </c>
      <c r="T4497" s="13">
        <v>38</v>
      </c>
      <c r="U4497" s="13">
        <v>24</v>
      </c>
      <c r="V4497" t="s">
        <v>99</v>
      </c>
      <c r="X4497" s="13">
        <v>147</v>
      </c>
    </row>
    <row r="4498" spans="1:24" x14ac:dyDescent="0.25">
      <c r="A4498" t="s">
        <v>4459</v>
      </c>
      <c r="B4498" t="s">
        <v>65</v>
      </c>
      <c r="C4498" t="s">
        <v>4435</v>
      </c>
      <c r="D4498" t="s">
        <v>4436</v>
      </c>
      <c r="E4498" t="s">
        <v>4298</v>
      </c>
      <c r="F4498" t="s">
        <v>94</v>
      </c>
      <c r="G4498" t="s">
        <v>277</v>
      </c>
      <c r="H4498" s="12">
        <v>8.4285999999999994</v>
      </c>
      <c r="I4498" s="12">
        <v>-76.786100000000005</v>
      </c>
      <c r="J4498" t="s">
        <v>4437</v>
      </c>
      <c r="K4498" t="s">
        <v>97</v>
      </c>
      <c r="L4498" t="s">
        <v>1273</v>
      </c>
      <c r="M4498">
        <v>11</v>
      </c>
      <c r="P4498" s="13">
        <v>147</v>
      </c>
      <c r="Q4498" s="13">
        <v>46</v>
      </c>
      <c r="R4498">
        <v>24</v>
      </c>
      <c r="S4498">
        <v>30</v>
      </c>
      <c r="T4498" s="13">
        <v>16</v>
      </c>
      <c r="U4498" s="13">
        <v>35</v>
      </c>
      <c r="V4498" t="s">
        <v>99</v>
      </c>
      <c r="X4498" s="13">
        <v>147</v>
      </c>
    </row>
    <row r="4499" spans="1:24" x14ac:dyDescent="0.25">
      <c r="A4499" t="s">
        <v>4460</v>
      </c>
      <c r="B4499" t="s">
        <v>65</v>
      </c>
      <c r="C4499" t="s">
        <v>4435</v>
      </c>
      <c r="D4499" t="s">
        <v>4436</v>
      </c>
      <c r="E4499" t="s">
        <v>4298</v>
      </c>
      <c r="F4499" t="s">
        <v>94</v>
      </c>
      <c r="G4499" t="s">
        <v>277</v>
      </c>
      <c r="H4499" s="12">
        <v>8.4285999999999994</v>
      </c>
      <c r="I4499" s="12">
        <v>-76.786100000000005</v>
      </c>
      <c r="J4499" t="s">
        <v>4437</v>
      </c>
      <c r="K4499" t="s">
        <v>97</v>
      </c>
      <c r="L4499" t="s">
        <v>1273</v>
      </c>
      <c r="M4499">
        <v>11</v>
      </c>
      <c r="P4499" s="13">
        <v>147</v>
      </c>
      <c r="Q4499" s="13">
        <v>32</v>
      </c>
      <c r="R4499">
        <v>30</v>
      </c>
      <c r="S4499">
        <v>26</v>
      </c>
      <c r="T4499" s="13">
        <v>29</v>
      </c>
      <c r="U4499" s="13">
        <v>31</v>
      </c>
      <c r="V4499" t="s">
        <v>99</v>
      </c>
      <c r="X4499" s="13">
        <v>147</v>
      </c>
    </row>
    <row r="4500" spans="1:24" x14ac:dyDescent="0.25">
      <c r="A4500" t="s">
        <v>4461</v>
      </c>
      <c r="B4500" t="s">
        <v>65</v>
      </c>
      <c r="C4500" t="s">
        <v>4435</v>
      </c>
      <c r="D4500" t="s">
        <v>4436</v>
      </c>
      <c r="E4500" t="s">
        <v>4298</v>
      </c>
      <c r="F4500" t="s">
        <v>94</v>
      </c>
      <c r="G4500" t="s">
        <v>277</v>
      </c>
      <c r="H4500" s="12">
        <v>8.4285999999999994</v>
      </c>
      <c r="I4500" s="12">
        <v>-76.786100000000005</v>
      </c>
      <c r="J4500" t="s">
        <v>4437</v>
      </c>
      <c r="K4500" t="s">
        <v>97</v>
      </c>
      <c r="L4500" t="s">
        <v>1273</v>
      </c>
      <c r="M4500">
        <v>11</v>
      </c>
      <c r="P4500" s="13">
        <v>146</v>
      </c>
      <c r="Q4500" s="13">
        <v>27</v>
      </c>
      <c r="R4500">
        <v>26</v>
      </c>
      <c r="S4500">
        <v>40</v>
      </c>
      <c r="T4500" s="13">
        <v>24</v>
      </c>
      <c r="U4500" s="13">
        <v>29</v>
      </c>
      <c r="V4500" t="s">
        <v>99</v>
      </c>
      <c r="X4500" s="13">
        <v>146</v>
      </c>
    </row>
    <row r="4501" spans="1:24" x14ac:dyDescent="0.25">
      <c r="A4501" t="s">
        <v>4462</v>
      </c>
      <c r="B4501" t="s">
        <v>65</v>
      </c>
      <c r="C4501" t="s">
        <v>4435</v>
      </c>
      <c r="D4501" t="s">
        <v>4436</v>
      </c>
      <c r="E4501" t="s">
        <v>4298</v>
      </c>
      <c r="F4501" t="s">
        <v>94</v>
      </c>
      <c r="G4501" t="s">
        <v>277</v>
      </c>
      <c r="H4501" s="12">
        <v>8.4285999999999994</v>
      </c>
      <c r="I4501" s="12">
        <v>-76.786100000000005</v>
      </c>
      <c r="J4501" t="s">
        <v>4437</v>
      </c>
      <c r="K4501" t="s">
        <v>97</v>
      </c>
      <c r="L4501" t="s">
        <v>1273</v>
      </c>
      <c r="M4501">
        <v>11</v>
      </c>
      <c r="P4501" s="13">
        <v>145</v>
      </c>
      <c r="Q4501" s="13">
        <v>27</v>
      </c>
      <c r="R4501">
        <v>18</v>
      </c>
      <c r="S4501">
        <v>46</v>
      </c>
      <c r="T4501" s="13">
        <v>22</v>
      </c>
      <c r="U4501" s="13">
        <v>36</v>
      </c>
      <c r="V4501" t="s">
        <v>99</v>
      </c>
      <c r="X4501" s="13">
        <v>145</v>
      </c>
    </row>
    <row r="4502" spans="1:24" x14ac:dyDescent="0.25">
      <c r="A4502" t="s">
        <v>4463</v>
      </c>
      <c r="B4502" t="s">
        <v>65</v>
      </c>
      <c r="C4502" t="s">
        <v>4435</v>
      </c>
      <c r="D4502" t="s">
        <v>4436</v>
      </c>
      <c r="E4502" t="s">
        <v>4298</v>
      </c>
      <c r="F4502" t="s">
        <v>94</v>
      </c>
      <c r="G4502" t="s">
        <v>277</v>
      </c>
      <c r="H4502" s="12">
        <v>8.4285999999999994</v>
      </c>
      <c r="I4502" s="12">
        <v>-76.786100000000005</v>
      </c>
      <c r="J4502" t="s">
        <v>4437</v>
      </c>
      <c r="K4502" t="s">
        <v>97</v>
      </c>
      <c r="L4502" t="s">
        <v>1273</v>
      </c>
      <c r="M4502">
        <v>11</v>
      </c>
      <c r="P4502" s="13">
        <v>134</v>
      </c>
      <c r="Q4502" s="13">
        <v>29</v>
      </c>
      <c r="R4502">
        <v>22</v>
      </c>
      <c r="S4502">
        <v>28</v>
      </c>
      <c r="T4502" s="13">
        <v>29</v>
      </c>
      <c r="U4502" s="13">
        <v>22</v>
      </c>
      <c r="V4502" t="s">
        <v>99</v>
      </c>
      <c r="X4502" s="13">
        <v>134</v>
      </c>
    </row>
    <row r="4503" spans="1:24" x14ac:dyDescent="0.25">
      <c r="A4503" t="s">
        <v>4464</v>
      </c>
      <c r="B4503" t="s">
        <v>65</v>
      </c>
      <c r="C4503" t="s">
        <v>4435</v>
      </c>
      <c r="D4503" t="s">
        <v>4436</v>
      </c>
      <c r="E4503" t="s">
        <v>4298</v>
      </c>
      <c r="F4503" t="s">
        <v>94</v>
      </c>
      <c r="G4503" t="s">
        <v>277</v>
      </c>
      <c r="H4503" s="12">
        <v>8.4285999999999994</v>
      </c>
      <c r="I4503" s="12">
        <v>-76.786100000000005</v>
      </c>
      <c r="J4503" t="s">
        <v>4437</v>
      </c>
      <c r="K4503" t="s">
        <v>97</v>
      </c>
      <c r="L4503" t="s">
        <v>1273</v>
      </c>
      <c r="M4503">
        <v>11</v>
      </c>
      <c r="P4503" s="13">
        <v>131</v>
      </c>
      <c r="Q4503" s="13">
        <v>41</v>
      </c>
      <c r="R4503">
        <v>10</v>
      </c>
      <c r="S4503">
        <v>32</v>
      </c>
      <c r="T4503" s="13">
        <v>22</v>
      </c>
      <c r="U4503" s="13">
        <v>22</v>
      </c>
      <c r="V4503" t="s">
        <v>99</v>
      </c>
      <c r="X4503" s="13">
        <v>131</v>
      </c>
    </row>
    <row r="4504" spans="1:24" x14ac:dyDescent="0.25">
      <c r="A4504" t="s">
        <v>4465</v>
      </c>
      <c r="B4504" t="s">
        <v>65</v>
      </c>
      <c r="C4504" t="s">
        <v>4435</v>
      </c>
      <c r="D4504" t="s">
        <v>4436</v>
      </c>
      <c r="E4504" t="s">
        <v>4298</v>
      </c>
      <c r="F4504" t="s">
        <v>94</v>
      </c>
      <c r="G4504" t="s">
        <v>277</v>
      </c>
      <c r="H4504" s="12">
        <v>8.4285999999999994</v>
      </c>
      <c r="I4504" s="12">
        <v>-76.786100000000005</v>
      </c>
      <c r="J4504" t="s">
        <v>4437</v>
      </c>
      <c r="K4504" t="s">
        <v>97</v>
      </c>
      <c r="L4504" t="s">
        <v>1273</v>
      </c>
      <c r="M4504">
        <v>11</v>
      </c>
      <c r="P4504" s="13">
        <v>126</v>
      </c>
      <c r="Q4504" s="13">
        <v>34</v>
      </c>
      <c r="R4504">
        <v>26</v>
      </c>
      <c r="S4504">
        <v>18</v>
      </c>
      <c r="T4504" s="13">
        <v>22</v>
      </c>
      <c r="U4504" s="13">
        <v>25</v>
      </c>
      <c r="V4504" t="s">
        <v>99</v>
      </c>
      <c r="X4504" s="13">
        <v>126</v>
      </c>
    </row>
    <row r="4505" spans="1:24" x14ac:dyDescent="0.25">
      <c r="A4505" t="s">
        <v>4466</v>
      </c>
      <c r="B4505" t="s">
        <v>65</v>
      </c>
      <c r="C4505" t="s">
        <v>4435</v>
      </c>
      <c r="D4505" t="s">
        <v>4436</v>
      </c>
      <c r="E4505" t="s">
        <v>4298</v>
      </c>
      <c r="F4505" t="s">
        <v>94</v>
      </c>
      <c r="G4505" t="s">
        <v>277</v>
      </c>
      <c r="H4505" s="12">
        <v>8.4285999999999994</v>
      </c>
      <c r="I4505" s="12">
        <v>-76.786100000000005</v>
      </c>
      <c r="J4505" t="s">
        <v>4437</v>
      </c>
      <c r="K4505" t="s">
        <v>97</v>
      </c>
      <c r="L4505" t="s">
        <v>1273</v>
      </c>
      <c r="M4505">
        <v>11</v>
      </c>
      <c r="P4505" s="13">
        <v>125</v>
      </c>
      <c r="Q4505" s="13">
        <v>20</v>
      </c>
      <c r="R4505">
        <v>34</v>
      </c>
      <c r="S4505">
        <v>38</v>
      </c>
      <c r="T4505" s="13">
        <v>12</v>
      </c>
      <c r="U4505" s="13">
        <v>15</v>
      </c>
      <c r="V4505" t="s">
        <v>99</v>
      </c>
      <c r="X4505" s="13">
        <v>125</v>
      </c>
    </row>
    <row r="4506" spans="1:24" x14ac:dyDescent="0.25">
      <c r="A4506" t="s">
        <v>4467</v>
      </c>
      <c r="B4506" t="s">
        <v>65</v>
      </c>
      <c r="C4506" t="s">
        <v>4435</v>
      </c>
      <c r="D4506" t="s">
        <v>4436</v>
      </c>
      <c r="E4506" t="s">
        <v>4298</v>
      </c>
      <c r="F4506" t="s">
        <v>94</v>
      </c>
      <c r="G4506" t="s">
        <v>277</v>
      </c>
      <c r="H4506" s="12">
        <v>8.4285999999999994</v>
      </c>
      <c r="I4506" s="12">
        <v>-76.786100000000005</v>
      </c>
      <c r="J4506" t="s">
        <v>4437</v>
      </c>
      <c r="K4506" t="s">
        <v>97</v>
      </c>
      <c r="L4506" t="s">
        <v>1273</v>
      </c>
      <c r="M4506">
        <v>11</v>
      </c>
      <c r="P4506" s="13">
        <v>81</v>
      </c>
      <c r="Q4506" s="13">
        <v>17</v>
      </c>
      <c r="R4506">
        <v>16</v>
      </c>
      <c r="S4506">
        <v>16</v>
      </c>
      <c r="T4506" s="13">
        <v>16</v>
      </c>
      <c r="U4506" s="13">
        <v>16</v>
      </c>
      <c r="V4506" t="s">
        <v>99</v>
      </c>
      <c r="X4506" s="13">
        <v>81</v>
      </c>
    </row>
    <row r="4507" spans="1:24" x14ac:dyDescent="0.25">
      <c r="A4507" t="s">
        <v>4468</v>
      </c>
      <c r="B4507" t="s">
        <v>65</v>
      </c>
      <c r="C4507" t="s">
        <v>4435</v>
      </c>
      <c r="D4507" t="s">
        <v>4436</v>
      </c>
      <c r="E4507" t="s">
        <v>4298</v>
      </c>
      <c r="F4507" t="s">
        <v>94</v>
      </c>
      <c r="G4507" t="s">
        <v>277</v>
      </c>
      <c r="H4507" s="12">
        <v>8.4285999999999994</v>
      </c>
      <c r="I4507" s="12">
        <v>-76.786100000000005</v>
      </c>
      <c r="J4507" t="s">
        <v>4437</v>
      </c>
      <c r="K4507" t="s">
        <v>97</v>
      </c>
      <c r="L4507" t="s">
        <v>1273</v>
      </c>
      <c r="M4507">
        <v>11</v>
      </c>
      <c r="P4507" s="13">
        <v>47</v>
      </c>
      <c r="Q4507" s="13">
        <v>0</v>
      </c>
      <c r="R4507">
        <v>12</v>
      </c>
      <c r="S4507">
        <v>12</v>
      </c>
      <c r="T4507" s="13">
        <v>10</v>
      </c>
      <c r="U4507" s="13">
        <v>20</v>
      </c>
      <c r="V4507" t="s">
        <v>99</v>
      </c>
      <c r="X4507" s="13">
        <v>47</v>
      </c>
    </row>
    <row r="4508" spans="1:24" x14ac:dyDescent="0.25">
      <c r="A4508" t="s">
        <v>4469</v>
      </c>
      <c r="B4508" t="s">
        <v>65</v>
      </c>
      <c r="C4508" t="s">
        <v>4470</v>
      </c>
      <c r="D4508" t="s">
        <v>4471</v>
      </c>
      <c r="E4508" t="s">
        <v>2653</v>
      </c>
      <c r="F4508" t="s">
        <v>94</v>
      </c>
      <c r="G4508" t="s">
        <v>277</v>
      </c>
      <c r="H4508" s="12">
        <v>7.0269000000000004</v>
      </c>
      <c r="I4508" s="12">
        <v>-74.697500000000005</v>
      </c>
      <c r="J4508" t="s">
        <v>4472</v>
      </c>
      <c r="K4508" t="s">
        <v>97</v>
      </c>
      <c r="L4508" t="s">
        <v>1273</v>
      </c>
      <c r="M4508">
        <v>11</v>
      </c>
      <c r="P4508" s="13">
        <v>218</v>
      </c>
      <c r="Q4508" s="13">
        <v>63</v>
      </c>
      <c r="R4508">
        <v>20</v>
      </c>
      <c r="S4508">
        <v>44</v>
      </c>
      <c r="T4508" s="13">
        <v>36</v>
      </c>
      <c r="U4508" s="13">
        <v>76</v>
      </c>
      <c r="V4508" t="s">
        <v>99</v>
      </c>
      <c r="X4508" s="13">
        <v>218</v>
      </c>
    </row>
    <row r="4509" spans="1:24" x14ac:dyDescent="0.25">
      <c r="A4509" t="s">
        <v>4473</v>
      </c>
      <c r="B4509" t="s">
        <v>65</v>
      </c>
      <c r="C4509" t="s">
        <v>4470</v>
      </c>
      <c r="D4509" t="s">
        <v>4471</v>
      </c>
      <c r="E4509" t="s">
        <v>2653</v>
      </c>
      <c r="F4509" t="s">
        <v>94</v>
      </c>
      <c r="G4509" t="s">
        <v>277</v>
      </c>
      <c r="H4509" s="12">
        <v>7.0269000000000004</v>
      </c>
      <c r="I4509" s="12">
        <v>-74.697500000000005</v>
      </c>
      <c r="J4509" t="s">
        <v>4472</v>
      </c>
      <c r="K4509" t="s">
        <v>97</v>
      </c>
      <c r="L4509" t="s">
        <v>1273</v>
      </c>
      <c r="M4509">
        <v>11</v>
      </c>
      <c r="P4509" s="13">
        <v>216</v>
      </c>
      <c r="Q4509" s="13">
        <v>59</v>
      </c>
      <c r="R4509">
        <v>38</v>
      </c>
      <c r="S4509">
        <v>44</v>
      </c>
      <c r="T4509" s="13">
        <v>29</v>
      </c>
      <c r="U4509" s="13">
        <v>53</v>
      </c>
      <c r="V4509" t="s">
        <v>99</v>
      </c>
      <c r="X4509" s="13">
        <v>216</v>
      </c>
    </row>
    <row r="4510" spans="1:24" x14ac:dyDescent="0.25">
      <c r="A4510" t="s">
        <v>4474</v>
      </c>
      <c r="B4510" t="s">
        <v>65</v>
      </c>
      <c r="C4510" t="s">
        <v>4470</v>
      </c>
      <c r="D4510" t="s">
        <v>4471</v>
      </c>
      <c r="E4510" t="s">
        <v>2653</v>
      </c>
      <c r="F4510" t="s">
        <v>94</v>
      </c>
      <c r="G4510" t="s">
        <v>277</v>
      </c>
      <c r="H4510" s="12">
        <v>7.0269000000000004</v>
      </c>
      <c r="I4510" s="12">
        <v>-74.697500000000005</v>
      </c>
      <c r="J4510" t="s">
        <v>4472</v>
      </c>
      <c r="K4510" t="s">
        <v>97</v>
      </c>
      <c r="L4510" t="s">
        <v>1273</v>
      </c>
      <c r="M4510">
        <v>11</v>
      </c>
      <c r="P4510" s="13">
        <v>207</v>
      </c>
      <c r="Q4510" s="13">
        <v>61</v>
      </c>
      <c r="R4510">
        <v>30</v>
      </c>
      <c r="S4510">
        <v>42</v>
      </c>
      <c r="T4510" s="13">
        <v>31</v>
      </c>
      <c r="U4510" s="13">
        <v>45</v>
      </c>
      <c r="V4510" t="s">
        <v>99</v>
      </c>
      <c r="X4510" s="13">
        <v>207</v>
      </c>
    </row>
    <row r="4511" spans="1:24" x14ac:dyDescent="0.25">
      <c r="A4511" t="s">
        <v>4475</v>
      </c>
      <c r="B4511" t="s">
        <v>65</v>
      </c>
      <c r="C4511" t="s">
        <v>4470</v>
      </c>
      <c r="D4511" t="s">
        <v>4471</v>
      </c>
      <c r="E4511" t="s">
        <v>2653</v>
      </c>
      <c r="F4511" t="s">
        <v>94</v>
      </c>
      <c r="G4511" t="s">
        <v>277</v>
      </c>
      <c r="H4511" s="12">
        <v>7.0269000000000004</v>
      </c>
      <c r="I4511" s="12">
        <v>-74.697500000000005</v>
      </c>
      <c r="J4511" t="s">
        <v>4472</v>
      </c>
      <c r="K4511" t="s">
        <v>97</v>
      </c>
      <c r="L4511" t="s">
        <v>1273</v>
      </c>
      <c r="M4511">
        <v>11</v>
      </c>
      <c r="P4511" s="13">
        <v>194</v>
      </c>
      <c r="Q4511" s="13">
        <v>56</v>
      </c>
      <c r="R4511">
        <v>22</v>
      </c>
      <c r="S4511">
        <v>38</v>
      </c>
      <c r="T4511" s="13">
        <v>36</v>
      </c>
      <c r="U4511" s="13">
        <v>47</v>
      </c>
      <c r="V4511" t="s">
        <v>99</v>
      </c>
      <c r="X4511" s="13">
        <v>194</v>
      </c>
    </row>
    <row r="4512" spans="1:24" x14ac:dyDescent="0.25">
      <c r="A4512" t="s">
        <v>4476</v>
      </c>
      <c r="B4512" t="s">
        <v>65</v>
      </c>
      <c r="C4512" t="s">
        <v>4470</v>
      </c>
      <c r="D4512" t="s">
        <v>4471</v>
      </c>
      <c r="E4512" t="s">
        <v>2653</v>
      </c>
      <c r="F4512" t="s">
        <v>94</v>
      </c>
      <c r="G4512" t="s">
        <v>277</v>
      </c>
      <c r="H4512" s="12">
        <v>7.0269000000000004</v>
      </c>
      <c r="I4512" s="12">
        <v>-74.697500000000005</v>
      </c>
      <c r="J4512" t="s">
        <v>4472</v>
      </c>
      <c r="K4512" t="s">
        <v>97</v>
      </c>
      <c r="L4512" t="s">
        <v>1273</v>
      </c>
      <c r="M4512">
        <v>11</v>
      </c>
      <c r="P4512" s="13">
        <v>187</v>
      </c>
      <c r="Q4512" s="13">
        <v>39</v>
      </c>
      <c r="R4512">
        <v>28</v>
      </c>
      <c r="S4512">
        <v>40</v>
      </c>
      <c r="T4512" s="13">
        <v>33</v>
      </c>
      <c r="U4512" s="13">
        <v>67</v>
      </c>
      <c r="V4512" t="s">
        <v>99</v>
      </c>
      <c r="X4512" s="13">
        <v>187</v>
      </c>
    </row>
    <row r="4513" spans="1:24" x14ac:dyDescent="0.25">
      <c r="A4513" t="s">
        <v>4477</v>
      </c>
      <c r="B4513" t="s">
        <v>65</v>
      </c>
      <c r="C4513" t="s">
        <v>4470</v>
      </c>
      <c r="D4513" t="s">
        <v>4471</v>
      </c>
      <c r="E4513" t="s">
        <v>2653</v>
      </c>
      <c r="F4513" t="s">
        <v>94</v>
      </c>
      <c r="G4513" t="s">
        <v>277</v>
      </c>
      <c r="H4513" s="12">
        <v>7.0269000000000004</v>
      </c>
      <c r="I4513" s="12">
        <v>-74.697500000000005</v>
      </c>
      <c r="J4513" t="s">
        <v>4472</v>
      </c>
      <c r="K4513" t="s">
        <v>97</v>
      </c>
      <c r="L4513" t="s">
        <v>1273</v>
      </c>
      <c r="M4513">
        <v>11</v>
      </c>
      <c r="P4513" s="13">
        <v>176</v>
      </c>
      <c r="Q4513" s="13">
        <v>46</v>
      </c>
      <c r="R4513">
        <v>26</v>
      </c>
      <c r="S4513">
        <v>42</v>
      </c>
      <c r="T4513" s="13">
        <v>26</v>
      </c>
      <c r="U4513" s="13">
        <v>36</v>
      </c>
      <c r="V4513" t="s">
        <v>99</v>
      </c>
      <c r="X4513" s="13">
        <v>176</v>
      </c>
    </row>
    <row r="4514" spans="1:24" x14ac:dyDescent="0.25">
      <c r="A4514" t="s">
        <v>4478</v>
      </c>
      <c r="B4514" t="s">
        <v>65</v>
      </c>
      <c r="C4514" t="s">
        <v>4470</v>
      </c>
      <c r="D4514" t="s">
        <v>4471</v>
      </c>
      <c r="E4514" t="s">
        <v>2653</v>
      </c>
      <c r="F4514" t="s">
        <v>94</v>
      </c>
      <c r="G4514" t="s">
        <v>277</v>
      </c>
      <c r="H4514" s="12">
        <v>7.0269000000000004</v>
      </c>
      <c r="I4514" s="12">
        <v>-74.697500000000005</v>
      </c>
      <c r="J4514" t="s">
        <v>4472</v>
      </c>
      <c r="K4514" t="s">
        <v>97</v>
      </c>
      <c r="L4514" t="s">
        <v>1273</v>
      </c>
      <c r="M4514">
        <v>11</v>
      </c>
      <c r="P4514" s="13">
        <v>168</v>
      </c>
      <c r="Q4514" s="13">
        <v>49</v>
      </c>
      <c r="R4514">
        <v>32</v>
      </c>
      <c r="S4514">
        <v>34</v>
      </c>
      <c r="T4514" s="13">
        <v>17</v>
      </c>
      <c r="U4514" s="13">
        <v>42</v>
      </c>
      <c r="V4514" t="s">
        <v>99</v>
      </c>
      <c r="X4514" s="13">
        <v>168</v>
      </c>
    </row>
    <row r="4515" spans="1:24" x14ac:dyDescent="0.25">
      <c r="A4515" t="s">
        <v>4479</v>
      </c>
      <c r="B4515" t="s">
        <v>65</v>
      </c>
      <c r="C4515" t="s">
        <v>4470</v>
      </c>
      <c r="D4515" t="s">
        <v>4471</v>
      </c>
      <c r="E4515" t="s">
        <v>2653</v>
      </c>
      <c r="F4515" t="s">
        <v>94</v>
      </c>
      <c r="G4515" t="s">
        <v>277</v>
      </c>
      <c r="H4515" s="12">
        <v>7.0269000000000004</v>
      </c>
      <c r="I4515" s="12">
        <v>-74.697500000000005</v>
      </c>
      <c r="J4515" t="s">
        <v>4472</v>
      </c>
      <c r="K4515" t="s">
        <v>97</v>
      </c>
      <c r="L4515" t="s">
        <v>1273</v>
      </c>
      <c r="M4515">
        <v>11</v>
      </c>
      <c r="P4515" s="13">
        <v>165</v>
      </c>
      <c r="Q4515" s="13">
        <v>44</v>
      </c>
      <c r="R4515">
        <v>32</v>
      </c>
      <c r="S4515">
        <v>30</v>
      </c>
      <c r="T4515" s="13">
        <v>17</v>
      </c>
      <c r="U4515" s="13">
        <v>60</v>
      </c>
      <c r="V4515" t="s">
        <v>99</v>
      </c>
      <c r="X4515" s="13">
        <v>165</v>
      </c>
    </row>
    <row r="4516" spans="1:24" x14ac:dyDescent="0.25">
      <c r="A4516" t="s">
        <v>4480</v>
      </c>
      <c r="B4516" t="s">
        <v>65</v>
      </c>
      <c r="C4516" t="s">
        <v>4470</v>
      </c>
      <c r="D4516" t="s">
        <v>4471</v>
      </c>
      <c r="E4516" t="s">
        <v>2653</v>
      </c>
      <c r="F4516" t="s">
        <v>94</v>
      </c>
      <c r="G4516" t="s">
        <v>277</v>
      </c>
      <c r="H4516" s="12">
        <v>7.0269000000000004</v>
      </c>
      <c r="I4516" s="12">
        <v>-74.697500000000005</v>
      </c>
      <c r="J4516" t="s">
        <v>4472</v>
      </c>
      <c r="K4516" t="s">
        <v>97</v>
      </c>
      <c r="L4516" t="s">
        <v>1273</v>
      </c>
      <c r="M4516">
        <v>11</v>
      </c>
      <c r="P4516" s="13">
        <v>164</v>
      </c>
      <c r="Q4516" s="13">
        <v>54</v>
      </c>
      <c r="R4516">
        <v>20</v>
      </c>
      <c r="S4516">
        <v>26</v>
      </c>
      <c r="T4516" s="13">
        <v>26</v>
      </c>
      <c r="U4516" s="13">
        <v>51</v>
      </c>
      <c r="V4516" t="s">
        <v>99</v>
      </c>
      <c r="X4516" s="13">
        <v>164</v>
      </c>
    </row>
    <row r="4517" spans="1:24" x14ac:dyDescent="0.25">
      <c r="A4517" t="s">
        <v>4481</v>
      </c>
      <c r="B4517" t="s">
        <v>65</v>
      </c>
      <c r="C4517" t="s">
        <v>4470</v>
      </c>
      <c r="D4517" t="s">
        <v>4471</v>
      </c>
      <c r="E4517" t="s">
        <v>2653</v>
      </c>
      <c r="F4517" t="s">
        <v>94</v>
      </c>
      <c r="G4517" t="s">
        <v>277</v>
      </c>
      <c r="H4517" s="12">
        <v>7.0269000000000004</v>
      </c>
      <c r="I4517" s="12">
        <v>-74.697500000000005</v>
      </c>
      <c r="J4517" t="s">
        <v>4472</v>
      </c>
      <c r="K4517" t="s">
        <v>97</v>
      </c>
      <c r="L4517" t="s">
        <v>1273</v>
      </c>
      <c r="M4517">
        <v>11</v>
      </c>
      <c r="P4517" s="13">
        <v>161</v>
      </c>
      <c r="Q4517" s="13">
        <v>29</v>
      </c>
      <c r="R4517">
        <v>30</v>
      </c>
      <c r="S4517">
        <v>46</v>
      </c>
      <c r="T4517" s="13">
        <v>24</v>
      </c>
      <c r="U4517" s="13">
        <v>31</v>
      </c>
      <c r="V4517" t="s">
        <v>99</v>
      </c>
      <c r="X4517" s="13">
        <v>161</v>
      </c>
    </row>
    <row r="4518" spans="1:24" x14ac:dyDescent="0.25">
      <c r="A4518" t="s">
        <v>4482</v>
      </c>
      <c r="B4518" t="s">
        <v>65</v>
      </c>
      <c r="C4518" t="s">
        <v>4470</v>
      </c>
      <c r="D4518" t="s">
        <v>4471</v>
      </c>
      <c r="E4518" t="s">
        <v>2653</v>
      </c>
      <c r="F4518" t="s">
        <v>94</v>
      </c>
      <c r="G4518" t="s">
        <v>277</v>
      </c>
      <c r="H4518" s="12">
        <v>7.0269000000000004</v>
      </c>
      <c r="I4518" s="12">
        <v>-74.697500000000005</v>
      </c>
      <c r="J4518" t="s">
        <v>4472</v>
      </c>
      <c r="K4518" t="s">
        <v>97</v>
      </c>
      <c r="L4518" t="s">
        <v>1273</v>
      </c>
      <c r="M4518">
        <v>11</v>
      </c>
      <c r="P4518" s="13">
        <v>160</v>
      </c>
      <c r="Q4518" s="13">
        <v>46</v>
      </c>
      <c r="R4518">
        <v>28</v>
      </c>
      <c r="S4518">
        <v>32</v>
      </c>
      <c r="T4518" s="13">
        <v>17</v>
      </c>
      <c r="U4518" s="13">
        <v>45</v>
      </c>
      <c r="V4518" t="s">
        <v>99</v>
      </c>
      <c r="X4518" s="13">
        <v>160</v>
      </c>
    </row>
    <row r="4519" spans="1:24" x14ac:dyDescent="0.25">
      <c r="A4519" t="s">
        <v>4483</v>
      </c>
      <c r="B4519" t="s">
        <v>65</v>
      </c>
      <c r="C4519" t="s">
        <v>4470</v>
      </c>
      <c r="D4519" t="s">
        <v>4471</v>
      </c>
      <c r="E4519" t="s">
        <v>2653</v>
      </c>
      <c r="F4519" t="s">
        <v>94</v>
      </c>
      <c r="G4519" t="s">
        <v>277</v>
      </c>
      <c r="H4519" s="12">
        <v>7.0269000000000004</v>
      </c>
      <c r="I4519" s="12">
        <v>-74.697500000000005</v>
      </c>
      <c r="J4519" t="s">
        <v>4472</v>
      </c>
      <c r="K4519" t="s">
        <v>97</v>
      </c>
      <c r="L4519" t="s">
        <v>1273</v>
      </c>
      <c r="M4519">
        <v>11</v>
      </c>
      <c r="P4519" s="13">
        <v>160</v>
      </c>
      <c r="Q4519" s="13">
        <v>46</v>
      </c>
      <c r="R4519">
        <v>12</v>
      </c>
      <c r="S4519">
        <v>42</v>
      </c>
      <c r="T4519" s="13">
        <v>22</v>
      </c>
      <c r="U4519" s="13">
        <v>47</v>
      </c>
      <c r="V4519" t="s">
        <v>99</v>
      </c>
      <c r="X4519" s="13">
        <v>160</v>
      </c>
    </row>
    <row r="4520" spans="1:24" x14ac:dyDescent="0.25">
      <c r="A4520" t="s">
        <v>4484</v>
      </c>
      <c r="B4520" t="s">
        <v>65</v>
      </c>
      <c r="C4520" t="s">
        <v>4470</v>
      </c>
      <c r="D4520" t="s">
        <v>4471</v>
      </c>
      <c r="E4520" t="s">
        <v>2653</v>
      </c>
      <c r="F4520" t="s">
        <v>94</v>
      </c>
      <c r="G4520" t="s">
        <v>277</v>
      </c>
      <c r="H4520" s="12">
        <v>7.0269000000000004</v>
      </c>
      <c r="I4520" s="12">
        <v>-74.697500000000005</v>
      </c>
      <c r="J4520" t="s">
        <v>4472</v>
      </c>
      <c r="K4520" t="s">
        <v>97</v>
      </c>
      <c r="L4520" t="s">
        <v>1273</v>
      </c>
      <c r="M4520">
        <v>11</v>
      </c>
      <c r="P4520" s="13">
        <v>160</v>
      </c>
      <c r="Q4520" s="13">
        <v>49</v>
      </c>
      <c r="R4520">
        <v>28</v>
      </c>
      <c r="S4520">
        <v>32</v>
      </c>
      <c r="T4520" s="13">
        <v>22</v>
      </c>
      <c r="U4520" s="13">
        <v>22</v>
      </c>
      <c r="V4520" t="s">
        <v>99</v>
      </c>
      <c r="X4520" s="13">
        <v>160</v>
      </c>
    </row>
    <row r="4521" spans="1:24" x14ac:dyDescent="0.25">
      <c r="A4521" t="s">
        <v>4485</v>
      </c>
      <c r="B4521" t="s">
        <v>65</v>
      </c>
      <c r="C4521" t="s">
        <v>4470</v>
      </c>
      <c r="D4521" t="s">
        <v>4471</v>
      </c>
      <c r="E4521" t="s">
        <v>2653</v>
      </c>
      <c r="F4521" t="s">
        <v>94</v>
      </c>
      <c r="G4521" t="s">
        <v>277</v>
      </c>
      <c r="H4521" s="12">
        <v>7.0269000000000004</v>
      </c>
      <c r="I4521" s="12">
        <v>-74.697500000000005</v>
      </c>
      <c r="J4521" t="s">
        <v>4472</v>
      </c>
      <c r="K4521" t="s">
        <v>97</v>
      </c>
      <c r="L4521" t="s">
        <v>1273</v>
      </c>
      <c r="M4521">
        <v>11</v>
      </c>
      <c r="P4521" s="13">
        <v>160</v>
      </c>
      <c r="Q4521" s="13">
        <v>37</v>
      </c>
      <c r="R4521">
        <v>40</v>
      </c>
      <c r="S4521">
        <v>34</v>
      </c>
      <c r="T4521" s="13">
        <v>14</v>
      </c>
      <c r="U4521" s="13">
        <v>42</v>
      </c>
      <c r="V4521" t="s">
        <v>99</v>
      </c>
      <c r="X4521" s="13">
        <v>160</v>
      </c>
    </row>
    <row r="4522" spans="1:24" x14ac:dyDescent="0.25">
      <c r="A4522" t="s">
        <v>4486</v>
      </c>
      <c r="B4522" t="s">
        <v>65</v>
      </c>
      <c r="C4522" t="s">
        <v>4470</v>
      </c>
      <c r="D4522" t="s">
        <v>4471</v>
      </c>
      <c r="E4522" t="s">
        <v>2653</v>
      </c>
      <c r="F4522" t="s">
        <v>94</v>
      </c>
      <c r="G4522" t="s">
        <v>277</v>
      </c>
      <c r="H4522" s="12">
        <v>7.0269000000000004</v>
      </c>
      <c r="I4522" s="12">
        <v>-74.697500000000005</v>
      </c>
      <c r="J4522" t="s">
        <v>4472</v>
      </c>
      <c r="K4522" t="s">
        <v>97</v>
      </c>
      <c r="L4522" t="s">
        <v>1273</v>
      </c>
      <c r="M4522">
        <v>11</v>
      </c>
      <c r="P4522" s="13">
        <v>159</v>
      </c>
      <c r="Q4522" s="13">
        <v>34</v>
      </c>
      <c r="R4522">
        <v>36</v>
      </c>
      <c r="S4522">
        <v>30</v>
      </c>
      <c r="T4522" s="13">
        <v>29</v>
      </c>
      <c r="U4522" s="13">
        <v>25</v>
      </c>
      <c r="V4522" t="s">
        <v>99</v>
      </c>
      <c r="X4522" s="13">
        <v>159</v>
      </c>
    </row>
    <row r="4523" spans="1:24" x14ac:dyDescent="0.25">
      <c r="A4523" t="s">
        <v>4487</v>
      </c>
      <c r="B4523" t="s">
        <v>65</v>
      </c>
      <c r="C4523" t="s">
        <v>4470</v>
      </c>
      <c r="D4523" t="s">
        <v>4471</v>
      </c>
      <c r="E4523" t="s">
        <v>2653</v>
      </c>
      <c r="F4523" t="s">
        <v>94</v>
      </c>
      <c r="G4523" t="s">
        <v>277</v>
      </c>
      <c r="H4523" s="12">
        <v>7.0269000000000004</v>
      </c>
      <c r="I4523" s="12">
        <v>-74.697500000000005</v>
      </c>
      <c r="J4523" t="s">
        <v>4472</v>
      </c>
      <c r="K4523" t="s">
        <v>97</v>
      </c>
      <c r="L4523" t="s">
        <v>1273</v>
      </c>
      <c r="M4523">
        <v>11</v>
      </c>
      <c r="P4523" s="13">
        <v>159</v>
      </c>
      <c r="Q4523" s="13">
        <v>32</v>
      </c>
      <c r="R4523">
        <v>30</v>
      </c>
      <c r="S4523">
        <v>42</v>
      </c>
      <c r="T4523" s="13">
        <v>16</v>
      </c>
      <c r="U4523" s="13">
        <v>55</v>
      </c>
      <c r="V4523" t="s">
        <v>99</v>
      </c>
      <c r="X4523" s="13">
        <v>159</v>
      </c>
    </row>
    <row r="4524" spans="1:24" x14ac:dyDescent="0.25">
      <c r="A4524" t="s">
        <v>4488</v>
      </c>
      <c r="B4524" t="s">
        <v>65</v>
      </c>
      <c r="C4524" t="s">
        <v>4470</v>
      </c>
      <c r="D4524" t="s">
        <v>4471</v>
      </c>
      <c r="E4524" t="s">
        <v>2653</v>
      </c>
      <c r="F4524" t="s">
        <v>94</v>
      </c>
      <c r="G4524" t="s">
        <v>277</v>
      </c>
      <c r="H4524" s="12">
        <v>7.0269000000000004</v>
      </c>
      <c r="I4524" s="12">
        <v>-74.697500000000005</v>
      </c>
      <c r="J4524" t="s">
        <v>4472</v>
      </c>
      <c r="K4524" t="s">
        <v>97</v>
      </c>
      <c r="L4524" t="s">
        <v>1273</v>
      </c>
      <c r="M4524">
        <v>11</v>
      </c>
      <c r="P4524" s="13">
        <v>154</v>
      </c>
      <c r="Q4524" s="13">
        <v>41</v>
      </c>
      <c r="R4524">
        <v>32</v>
      </c>
      <c r="S4524">
        <v>26</v>
      </c>
      <c r="T4524" s="13">
        <v>22</v>
      </c>
      <c r="U4524" s="13">
        <v>35</v>
      </c>
      <c r="V4524" t="s">
        <v>99</v>
      </c>
      <c r="X4524" s="13">
        <v>154</v>
      </c>
    </row>
    <row r="4525" spans="1:24" x14ac:dyDescent="0.25">
      <c r="A4525" t="s">
        <v>4489</v>
      </c>
      <c r="B4525" t="s">
        <v>65</v>
      </c>
      <c r="C4525" t="s">
        <v>4470</v>
      </c>
      <c r="D4525" t="s">
        <v>4471</v>
      </c>
      <c r="E4525" t="s">
        <v>2653</v>
      </c>
      <c r="F4525" t="s">
        <v>94</v>
      </c>
      <c r="G4525" t="s">
        <v>277</v>
      </c>
      <c r="H4525" s="12">
        <v>7.0269000000000004</v>
      </c>
      <c r="I4525" s="12">
        <v>-74.697500000000005</v>
      </c>
      <c r="J4525" t="s">
        <v>4472</v>
      </c>
      <c r="K4525" t="s">
        <v>97</v>
      </c>
      <c r="L4525" t="s">
        <v>1273</v>
      </c>
      <c r="M4525">
        <v>11</v>
      </c>
      <c r="P4525" s="13">
        <v>154</v>
      </c>
      <c r="Q4525" s="13">
        <v>32</v>
      </c>
      <c r="R4525">
        <v>32</v>
      </c>
      <c r="S4525">
        <v>32</v>
      </c>
      <c r="T4525" s="13">
        <v>26</v>
      </c>
      <c r="U4525" s="13">
        <v>35</v>
      </c>
      <c r="V4525" t="s">
        <v>99</v>
      </c>
      <c r="X4525" s="13">
        <v>154</v>
      </c>
    </row>
    <row r="4526" spans="1:24" x14ac:dyDescent="0.25">
      <c r="A4526" t="s">
        <v>4490</v>
      </c>
      <c r="B4526" t="s">
        <v>65</v>
      </c>
      <c r="C4526" t="s">
        <v>4470</v>
      </c>
      <c r="D4526" t="s">
        <v>4471</v>
      </c>
      <c r="E4526" t="s">
        <v>2653</v>
      </c>
      <c r="F4526" t="s">
        <v>94</v>
      </c>
      <c r="G4526" t="s">
        <v>277</v>
      </c>
      <c r="H4526" s="12">
        <v>7.0269000000000004</v>
      </c>
      <c r="I4526" s="12">
        <v>-74.697500000000005</v>
      </c>
      <c r="J4526" t="s">
        <v>4472</v>
      </c>
      <c r="K4526" t="s">
        <v>97</v>
      </c>
      <c r="L4526" t="s">
        <v>1273</v>
      </c>
      <c r="M4526">
        <v>11</v>
      </c>
      <c r="P4526" s="13">
        <v>153</v>
      </c>
      <c r="Q4526" s="13">
        <v>37</v>
      </c>
      <c r="R4526">
        <v>24</v>
      </c>
      <c r="S4526">
        <v>40</v>
      </c>
      <c r="T4526" s="13">
        <v>17</v>
      </c>
      <c r="U4526" s="13">
        <v>44</v>
      </c>
      <c r="V4526" t="s">
        <v>99</v>
      </c>
      <c r="X4526" s="13">
        <v>153</v>
      </c>
    </row>
    <row r="4527" spans="1:24" x14ac:dyDescent="0.25">
      <c r="A4527" t="s">
        <v>4491</v>
      </c>
      <c r="B4527" t="s">
        <v>65</v>
      </c>
      <c r="C4527" t="s">
        <v>4470</v>
      </c>
      <c r="D4527" t="s">
        <v>4471</v>
      </c>
      <c r="E4527" t="s">
        <v>2653</v>
      </c>
      <c r="F4527" t="s">
        <v>94</v>
      </c>
      <c r="G4527" t="s">
        <v>277</v>
      </c>
      <c r="H4527" s="12">
        <v>7.0269000000000004</v>
      </c>
      <c r="I4527" s="12">
        <v>-74.697500000000005</v>
      </c>
      <c r="J4527" t="s">
        <v>4472</v>
      </c>
      <c r="K4527" t="s">
        <v>97</v>
      </c>
      <c r="L4527" t="s">
        <v>1273</v>
      </c>
      <c r="M4527">
        <v>11</v>
      </c>
      <c r="P4527" s="13">
        <v>153</v>
      </c>
      <c r="Q4527" s="13">
        <v>46</v>
      </c>
      <c r="R4527">
        <v>20</v>
      </c>
      <c r="S4527">
        <v>26</v>
      </c>
      <c r="T4527" s="13">
        <v>24</v>
      </c>
      <c r="U4527" s="13">
        <v>47</v>
      </c>
      <c r="V4527" t="s">
        <v>99</v>
      </c>
      <c r="X4527" s="13">
        <v>153</v>
      </c>
    </row>
    <row r="4528" spans="1:24" x14ac:dyDescent="0.25">
      <c r="A4528" t="s">
        <v>4492</v>
      </c>
      <c r="B4528" t="s">
        <v>65</v>
      </c>
      <c r="C4528" t="s">
        <v>4470</v>
      </c>
      <c r="D4528" t="s">
        <v>4471</v>
      </c>
      <c r="E4528" t="s">
        <v>2653</v>
      </c>
      <c r="F4528" t="s">
        <v>94</v>
      </c>
      <c r="G4528" t="s">
        <v>277</v>
      </c>
      <c r="H4528" s="12">
        <v>7.0269000000000004</v>
      </c>
      <c r="I4528" s="12">
        <v>-74.697500000000005</v>
      </c>
      <c r="J4528" t="s">
        <v>4472</v>
      </c>
      <c r="K4528" t="s">
        <v>97</v>
      </c>
      <c r="L4528" t="s">
        <v>1273</v>
      </c>
      <c r="M4528">
        <v>11</v>
      </c>
      <c r="P4528" s="13">
        <v>152</v>
      </c>
      <c r="Q4528" s="13">
        <v>39</v>
      </c>
      <c r="R4528">
        <v>28</v>
      </c>
      <c r="S4528">
        <v>34</v>
      </c>
      <c r="T4528" s="13">
        <v>22</v>
      </c>
      <c r="U4528" s="13">
        <v>25</v>
      </c>
      <c r="V4528" t="s">
        <v>99</v>
      </c>
      <c r="X4528" s="13">
        <v>152</v>
      </c>
    </row>
    <row r="4529" spans="1:24" x14ac:dyDescent="0.25">
      <c r="A4529" t="s">
        <v>4493</v>
      </c>
      <c r="B4529" t="s">
        <v>65</v>
      </c>
      <c r="C4529" t="s">
        <v>4470</v>
      </c>
      <c r="D4529" t="s">
        <v>4471</v>
      </c>
      <c r="E4529" t="s">
        <v>2653</v>
      </c>
      <c r="F4529" t="s">
        <v>94</v>
      </c>
      <c r="G4529" t="s">
        <v>277</v>
      </c>
      <c r="H4529" s="12">
        <v>7.0269000000000004</v>
      </c>
      <c r="I4529" s="12">
        <v>-74.697500000000005</v>
      </c>
      <c r="J4529" t="s">
        <v>4472</v>
      </c>
      <c r="K4529" t="s">
        <v>97</v>
      </c>
      <c r="L4529" t="s">
        <v>1273</v>
      </c>
      <c r="M4529">
        <v>11</v>
      </c>
      <c r="P4529" s="13">
        <v>149</v>
      </c>
      <c r="Q4529" s="13">
        <v>29</v>
      </c>
      <c r="R4529">
        <v>24</v>
      </c>
      <c r="S4529">
        <v>34</v>
      </c>
      <c r="T4529" s="13">
        <v>28</v>
      </c>
      <c r="U4529" s="13">
        <v>42</v>
      </c>
      <c r="V4529" t="s">
        <v>99</v>
      </c>
      <c r="X4529" s="13">
        <v>149</v>
      </c>
    </row>
    <row r="4530" spans="1:24" x14ac:dyDescent="0.25">
      <c r="A4530" t="s">
        <v>4494</v>
      </c>
      <c r="B4530" t="s">
        <v>65</v>
      </c>
      <c r="C4530" t="s">
        <v>4470</v>
      </c>
      <c r="D4530" t="s">
        <v>4471</v>
      </c>
      <c r="E4530" t="s">
        <v>2653</v>
      </c>
      <c r="F4530" t="s">
        <v>94</v>
      </c>
      <c r="G4530" t="s">
        <v>277</v>
      </c>
      <c r="H4530" s="12">
        <v>7.0269000000000004</v>
      </c>
      <c r="I4530" s="12">
        <v>-74.697500000000005</v>
      </c>
      <c r="J4530" t="s">
        <v>4472</v>
      </c>
      <c r="K4530" t="s">
        <v>97</v>
      </c>
      <c r="L4530" t="s">
        <v>1273</v>
      </c>
      <c r="M4530">
        <v>11</v>
      </c>
      <c r="P4530" s="13">
        <v>146</v>
      </c>
      <c r="Q4530" s="13">
        <v>34</v>
      </c>
      <c r="R4530">
        <v>24</v>
      </c>
      <c r="S4530">
        <v>30</v>
      </c>
      <c r="T4530" s="13">
        <v>24</v>
      </c>
      <c r="U4530" s="13">
        <v>44</v>
      </c>
      <c r="V4530" t="s">
        <v>99</v>
      </c>
      <c r="X4530" s="13">
        <v>146</v>
      </c>
    </row>
    <row r="4531" spans="1:24" x14ac:dyDescent="0.25">
      <c r="A4531" t="s">
        <v>4495</v>
      </c>
      <c r="B4531" t="s">
        <v>65</v>
      </c>
      <c r="C4531" t="s">
        <v>4470</v>
      </c>
      <c r="D4531" t="s">
        <v>4471</v>
      </c>
      <c r="E4531" t="s">
        <v>2653</v>
      </c>
      <c r="F4531" t="s">
        <v>94</v>
      </c>
      <c r="G4531" t="s">
        <v>277</v>
      </c>
      <c r="H4531" s="12">
        <v>7.0269000000000004</v>
      </c>
      <c r="I4531" s="12">
        <v>-74.697500000000005</v>
      </c>
      <c r="J4531" t="s">
        <v>4472</v>
      </c>
      <c r="K4531" t="s">
        <v>97</v>
      </c>
      <c r="L4531" t="s">
        <v>1273</v>
      </c>
      <c r="M4531">
        <v>11</v>
      </c>
      <c r="P4531" s="13">
        <v>145</v>
      </c>
      <c r="Q4531" s="13">
        <v>37</v>
      </c>
      <c r="R4531">
        <v>24</v>
      </c>
      <c r="S4531">
        <v>32</v>
      </c>
      <c r="T4531" s="13">
        <v>21</v>
      </c>
      <c r="U4531" s="13">
        <v>38</v>
      </c>
      <c r="V4531" t="s">
        <v>99</v>
      </c>
      <c r="X4531" s="13">
        <v>145</v>
      </c>
    </row>
    <row r="4532" spans="1:24" x14ac:dyDescent="0.25">
      <c r="A4532" t="s">
        <v>4496</v>
      </c>
      <c r="B4532" t="s">
        <v>65</v>
      </c>
      <c r="C4532" t="s">
        <v>4470</v>
      </c>
      <c r="D4532" t="s">
        <v>4471</v>
      </c>
      <c r="E4532" t="s">
        <v>2653</v>
      </c>
      <c r="F4532" t="s">
        <v>94</v>
      </c>
      <c r="G4532" t="s">
        <v>277</v>
      </c>
      <c r="H4532" s="12">
        <v>7.0269000000000004</v>
      </c>
      <c r="I4532" s="12">
        <v>-74.697500000000005</v>
      </c>
      <c r="J4532" t="s">
        <v>4472</v>
      </c>
      <c r="K4532" t="s">
        <v>97</v>
      </c>
      <c r="L4532" t="s">
        <v>1273</v>
      </c>
      <c r="M4532">
        <v>11</v>
      </c>
      <c r="P4532" s="13">
        <v>145</v>
      </c>
      <c r="Q4532" s="13">
        <v>29</v>
      </c>
      <c r="R4532">
        <v>26</v>
      </c>
      <c r="S4532">
        <v>28</v>
      </c>
      <c r="T4532" s="13">
        <v>29</v>
      </c>
      <c r="U4532" s="13">
        <v>38</v>
      </c>
      <c r="V4532" t="s">
        <v>99</v>
      </c>
      <c r="X4532" s="13">
        <v>145</v>
      </c>
    </row>
    <row r="4533" spans="1:24" x14ac:dyDescent="0.25">
      <c r="A4533" t="s">
        <v>4497</v>
      </c>
      <c r="B4533" t="s">
        <v>65</v>
      </c>
      <c r="C4533" t="s">
        <v>4470</v>
      </c>
      <c r="D4533" t="s">
        <v>4471</v>
      </c>
      <c r="E4533" t="s">
        <v>2653</v>
      </c>
      <c r="F4533" t="s">
        <v>94</v>
      </c>
      <c r="G4533" t="s">
        <v>277</v>
      </c>
      <c r="H4533" s="12">
        <v>7.0269000000000004</v>
      </c>
      <c r="I4533" s="12">
        <v>-74.697500000000005</v>
      </c>
      <c r="J4533" t="s">
        <v>4472</v>
      </c>
      <c r="K4533" t="s">
        <v>97</v>
      </c>
      <c r="L4533" t="s">
        <v>1273</v>
      </c>
      <c r="M4533">
        <v>11</v>
      </c>
      <c r="P4533" s="13">
        <v>143</v>
      </c>
      <c r="Q4533" s="13">
        <v>27</v>
      </c>
      <c r="R4533">
        <v>24</v>
      </c>
      <c r="S4533">
        <v>22</v>
      </c>
      <c r="T4533" s="13">
        <v>38</v>
      </c>
      <c r="U4533" s="13">
        <v>40</v>
      </c>
      <c r="V4533" t="s">
        <v>99</v>
      </c>
      <c r="X4533" s="13">
        <v>143</v>
      </c>
    </row>
    <row r="4534" spans="1:24" x14ac:dyDescent="0.25">
      <c r="A4534" t="s">
        <v>4498</v>
      </c>
      <c r="B4534" t="s">
        <v>65</v>
      </c>
      <c r="C4534" t="s">
        <v>4470</v>
      </c>
      <c r="D4534" t="s">
        <v>4471</v>
      </c>
      <c r="E4534" t="s">
        <v>2653</v>
      </c>
      <c r="F4534" t="s">
        <v>94</v>
      </c>
      <c r="G4534" t="s">
        <v>277</v>
      </c>
      <c r="H4534" s="12">
        <v>7.0269000000000004</v>
      </c>
      <c r="I4534" s="12">
        <v>-74.697500000000005</v>
      </c>
      <c r="J4534" t="s">
        <v>4472</v>
      </c>
      <c r="K4534" t="s">
        <v>97</v>
      </c>
      <c r="L4534" t="s">
        <v>1273</v>
      </c>
      <c r="M4534">
        <v>11</v>
      </c>
      <c r="P4534" s="13">
        <v>143</v>
      </c>
      <c r="Q4534" s="13">
        <v>44</v>
      </c>
      <c r="R4534">
        <v>20</v>
      </c>
      <c r="S4534">
        <v>32</v>
      </c>
      <c r="T4534" s="13">
        <v>21</v>
      </c>
      <c r="U4534" s="13">
        <v>22</v>
      </c>
      <c r="V4534" t="s">
        <v>99</v>
      </c>
      <c r="X4534" s="13">
        <v>143</v>
      </c>
    </row>
    <row r="4535" spans="1:24" x14ac:dyDescent="0.25">
      <c r="A4535" t="s">
        <v>4499</v>
      </c>
      <c r="B4535" t="s">
        <v>65</v>
      </c>
      <c r="C4535" t="s">
        <v>4470</v>
      </c>
      <c r="D4535" t="s">
        <v>4471</v>
      </c>
      <c r="E4535" t="s">
        <v>2653</v>
      </c>
      <c r="F4535" t="s">
        <v>94</v>
      </c>
      <c r="G4535" t="s">
        <v>277</v>
      </c>
      <c r="H4535" s="12">
        <v>7.0269000000000004</v>
      </c>
      <c r="I4535" s="12">
        <v>-74.697500000000005</v>
      </c>
      <c r="J4535" t="s">
        <v>4472</v>
      </c>
      <c r="K4535" t="s">
        <v>97</v>
      </c>
      <c r="L4535" t="s">
        <v>1273</v>
      </c>
      <c r="M4535">
        <v>11</v>
      </c>
      <c r="P4535" s="13">
        <v>143</v>
      </c>
      <c r="Q4535" s="13">
        <v>41</v>
      </c>
      <c r="R4535">
        <v>20</v>
      </c>
      <c r="S4535">
        <v>26</v>
      </c>
      <c r="T4535" s="13">
        <v>22</v>
      </c>
      <c r="U4535" s="13">
        <v>42</v>
      </c>
      <c r="V4535" t="s">
        <v>99</v>
      </c>
      <c r="X4535" s="13">
        <v>143</v>
      </c>
    </row>
    <row r="4536" spans="1:24" x14ac:dyDescent="0.25">
      <c r="A4536" t="s">
        <v>4500</v>
      </c>
      <c r="B4536" t="s">
        <v>65</v>
      </c>
      <c r="C4536" t="s">
        <v>4470</v>
      </c>
      <c r="D4536" t="s">
        <v>4471</v>
      </c>
      <c r="E4536" t="s">
        <v>2653</v>
      </c>
      <c r="F4536" t="s">
        <v>94</v>
      </c>
      <c r="G4536" t="s">
        <v>277</v>
      </c>
      <c r="H4536" s="12">
        <v>7.0269000000000004</v>
      </c>
      <c r="I4536" s="12">
        <v>-74.697500000000005</v>
      </c>
      <c r="J4536" t="s">
        <v>4472</v>
      </c>
      <c r="K4536" t="s">
        <v>97</v>
      </c>
      <c r="L4536" t="s">
        <v>1273</v>
      </c>
      <c r="M4536">
        <v>11</v>
      </c>
      <c r="P4536" s="13">
        <v>142</v>
      </c>
      <c r="Q4536" s="13">
        <v>49</v>
      </c>
      <c r="R4536">
        <v>18</v>
      </c>
      <c r="S4536">
        <v>22</v>
      </c>
      <c r="T4536" s="13">
        <v>21</v>
      </c>
      <c r="U4536" s="13">
        <v>42</v>
      </c>
      <c r="V4536" t="s">
        <v>99</v>
      </c>
      <c r="X4536" s="13">
        <v>142</v>
      </c>
    </row>
    <row r="4537" spans="1:24" x14ac:dyDescent="0.25">
      <c r="A4537" t="s">
        <v>4501</v>
      </c>
      <c r="B4537" t="s">
        <v>65</v>
      </c>
      <c r="C4537" t="s">
        <v>4470</v>
      </c>
      <c r="D4537" t="s">
        <v>4471</v>
      </c>
      <c r="E4537" t="s">
        <v>2653</v>
      </c>
      <c r="F4537" t="s">
        <v>94</v>
      </c>
      <c r="G4537" t="s">
        <v>277</v>
      </c>
      <c r="H4537" s="12">
        <v>7.0269000000000004</v>
      </c>
      <c r="I4537" s="12">
        <v>-74.697500000000005</v>
      </c>
      <c r="J4537" t="s">
        <v>4472</v>
      </c>
      <c r="K4537" t="s">
        <v>97</v>
      </c>
      <c r="L4537" t="s">
        <v>1273</v>
      </c>
      <c r="M4537">
        <v>11</v>
      </c>
      <c r="P4537" s="13">
        <v>142</v>
      </c>
      <c r="Q4537" s="13">
        <v>34</v>
      </c>
      <c r="R4537">
        <v>30</v>
      </c>
      <c r="S4537">
        <v>24</v>
      </c>
      <c r="T4537" s="13">
        <v>26</v>
      </c>
      <c r="U4537" s="13">
        <v>27</v>
      </c>
      <c r="V4537" t="s">
        <v>99</v>
      </c>
      <c r="X4537" s="13">
        <v>142</v>
      </c>
    </row>
    <row r="4538" spans="1:24" x14ac:dyDescent="0.25">
      <c r="A4538" t="s">
        <v>4502</v>
      </c>
      <c r="B4538" t="s">
        <v>65</v>
      </c>
      <c r="C4538" t="s">
        <v>4470</v>
      </c>
      <c r="D4538" t="s">
        <v>4471</v>
      </c>
      <c r="E4538" t="s">
        <v>2653</v>
      </c>
      <c r="F4538" t="s">
        <v>94</v>
      </c>
      <c r="G4538" t="s">
        <v>277</v>
      </c>
      <c r="H4538" s="12">
        <v>7.0269000000000004</v>
      </c>
      <c r="I4538" s="12">
        <v>-74.697500000000005</v>
      </c>
      <c r="J4538" t="s">
        <v>4472</v>
      </c>
      <c r="K4538" t="s">
        <v>97</v>
      </c>
      <c r="L4538" t="s">
        <v>1273</v>
      </c>
      <c r="M4538">
        <v>11</v>
      </c>
      <c r="P4538" s="13">
        <v>141</v>
      </c>
      <c r="Q4538" s="13">
        <v>51</v>
      </c>
      <c r="R4538">
        <v>22</v>
      </c>
      <c r="S4538">
        <v>26</v>
      </c>
      <c r="T4538" s="13">
        <v>17</v>
      </c>
      <c r="U4538" s="13">
        <v>16</v>
      </c>
      <c r="V4538" t="s">
        <v>99</v>
      </c>
      <c r="X4538" s="13">
        <v>141</v>
      </c>
    </row>
    <row r="4539" spans="1:24" x14ac:dyDescent="0.25">
      <c r="A4539" t="s">
        <v>4503</v>
      </c>
      <c r="B4539" t="s">
        <v>65</v>
      </c>
      <c r="C4539" t="s">
        <v>4470</v>
      </c>
      <c r="D4539" t="s">
        <v>4471</v>
      </c>
      <c r="E4539" t="s">
        <v>2653</v>
      </c>
      <c r="F4539" t="s">
        <v>94</v>
      </c>
      <c r="G4539" t="s">
        <v>277</v>
      </c>
      <c r="H4539" s="12">
        <v>7.0269000000000004</v>
      </c>
      <c r="I4539" s="12">
        <v>-74.697500000000005</v>
      </c>
      <c r="J4539" t="s">
        <v>4472</v>
      </c>
      <c r="K4539" t="s">
        <v>97</v>
      </c>
      <c r="L4539" t="s">
        <v>1273</v>
      </c>
      <c r="M4539">
        <v>11</v>
      </c>
      <c r="P4539" s="13">
        <v>139</v>
      </c>
      <c r="Q4539" s="13">
        <v>24</v>
      </c>
      <c r="R4539">
        <v>36</v>
      </c>
      <c r="S4539">
        <v>30</v>
      </c>
      <c r="T4539" s="13">
        <v>19</v>
      </c>
      <c r="U4539" s="13">
        <v>33</v>
      </c>
      <c r="V4539" t="s">
        <v>99</v>
      </c>
      <c r="X4539" s="13">
        <v>139</v>
      </c>
    </row>
    <row r="4540" spans="1:24" x14ac:dyDescent="0.25">
      <c r="A4540" t="s">
        <v>4504</v>
      </c>
      <c r="B4540" t="s">
        <v>65</v>
      </c>
      <c r="C4540" t="s">
        <v>4470</v>
      </c>
      <c r="D4540" t="s">
        <v>4471</v>
      </c>
      <c r="E4540" t="s">
        <v>2653</v>
      </c>
      <c r="F4540" t="s">
        <v>94</v>
      </c>
      <c r="G4540" t="s">
        <v>277</v>
      </c>
      <c r="H4540" s="12">
        <v>7.0269000000000004</v>
      </c>
      <c r="I4540" s="12">
        <v>-74.697500000000005</v>
      </c>
      <c r="J4540" t="s">
        <v>4472</v>
      </c>
      <c r="K4540" t="s">
        <v>97</v>
      </c>
      <c r="L4540" t="s">
        <v>1273</v>
      </c>
      <c r="M4540">
        <v>11</v>
      </c>
      <c r="P4540" s="13">
        <v>138</v>
      </c>
      <c r="Q4540" s="13">
        <v>24</v>
      </c>
      <c r="R4540">
        <v>18</v>
      </c>
      <c r="S4540">
        <v>40</v>
      </c>
      <c r="T4540" s="13">
        <v>26</v>
      </c>
      <c r="U4540" s="13">
        <v>35</v>
      </c>
      <c r="V4540" t="s">
        <v>99</v>
      </c>
      <c r="X4540" s="13">
        <v>138</v>
      </c>
    </row>
    <row r="4541" spans="1:24" x14ac:dyDescent="0.25">
      <c r="A4541" t="s">
        <v>4505</v>
      </c>
      <c r="B4541" t="s">
        <v>65</v>
      </c>
      <c r="C4541" t="s">
        <v>4470</v>
      </c>
      <c r="D4541" t="s">
        <v>4471</v>
      </c>
      <c r="E4541" t="s">
        <v>2653</v>
      </c>
      <c r="F4541" t="s">
        <v>94</v>
      </c>
      <c r="G4541" t="s">
        <v>277</v>
      </c>
      <c r="H4541" s="12">
        <v>7.0269000000000004</v>
      </c>
      <c r="I4541" s="12">
        <v>-74.697500000000005</v>
      </c>
      <c r="J4541" t="s">
        <v>4472</v>
      </c>
      <c r="K4541" t="s">
        <v>97</v>
      </c>
      <c r="L4541" t="s">
        <v>1273</v>
      </c>
      <c r="M4541">
        <v>11</v>
      </c>
      <c r="P4541" s="13">
        <v>135</v>
      </c>
      <c r="Q4541" s="13">
        <v>17</v>
      </c>
      <c r="R4541">
        <v>40</v>
      </c>
      <c r="S4541">
        <v>26</v>
      </c>
      <c r="T4541" s="13">
        <v>28</v>
      </c>
      <c r="U4541" s="13">
        <v>20</v>
      </c>
      <c r="V4541" t="s">
        <v>99</v>
      </c>
      <c r="X4541" s="13">
        <v>135</v>
      </c>
    </row>
    <row r="4542" spans="1:24" x14ac:dyDescent="0.25">
      <c r="A4542" t="s">
        <v>4506</v>
      </c>
      <c r="B4542" t="s">
        <v>65</v>
      </c>
      <c r="C4542" t="s">
        <v>4470</v>
      </c>
      <c r="D4542" t="s">
        <v>4471</v>
      </c>
      <c r="E4542" t="s">
        <v>2653</v>
      </c>
      <c r="F4542" t="s">
        <v>94</v>
      </c>
      <c r="G4542" t="s">
        <v>277</v>
      </c>
      <c r="H4542" s="12">
        <v>7.0269000000000004</v>
      </c>
      <c r="I4542" s="12">
        <v>-74.697500000000005</v>
      </c>
      <c r="J4542" t="s">
        <v>4472</v>
      </c>
      <c r="K4542" t="s">
        <v>97</v>
      </c>
      <c r="L4542" t="s">
        <v>1273</v>
      </c>
      <c r="M4542">
        <v>11</v>
      </c>
      <c r="P4542" s="13">
        <v>135</v>
      </c>
      <c r="Q4542" s="13">
        <v>27</v>
      </c>
      <c r="R4542">
        <v>24</v>
      </c>
      <c r="S4542">
        <v>30</v>
      </c>
      <c r="T4542" s="13">
        <v>22</v>
      </c>
      <c r="U4542" s="13">
        <v>42</v>
      </c>
      <c r="V4542" t="s">
        <v>99</v>
      </c>
      <c r="X4542" s="13">
        <v>135</v>
      </c>
    </row>
    <row r="4543" spans="1:24" x14ac:dyDescent="0.25">
      <c r="A4543" t="s">
        <v>4507</v>
      </c>
      <c r="B4543" t="s">
        <v>65</v>
      </c>
      <c r="C4543" t="s">
        <v>4470</v>
      </c>
      <c r="D4543" t="s">
        <v>4471</v>
      </c>
      <c r="E4543" t="s">
        <v>2653</v>
      </c>
      <c r="F4543" t="s">
        <v>94</v>
      </c>
      <c r="G4543" t="s">
        <v>277</v>
      </c>
      <c r="H4543" s="12">
        <v>7.0269000000000004</v>
      </c>
      <c r="I4543" s="12">
        <v>-74.697500000000005</v>
      </c>
      <c r="J4543" t="s">
        <v>4472</v>
      </c>
      <c r="K4543" t="s">
        <v>97</v>
      </c>
      <c r="L4543" t="s">
        <v>1273</v>
      </c>
      <c r="M4543">
        <v>11</v>
      </c>
      <c r="P4543" s="13">
        <v>134</v>
      </c>
      <c r="Q4543" s="13">
        <v>32</v>
      </c>
      <c r="R4543">
        <v>18</v>
      </c>
      <c r="S4543">
        <v>30</v>
      </c>
      <c r="T4543" s="13">
        <v>28</v>
      </c>
      <c r="U4543" s="13">
        <v>27</v>
      </c>
      <c r="V4543" t="s">
        <v>99</v>
      </c>
      <c r="X4543" s="13">
        <v>134</v>
      </c>
    </row>
    <row r="4544" spans="1:24" x14ac:dyDescent="0.25">
      <c r="A4544" t="s">
        <v>4508</v>
      </c>
      <c r="B4544" t="s">
        <v>65</v>
      </c>
      <c r="C4544" t="s">
        <v>4470</v>
      </c>
      <c r="D4544" t="s">
        <v>4471</v>
      </c>
      <c r="E4544" t="s">
        <v>2653</v>
      </c>
      <c r="F4544" t="s">
        <v>94</v>
      </c>
      <c r="G4544" t="s">
        <v>277</v>
      </c>
      <c r="H4544" s="12">
        <v>7.0269000000000004</v>
      </c>
      <c r="I4544" s="12">
        <v>-74.697500000000005</v>
      </c>
      <c r="J4544" t="s">
        <v>4472</v>
      </c>
      <c r="K4544" t="s">
        <v>97</v>
      </c>
      <c r="L4544" t="s">
        <v>1273</v>
      </c>
      <c r="M4544">
        <v>11</v>
      </c>
      <c r="P4544" s="13">
        <v>134</v>
      </c>
      <c r="Q4544" s="13">
        <v>39</v>
      </c>
      <c r="R4544">
        <v>20</v>
      </c>
      <c r="S4544">
        <v>18</v>
      </c>
      <c r="T4544" s="13">
        <v>24</v>
      </c>
      <c r="U4544" s="13">
        <v>45</v>
      </c>
      <c r="V4544" t="s">
        <v>99</v>
      </c>
      <c r="X4544" s="13">
        <v>134</v>
      </c>
    </row>
    <row r="4545" spans="1:24" x14ac:dyDescent="0.25">
      <c r="A4545" t="s">
        <v>4509</v>
      </c>
      <c r="B4545" t="s">
        <v>65</v>
      </c>
      <c r="C4545" t="s">
        <v>4470</v>
      </c>
      <c r="D4545" t="s">
        <v>4471</v>
      </c>
      <c r="E4545" t="s">
        <v>2653</v>
      </c>
      <c r="F4545" t="s">
        <v>94</v>
      </c>
      <c r="G4545" t="s">
        <v>277</v>
      </c>
      <c r="H4545" s="12">
        <v>7.0269000000000004</v>
      </c>
      <c r="I4545" s="12">
        <v>-74.697500000000005</v>
      </c>
      <c r="J4545" t="s">
        <v>4472</v>
      </c>
      <c r="K4545" t="s">
        <v>97</v>
      </c>
      <c r="L4545" t="s">
        <v>1273</v>
      </c>
      <c r="M4545">
        <v>11</v>
      </c>
      <c r="P4545" s="13">
        <v>132</v>
      </c>
      <c r="Q4545" s="13">
        <v>29</v>
      </c>
      <c r="R4545">
        <v>26</v>
      </c>
      <c r="S4545">
        <v>24</v>
      </c>
      <c r="T4545" s="13">
        <v>26</v>
      </c>
      <c r="U4545" s="13">
        <v>29</v>
      </c>
      <c r="V4545" t="s">
        <v>99</v>
      </c>
      <c r="X4545" s="13">
        <v>132</v>
      </c>
    </row>
    <row r="4546" spans="1:24" x14ac:dyDescent="0.25">
      <c r="A4546" t="s">
        <v>4510</v>
      </c>
      <c r="B4546" t="s">
        <v>65</v>
      </c>
      <c r="C4546" t="s">
        <v>4470</v>
      </c>
      <c r="D4546" t="s">
        <v>4471</v>
      </c>
      <c r="E4546" t="s">
        <v>2653</v>
      </c>
      <c r="F4546" t="s">
        <v>94</v>
      </c>
      <c r="G4546" t="s">
        <v>277</v>
      </c>
      <c r="H4546" s="12">
        <v>7.0269000000000004</v>
      </c>
      <c r="I4546" s="12">
        <v>-74.697500000000005</v>
      </c>
      <c r="J4546" t="s">
        <v>4472</v>
      </c>
      <c r="K4546" t="s">
        <v>97</v>
      </c>
      <c r="L4546" t="s">
        <v>1273</v>
      </c>
      <c r="M4546">
        <v>11</v>
      </c>
      <c r="P4546" s="13">
        <v>132</v>
      </c>
      <c r="Q4546" s="13">
        <v>37</v>
      </c>
      <c r="R4546">
        <v>16</v>
      </c>
      <c r="S4546">
        <v>28</v>
      </c>
      <c r="T4546" s="13">
        <v>22</v>
      </c>
      <c r="U4546" s="13">
        <v>35</v>
      </c>
      <c r="V4546" t="s">
        <v>99</v>
      </c>
      <c r="X4546" s="13">
        <v>132</v>
      </c>
    </row>
    <row r="4547" spans="1:24" x14ac:dyDescent="0.25">
      <c r="A4547" t="s">
        <v>4511</v>
      </c>
      <c r="B4547" t="s">
        <v>65</v>
      </c>
      <c r="C4547" t="s">
        <v>4470</v>
      </c>
      <c r="D4547" t="s">
        <v>4471</v>
      </c>
      <c r="E4547" t="s">
        <v>2653</v>
      </c>
      <c r="F4547" t="s">
        <v>94</v>
      </c>
      <c r="G4547" t="s">
        <v>277</v>
      </c>
      <c r="H4547" s="12">
        <v>7.0269000000000004</v>
      </c>
      <c r="I4547" s="12">
        <v>-74.697500000000005</v>
      </c>
      <c r="J4547" t="s">
        <v>4472</v>
      </c>
      <c r="K4547" t="s">
        <v>97</v>
      </c>
      <c r="L4547" t="s">
        <v>1273</v>
      </c>
      <c r="M4547">
        <v>11</v>
      </c>
      <c r="P4547" s="13">
        <v>130</v>
      </c>
      <c r="Q4547" s="13">
        <v>37</v>
      </c>
      <c r="R4547">
        <v>22</v>
      </c>
      <c r="S4547">
        <v>14</v>
      </c>
      <c r="T4547" s="13">
        <v>26</v>
      </c>
      <c r="U4547" s="13">
        <v>44</v>
      </c>
      <c r="V4547" t="s">
        <v>99</v>
      </c>
      <c r="X4547" s="13">
        <v>130</v>
      </c>
    </row>
    <row r="4548" spans="1:24" x14ac:dyDescent="0.25">
      <c r="A4548" t="s">
        <v>4512</v>
      </c>
      <c r="B4548" t="s">
        <v>65</v>
      </c>
      <c r="C4548" t="s">
        <v>4470</v>
      </c>
      <c r="D4548" t="s">
        <v>4471</v>
      </c>
      <c r="E4548" t="s">
        <v>2653</v>
      </c>
      <c r="F4548" t="s">
        <v>94</v>
      </c>
      <c r="G4548" t="s">
        <v>277</v>
      </c>
      <c r="H4548" s="12">
        <v>7.0269000000000004</v>
      </c>
      <c r="I4548" s="12">
        <v>-74.697500000000005</v>
      </c>
      <c r="J4548" t="s">
        <v>4472</v>
      </c>
      <c r="K4548" t="s">
        <v>97</v>
      </c>
      <c r="L4548" t="s">
        <v>1273</v>
      </c>
      <c r="M4548">
        <v>11</v>
      </c>
      <c r="P4548" s="13">
        <v>130</v>
      </c>
      <c r="Q4548" s="13">
        <v>29</v>
      </c>
      <c r="R4548">
        <v>24</v>
      </c>
      <c r="S4548">
        <v>28</v>
      </c>
      <c r="T4548" s="13">
        <v>22</v>
      </c>
      <c r="U4548" s="13">
        <v>27</v>
      </c>
      <c r="V4548" t="s">
        <v>99</v>
      </c>
      <c r="X4548" s="13">
        <v>130</v>
      </c>
    </row>
    <row r="4549" spans="1:24" x14ac:dyDescent="0.25">
      <c r="A4549" t="s">
        <v>4513</v>
      </c>
      <c r="B4549" t="s">
        <v>65</v>
      </c>
      <c r="C4549" t="s">
        <v>4470</v>
      </c>
      <c r="D4549" t="s">
        <v>4471</v>
      </c>
      <c r="E4549" t="s">
        <v>2653</v>
      </c>
      <c r="F4549" t="s">
        <v>94</v>
      </c>
      <c r="G4549" t="s">
        <v>277</v>
      </c>
      <c r="H4549" s="12">
        <v>7.0269000000000004</v>
      </c>
      <c r="I4549" s="12">
        <v>-74.697500000000005</v>
      </c>
      <c r="J4549" t="s">
        <v>4472</v>
      </c>
      <c r="K4549" t="s">
        <v>97</v>
      </c>
      <c r="L4549" t="s">
        <v>1273</v>
      </c>
      <c r="M4549">
        <v>11</v>
      </c>
      <c r="P4549" s="13">
        <v>129</v>
      </c>
      <c r="Q4549" s="13">
        <v>20</v>
      </c>
      <c r="R4549">
        <v>26</v>
      </c>
      <c r="S4549">
        <v>28</v>
      </c>
      <c r="T4549" s="13">
        <v>31</v>
      </c>
      <c r="U4549" s="13">
        <v>22</v>
      </c>
      <c r="V4549" t="s">
        <v>99</v>
      </c>
      <c r="X4549" s="13">
        <v>129</v>
      </c>
    </row>
    <row r="4550" spans="1:24" x14ac:dyDescent="0.25">
      <c r="A4550" t="s">
        <v>4514</v>
      </c>
      <c r="B4550" t="s">
        <v>65</v>
      </c>
      <c r="C4550" t="s">
        <v>4470</v>
      </c>
      <c r="D4550" t="s">
        <v>4471</v>
      </c>
      <c r="E4550" t="s">
        <v>2653</v>
      </c>
      <c r="F4550" t="s">
        <v>94</v>
      </c>
      <c r="G4550" t="s">
        <v>277</v>
      </c>
      <c r="H4550" s="12">
        <v>7.0269000000000004</v>
      </c>
      <c r="I4550" s="12">
        <v>-74.697500000000005</v>
      </c>
      <c r="J4550" t="s">
        <v>4472</v>
      </c>
      <c r="K4550" t="s">
        <v>97</v>
      </c>
      <c r="L4550" t="s">
        <v>1273</v>
      </c>
      <c r="M4550">
        <v>11</v>
      </c>
      <c r="P4550" s="13">
        <v>129</v>
      </c>
      <c r="Q4550" s="13">
        <v>37</v>
      </c>
      <c r="R4550">
        <v>14</v>
      </c>
      <c r="S4550">
        <v>28</v>
      </c>
      <c r="T4550" s="13">
        <v>26</v>
      </c>
      <c r="U4550" s="13">
        <v>22</v>
      </c>
      <c r="V4550" t="s">
        <v>99</v>
      </c>
      <c r="X4550" s="13">
        <v>129</v>
      </c>
    </row>
    <row r="4551" spans="1:24" x14ac:dyDescent="0.25">
      <c r="A4551" t="s">
        <v>4515</v>
      </c>
      <c r="B4551" t="s">
        <v>65</v>
      </c>
      <c r="C4551" t="s">
        <v>4470</v>
      </c>
      <c r="D4551" t="s">
        <v>4471</v>
      </c>
      <c r="E4551" t="s">
        <v>2653</v>
      </c>
      <c r="F4551" t="s">
        <v>94</v>
      </c>
      <c r="G4551" t="s">
        <v>277</v>
      </c>
      <c r="H4551" s="12">
        <v>7.0269000000000004</v>
      </c>
      <c r="I4551" s="12">
        <v>-74.697500000000005</v>
      </c>
      <c r="J4551" t="s">
        <v>4472</v>
      </c>
      <c r="K4551" t="s">
        <v>97</v>
      </c>
      <c r="L4551" t="s">
        <v>1273</v>
      </c>
      <c r="M4551">
        <v>11</v>
      </c>
      <c r="P4551" s="13">
        <v>127</v>
      </c>
      <c r="Q4551" s="13">
        <v>24</v>
      </c>
      <c r="R4551">
        <v>28</v>
      </c>
      <c r="S4551">
        <v>24</v>
      </c>
      <c r="T4551" s="13">
        <v>22</v>
      </c>
      <c r="U4551" s="13">
        <v>35</v>
      </c>
      <c r="V4551" t="s">
        <v>99</v>
      </c>
      <c r="X4551" s="13">
        <v>127</v>
      </c>
    </row>
    <row r="4552" spans="1:24" x14ac:dyDescent="0.25">
      <c r="A4552" t="s">
        <v>4516</v>
      </c>
      <c r="B4552" t="s">
        <v>65</v>
      </c>
      <c r="C4552" t="s">
        <v>4470</v>
      </c>
      <c r="D4552" t="s">
        <v>4471</v>
      </c>
      <c r="E4552" t="s">
        <v>2653</v>
      </c>
      <c r="F4552" t="s">
        <v>94</v>
      </c>
      <c r="G4552" t="s">
        <v>277</v>
      </c>
      <c r="H4552" s="12">
        <v>7.0269000000000004</v>
      </c>
      <c r="I4552" s="12">
        <v>-74.697500000000005</v>
      </c>
      <c r="J4552" t="s">
        <v>4472</v>
      </c>
      <c r="K4552" t="s">
        <v>97</v>
      </c>
      <c r="L4552" t="s">
        <v>1273</v>
      </c>
      <c r="M4552">
        <v>11</v>
      </c>
      <c r="P4552" s="13">
        <v>127</v>
      </c>
      <c r="Q4552" s="13">
        <v>17</v>
      </c>
      <c r="R4552">
        <v>22</v>
      </c>
      <c r="S4552">
        <v>24</v>
      </c>
      <c r="T4552" s="13">
        <v>31</v>
      </c>
      <c r="U4552" s="13">
        <v>47</v>
      </c>
      <c r="V4552" t="s">
        <v>99</v>
      </c>
      <c r="X4552" s="13">
        <v>127</v>
      </c>
    </row>
    <row r="4553" spans="1:24" x14ac:dyDescent="0.25">
      <c r="A4553" t="s">
        <v>4517</v>
      </c>
      <c r="B4553" t="s">
        <v>65</v>
      </c>
      <c r="C4553" t="s">
        <v>4470</v>
      </c>
      <c r="D4553" t="s">
        <v>4471</v>
      </c>
      <c r="E4553" t="s">
        <v>2653</v>
      </c>
      <c r="F4553" t="s">
        <v>94</v>
      </c>
      <c r="G4553" t="s">
        <v>277</v>
      </c>
      <c r="H4553" s="12">
        <v>7.0269000000000004</v>
      </c>
      <c r="I4553" s="12">
        <v>-74.697500000000005</v>
      </c>
      <c r="J4553" t="s">
        <v>4472</v>
      </c>
      <c r="K4553" t="s">
        <v>97</v>
      </c>
      <c r="L4553" t="s">
        <v>1273</v>
      </c>
      <c r="M4553">
        <v>11</v>
      </c>
      <c r="P4553" s="13">
        <v>126</v>
      </c>
      <c r="Q4553" s="13">
        <v>32</v>
      </c>
      <c r="R4553">
        <v>24</v>
      </c>
      <c r="S4553">
        <v>32</v>
      </c>
      <c r="T4553" s="13">
        <v>14</v>
      </c>
      <c r="U4553" s="13">
        <v>24</v>
      </c>
      <c r="V4553" t="s">
        <v>99</v>
      </c>
      <c r="X4553" s="13">
        <v>126</v>
      </c>
    </row>
    <row r="4554" spans="1:24" x14ac:dyDescent="0.25">
      <c r="A4554" t="s">
        <v>4518</v>
      </c>
      <c r="B4554" t="s">
        <v>65</v>
      </c>
      <c r="C4554" t="s">
        <v>4470</v>
      </c>
      <c r="D4554" t="s">
        <v>4471</v>
      </c>
      <c r="E4554" t="s">
        <v>2653</v>
      </c>
      <c r="F4554" t="s">
        <v>94</v>
      </c>
      <c r="G4554" t="s">
        <v>277</v>
      </c>
      <c r="H4554" s="12">
        <v>7.0269000000000004</v>
      </c>
      <c r="I4554" s="12">
        <v>-74.697500000000005</v>
      </c>
      <c r="J4554" t="s">
        <v>4472</v>
      </c>
      <c r="K4554" t="s">
        <v>97</v>
      </c>
      <c r="L4554" t="s">
        <v>1273</v>
      </c>
      <c r="M4554">
        <v>11</v>
      </c>
      <c r="P4554" s="13">
        <v>126</v>
      </c>
      <c r="Q4554" s="13">
        <v>20</v>
      </c>
      <c r="R4554">
        <v>30</v>
      </c>
      <c r="S4554">
        <v>22</v>
      </c>
      <c r="T4554" s="13">
        <v>24</v>
      </c>
      <c r="U4554" s="13">
        <v>40</v>
      </c>
      <c r="V4554" t="s">
        <v>99</v>
      </c>
      <c r="X4554" s="13">
        <v>126</v>
      </c>
    </row>
    <row r="4555" spans="1:24" x14ac:dyDescent="0.25">
      <c r="A4555" t="s">
        <v>4519</v>
      </c>
      <c r="B4555" t="s">
        <v>65</v>
      </c>
      <c r="C4555" t="s">
        <v>4470</v>
      </c>
      <c r="D4555" t="s">
        <v>4471</v>
      </c>
      <c r="E4555" t="s">
        <v>2653</v>
      </c>
      <c r="F4555" t="s">
        <v>94</v>
      </c>
      <c r="G4555" t="s">
        <v>277</v>
      </c>
      <c r="H4555" s="12">
        <v>7.0269000000000004</v>
      </c>
      <c r="I4555" s="12">
        <v>-74.697500000000005</v>
      </c>
      <c r="J4555" t="s">
        <v>4472</v>
      </c>
      <c r="K4555" t="s">
        <v>97</v>
      </c>
      <c r="L4555" t="s">
        <v>1273</v>
      </c>
      <c r="M4555">
        <v>11</v>
      </c>
      <c r="P4555" s="13">
        <v>125</v>
      </c>
      <c r="Q4555" s="13">
        <v>22</v>
      </c>
      <c r="R4555">
        <v>22</v>
      </c>
      <c r="S4555">
        <v>32</v>
      </c>
      <c r="T4555" s="13">
        <v>26</v>
      </c>
      <c r="U4555" s="13">
        <v>20</v>
      </c>
      <c r="V4555" t="s">
        <v>99</v>
      </c>
      <c r="X4555" s="13">
        <v>125</v>
      </c>
    </row>
    <row r="4556" spans="1:24" x14ac:dyDescent="0.25">
      <c r="A4556" t="s">
        <v>4520</v>
      </c>
      <c r="B4556" t="s">
        <v>65</v>
      </c>
      <c r="C4556" t="s">
        <v>4470</v>
      </c>
      <c r="D4556" t="s">
        <v>4471</v>
      </c>
      <c r="E4556" t="s">
        <v>2653</v>
      </c>
      <c r="F4556" t="s">
        <v>94</v>
      </c>
      <c r="G4556" t="s">
        <v>277</v>
      </c>
      <c r="H4556" s="12">
        <v>7.0269000000000004</v>
      </c>
      <c r="I4556" s="12">
        <v>-74.697500000000005</v>
      </c>
      <c r="J4556" t="s">
        <v>4472</v>
      </c>
      <c r="K4556" t="s">
        <v>97</v>
      </c>
      <c r="L4556" t="s">
        <v>1273</v>
      </c>
      <c r="M4556">
        <v>11</v>
      </c>
      <c r="P4556" s="13">
        <v>125</v>
      </c>
      <c r="Q4556" s="13">
        <v>29</v>
      </c>
      <c r="R4556">
        <v>22</v>
      </c>
      <c r="S4556">
        <v>18</v>
      </c>
      <c r="T4556" s="13">
        <v>31</v>
      </c>
      <c r="U4556" s="13">
        <v>24</v>
      </c>
      <c r="V4556" t="s">
        <v>99</v>
      </c>
      <c r="X4556" s="13">
        <v>125</v>
      </c>
    </row>
    <row r="4557" spans="1:24" x14ac:dyDescent="0.25">
      <c r="A4557" t="s">
        <v>4521</v>
      </c>
      <c r="B4557" t="s">
        <v>65</v>
      </c>
      <c r="C4557" t="s">
        <v>4470</v>
      </c>
      <c r="D4557" t="s">
        <v>4471</v>
      </c>
      <c r="E4557" t="s">
        <v>2653</v>
      </c>
      <c r="F4557" t="s">
        <v>94</v>
      </c>
      <c r="G4557" t="s">
        <v>277</v>
      </c>
      <c r="H4557" s="12">
        <v>7.0269000000000004</v>
      </c>
      <c r="I4557" s="12">
        <v>-74.697500000000005</v>
      </c>
      <c r="J4557" t="s">
        <v>4472</v>
      </c>
      <c r="K4557" t="s">
        <v>97</v>
      </c>
      <c r="L4557" t="s">
        <v>1273</v>
      </c>
      <c r="M4557">
        <v>11</v>
      </c>
      <c r="P4557" s="13">
        <v>120</v>
      </c>
      <c r="Q4557" s="13">
        <v>24</v>
      </c>
      <c r="R4557">
        <v>26</v>
      </c>
      <c r="S4557">
        <v>28</v>
      </c>
      <c r="T4557" s="13">
        <v>14</v>
      </c>
      <c r="U4557" s="13">
        <v>35</v>
      </c>
      <c r="V4557" t="s">
        <v>99</v>
      </c>
      <c r="X4557" s="13">
        <v>120</v>
      </c>
    </row>
    <row r="4558" spans="1:24" x14ac:dyDescent="0.25">
      <c r="A4558" t="s">
        <v>4522</v>
      </c>
      <c r="B4558" t="s">
        <v>65</v>
      </c>
      <c r="C4558" t="s">
        <v>4470</v>
      </c>
      <c r="D4558" t="s">
        <v>4471</v>
      </c>
      <c r="E4558" t="s">
        <v>2653</v>
      </c>
      <c r="F4558" t="s">
        <v>94</v>
      </c>
      <c r="G4558" t="s">
        <v>277</v>
      </c>
      <c r="H4558" s="12">
        <v>7.0269000000000004</v>
      </c>
      <c r="I4558" s="12">
        <v>-74.697500000000005</v>
      </c>
      <c r="J4558" t="s">
        <v>4472</v>
      </c>
      <c r="K4558" t="s">
        <v>97</v>
      </c>
      <c r="L4558" t="s">
        <v>1273</v>
      </c>
      <c r="M4558">
        <v>11</v>
      </c>
      <c r="P4558" s="13">
        <v>119</v>
      </c>
      <c r="Q4558" s="13">
        <v>24</v>
      </c>
      <c r="R4558">
        <v>20</v>
      </c>
      <c r="S4558">
        <v>30</v>
      </c>
      <c r="T4558" s="13">
        <v>21</v>
      </c>
      <c r="U4558" s="13">
        <v>24</v>
      </c>
      <c r="V4558" t="s">
        <v>99</v>
      </c>
      <c r="X4558" s="13">
        <v>119</v>
      </c>
    </row>
    <row r="4559" spans="1:24" x14ac:dyDescent="0.25">
      <c r="A4559" t="s">
        <v>4523</v>
      </c>
      <c r="B4559" t="s">
        <v>65</v>
      </c>
      <c r="C4559" t="s">
        <v>4470</v>
      </c>
      <c r="D4559" t="s">
        <v>4471</v>
      </c>
      <c r="E4559" t="s">
        <v>2653</v>
      </c>
      <c r="F4559" t="s">
        <v>94</v>
      </c>
      <c r="G4559" t="s">
        <v>277</v>
      </c>
      <c r="H4559" s="12">
        <v>7.0269000000000004</v>
      </c>
      <c r="I4559" s="12">
        <v>-74.697500000000005</v>
      </c>
      <c r="J4559" t="s">
        <v>4472</v>
      </c>
      <c r="K4559" t="s">
        <v>97</v>
      </c>
      <c r="L4559" t="s">
        <v>1273</v>
      </c>
      <c r="M4559">
        <v>11</v>
      </c>
      <c r="P4559" s="13">
        <v>118</v>
      </c>
      <c r="Q4559" s="13">
        <v>27</v>
      </c>
      <c r="R4559">
        <v>26</v>
      </c>
      <c r="S4559">
        <v>12</v>
      </c>
      <c r="T4559" s="13">
        <v>29</v>
      </c>
      <c r="U4559" s="13">
        <v>25</v>
      </c>
      <c r="V4559" t="s">
        <v>99</v>
      </c>
      <c r="X4559" s="13">
        <v>118</v>
      </c>
    </row>
    <row r="4560" spans="1:24" x14ac:dyDescent="0.25">
      <c r="A4560" t="s">
        <v>4524</v>
      </c>
      <c r="B4560" t="s">
        <v>65</v>
      </c>
      <c r="C4560" t="s">
        <v>4470</v>
      </c>
      <c r="D4560" t="s">
        <v>4471</v>
      </c>
      <c r="E4560" t="s">
        <v>2653</v>
      </c>
      <c r="F4560" t="s">
        <v>94</v>
      </c>
      <c r="G4560" t="s">
        <v>277</v>
      </c>
      <c r="H4560" s="12">
        <v>7.0269000000000004</v>
      </c>
      <c r="I4560" s="12">
        <v>-74.697500000000005</v>
      </c>
      <c r="J4560" t="s">
        <v>4472</v>
      </c>
      <c r="K4560" t="s">
        <v>97</v>
      </c>
      <c r="L4560" t="s">
        <v>1273</v>
      </c>
      <c r="M4560">
        <v>11</v>
      </c>
      <c r="P4560" s="13">
        <v>118</v>
      </c>
      <c r="Q4560" s="13">
        <v>29</v>
      </c>
      <c r="R4560">
        <v>18</v>
      </c>
      <c r="S4560">
        <v>20</v>
      </c>
      <c r="T4560" s="13">
        <v>21</v>
      </c>
      <c r="U4560" s="13">
        <v>44</v>
      </c>
      <c r="V4560" t="s">
        <v>99</v>
      </c>
      <c r="X4560" s="13">
        <v>118</v>
      </c>
    </row>
    <row r="4561" spans="1:24" x14ac:dyDescent="0.25">
      <c r="A4561" t="s">
        <v>4525</v>
      </c>
      <c r="B4561" t="s">
        <v>65</v>
      </c>
      <c r="C4561" t="s">
        <v>4470</v>
      </c>
      <c r="D4561" t="s">
        <v>4471</v>
      </c>
      <c r="E4561" t="s">
        <v>2653</v>
      </c>
      <c r="F4561" t="s">
        <v>94</v>
      </c>
      <c r="G4561" t="s">
        <v>277</v>
      </c>
      <c r="H4561" s="12">
        <v>7.0269000000000004</v>
      </c>
      <c r="I4561" s="12">
        <v>-74.697500000000005</v>
      </c>
      <c r="J4561" t="s">
        <v>4472</v>
      </c>
      <c r="K4561" t="s">
        <v>97</v>
      </c>
      <c r="L4561" t="s">
        <v>1273</v>
      </c>
      <c r="M4561">
        <v>11</v>
      </c>
      <c r="P4561" s="13">
        <v>117</v>
      </c>
      <c r="Q4561" s="13">
        <v>27</v>
      </c>
      <c r="R4561">
        <v>26</v>
      </c>
      <c r="S4561">
        <v>18</v>
      </c>
      <c r="T4561" s="13">
        <v>19</v>
      </c>
      <c r="U4561" s="13">
        <v>35</v>
      </c>
      <c r="V4561" t="s">
        <v>99</v>
      </c>
      <c r="X4561" s="13">
        <v>117</v>
      </c>
    </row>
    <row r="4562" spans="1:24" x14ac:dyDescent="0.25">
      <c r="A4562" t="s">
        <v>4526</v>
      </c>
      <c r="B4562" t="s">
        <v>65</v>
      </c>
      <c r="C4562" t="s">
        <v>4470</v>
      </c>
      <c r="D4562" t="s">
        <v>4471</v>
      </c>
      <c r="E4562" t="s">
        <v>2653</v>
      </c>
      <c r="F4562" t="s">
        <v>94</v>
      </c>
      <c r="G4562" t="s">
        <v>277</v>
      </c>
      <c r="H4562" s="12">
        <v>7.0269000000000004</v>
      </c>
      <c r="I4562" s="12">
        <v>-74.697500000000005</v>
      </c>
      <c r="J4562" t="s">
        <v>4472</v>
      </c>
      <c r="K4562" t="s">
        <v>97</v>
      </c>
      <c r="L4562" t="s">
        <v>1273</v>
      </c>
      <c r="M4562">
        <v>11</v>
      </c>
      <c r="P4562" s="13">
        <v>116</v>
      </c>
      <c r="Q4562" s="13">
        <v>27</v>
      </c>
      <c r="R4562">
        <v>18</v>
      </c>
      <c r="S4562">
        <v>24</v>
      </c>
      <c r="T4562" s="13">
        <v>22</v>
      </c>
      <c r="U4562" s="13">
        <v>29</v>
      </c>
      <c r="V4562" t="s">
        <v>99</v>
      </c>
      <c r="X4562" s="13">
        <v>116</v>
      </c>
    </row>
    <row r="4563" spans="1:24" x14ac:dyDescent="0.25">
      <c r="A4563" t="s">
        <v>4527</v>
      </c>
      <c r="B4563" t="s">
        <v>65</v>
      </c>
      <c r="C4563" t="s">
        <v>4470</v>
      </c>
      <c r="D4563" t="s">
        <v>4471</v>
      </c>
      <c r="E4563" t="s">
        <v>2653</v>
      </c>
      <c r="F4563" t="s">
        <v>94</v>
      </c>
      <c r="G4563" t="s">
        <v>277</v>
      </c>
      <c r="H4563" s="12">
        <v>7.0269000000000004</v>
      </c>
      <c r="I4563" s="12">
        <v>-74.697500000000005</v>
      </c>
      <c r="J4563" t="s">
        <v>4472</v>
      </c>
      <c r="K4563" t="s">
        <v>97</v>
      </c>
      <c r="L4563" t="s">
        <v>1273</v>
      </c>
      <c r="M4563">
        <v>11</v>
      </c>
      <c r="P4563" s="13">
        <v>115</v>
      </c>
      <c r="Q4563" s="13">
        <v>27</v>
      </c>
      <c r="R4563">
        <v>16</v>
      </c>
      <c r="S4563">
        <v>32</v>
      </c>
      <c r="T4563" s="13">
        <v>21</v>
      </c>
      <c r="U4563" s="13">
        <v>13</v>
      </c>
      <c r="V4563" t="s">
        <v>99</v>
      </c>
      <c r="X4563" s="13">
        <v>115</v>
      </c>
    </row>
    <row r="4564" spans="1:24" x14ac:dyDescent="0.25">
      <c r="A4564" t="s">
        <v>4528</v>
      </c>
      <c r="B4564" t="s">
        <v>65</v>
      </c>
      <c r="C4564" t="s">
        <v>4470</v>
      </c>
      <c r="D4564" t="s">
        <v>4471</v>
      </c>
      <c r="E4564" t="s">
        <v>2653</v>
      </c>
      <c r="F4564" t="s">
        <v>94</v>
      </c>
      <c r="G4564" t="s">
        <v>277</v>
      </c>
      <c r="H4564" s="12">
        <v>7.0269000000000004</v>
      </c>
      <c r="I4564" s="12">
        <v>-74.697500000000005</v>
      </c>
      <c r="J4564" t="s">
        <v>4472</v>
      </c>
      <c r="K4564" t="s">
        <v>97</v>
      </c>
      <c r="L4564" t="s">
        <v>1273</v>
      </c>
      <c r="M4564">
        <v>11</v>
      </c>
      <c r="P4564" s="13">
        <v>114</v>
      </c>
      <c r="Q4564" s="13">
        <v>12</v>
      </c>
      <c r="R4564">
        <v>30</v>
      </c>
      <c r="S4564">
        <v>28</v>
      </c>
      <c r="T4564" s="13">
        <v>21</v>
      </c>
      <c r="U4564" s="13">
        <v>24</v>
      </c>
      <c r="V4564" t="s">
        <v>99</v>
      </c>
      <c r="X4564" s="13">
        <v>114</v>
      </c>
    </row>
    <row r="4565" spans="1:24" x14ac:dyDescent="0.25">
      <c r="A4565" t="s">
        <v>4529</v>
      </c>
      <c r="B4565" t="s">
        <v>65</v>
      </c>
      <c r="C4565" t="s">
        <v>4470</v>
      </c>
      <c r="D4565" t="s">
        <v>4471</v>
      </c>
      <c r="E4565" t="s">
        <v>2653</v>
      </c>
      <c r="F4565" t="s">
        <v>94</v>
      </c>
      <c r="G4565" t="s">
        <v>277</v>
      </c>
      <c r="H4565" s="12">
        <v>7.0269000000000004</v>
      </c>
      <c r="I4565" s="12">
        <v>-74.697500000000005</v>
      </c>
      <c r="J4565" t="s">
        <v>4472</v>
      </c>
      <c r="K4565" t="s">
        <v>97</v>
      </c>
      <c r="L4565" t="s">
        <v>1273</v>
      </c>
      <c r="M4565">
        <v>11</v>
      </c>
      <c r="P4565" s="13">
        <v>108</v>
      </c>
      <c r="Q4565" s="13">
        <v>20</v>
      </c>
      <c r="R4565">
        <v>20</v>
      </c>
      <c r="S4565">
        <v>18</v>
      </c>
      <c r="T4565" s="13">
        <v>22</v>
      </c>
      <c r="U4565" s="13">
        <v>42</v>
      </c>
      <c r="V4565" t="s">
        <v>99</v>
      </c>
      <c r="X4565" s="13">
        <v>108</v>
      </c>
    </row>
    <row r="4566" spans="1:24" x14ac:dyDescent="0.25">
      <c r="A4566" t="s">
        <v>4530</v>
      </c>
      <c r="B4566" t="s">
        <v>65</v>
      </c>
      <c r="C4566" t="s">
        <v>4470</v>
      </c>
      <c r="D4566" t="s">
        <v>4471</v>
      </c>
      <c r="E4566" t="s">
        <v>2653</v>
      </c>
      <c r="F4566" t="s">
        <v>94</v>
      </c>
      <c r="G4566" t="s">
        <v>277</v>
      </c>
      <c r="H4566" s="12">
        <v>7.0269000000000004</v>
      </c>
      <c r="I4566" s="12">
        <v>-74.697500000000005</v>
      </c>
      <c r="J4566" t="s">
        <v>4472</v>
      </c>
      <c r="K4566" t="s">
        <v>97</v>
      </c>
      <c r="L4566" t="s">
        <v>1273</v>
      </c>
      <c r="M4566">
        <v>11</v>
      </c>
      <c r="P4566" s="13">
        <v>99</v>
      </c>
      <c r="Q4566" s="13">
        <v>12</v>
      </c>
      <c r="R4566">
        <v>34</v>
      </c>
      <c r="S4566">
        <v>10</v>
      </c>
      <c r="T4566" s="13">
        <v>21</v>
      </c>
      <c r="U4566" s="13">
        <v>25</v>
      </c>
      <c r="V4566" t="s">
        <v>99</v>
      </c>
      <c r="X4566" s="13">
        <v>99</v>
      </c>
    </row>
    <row r="4567" spans="1:24" x14ac:dyDescent="0.25">
      <c r="A4567" t="s">
        <v>4531</v>
      </c>
      <c r="B4567" t="s">
        <v>65</v>
      </c>
      <c r="C4567" t="s">
        <v>4532</v>
      </c>
      <c r="D4567" t="s">
        <v>4533</v>
      </c>
      <c r="E4567" t="s">
        <v>3027</v>
      </c>
      <c r="F4567" t="s">
        <v>94</v>
      </c>
      <c r="G4567" t="s">
        <v>277</v>
      </c>
      <c r="H4567" s="12">
        <v>7.2432999999999996</v>
      </c>
      <c r="I4567" s="12">
        <v>-76.436099999999996</v>
      </c>
      <c r="J4567" t="s">
        <v>4534</v>
      </c>
      <c r="K4567" t="s">
        <v>97</v>
      </c>
      <c r="L4567" t="s">
        <v>1273</v>
      </c>
      <c r="M4567">
        <v>11</v>
      </c>
      <c r="P4567" s="13">
        <v>242</v>
      </c>
      <c r="Q4567" s="13">
        <v>54</v>
      </c>
      <c r="R4567">
        <v>32</v>
      </c>
      <c r="S4567">
        <v>60</v>
      </c>
      <c r="T4567" s="13">
        <v>47</v>
      </c>
      <c r="U4567" s="13">
        <v>53</v>
      </c>
      <c r="V4567" t="s">
        <v>99</v>
      </c>
      <c r="X4567" s="13">
        <v>242</v>
      </c>
    </row>
    <row r="4568" spans="1:24" x14ac:dyDescent="0.25">
      <c r="A4568" t="s">
        <v>4535</v>
      </c>
      <c r="B4568" t="s">
        <v>65</v>
      </c>
      <c r="C4568" t="s">
        <v>4532</v>
      </c>
      <c r="D4568" t="s">
        <v>4533</v>
      </c>
      <c r="E4568" t="s">
        <v>3027</v>
      </c>
      <c r="F4568" t="s">
        <v>94</v>
      </c>
      <c r="G4568" t="s">
        <v>277</v>
      </c>
      <c r="H4568" s="12">
        <v>7.2432999999999996</v>
      </c>
      <c r="I4568" s="12">
        <v>-76.436099999999996</v>
      </c>
      <c r="J4568" t="s">
        <v>4534</v>
      </c>
      <c r="K4568" t="s">
        <v>97</v>
      </c>
      <c r="L4568" t="s">
        <v>1273</v>
      </c>
      <c r="M4568">
        <v>11</v>
      </c>
      <c r="P4568" s="13">
        <v>241</v>
      </c>
      <c r="Q4568" s="13">
        <v>61</v>
      </c>
      <c r="R4568">
        <v>30</v>
      </c>
      <c r="S4568">
        <v>62</v>
      </c>
      <c r="T4568" s="13">
        <v>40</v>
      </c>
      <c r="U4568" s="13">
        <v>49</v>
      </c>
      <c r="V4568" t="s">
        <v>99</v>
      </c>
      <c r="X4568" s="13">
        <v>241</v>
      </c>
    </row>
    <row r="4569" spans="1:24" x14ac:dyDescent="0.25">
      <c r="A4569" t="s">
        <v>4536</v>
      </c>
      <c r="B4569" t="s">
        <v>65</v>
      </c>
      <c r="C4569" t="s">
        <v>4532</v>
      </c>
      <c r="D4569" t="s">
        <v>4533</v>
      </c>
      <c r="E4569" t="s">
        <v>3027</v>
      </c>
      <c r="F4569" t="s">
        <v>94</v>
      </c>
      <c r="G4569" t="s">
        <v>277</v>
      </c>
      <c r="H4569" s="12">
        <v>7.2432999999999996</v>
      </c>
      <c r="I4569" s="12">
        <v>-76.436099999999996</v>
      </c>
      <c r="J4569" t="s">
        <v>4534</v>
      </c>
      <c r="K4569" t="s">
        <v>97</v>
      </c>
      <c r="L4569" t="s">
        <v>1273</v>
      </c>
      <c r="M4569">
        <v>11</v>
      </c>
      <c r="P4569" s="13">
        <v>238</v>
      </c>
      <c r="Q4569" s="13">
        <v>56</v>
      </c>
      <c r="R4569">
        <v>38</v>
      </c>
      <c r="S4569">
        <v>50</v>
      </c>
      <c r="T4569" s="13">
        <v>41</v>
      </c>
      <c r="U4569" s="13">
        <v>64</v>
      </c>
      <c r="V4569" t="s">
        <v>99</v>
      </c>
      <c r="X4569" s="13">
        <v>238</v>
      </c>
    </row>
    <row r="4570" spans="1:24" x14ac:dyDescent="0.25">
      <c r="A4570" t="s">
        <v>4537</v>
      </c>
      <c r="B4570" t="s">
        <v>65</v>
      </c>
      <c r="C4570" t="s">
        <v>4532</v>
      </c>
      <c r="D4570" t="s">
        <v>4533</v>
      </c>
      <c r="E4570" t="s">
        <v>3027</v>
      </c>
      <c r="F4570" t="s">
        <v>94</v>
      </c>
      <c r="G4570" t="s">
        <v>277</v>
      </c>
      <c r="H4570" s="12">
        <v>7.2432999999999996</v>
      </c>
      <c r="I4570" s="12">
        <v>-76.436099999999996</v>
      </c>
      <c r="J4570" t="s">
        <v>4534</v>
      </c>
      <c r="K4570" t="s">
        <v>97</v>
      </c>
      <c r="L4570" t="s">
        <v>1273</v>
      </c>
      <c r="M4570">
        <v>11</v>
      </c>
      <c r="P4570" s="13">
        <v>235</v>
      </c>
      <c r="Q4570" s="13">
        <v>59</v>
      </c>
      <c r="R4570">
        <v>30</v>
      </c>
      <c r="S4570">
        <v>54</v>
      </c>
      <c r="T4570" s="13">
        <v>43</v>
      </c>
      <c r="U4570" s="13">
        <v>55</v>
      </c>
      <c r="V4570" t="s">
        <v>99</v>
      </c>
      <c r="X4570" s="13">
        <v>235</v>
      </c>
    </row>
    <row r="4571" spans="1:24" x14ac:dyDescent="0.25">
      <c r="A4571" t="s">
        <v>4538</v>
      </c>
      <c r="B4571" t="s">
        <v>65</v>
      </c>
      <c r="C4571" t="s">
        <v>4532</v>
      </c>
      <c r="D4571" t="s">
        <v>4533</v>
      </c>
      <c r="E4571" t="s">
        <v>3027</v>
      </c>
      <c r="F4571" t="s">
        <v>94</v>
      </c>
      <c r="G4571" t="s">
        <v>277</v>
      </c>
      <c r="H4571" s="12">
        <v>7.2432999999999996</v>
      </c>
      <c r="I4571" s="12">
        <v>-76.436099999999996</v>
      </c>
      <c r="J4571" t="s">
        <v>4534</v>
      </c>
      <c r="K4571" t="s">
        <v>97</v>
      </c>
      <c r="L4571" t="s">
        <v>1273</v>
      </c>
      <c r="M4571">
        <v>11</v>
      </c>
      <c r="P4571" s="13">
        <v>220</v>
      </c>
      <c r="Q4571" s="13">
        <v>63</v>
      </c>
      <c r="R4571">
        <v>24</v>
      </c>
      <c r="S4571">
        <v>48</v>
      </c>
      <c r="T4571" s="13">
        <v>38</v>
      </c>
      <c r="U4571" s="13">
        <v>51</v>
      </c>
      <c r="V4571" t="s">
        <v>99</v>
      </c>
      <c r="X4571" s="13">
        <v>220</v>
      </c>
    </row>
    <row r="4572" spans="1:24" x14ac:dyDescent="0.25">
      <c r="A4572" t="s">
        <v>4539</v>
      </c>
      <c r="B4572" t="s">
        <v>65</v>
      </c>
      <c r="C4572" t="s">
        <v>4532</v>
      </c>
      <c r="D4572" t="s">
        <v>4533</v>
      </c>
      <c r="E4572" t="s">
        <v>3027</v>
      </c>
      <c r="F4572" t="s">
        <v>94</v>
      </c>
      <c r="G4572" t="s">
        <v>277</v>
      </c>
      <c r="H4572" s="12">
        <v>7.2432999999999996</v>
      </c>
      <c r="I4572" s="12">
        <v>-76.436099999999996</v>
      </c>
      <c r="J4572" t="s">
        <v>4534</v>
      </c>
      <c r="K4572" t="s">
        <v>97</v>
      </c>
      <c r="L4572" t="s">
        <v>1273</v>
      </c>
      <c r="M4572">
        <v>11</v>
      </c>
      <c r="P4572" s="13">
        <v>216</v>
      </c>
      <c r="Q4572" s="13">
        <v>46</v>
      </c>
      <c r="R4572">
        <v>34</v>
      </c>
      <c r="S4572">
        <v>64</v>
      </c>
      <c r="T4572" s="13">
        <v>29</v>
      </c>
      <c r="U4572" s="13">
        <v>42</v>
      </c>
      <c r="V4572" t="s">
        <v>99</v>
      </c>
      <c r="X4572" s="13">
        <v>216</v>
      </c>
    </row>
    <row r="4573" spans="1:24" x14ac:dyDescent="0.25">
      <c r="A4573" t="s">
        <v>4540</v>
      </c>
      <c r="B4573" t="s">
        <v>65</v>
      </c>
      <c r="C4573" t="s">
        <v>4532</v>
      </c>
      <c r="D4573" t="s">
        <v>4533</v>
      </c>
      <c r="E4573" t="s">
        <v>3027</v>
      </c>
      <c r="F4573" t="s">
        <v>94</v>
      </c>
      <c r="G4573" t="s">
        <v>277</v>
      </c>
      <c r="H4573" s="12">
        <v>7.2432999999999996</v>
      </c>
      <c r="I4573" s="12">
        <v>-76.436099999999996</v>
      </c>
      <c r="J4573" t="s">
        <v>4534</v>
      </c>
      <c r="K4573" t="s">
        <v>97</v>
      </c>
      <c r="L4573" t="s">
        <v>1273</v>
      </c>
      <c r="M4573">
        <v>11</v>
      </c>
      <c r="P4573" s="13">
        <v>214</v>
      </c>
      <c r="Q4573" s="13">
        <v>41</v>
      </c>
      <c r="R4573">
        <v>28</v>
      </c>
      <c r="S4573">
        <v>62</v>
      </c>
      <c r="T4573" s="13">
        <v>36</v>
      </c>
      <c r="U4573" s="13">
        <v>53</v>
      </c>
      <c r="V4573" t="s">
        <v>99</v>
      </c>
      <c r="X4573" s="13">
        <v>214</v>
      </c>
    </row>
    <row r="4574" spans="1:24" x14ac:dyDescent="0.25">
      <c r="A4574" t="s">
        <v>4541</v>
      </c>
      <c r="B4574" t="s">
        <v>65</v>
      </c>
      <c r="C4574" t="s">
        <v>4532</v>
      </c>
      <c r="D4574" t="s">
        <v>4533</v>
      </c>
      <c r="E4574" t="s">
        <v>3027</v>
      </c>
      <c r="F4574" t="s">
        <v>94</v>
      </c>
      <c r="G4574" t="s">
        <v>277</v>
      </c>
      <c r="H4574" s="12">
        <v>7.2432999999999996</v>
      </c>
      <c r="I4574" s="12">
        <v>-76.436099999999996</v>
      </c>
      <c r="J4574" t="s">
        <v>4534</v>
      </c>
      <c r="K4574" t="s">
        <v>97</v>
      </c>
      <c r="L4574" t="s">
        <v>1273</v>
      </c>
      <c r="M4574">
        <v>11</v>
      </c>
      <c r="P4574" s="13">
        <v>212</v>
      </c>
      <c r="Q4574" s="13">
        <v>46</v>
      </c>
      <c r="R4574">
        <v>32</v>
      </c>
      <c r="S4574">
        <v>56</v>
      </c>
      <c r="T4574" s="13">
        <v>31</v>
      </c>
      <c r="U4574" s="13">
        <v>55</v>
      </c>
      <c r="V4574" t="s">
        <v>99</v>
      </c>
      <c r="X4574" s="13">
        <v>212</v>
      </c>
    </row>
    <row r="4575" spans="1:24" x14ac:dyDescent="0.25">
      <c r="A4575" t="s">
        <v>4542</v>
      </c>
      <c r="B4575" t="s">
        <v>65</v>
      </c>
      <c r="C4575" t="s">
        <v>4532</v>
      </c>
      <c r="D4575" t="s">
        <v>4533</v>
      </c>
      <c r="E4575" t="s">
        <v>3027</v>
      </c>
      <c r="F4575" t="s">
        <v>94</v>
      </c>
      <c r="G4575" t="s">
        <v>277</v>
      </c>
      <c r="H4575" s="12">
        <v>7.2432999999999996</v>
      </c>
      <c r="I4575" s="12">
        <v>-76.436099999999996</v>
      </c>
      <c r="J4575" t="s">
        <v>4534</v>
      </c>
      <c r="K4575" t="s">
        <v>97</v>
      </c>
      <c r="L4575" t="s">
        <v>1273</v>
      </c>
      <c r="M4575">
        <v>11</v>
      </c>
      <c r="P4575" s="13">
        <v>211</v>
      </c>
      <c r="Q4575" s="13">
        <v>54</v>
      </c>
      <c r="R4575">
        <v>24</v>
      </c>
      <c r="S4575">
        <v>50</v>
      </c>
      <c r="T4575" s="13">
        <v>36</v>
      </c>
      <c r="U4575" s="13">
        <v>56</v>
      </c>
      <c r="V4575" t="s">
        <v>99</v>
      </c>
      <c r="X4575" s="13">
        <v>211</v>
      </c>
    </row>
    <row r="4576" spans="1:24" x14ac:dyDescent="0.25">
      <c r="A4576" t="s">
        <v>4543</v>
      </c>
      <c r="B4576" t="s">
        <v>65</v>
      </c>
      <c r="C4576" t="s">
        <v>4532</v>
      </c>
      <c r="D4576" t="s">
        <v>4533</v>
      </c>
      <c r="E4576" t="s">
        <v>3027</v>
      </c>
      <c r="F4576" t="s">
        <v>94</v>
      </c>
      <c r="G4576" t="s">
        <v>277</v>
      </c>
      <c r="H4576" s="12">
        <v>7.2432999999999996</v>
      </c>
      <c r="I4576" s="12">
        <v>-76.436099999999996</v>
      </c>
      <c r="J4576" t="s">
        <v>4534</v>
      </c>
      <c r="K4576" t="s">
        <v>97</v>
      </c>
      <c r="L4576" t="s">
        <v>1273</v>
      </c>
      <c r="M4576">
        <v>11</v>
      </c>
      <c r="P4576" s="13">
        <v>208</v>
      </c>
      <c r="Q4576" s="13">
        <v>46</v>
      </c>
      <c r="R4576">
        <v>22</v>
      </c>
      <c r="S4576">
        <v>58</v>
      </c>
      <c r="T4576" s="13">
        <v>36</v>
      </c>
      <c r="U4576" s="13">
        <v>53</v>
      </c>
      <c r="V4576" t="s">
        <v>99</v>
      </c>
      <c r="X4576" s="13">
        <v>208</v>
      </c>
    </row>
    <row r="4577" spans="1:24" x14ac:dyDescent="0.25">
      <c r="A4577" t="s">
        <v>4544</v>
      </c>
      <c r="B4577" t="s">
        <v>65</v>
      </c>
      <c r="C4577" t="s">
        <v>4532</v>
      </c>
      <c r="D4577" t="s">
        <v>4533</v>
      </c>
      <c r="E4577" t="s">
        <v>3027</v>
      </c>
      <c r="F4577" t="s">
        <v>94</v>
      </c>
      <c r="G4577" t="s">
        <v>277</v>
      </c>
      <c r="H4577" s="12">
        <v>7.2432999999999996</v>
      </c>
      <c r="I4577" s="12">
        <v>-76.436099999999996</v>
      </c>
      <c r="J4577" t="s">
        <v>4534</v>
      </c>
      <c r="K4577" t="s">
        <v>97</v>
      </c>
      <c r="L4577" t="s">
        <v>1273</v>
      </c>
      <c r="M4577">
        <v>11</v>
      </c>
      <c r="P4577" s="13">
        <v>202</v>
      </c>
      <c r="Q4577" s="13">
        <v>51</v>
      </c>
      <c r="R4577">
        <v>26</v>
      </c>
      <c r="S4577">
        <v>56</v>
      </c>
      <c r="T4577" s="13">
        <v>28</v>
      </c>
      <c r="U4577" s="13">
        <v>44</v>
      </c>
      <c r="V4577" t="s">
        <v>99</v>
      </c>
      <c r="X4577" s="13">
        <v>202</v>
      </c>
    </row>
    <row r="4578" spans="1:24" x14ac:dyDescent="0.25">
      <c r="A4578" t="s">
        <v>4545</v>
      </c>
      <c r="B4578" t="s">
        <v>65</v>
      </c>
      <c r="C4578" t="s">
        <v>4532</v>
      </c>
      <c r="D4578" t="s">
        <v>4533</v>
      </c>
      <c r="E4578" t="s">
        <v>3027</v>
      </c>
      <c r="F4578" t="s">
        <v>94</v>
      </c>
      <c r="G4578" t="s">
        <v>277</v>
      </c>
      <c r="H4578" s="12">
        <v>7.2432999999999996</v>
      </c>
      <c r="I4578" s="12">
        <v>-76.436099999999996</v>
      </c>
      <c r="J4578" t="s">
        <v>4534</v>
      </c>
      <c r="K4578" t="s">
        <v>97</v>
      </c>
      <c r="L4578" t="s">
        <v>1273</v>
      </c>
      <c r="M4578">
        <v>11</v>
      </c>
      <c r="P4578" s="13">
        <v>195</v>
      </c>
      <c r="Q4578" s="13">
        <v>34</v>
      </c>
      <c r="R4578">
        <v>34</v>
      </c>
      <c r="S4578">
        <v>52</v>
      </c>
      <c r="T4578" s="13">
        <v>34</v>
      </c>
      <c r="U4578" s="13">
        <v>44</v>
      </c>
      <c r="V4578" t="s">
        <v>99</v>
      </c>
      <c r="X4578" s="13">
        <v>195</v>
      </c>
    </row>
    <row r="4579" spans="1:24" x14ac:dyDescent="0.25">
      <c r="A4579" t="s">
        <v>4546</v>
      </c>
      <c r="B4579" t="s">
        <v>65</v>
      </c>
      <c r="C4579" t="s">
        <v>4532</v>
      </c>
      <c r="D4579" t="s">
        <v>4533</v>
      </c>
      <c r="E4579" t="s">
        <v>3027</v>
      </c>
      <c r="F4579" t="s">
        <v>94</v>
      </c>
      <c r="G4579" t="s">
        <v>277</v>
      </c>
      <c r="H4579" s="12">
        <v>7.2432999999999996</v>
      </c>
      <c r="I4579" s="12">
        <v>-76.436099999999996</v>
      </c>
      <c r="J4579" t="s">
        <v>4534</v>
      </c>
      <c r="K4579" t="s">
        <v>97</v>
      </c>
      <c r="L4579" t="s">
        <v>1273</v>
      </c>
      <c r="M4579">
        <v>11</v>
      </c>
      <c r="P4579" s="13">
        <v>195</v>
      </c>
      <c r="Q4579" s="13">
        <v>49</v>
      </c>
      <c r="R4579">
        <v>26</v>
      </c>
      <c r="S4579">
        <v>52</v>
      </c>
      <c r="T4579" s="13">
        <v>33</v>
      </c>
      <c r="U4579" s="13">
        <v>27</v>
      </c>
      <c r="V4579" t="s">
        <v>99</v>
      </c>
      <c r="X4579" s="13">
        <v>195</v>
      </c>
    </row>
    <row r="4580" spans="1:24" x14ac:dyDescent="0.25">
      <c r="A4580" t="s">
        <v>4547</v>
      </c>
      <c r="B4580" t="s">
        <v>65</v>
      </c>
      <c r="C4580" t="s">
        <v>4532</v>
      </c>
      <c r="D4580" t="s">
        <v>4533</v>
      </c>
      <c r="E4580" t="s">
        <v>3027</v>
      </c>
      <c r="F4580" t="s">
        <v>94</v>
      </c>
      <c r="G4580" t="s">
        <v>277</v>
      </c>
      <c r="H4580" s="12">
        <v>7.2432999999999996</v>
      </c>
      <c r="I4580" s="12">
        <v>-76.436099999999996</v>
      </c>
      <c r="J4580" t="s">
        <v>4534</v>
      </c>
      <c r="K4580" t="s">
        <v>97</v>
      </c>
      <c r="L4580" t="s">
        <v>1273</v>
      </c>
      <c r="M4580">
        <v>11</v>
      </c>
      <c r="P4580" s="13">
        <v>191</v>
      </c>
      <c r="Q4580" s="13">
        <v>49</v>
      </c>
      <c r="R4580">
        <v>24</v>
      </c>
      <c r="S4580">
        <v>46</v>
      </c>
      <c r="T4580" s="13">
        <v>33</v>
      </c>
      <c r="U4580" s="13">
        <v>42</v>
      </c>
      <c r="V4580" t="s">
        <v>99</v>
      </c>
      <c r="X4580" s="13">
        <v>191</v>
      </c>
    </row>
    <row r="4581" spans="1:24" x14ac:dyDescent="0.25">
      <c r="A4581" t="s">
        <v>4548</v>
      </c>
      <c r="B4581" t="s">
        <v>65</v>
      </c>
      <c r="C4581" t="s">
        <v>4532</v>
      </c>
      <c r="D4581" t="s">
        <v>4533</v>
      </c>
      <c r="E4581" t="s">
        <v>3027</v>
      </c>
      <c r="F4581" t="s">
        <v>94</v>
      </c>
      <c r="G4581" t="s">
        <v>277</v>
      </c>
      <c r="H4581" s="12">
        <v>7.2432999999999996</v>
      </c>
      <c r="I4581" s="12">
        <v>-76.436099999999996</v>
      </c>
      <c r="J4581" t="s">
        <v>4534</v>
      </c>
      <c r="K4581" t="s">
        <v>97</v>
      </c>
      <c r="L4581" t="s">
        <v>1273</v>
      </c>
      <c r="M4581">
        <v>11</v>
      </c>
      <c r="P4581" s="13">
        <v>186</v>
      </c>
      <c r="Q4581" s="13">
        <v>37</v>
      </c>
      <c r="R4581">
        <v>38</v>
      </c>
      <c r="S4581">
        <v>46</v>
      </c>
      <c r="T4581" s="13">
        <v>26</v>
      </c>
      <c r="U4581" s="13">
        <v>45</v>
      </c>
      <c r="V4581" t="s">
        <v>99</v>
      </c>
      <c r="X4581" s="13">
        <v>186</v>
      </c>
    </row>
    <row r="4582" spans="1:24" x14ac:dyDescent="0.25">
      <c r="A4582" t="s">
        <v>4549</v>
      </c>
      <c r="B4582" t="s">
        <v>65</v>
      </c>
      <c r="C4582" t="s">
        <v>4532</v>
      </c>
      <c r="D4582" t="s">
        <v>4533</v>
      </c>
      <c r="E4582" t="s">
        <v>3027</v>
      </c>
      <c r="F4582" t="s">
        <v>94</v>
      </c>
      <c r="G4582" t="s">
        <v>277</v>
      </c>
      <c r="H4582" s="12">
        <v>7.2432999999999996</v>
      </c>
      <c r="I4582" s="12">
        <v>-76.436099999999996</v>
      </c>
      <c r="J4582" t="s">
        <v>4534</v>
      </c>
      <c r="K4582" t="s">
        <v>97</v>
      </c>
      <c r="L4582" t="s">
        <v>1273</v>
      </c>
      <c r="M4582">
        <v>11</v>
      </c>
      <c r="P4582" s="13">
        <v>182</v>
      </c>
      <c r="Q4582" s="13">
        <v>49</v>
      </c>
      <c r="R4582">
        <v>20</v>
      </c>
      <c r="S4582">
        <v>50</v>
      </c>
      <c r="T4582" s="13">
        <v>24</v>
      </c>
      <c r="U4582" s="13">
        <v>44</v>
      </c>
      <c r="V4582" t="s">
        <v>99</v>
      </c>
      <c r="X4582" s="13">
        <v>182</v>
      </c>
    </row>
    <row r="4583" spans="1:24" x14ac:dyDescent="0.25">
      <c r="A4583" t="s">
        <v>4550</v>
      </c>
      <c r="B4583" t="s">
        <v>65</v>
      </c>
      <c r="C4583" t="s">
        <v>4532</v>
      </c>
      <c r="D4583" t="s">
        <v>4533</v>
      </c>
      <c r="E4583" t="s">
        <v>3027</v>
      </c>
      <c r="F4583" t="s">
        <v>94</v>
      </c>
      <c r="G4583" t="s">
        <v>277</v>
      </c>
      <c r="H4583" s="12">
        <v>7.2432999999999996</v>
      </c>
      <c r="I4583" s="12">
        <v>-76.436099999999996</v>
      </c>
      <c r="J4583" t="s">
        <v>4534</v>
      </c>
      <c r="K4583" t="s">
        <v>97</v>
      </c>
      <c r="L4583" t="s">
        <v>1273</v>
      </c>
      <c r="M4583">
        <v>11</v>
      </c>
      <c r="P4583" s="13">
        <v>179</v>
      </c>
      <c r="Q4583" s="13">
        <v>41</v>
      </c>
      <c r="R4583">
        <v>30</v>
      </c>
      <c r="S4583">
        <v>44</v>
      </c>
      <c r="T4583" s="13">
        <v>22</v>
      </c>
      <c r="U4583" s="13">
        <v>51</v>
      </c>
      <c r="V4583" t="s">
        <v>99</v>
      </c>
      <c r="X4583" s="13">
        <v>179</v>
      </c>
    </row>
    <row r="4584" spans="1:24" x14ac:dyDescent="0.25">
      <c r="A4584" t="s">
        <v>4551</v>
      </c>
      <c r="B4584" t="s">
        <v>65</v>
      </c>
      <c r="C4584" t="s">
        <v>4532</v>
      </c>
      <c r="D4584" t="s">
        <v>4533</v>
      </c>
      <c r="E4584" t="s">
        <v>3027</v>
      </c>
      <c r="F4584" t="s">
        <v>94</v>
      </c>
      <c r="G4584" t="s">
        <v>277</v>
      </c>
      <c r="H4584" s="12">
        <v>7.2432999999999996</v>
      </c>
      <c r="I4584" s="12">
        <v>-76.436099999999996</v>
      </c>
      <c r="J4584" t="s">
        <v>4534</v>
      </c>
      <c r="K4584" t="s">
        <v>97</v>
      </c>
      <c r="L4584" t="s">
        <v>1273</v>
      </c>
      <c r="M4584">
        <v>11</v>
      </c>
      <c r="P4584" s="13">
        <v>170</v>
      </c>
      <c r="Q4584" s="13">
        <v>39</v>
      </c>
      <c r="R4584">
        <v>14</v>
      </c>
      <c r="S4584">
        <v>48</v>
      </c>
      <c r="T4584" s="13">
        <v>34</v>
      </c>
      <c r="U4584" s="13">
        <v>36</v>
      </c>
      <c r="V4584" t="s">
        <v>99</v>
      </c>
      <c r="X4584" s="13">
        <v>170</v>
      </c>
    </row>
    <row r="4585" spans="1:24" x14ac:dyDescent="0.25">
      <c r="A4585" t="s">
        <v>4552</v>
      </c>
      <c r="B4585" t="s">
        <v>65</v>
      </c>
      <c r="C4585" t="s">
        <v>4532</v>
      </c>
      <c r="D4585" t="s">
        <v>4533</v>
      </c>
      <c r="E4585" t="s">
        <v>3027</v>
      </c>
      <c r="F4585" t="s">
        <v>94</v>
      </c>
      <c r="G4585" t="s">
        <v>277</v>
      </c>
      <c r="H4585" s="12">
        <v>7.2432999999999996</v>
      </c>
      <c r="I4585" s="12">
        <v>-76.436099999999996</v>
      </c>
      <c r="J4585" t="s">
        <v>4534</v>
      </c>
      <c r="K4585" t="s">
        <v>97</v>
      </c>
      <c r="L4585" t="s">
        <v>1273</v>
      </c>
      <c r="M4585">
        <v>11</v>
      </c>
      <c r="P4585" s="13">
        <v>159</v>
      </c>
      <c r="Q4585" s="13">
        <v>34</v>
      </c>
      <c r="R4585">
        <v>24</v>
      </c>
      <c r="S4585">
        <v>40</v>
      </c>
      <c r="T4585" s="13">
        <v>24</v>
      </c>
      <c r="U4585" s="13">
        <v>47</v>
      </c>
      <c r="V4585" t="s">
        <v>99</v>
      </c>
      <c r="X4585" s="13">
        <v>159</v>
      </c>
    </row>
    <row r="4586" spans="1:24" x14ac:dyDescent="0.25">
      <c r="A4586" t="s">
        <v>4553</v>
      </c>
      <c r="B4586" t="s">
        <v>65</v>
      </c>
      <c r="C4586" t="s">
        <v>4532</v>
      </c>
      <c r="D4586" t="s">
        <v>4533</v>
      </c>
      <c r="E4586" t="s">
        <v>3027</v>
      </c>
      <c r="F4586" t="s">
        <v>94</v>
      </c>
      <c r="G4586" t="s">
        <v>277</v>
      </c>
      <c r="H4586" s="12">
        <v>7.2432999999999996</v>
      </c>
      <c r="I4586" s="12">
        <v>-76.436099999999996</v>
      </c>
      <c r="J4586" t="s">
        <v>4534</v>
      </c>
      <c r="K4586" t="s">
        <v>97</v>
      </c>
      <c r="L4586" t="s">
        <v>1273</v>
      </c>
      <c r="M4586">
        <v>11</v>
      </c>
      <c r="P4586" s="13">
        <v>146</v>
      </c>
      <c r="Q4586" s="13">
        <v>29</v>
      </c>
      <c r="R4586">
        <v>22</v>
      </c>
      <c r="S4586">
        <v>28</v>
      </c>
      <c r="T4586" s="13">
        <v>29</v>
      </c>
      <c r="U4586" s="13">
        <v>53</v>
      </c>
      <c r="V4586" t="s">
        <v>99</v>
      </c>
      <c r="X4586" s="13">
        <v>146</v>
      </c>
    </row>
    <row r="4587" spans="1:24" x14ac:dyDescent="0.25">
      <c r="A4587" t="s">
        <v>4554</v>
      </c>
      <c r="B4587" t="s">
        <v>65</v>
      </c>
      <c r="C4587" t="s">
        <v>4532</v>
      </c>
      <c r="D4587" t="s">
        <v>4533</v>
      </c>
      <c r="E4587" t="s">
        <v>3027</v>
      </c>
      <c r="F4587" t="s">
        <v>94</v>
      </c>
      <c r="G4587" t="s">
        <v>277</v>
      </c>
      <c r="H4587" s="12">
        <v>7.2432999999999996</v>
      </c>
      <c r="I4587" s="12">
        <v>-76.436099999999996</v>
      </c>
      <c r="J4587" t="s">
        <v>4534</v>
      </c>
      <c r="K4587" t="s">
        <v>97</v>
      </c>
      <c r="L4587" t="s">
        <v>1273</v>
      </c>
      <c r="M4587">
        <v>11</v>
      </c>
      <c r="P4587" s="13">
        <v>133</v>
      </c>
      <c r="Q4587" s="13">
        <v>15</v>
      </c>
      <c r="R4587">
        <v>24</v>
      </c>
      <c r="S4587">
        <v>32</v>
      </c>
      <c r="T4587" s="13">
        <v>33</v>
      </c>
      <c r="U4587" s="13">
        <v>36</v>
      </c>
      <c r="V4587" t="s">
        <v>99</v>
      </c>
      <c r="X4587" s="13">
        <v>133</v>
      </c>
    </row>
    <row r="4588" spans="1:24" x14ac:dyDescent="0.25">
      <c r="A4588" t="s">
        <v>4555</v>
      </c>
      <c r="B4588" t="s">
        <v>65</v>
      </c>
      <c r="C4588" t="s">
        <v>4532</v>
      </c>
      <c r="D4588" t="s">
        <v>4533</v>
      </c>
      <c r="E4588" t="s">
        <v>3027</v>
      </c>
      <c r="F4588" t="s">
        <v>94</v>
      </c>
      <c r="G4588" t="s">
        <v>277</v>
      </c>
      <c r="H4588" s="12">
        <v>7.2432999999999996</v>
      </c>
      <c r="I4588" s="12">
        <v>-76.436099999999996</v>
      </c>
      <c r="J4588" t="s">
        <v>4534</v>
      </c>
      <c r="K4588" t="s">
        <v>97</v>
      </c>
      <c r="L4588" t="s">
        <v>1273</v>
      </c>
      <c r="M4588">
        <v>11</v>
      </c>
      <c r="P4588" s="13">
        <v>118</v>
      </c>
      <c r="Q4588" s="13">
        <v>22</v>
      </c>
      <c r="R4588">
        <v>26</v>
      </c>
      <c r="S4588">
        <v>26</v>
      </c>
      <c r="T4588" s="13">
        <v>21</v>
      </c>
      <c r="U4588" s="13">
        <v>24</v>
      </c>
      <c r="V4588" t="s">
        <v>99</v>
      </c>
      <c r="X4588" s="13">
        <v>118</v>
      </c>
    </row>
    <row r="4589" spans="1:24" x14ac:dyDescent="0.25">
      <c r="A4589" t="s">
        <v>4556</v>
      </c>
      <c r="B4589" t="s">
        <v>65</v>
      </c>
      <c r="C4589" t="s">
        <v>4532</v>
      </c>
      <c r="D4589" t="s">
        <v>4533</v>
      </c>
      <c r="E4589" t="s">
        <v>3027</v>
      </c>
      <c r="F4589" t="s">
        <v>94</v>
      </c>
      <c r="G4589" t="s">
        <v>277</v>
      </c>
      <c r="H4589" s="12">
        <v>7.2432999999999996</v>
      </c>
      <c r="I4589" s="12">
        <v>-76.436099999999996</v>
      </c>
      <c r="J4589" t="s">
        <v>4534</v>
      </c>
      <c r="K4589" t="s">
        <v>97</v>
      </c>
      <c r="L4589" t="s">
        <v>1273</v>
      </c>
      <c r="M4589">
        <v>11</v>
      </c>
      <c r="P4589" s="13">
        <v>117</v>
      </c>
      <c r="Q4589" s="13">
        <v>27</v>
      </c>
      <c r="R4589">
        <v>16</v>
      </c>
      <c r="S4589">
        <v>26</v>
      </c>
      <c r="T4589" s="13">
        <v>22</v>
      </c>
      <c r="U4589" s="13">
        <v>31</v>
      </c>
      <c r="V4589" t="s">
        <v>99</v>
      </c>
      <c r="X4589" s="13">
        <v>117</v>
      </c>
    </row>
    <row r="4590" spans="1:24" x14ac:dyDescent="0.25">
      <c r="A4590" t="s">
        <v>4557</v>
      </c>
      <c r="B4590" t="s">
        <v>65</v>
      </c>
      <c r="C4590" t="s">
        <v>4532</v>
      </c>
      <c r="D4590" t="s">
        <v>4533</v>
      </c>
      <c r="E4590" t="s">
        <v>3027</v>
      </c>
      <c r="F4590" t="s">
        <v>94</v>
      </c>
      <c r="G4590" t="s">
        <v>277</v>
      </c>
      <c r="H4590" s="12">
        <v>7.2432999999999996</v>
      </c>
      <c r="I4590" s="12">
        <v>-76.436099999999996</v>
      </c>
      <c r="J4590" t="s">
        <v>4534</v>
      </c>
      <c r="K4590" t="s">
        <v>97</v>
      </c>
      <c r="L4590" t="s">
        <v>1273</v>
      </c>
      <c r="M4590">
        <v>11</v>
      </c>
      <c r="P4590" s="13">
        <v>108</v>
      </c>
      <c r="Q4590" s="13">
        <v>29</v>
      </c>
      <c r="R4590">
        <v>12</v>
      </c>
      <c r="S4590">
        <v>32</v>
      </c>
      <c r="T4590" s="13">
        <v>21</v>
      </c>
      <c r="U4590" s="13">
        <v>0</v>
      </c>
      <c r="V4590" t="s">
        <v>99</v>
      </c>
      <c r="X4590" s="13">
        <v>108</v>
      </c>
    </row>
    <row r="4591" spans="1:24" x14ac:dyDescent="0.25">
      <c r="A4591" t="s">
        <v>4558</v>
      </c>
      <c r="B4591" t="s">
        <v>65</v>
      </c>
      <c r="C4591" t="s">
        <v>4559</v>
      </c>
      <c r="D4591" t="s">
        <v>4560</v>
      </c>
      <c r="E4591" t="s">
        <v>4561</v>
      </c>
      <c r="F4591" t="s">
        <v>94</v>
      </c>
      <c r="G4591" t="s">
        <v>277</v>
      </c>
      <c r="H4591" s="12">
        <v>6.1882999999999999</v>
      </c>
      <c r="I4591" s="12">
        <v>-74.458470000000005</v>
      </c>
      <c r="J4591" t="s">
        <v>4562</v>
      </c>
      <c r="K4591" t="s">
        <v>97</v>
      </c>
      <c r="L4591" t="s">
        <v>1273</v>
      </c>
      <c r="M4591">
        <v>11</v>
      </c>
      <c r="P4591" s="13">
        <v>226</v>
      </c>
      <c r="Q4591" s="13">
        <v>54</v>
      </c>
      <c r="R4591">
        <v>34</v>
      </c>
      <c r="S4591">
        <v>60</v>
      </c>
      <c r="T4591" s="13">
        <v>33</v>
      </c>
      <c r="U4591" s="13">
        <v>45</v>
      </c>
      <c r="V4591" t="s">
        <v>99</v>
      </c>
      <c r="X4591" s="13">
        <v>226</v>
      </c>
    </row>
    <row r="4592" spans="1:24" x14ac:dyDescent="0.25">
      <c r="A4592" t="s">
        <v>4563</v>
      </c>
      <c r="B4592" t="s">
        <v>65</v>
      </c>
      <c r="C4592" t="s">
        <v>4559</v>
      </c>
      <c r="D4592" t="s">
        <v>4560</v>
      </c>
      <c r="E4592" t="s">
        <v>4561</v>
      </c>
      <c r="F4592" t="s">
        <v>94</v>
      </c>
      <c r="G4592" t="s">
        <v>277</v>
      </c>
      <c r="H4592" s="12">
        <v>6.1882999999999999</v>
      </c>
      <c r="I4592" s="12">
        <v>-74.458470000000005</v>
      </c>
      <c r="J4592" t="s">
        <v>4562</v>
      </c>
      <c r="K4592" t="s">
        <v>97</v>
      </c>
      <c r="L4592" t="s">
        <v>1273</v>
      </c>
      <c r="M4592">
        <v>11</v>
      </c>
      <c r="P4592" s="13">
        <v>220</v>
      </c>
      <c r="Q4592" s="13">
        <v>44</v>
      </c>
      <c r="R4592">
        <v>36</v>
      </c>
      <c r="S4592">
        <v>52</v>
      </c>
      <c r="T4592" s="13">
        <v>43</v>
      </c>
      <c r="U4592" s="13">
        <v>47</v>
      </c>
      <c r="V4592" t="s">
        <v>99</v>
      </c>
      <c r="X4592" s="13">
        <v>220</v>
      </c>
    </row>
    <row r="4593" spans="1:24" x14ac:dyDescent="0.25">
      <c r="A4593" t="s">
        <v>4564</v>
      </c>
      <c r="B4593" t="s">
        <v>65</v>
      </c>
      <c r="C4593" t="s">
        <v>4559</v>
      </c>
      <c r="D4593" t="s">
        <v>4560</v>
      </c>
      <c r="E4593" t="s">
        <v>4561</v>
      </c>
      <c r="F4593" t="s">
        <v>94</v>
      </c>
      <c r="G4593" t="s">
        <v>277</v>
      </c>
      <c r="H4593" s="12">
        <v>6.1882999999999999</v>
      </c>
      <c r="I4593" s="12">
        <v>-74.458470000000005</v>
      </c>
      <c r="J4593" t="s">
        <v>4562</v>
      </c>
      <c r="K4593" t="s">
        <v>97</v>
      </c>
      <c r="L4593" t="s">
        <v>1273</v>
      </c>
      <c r="M4593">
        <v>11</v>
      </c>
      <c r="P4593" s="13">
        <v>214</v>
      </c>
      <c r="Q4593" s="13">
        <v>56</v>
      </c>
      <c r="R4593">
        <v>38</v>
      </c>
      <c r="S4593">
        <v>40</v>
      </c>
      <c r="T4593" s="13">
        <v>33</v>
      </c>
      <c r="U4593" s="13">
        <v>56</v>
      </c>
      <c r="V4593" t="s">
        <v>99</v>
      </c>
      <c r="X4593" s="13">
        <v>214</v>
      </c>
    </row>
    <row r="4594" spans="1:24" x14ac:dyDescent="0.25">
      <c r="A4594" t="s">
        <v>4565</v>
      </c>
      <c r="B4594" t="s">
        <v>65</v>
      </c>
      <c r="C4594" t="s">
        <v>4559</v>
      </c>
      <c r="D4594" t="s">
        <v>4560</v>
      </c>
      <c r="E4594" t="s">
        <v>4561</v>
      </c>
      <c r="F4594" t="s">
        <v>94</v>
      </c>
      <c r="G4594" t="s">
        <v>277</v>
      </c>
      <c r="H4594" s="12">
        <v>6.1882999999999999</v>
      </c>
      <c r="I4594" s="12">
        <v>-74.458470000000005</v>
      </c>
      <c r="J4594" t="s">
        <v>4562</v>
      </c>
      <c r="K4594" t="s">
        <v>97</v>
      </c>
      <c r="L4594" t="s">
        <v>1273</v>
      </c>
      <c r="M4594">
        <v>11</v>
      </c>
      <c r="P4594" s="13">
        <v>211</v>
      </c>
      <c r="Q4594" s="13">
        <v>63</v>
      </c>
      <c r="R4594">
        <v>26</v>
      </c>
      <c r="S4594">
        <v>46</v>
      </c>
      <c r="T4594" s="13">
        <v>31</v>
      </c>
      <c r="U4594" s="13">
        <v>49</v>
      </c>
      <c r="V4594" t="s">
        <v>99</v>
      </c>
      <c r="X4594" s="13">
        <v>211</v>
      </c>
    </row>
    <row r="4595" spans="1:24" x14ac:dyDescent="0.25">
      <c r="A4595" t="s">
        <v>4566</v>
      </c>
      <c r="B4595" t="s">
        <v>65</v>
      </c>
      <c r="C4595" t="s">
        <v>4559</v>
      </c>
      <c r="D4595" t="s">
        <v>4560</v>
      </c>
      <c r="E4595" t="s">
        <v>4561</v>
      </c>
      <c r="F4595" t="s">
        <v>94</v>
      </c>
      <c r="G4595" t="s">
        <v>277</v>
      </c>
      <c r="H4595" s="12">
        <v>6.1882999999999999</v>
      </c>
      <c r="I4595" s="12">
        <v>-74.458470000000005</v>
      </c>
      <c r="J4595" t="s">
        <v>4562</v>
      </c>
      <c r="K4595" t="s">
        <v>97</v>
      </c>
      <c r="L4595" t="s">
        <v>1273</v>
      </c>
      <c r="M4595">
        <v>11</v>
      </c>
      <c r="P4595" s="13">
        <v>210</v>
      </c>
      <c r="Q4595" s="13">
        <v>54</v>
      </c>
      <c r="R4595">
        <v>30</v>
      </c>
      <c r="S4595">
        <v>54</v>
      </c>
      <c r="T4595" s="13">
        <v>29</v>
      </c>
      <c r="U4595" s="13">
        <v>45</v>
      </c>
      <c r="V4595" t="s">
        <v>99</v>
      </c>
      <c r="X4595" s="13">
        <v>210</v>
      </c>
    </row>
    <row r="4596" spans="1:24" x14ac:dyDescent="0.25">
      <c r="A4596" t="s">
        <v>4567</v>
      </c>
      <c r="B4596" t="s">
        <v>65</v>
      </c>
      <c r="C4596" t="s">
        <v>4559</v>
      </c>
      <c r="D4596" t="s">
        <v>4560</v>
      </c>
      <c r="E4596" t="s">
        <v>4561</v>
      </c>
      <c r="F4596" t="s">
        <v>94</v>
      </c>
      <c r="G4596" t="s">
        <v>277</v>
      </c>
      <c r="H4596" s="12">
        <v>6.1882999999999999</v>
      </c>
      <c r="I4596" s="12">
        <v>-74.458470000000005</v>
      </c>
      <c r="J4596" t="s">
        <v>4562</v>
      </c>
      <c r="K4596" t="s">
        <v>97</v>
      </c>
      <c r="L4596" t="s">
        <v>1273</v>
      </c>
      <c r="M4596">
        <v>11</v>
      </c>
      <c r="P4596" s="13">
        <v>201</v>
      </c>
      <c r="Q4596" s="13">
        <v>51</v>
      </c>
      <c r="R4596">
        <v>34</v>
      </c>
      <c r="S4596">
        <v>44</v>
      </c>
      <c r="T4596" s="13">
        <v>29</v>
      </c>
      <c r="U4596" s="13">
        <v>47</v>
      </c>
      <c r="V4596" t="s">
        <v>99</v>
      </c>
      <c r="X4596" s="13">
        <v>201</v>
      </c>
    </row>
    <row r="4597" spans="1:24" x14ac:dyDescent="0.25">
      <c r="A4597" t="s">
        <v>4568</v>
      </c>
      <c r="B4597" t="s">
        <v>65</v>
      </c>
      <c r="C4597" t="s">
        <v>4559</v>
      </c>
      <c r="D4597" t="s">
        <v>4560</v>
      </c>
      <c r="E4597" t="s">
        <v>4561</v>
      </c>
      <c r="F4597" t="s">
        <v>94</v>
      </c>
      <c r="G4597" t="s">
        <v>277</v>
      </c>
      <c r="H4597" s="12">
        <v>6.1882999999999999</v>
      </c>
      <c r="I4597" s="12">
        <v>-74.458470000000005</v>
      </c>
      <c r="J4597" t="s">
        <v>4562</v>
      </c>
      <c r="K4597" t="s">
        <v>97</v>
      </c>
      <c r="L4597" t="s">
        <v>1273</v>
      </c>
      <c r="M4597">
        <v>11</v>
      </c>
      <c r="P4597" s="13">
        <v>195</v>
      </c>
      <c r="Q4597" s="13">
        <v>39</v>
      </c>
      <c r="R4597">
        <v>36</v>
      </c>
      <c r="S4597">
        <v>54</v>
      </c>
      <c r="T4597" s="13">
        <v>31</v>
      </c>
      <c r="U4597" s="13">
        <v>27</v>
      </c>
      <c r="V4597" t="s">
        <v>99</v>
      </c>
      <c r="X4597" s="13">
        <v>195</v>
      </c>
    </row>
    <row r="4598" spans="1:24" x14ac:dyDescent="0.25">
      <c r="A4598" t="s">
        <v>4569</v>
      </c>
      <c r="B4598" t="s">
        <v>65</v>
      </c>
      <c r="C4598" t="s">
        <v>4559</v>
      </c>
      <c r="D4598" t="s">
        <v>4560</v>
      </c>
      <c r="E4598" t="s">
        <v>4561</v>
      </c>
      <c r="F4598" t="s">
        <v>94</v>
      </c>
      <c r="G4598" t="s">
        <v>277</v>
      </c>
      <c r="H4598" s="12">
        <v>6.1882999999999999</v>
      </c>
      <c r="I4598" s="12">
        <v>-74.458470000000005</v>
      </c>
      <c r="J4598" t="s">
        <v>4562</v>
      </c>
      <c r="K4598" t="s">
        <v>97</v>
      </c>
      <c r="L4598" t="s">
        <v>1273</v>
      </c>
      <c r="M4598">
        <v>11</v>
      </c>
      <c r="P4598" s="13">
        <v>194</v>
      </c>
      <c r="Q4598" s="13">
        <v>44</v>
      </c>
      <c r="R4598">
        <v>28</v>
      </c>
      <c r="S4598">
        <v>48</v>
      </c>
      <c r="T4598" s="13">
        <v>33</v>
      </c>
      <c r="U4598" s="13">
        <v>47</v>
      </c>
      <c r="V4598" t="s">
        <v>99</v>
      </c>
      <c r="X4598" s="13">
        <v>194</v>
      </c>
    </row>
    <row r="4599" spans="1:24" x14ac:dyDescent="0.25">
      <c r="A4599" t="s">
        <v>4570</v>
      </c>
      <c r="B4599" t="s">
        <v>65</v>
      </c>
      <c r="C4599" t="s">
        <v>4559</v>
      </c>
      <c r="D4599" t="s">
        <v>4560</v>
      </c>
      <c r="E4599" t="s">
        <v>4561</v>
      </c>
      <c r="F4599" t="s">
        <v>94</v>
      </c>
      <c r="G4599" t="s">
        <v>277</v>
      </c>
      <c r="H4599" s="12">
        <v>6.1882999999999999</v>
      </c>
      <c r="I4599" s="12">
        <v>-74.458470000000005</v>
      </c>
      <c r="J4599" t="s">
        <v>4562</v>
      </c>
      <c r="K4599" t="s">
        <v>97</v>
      </c>
      <c r="L4599" t="s">
        <v>1273</v>
      </c>
      <c r="M4599">
        <v>11</v>
      </c>
      <c r="P4599" s="13">
        <v>189</v>
      </c>
      <c r="Q4599" s="13">
        <v>44</v>
      </c>
      <c r="R4599">
        <v>24</v>
      </c>
      <c r="S4599">
        <v>48</v>
      </c>
      <c r="T4599" s="13">
        <v>40</v>
      </c>
      <c r="U4599" s="13">
        <v>25</v>
      </c>
      <c r="V4599" t="s">
        <v>99</v>
      </c>
      <c r="X4599" s="13">
        <v>189</v>
      </c>
    </row>
    <row r="4600" spans="1:24" x14ac:dyDescent="0.25">
      <c r="A4600" t="s">
        <v>4571</v>
      </c>
      <c r="B4600" t="s">
        <v>65</v>
      </c>
      <c r="C4600" t="s">
        <v>4559</v>
      </c>
      <c r="D4600" t="s">
        <v>4560</v>
      </c>
      <c r="E4600" t="s">
        <v>4561</v>
      </c>
      <c r="F4600" t="s">
        <v>94</v>
      </c>
      <c r="G4600" t="s">
        <v>277</v>
      </c>
      <c r="H4600" s="12">
        <v>6.1882999999999999</v>
      </c>
      <c r="I4600" s="12">
        <v>-74.458470000000005</v>
      </c>
      <c r="J4600" t="s">
        <v>4562</v>
      </c>
      <c r="K4600" t="s">
        <v>97</v>
      </c>
      <c r="L4600" t="s">
        <v>1273</v>
      </c>
      <c r="M4600">
        <v>11</v>
      </c>
      <c r="P4600" s="13">
        <v>186</v>
      </c>
      <c r="Q4600" s="13">
        <v>39</v>
      </c>
      <c r="R4600">
        <v>40</v>
      </c>
      <c r="S4600">
        <v>48</v>
      </c>
      <c r="T4600" s="13">
        <v>24</v>
      </c>
      <c r="U4600" s="13">
        <v>29</v>
      </c>
      <c r="V4600" t="s">
        <v>99</v>
      </c>
      <c r="X4600" s="13">
        <v>186</v>
      </c>
    </row>
    <row r="4601" spans="1:24" x14ac:dyDescent="0.25">
      <c r="A4601" t="s">
        <v>4572</v>
      </c>
      <c r="B4601" t="s">
        <v>65</v>
      </c>
      <c r="C4601" t="s">
        <v>4559</v>
      </c>
      <c r="D4601" t="s">
        <v>4560</v>
      </c>
      <c r="E4601" t="s">
        <v>4561</v>
      </c>
      <c r="F4601" t="s">
        <v>94</v>
      </c>
      <c r="G4601" t="s">
        <v>277</v>
      </c>
      <c r="H4601" s="12">
        <v>6.1882999999999999</v>
      </c>
      <c r="I4601" s="12">
        <v>-74.458470000000005</v>
      </c>
      <c r="J4601" t="s">
        <v>4562</v>
      </c>
      <c r="K4601" t="s">
        <v>97</v>
      </c>
      <c r="L4601" t="s">
        <v>1273</v>
      </c>
      <c r="M4601">
        <v>11</v>
      </c>
      <c r="P4601" s="13">
        <v>178</v>
      </c>
      <c r="Q4601" s="13">
        <v>22</v>
      </c>
      <c r="R4601">
        <v>30</v>
      </c>
      <c r="S4601">
        <v>52</v>
      </c>
      <c r="T4601" s="13">
        <v>34</v>
      </c>
      <c r="U4601" s="13">
        <v>47</v>
      </c>
      <c r="V4601" t="s">
        <v>99</v>
      </c>
      <c r="X4601" s="13">
        <v>178</v>
      </c>
    </row>
    <row r="4602" spans="1:24" x14ac:dyDescent="0.25">
      <c r="A4602" t="s">
        <v>4573</v>
      </c>
      <c r="B4602" t="s">
        <v>65</v>
      </c>
      <c r="C4602" t="s">
        <v>4559</v>
      </c>
      <c r="D4602" t="s">
        <v>4560</v>
      </c>
      <c r="E4602" t="s">
        <v>4561</v>
      </c>
      <c r="F4602" t="s">
        <v>94</v>
      </c>
      <c r="G4602" t="s">
        <v>277</v>
      </c>
      <c r="H4602" s="12">
        <v>6.1882999999999999</v>
      </c>
      <c r="I4602" s="12">
        <v>-74.458470000000005</v>
      </c>
      <c r="J4602" t="s">
        <v>4562</v>
      </c>
      <c r="K4602" t="s">
        <v>97</v>
      </c>
      <c r="L4602" t="s">
        <v>1273</v>
      </c>
      <c r="M4602">
        <v>11</v>
      </c>
      <c r="P4602" s="13">
        <v>176</v>
      </c>
      <c r="Q4602" s="13">
        <v>34</v>
      </c>
      <c r="R4602">
        <v>26</v>
      </c>
      <c r="S4602">
        <v>40</v>
      </c>
      <c r="T4602" s="13">
        <v>33</v>
      </c>
      <c r="U4602" s="13">
        <v>58</v>
      </c>
      <c r="V4602" t="s">
        <v>99</v>
      </c>
      <c r="X4602" s="13">
        <v>176</v>
      </c>
    </row>
    <row r="4603" spans="1:24" x14ac:dyDescent="0.25">
      <c r="A4603" t="s">
        <v>4574</v>
      </c>
      <c r="B4603" t="s">
        <v>65</v>
      </c>
      <c r="C4603" t="s">
        <v>4559</v>
      </c>
      <c r="D4603" t="s">
        <v>4560</v>
      </c>
      <c r="E4603" t="s">
        <v>4561</v>
      </c>
      <c r="F4603" t="s">
        <v>94</v>
      </c>
      <c r="G4603" t="s">
        <v>277</v>
      </c>
      <c r="H4603" s="12">
        <v>6.1882999999999999</v>
      </c>
      <c r="I4603" s="12">
        <v>-74.458470000000005</v>
      </c>
      <c r="J4603" t="s">
        <v>4562</v>
      </c>
      <c r="K4603" t="s">
        <v>97</v>
      </c>
      <c r="L4603" t="s">
        <v>1273</v>
      </c>
      <c r="M4603">
        <v>11</v>
      </c>
      <c r="P4603" s="13">
        <v>175</v>
      </c>
      <c r="Q4603" s="13">
        <v>51</v>
      </c>
      <c r="R4603">
        <v>26</v>
      </c>
      <c r="S4603">
        <v>48</v>
      </c>
      <c r="T4603" s="13">
        <v>14</v>
      </c>
      <c r="U4603" s="13">
        <v>38</v>
      </c>
      <c r="V4603" t="s">
        <v>99</v>
      </c>
      <c r="X4603" s="13">
        <v>175</v>
      </c>
    </row>
    <row r="4604" spans="1:24" x14ac:dyDescent="0.25">
      <c r="A4604" t="s">
        <v>4575</v>
      </c>
      <c r="B4604" t="s">
        <v>65</v>
      </c>
      <c r="C4604" t="s">
        <v>4559</v>
      </c>
      <c r="D4604" t="s">
        <v>4560</v>
      </c>
      <c r="E4604" t="s">
        <v>4561</v>
      </c>
      <c r="F4604" t="s">
        <v>94</v>
      </c>
      <c r="G4604" t="s">
        <v>277</v>
      </c>
      <c r="H4604" s="12">
        <v>6.1882999999999999</v>
      </c>
      <c r="I4604" s="12">
        <v>-74.458470000000005</v>
      </c>
      <c r="J4604" t="s">
        <v>4562</v>
      </c>
      <c r="K4604" t="s">
        <v>97</v>
      </c>
      <c r="L4604" t="s">
        <v>1273</v>
      </c>
      <c r="M4604">
        <v>11</v>
      </c>
      <c r="P4604" s="13">
        <v>173</v>
      </c>
      <c r="Q4604" s="13">
        <v>49</v>
      </c>
      <c r="R4604">
        <v>24</v>
      </c>
      <c r="S4604">
        <v>34</v>
      </c>
      <c r="T4604" s="13">
        <v>28</v>
      </c>
      <c r="U4604" s="13">
        <v>47</v>
      </c>
      <c r="V4604" t="s">
        <v>99</v>
      </c>
      <c r="X4604" s="13">
        <v>173</v>
      </c>
    </row>
    <row r="4605" spans="1:24" x14ac:dyDescent="0.25">
      <c r="A4605" t="s">
        <v>4576</v>
      </c>
      <c r="B4605" t="s">
        <v>65</v>
      </c>
      <c r="C4605" t="s">
        <v>4559</v>
      </c>
      <c r="D4605" t="s">
        <v>4560</v>
      </c>
      <c r="E4605" t="s">
        <v>4561</v>
      </c>
      <c r="F4605" t="s">
        <v>94</v>
      </c>
      <c r="G4605" t="s">
        <v>277</v>
      </c>
      <c r="H4605" s="12">
        <v>6.1882999999999999</v>
      </c>
      <c r="I4605" s="12">
        <v>-74.458470000000005</v>
      </c>
      <c r="J4605" t="s">
        <v>4562</v>
      </c>
      <c r="K4605" t="s">
        <v>97</v>
      </c>
      <c r="L4605" t="s">
        <v>1273</v>
      </c>
      <c r="M4605">
        <v>11</v>
      </c>
      <c r="P4605" s="13">
        <v>172</v>
      </c>
      <c r="Q4605" s="13">
        <v>32</v>
      </c>
      <c r="R4605">
        <v>26</v>
      </c>
      <c r="S4605">
        <v>46</v>
      </c>
      <c r="T4605" s="13">
        <v>31</v>
      </c>
      <c r="U4605" s="13">
        <v>44</v>
      </c>
      <c r="V4605" t="s">
        <v>99</v>
      </c>
      <c r="X4605" s="13">
        <v>172</v>
      </c>
    </row>
    <row r="4606" spans="1:24" x14ac:dyDescent="0.25">
      <c r="A4606" t="s">
        <v>4577</v>
      </c>
      <c r="B4606" t="s">
        <v>65</v>
      </c>
      <c r="C4606" t="s">
        <v>4559</v>
      </c>
      <c r="D4606" t="s">
        <v>4560</v>
      </c>
      <c r="E4606" t="s">
        <v>4561</v>
      </c>
      <c r="F4606" t="s">
        <v>94</v>
      </c>
      <c r="G4606" t="s">
        <v>277</v>
      </c>
      <c r="H4606" s="12">
        <v>6.1882999999999999</v>
      </c>
      <c r="I4606" s="12">
        <v>-74.458470000000005</v>
      </c>
      <c r="J4606" t="s">
        <v>4562</v>
      </c>
      <c r="K4606" t="s">
        <v>97</v>
      </c>
      <c r="L4606" t="s">
        <v>1273</v>
      </c>
      <c r="M4606">
        <v>11</v>
      </c>
      <c r="P4606" s="13">
        <v>169</v>
      </c>
      <c r="Q4606" s="13">
        <v>46</v>
      </c>
      <c r="R4606">
        <v>28</v>
      </c>
      <c r="S4606">
        <v>30</v>
      </c>
      <c r="T4606" s="13">
        <v>28</v>
      </c>
      <c r="U4606" s="13">
        <v>44</v>
      </c>
      <c r="V4606" t="s">
        <v>99</v>
      </c>
      <c r="X4606" s="13">
        <v>169</v>
      </c>
    </row>
    <row r="4607" spans="1:24" x14ac:dyDescent="0.25">
      <c r="A4607" t="s">
        <v>4578</v>
      </c>
      <c r="B4607" t="s">
        <v>65</v>
      </c>
      <c r="C4607" t="s">
        <v>4559</v>
      </c>
      <c r="D4607" t="s">
        <v>4560</v>
      </c>
      <c r="E4607" t="s">
        <v>4561</v>
      </c>
      <c r="F4607" t="s">
        <v>94</v>
      </c>
      <c r="G4607" t="s">
        <v>277</v>
      </c>
      <c r="H4607" s="12">
        <v>6.1882999999999999</v>
      </c>
      <c r="I4607" s="12">
        <v>-74.458470000000005</v>
      </c>
      <c r="J4607" t="s">
        <v>4562</v>
      </c>
      <c r="K4607" t="s">
        <v>97</v>
      </c>
      <c r="L4607" t="s">
        <v>1273</v>
      </c>
      <c r="M4607">
        <v>11</v>
      </c>
      <c r="P4607" s="13">
        <v>164</v>
      </c>
      <c r="Q4607" s="13">
        <v>44</v>
      </c>
      <c r="R4607">
        <v>28</v>
      </c>
      <c r="S4607">
        <v>28</v>
      </c>
      <c r="T4607" s="13">
        <v>26</v>
      </c>
      <c r="U4607" s="13">
        <v>49</v>
      </c>
      <c r="V4607" t="s">
        <v>99</v>
      </c>
      <c r="X4607" s="13">
        <v>164</v>
      </c>
    </row>
    <row r="4608" spans="1:24" x14ac:dyDescent="0.25">
      <c r="A4608" t="s">
        <v>4579</v>
      </c>
      <c r="B4608" t="s">
        <v>65</v>
      </c>
      <c r="C4608" t="s">
        <v>4559</v>
      </c>
      <c r="D4608" t="s">
        <v>4560</v>
      </c>
      <c r="E4608" t="s">
        <v>4561</v>
      </c>
      <c r="F4608" t="s">
        <v>94</v>
      </c>
      <c r="G4608" t="s">
        <v>277</v>
      </c>
      <c r="H4608" s="12">
        <v>6.1882999999999999</v>
      </c>
      <c r="I4608" s="12">
        <v>-74.458470000000005</v>
      </c>
      <c r="J4608" t="s">
        <v>4562</v>
      </c>
      <c r="K4608" t="s">
        <v>97</v>
      </c>
      <c r="L4608" t="s">
        <v>1273</v>
      </c>
      <c r="M4608">
        <v>11</v>
      </c>
      <c r="P4608" s="13">
        <v>163</v>
      </c>
      <c r="Q4608" s="13">
        <v>49</v>
      </c>
      <c r="R4608">
        <v>18</v>
      </c>
      <c r="S4608">
        <v>30</v>
      </c>
      <c r="T4608" s="13">
        <v>34</v>
      </c>
      <c r="U4608" s="13">
        <v>31</v>
      </c>
      <c r="V4608" t="s">
        <v>99</v>
      </c>
      <c r="X4608" s="13">
        <v>163</v>
      </c>
    </row>
    <row r="4609" spans="1:24" x14ac:dyDescent="0.25">
      <c r="A4609" t="s">
        <v>4580</v>
      </c>
      <c r="B4609" t="s">
        <v>65</v>
      </c>
      <c r="C4609" t="s">
        <v>4559</v>
      </c>
      <c r="D4609" t="s">
        <v>4560</v>
      </c>
      <c r="E4609" t="s">
        <v>4561</v>
      </c>
      <c r="F4609" t="s">
        <v>94</v>
      </c>
      <c r="G4609" t="s">
        <v>277</v>
      </c>
      <c r="H4609" s="12">
        <v>6.1882999999999999</v>
      </c>
      <c r="I4609" s="12">
        <v>-74.458470000000005</v>
      </c>
      <c r="J4609" t="s">
        <v>4562</v>
      </c>
      <c r="K4609" t="s">
        <v>97</v>
      </c>
      <c r="L4609" t="s">
        <v>1273</v>
      </c>
      <c r="M4609">
        <v>11</v>
      </c>
      <c r="P4609" s="13">
        <v>162</v>
      </c>
      <c r="Q4609" s="13">
        <v>39</v>
      </c>
      <c r="R4609">
        <v>28</v>
      </c>
      <c r="S4609">
        <v>30</v>
      </c>
      <c r="T4609" s="13">
        <v>34</v>
      </c>
      <c r="U4609" s="13">
        <v>25</v>
      </c>
      <c r="V4609" t="s">
        <v>99</v>
      </c>
      <c r="X4609" s="13">
        <v>162</v>
      </c>
    </row>
    <row r="4610" spans="1:24" x14ac:dyDescent="0.25">
      <c r="A4610" t="s">
        <v>4581</v>
      </c>
      <c r="B4610" t="s">
        <v>65</v>
      </c>
      <c r="C4610" t="s">
        <v>4559</v>
      </c>
      <c r="D4610" t="s">
        <v>4560</v>
      </c>
      <c r="E4610" t="s">
        <v>4561</v>
      </c>
      <c r="F4610" t="s">
        <v>94</v>
      </c>
      <c r="G4610" t="s">
        <v>277</v>
      </c>
      <c r="H4610" s="12">
        <v>6.1882999999999999</v>
      </c>
      <c r="I4610" s="12">
        <v>-74.458470000000005</v>
      </c>
      <c r="J4610" t="s">
        <v>4562</v>
      </c>
      <c r="K4610" t="s">
        <v>97</v>
      </c>
      <c r="L4610" t="s">
        <v>1273</v>
      </c>
      <c r="M4610">
        <v>11</v>
      </c>
      <c r="P4610" s="13">
        <v>157</v>
      </c>
      <c r="Q4610" s="13">
        <v>39</v>
      </c>
      <c r="R4610">
        <v>14</v>
      </c>
      <c r="S4610">
        <v>40</v>
      </c>
      <c r="T4610" s="13">
        <v>29</v>
      </c>
      <c r="U4610" s="13">
        <v>40</v>
      </c>
      <c r="V4610" t="s">
        <v>99</v>
      </c>
      <c r="X4610" s="13">
        <v>157</v>
      </c>
    </row>
    <row r="4611" spans="1:24" x14ac:dyDescent="0.25">
      <c r="A4611" t="s">
        <v>4582</v>
      </c>
      <c r="B4611" t="s">
        <v>65</v>
      </c>
      <c r="C4611" t="s">
        <v>4559</v>
      </c>
      <c r="D4611" t="s">
        <v>4560</v>
      </c>
      <c r="E4611" t="s">
        <v>4561</v>
      </c>
      <c r="F4611" t="s">
        <v>94</v>
      </c>
      <c r="G4611" t="s">
        <v>277</v>
      </c>
      <c r="H4611" s="12">
        <v>6.1882999999999999</v>
      </c>
      <c r="I4611" s="12">
        <v>-74.458470000000005</v>
      </c>
      <c r="J4611" t="s">
        <v>4562</v>
      </c>
      <c r="K4611" t="s">
        <v>97</v>
      </c>
      <c r="L4611" t="s">
        <v>1273</v>
      </c>
      <c r="M4611">
        <v>11</v>
      </c>
      <c r="P4611" s="13">
        <v>155</v>
      </c>
      <c r="Q4611" s="13">
        <v>41</v>
      </c>
      <c r="R4611">
        <v>24</v>
      </c>
      <c r="S4611">
        <v>28</v>
      </c>
      <c r="T4611" s="13">
        <v>29</v>
      </c>
      <c r="U4611" s="13">
        <v>35</v>
      </c>
      <c r="V4611" t="s">
        <v>99</v>
      </c>
      <c r="X4611" s="13">
        <v>155</v>
      </c>
    </row>
    <row r="4612" spans="1:24" x14ac:dyDescent="0.25">
      <c r="A4612" t="s">
        <v>4583</v>
      </c>
      <c r="B4612" t="s">
        <v>65</v>
      </c>
      <c r="C4612" t="s">
        <v>4559</v>
      </c>
      <c r="D4612" t="s">
        <v>4560</v>
      </c>
      <c r="E4612" t="s">
        <v>4561</v>
      </c>
      <c r="F4612" t="s">
        <v>94</v>
      </c>
      <c r="G4612" t="s">
        <v>277</v>
      </c>
      <c r="H4612" s="12">
        <v>6.1882999999999999</v>
      </c>
      <c r="I4612" s="12">
        <v>-74.458470000000005</v>
      </c>
      <c r="J4612" t="s">
        <v>4562</v>
      </c>
      <c r="K4612" t="s">
        <v>97</v>
      </c>
      <c r="L4612" t="s">
        <v>1273</v>
      </c>
      <c r="M4612">
        <v>11</v>
      </c>
      <c r="P4612" s="13">
        <v>155</v>
      </c>
      <c r="Q4612" s="13">
        <v>49</v>
      </c>
      <c r="R4612">
        <v>14</v>
      </c>
      <c r="S4612">
        <v>34</v>
      </c>
      <c r="T4612" s="13">
        <v>26</v>
      </c>
      <c r="U4612" s="13">
        <v>35</v>
      </c>
      <c r="V4612" t="s">
        <v>99</v>
      </c>
      <c r="X4612" s="13">
        <v>155</v>
      </c>
    </row>
    <row r="4613" spans="1:24" x14ac:dyDescent="0.25">
      <c r="A4613" t="s">
        <v>4584</v>
      </c>
      <c r="B4613" t="s">
        <v>65</v>
      </c>
      <c r="C4613" t="s">
        <v>4559</v>
      </c>
      <c r="D4613" t="s">
        <v>4560</v>
      </c>
      <c r="E4613" t="s">
        <v>4561</v>
      </c>
      <c r="F4613" t="s">
        <v>94</v>
      </c>
      <c r="G4613" t="s">
        <v>277</v>
      </c>
      <c r="H4613" s="12">
        <v>6.1882999999999999</v>
      </c>
      <c r="I4613" s="12">
        <v>-74.458470000000005</v>
      </c>
      <c r="J4613" t="s">
        <v>4562</v>
      </c>
      <c r="K4613" t="s">
        <v>97</v>
      </c>
      <c r="L4613" t="s">
        <v>1273</v>
      </c>
      <c r="M4613">
        <v>11</v>
      </c>
      <c r="P4613" s="13">
        <v>153</v>
      </c>
      <c r="Q4613" s="13">
        <v>44</v>
      </c>
      <c r="R4613">
        <v>26</v>
      </c>
      <c r="S4613">
        <v>28</v>
      </c>
      <c r="T4613" s="13">
        <v>22</v>
      </c>
      <c r="U4613" s="13">
        <v>36</v>
      </c>
      <c r="V4613" t="s">
        <v>99</v>
      </c>
      <c r="X4613" s="13">
        <v>153</v>
      </c>
    </row>
    <row r="4614" spans="1:24" x14ac:dyDescent="0.25">
      <c r="A4614" t="s">
        <v>4585</v>
      </c>
      <c r="B4614" t="s">
        <v>65</v>
      </c>
      <c r="C4614" t="s">
        <v>4559</v>
      </c>
      <c r="D4614" t="s">
        <v>4560</v>
      </c>
      <c r="E4614" t="s">
        <v>4561</v>
      </c>
      <c r="F4614" t="s">
        <v>94</v>
      </c>
      <c r="G4614" t="s">
        <v>277</v>
      </c>
      <c r="H4614" s="12">
        <v>6.1882999999999999</v>
      </c>
      <c r="I4614" s="12">
        <v>-74.458470000000005</v>
      </c>
      <c r="J4614" t="s">
        <v>4562</v>
      </c>
      <c r="K4614" t="s">
        <v>97</v>
      </c>
      <c r="L4614" t="s">
        <v>1273</v>
      </c>
      <c r="M4614">
        <v>11</v>
      </c>
      <c r="P4614" s="13">
        <v>152</v>
      </c>
      <c r="Q4614" s="13">
        <v>41</v>
      </c>
      <c r="R4614">
        <v>16</v>
      </c>
      <c r="S4614">
        <v>28</v>
      </c>
      <c r="T4614" s="13">
        <v>29</v>
      </c>
      <c r="U4614" s="13">
        <v>51</v>
      </c>
      <c r="V4614" t="s">
        <v>99</v>
      </c>
      <c r="X4614" s="13">
        <v>152</v>
      </c>
    </row>
    <row r="4615" spans="1:24" x14ac:dyDescent="0.25">
      <c r="A4615" t="s">
        <v>4586</v>
      </c>
      <c r="B4615" t="s">
        <v>65</v>
      </c>
      <c r="C4615" t="s">
        <v>4559</v>
      </c>
      <c r="D4615" t="s">
        <v>4560</v>
      </c>
      <c r="E4615" t="s">
        <v>4561</v>
      </c>
      <c r="F4615" t="s">
        <v>94</v>
      </c>
      <c r="G4615" t="s">
        <v>277</v>
      </c>
      <c r="H4615" s="12">
        <v>6.1882999999999999</v>
      </c>
      <c r="I4615" s="12">
        <v>-74.458470000000005</v>
      </c>
      <c r="J4615" t="s">
        <v>4562</v>
      </c>
      <c r="K4615" t="s">
        <v>97</v>
      </c>
      <c r="L4615" t="s">
        <v>1273</v>
      </c>
      <c r="M4615">
        <v>11</v>
      </c>
      <c r="P4615" s="13">
        <v>146</v>
      </c>
      <c r="Q4615" s="13">
        <v>32</v>
      </c>
      <c r="R4615">
        <v>26</v>
      </c>
      <c r="S4615">
        <v>34</v>
      </c>
      <c r="T4615" s="13">
        <v>21</v>
      </c>
      <c r="U4615" s="13">
        <v>44</v>
      </c>
      <c r="V4615" t="s">
        <v>99</v>
      </c>
      <c r="X4615" s="13">
        <v>146</v>
      </c>
    </row>
    <row r="4616" spans="1:24" x14ac:dyDescent="0.25">
      <c r="A4616" t="s">
        <v>4587</v>
      </c>
      <c r="B4616" t="s">
        <v>65</v>
      </c>
      <c r="C4616" t="s">
        <v>4559</v>
      </c>
      <c r="D4616" t="s">
        <v>4560</v>
      </c>
      <c r="E4616" t="s">
        <v>4561</v>
      </c>
      <c r="F4616" t="s">
        <v>94</v>
      </c>
      <c r="G4616" t="s">
        <v>277</v>
      </c>
      <c r="H4616" s="12">
        <v>6.1882999999999999</v>
      </c>
      <c r="I4616" s="12">
        <v>-74.458470000000005</v>
      </c>
      <c r="J4616" t="s">
        <v>4562</v>
      </c>
      <c r="K4616" t="s">
        <v>97</v>
      </c>
      <c r="L4616" t="s">
        <v>1273</v>
      </c>
      <c r="M4616">
        <v>11</v>
      </c>
      <c r="P4616" s="13">
        <v>144</v>
      </c>
      <c r="Q4616" s="13">
        <v>22</v>
      </c>
      <c r="R4616">
        <v>26</v>
      </c>
      <c r="S4616">
        <v>42</v>
      </c>
      <c r="T4616" s="13">
        <v>21</v>
      </c>
      <c r="U4616" s="13">
        <v>42</v>
      </c>
      <c r="V4616" t="s">
        <v>99</v>
      </c>
      <c r="X4616" s="13">
        <v>144</v>
      </c>
    </row>
    <row r="4617" spans="1:24" x14ac:dyDescent="0.25">
      <c r="A4617" t="s">
        <v>4588</v>
      </c>
      <c r="B4617" t="s">
        <v>65</v>
      </c>
      <c r="C4617" t="s">
        <v>4559</v>
      </c>
      <c r="D4617" t="s">
        <v>4560</v>
      </c>
      <c r="E4617" t="s">
        <v>4561</v>
      </c>
      <c r="F4617" t="s">
        <v>94</v>
      </c>
      <c r="G4617" t="s">
        <v>277</v>
      </c>
      <c r="H4617" s="12">
        <v>6.1882999999999999</v>
      </c>
      <c r="I4617" s="12">
        <v>-74.458470000000005</v>
      </c>
      <c r="J4617" t="s">
        <v>4562</v>
      </c>
      <c r="K4617" t="s">
        <v>97</v>
      </c>
      <c r="L4617" t="s">
        <v>1273</v>
      </c>
      <c r="M4617">
        <v>11</v>
      </c>
      <c r="P4617" s="13">
        <v>138</v>
      </c>
      <c r="Q4617" s="13">
        <v>39</v>
      </c>
      <c r="R4617">
        <v>26</v>
      </c>
      <c r="S4617">
        <v>22</v>
      </c>
      <c r="T4617" s="13">
        <v>21</v>
      </c>
      <c r="U4617" s="13">
        <v>35</v>
      </c>
      <c r="V4617" t="s">
        <v>99</v>
      </c>
      <c r="X4617" s="13">
        <v>138</v>
      </c>
    </row>
    <row r="4618" spans="1:24" x14ac:dyDescent="0.25">
      <c r="A4618" t="s">
        <v>4589</v>
      </c>
      <c r="B4618" t="s">
        <v>65</v>
      </c>
      <c r="C4618" t="s">
        <v>4559</v>
      </c>
      <c r="D4618" t="s">
        <v>4560</v>
      </c>
      <c r="E4618" t="s">
        <v>4561</v>
      </c>
      <c r="F4618" t="s">
        <v>94</v>
      </c>
      <c r="G4618" t="s">
        <v>277</v>
      </c>
      <c r="H4618" s="12">
        <v>6.1882999999999999</v>
      </c>
      <c r="I4618" s="12">
        <v>-74.458470000000005</v>
      </c>
      <c r="J4618" t="s">
        <v>4562</v>
      </c>
      <c r="K4618" t="s">
        <v>97</v>
      </c>
      <c r="L4618" t="s">
        <v>1273</v>
      </c>
      <c r="M4618">
        <v>11</v>
      </c>
      <c r="P4618" s="13">
        <v>133</v>
      </c>
      <c r="Q4618" s="13">
        <v>27</v>
      </c>
      <c r="R4618">
        <v>24</v>
      </c>
      <c r="S4618">
        <v>20</v>
      </c>
      <c r="T4618" s="13">
        <v>34</v>
      </c>
      <c r="U4618" s="13">
        <v>29</v>
      </c>
      <c r="V4618" t="s">
        <v>99</v>
      </c>
      <c r="X4618" s="13">
        <v>133</v>
      </c>
    </row>
    <row r="4619" spans="1:24" x14ac:dyDescent="0.25">
      <c r="A4619" t="s">
        <v>4590</v>
      </c>
      <c r="B4619" t="s">
        <v>65</v>
      </c>
      <c r="C4619" t="s">
        <v>4559</v>
      </c>
      <c r="D4619" t="s">
        <v>4560</v>
      </c>
      <c r="E4619" t="s">
        <v>4561</v>
      </c>
      <c r="F4619" t="s">
        <v>94</v>
      </c>
      <c r="G4619" t="s">
        <v>277</v>
      </c>
      <c r="H4619" s="12">
        <v>6.1882999999999999</v>
      </c>
      <c r="I4619" s="12">
        <v>-74.458470000000005</v>
      </c>
      <c r="J4619" t="s">
        <v>4562</v>
      </c>
      <c r="K4619" t="s">
        <v>97</v>
      </c>
      <c r="L4619" t="s">
        <v>1273</v>
      </c>
      <c r="M4619">
        <v>11</v>
      </c>
      <c r="P4619" s="13">
        <v>130</v>
      </c>
      <c r="Q4619" s="13">
        <v>24</v>
      </c>
      <c r="R4619">
        <v>30</v>
      </c>
      <c r="S4619">
        <v>24</v>
      </c>
      <c r="T4619" s="13">
        <v>22</v>
      </c>
      <c r="U4619" s="13">
        <v>35</v>
      </c>
      <c r="V4619" t="s">
        <v>99</v>
      </c>
      <c r="X4619" s="13">
        <v>130</v>
      </c>
    </row>
    <row r="4620" spans="1:24" x14ac:dyDescent="0.25">
      <c r="A4620" t="s">
        <v>4591</v>
      </c>
      <c r="B4620" t="s">
        <v>65</v>
      </c>
      <c r="C4620" t="s">
        <v>4559</v>
      </c>
      <c r="D4620" t="s">
        <v>4560</v>
      </c>
      <c r="E4620" t="s">
        <v>4561</v>
      </c>
      <c r="F4620" t="s">
        <v>94</v>
      </c>
      <c r="G4620" t="s">
        <v>277</v>
      </c>
      <c r="H4620" s="12">
        <v>6.1882999999999999</v>
      </c>
      <c r="I4620" s="12">
        <v>-74.458470000000005</v>
      </c>
      <c r="J4620" t="s">
        <v>4562</v>
      </c>
      <c r="K4620" t="s">
        <v>97</v>
      </c>
      <c r="L4620" t="s">
        <v>1273</v>
      </c>
      <c r="M4620">
        <v>11</v>
      </c>
      <c r="P4620" s="13">
        <v>128</v>
      </c>
      <c r="Q4620" s="13">
        <v>27</v>
      </c>
      <c r="R4620">
        <v>24</v>
      </c>
      <c r="S4620">
        <v>28</v>
      </c>
      <c r="T4620" s="13">
        <v>22</v>
      </c>
      <c r="U4620" s="13">
        <v>29</v>
      </c>
      <c r="V4620" t="s">
        <v>99</v>
      </c>
      <c r="X4620" s="13">
        <v>128</v>
      </c>
    </row>
    <row r="4621" spans="1:24" x14ac:dyDescent="0.25">
      <c r="A4621" t="s">
        <v>4592</v>
      </c>
      <c r="B4621" t="s">
        <v>65</v>
      </c>
      <c r="C4621" t="s">
        <v>4559</v>
      </c>
      <c r="D4621" t="s">
        <v>4560</v>
      </c>
      <c r="E4621" t="s">
        <v>4561</v>
      </c>
      <c r="F4621" t="s">
        <v>94</v>
      </c>
      <c r="G4621" t="s">
        <v>277</v>
      </c>
      <c r="H4621" s="12">
        <v>6.1882999999999999</v>
      </c>
      <c r="I4621" s="12">
        <v>-74.458470000000005</v>
      </c>
      <c r="J4621" t="s">
        <v>4562</v>
      </c>
      <c r="K4621" t="s">
        <v>97</v>
      </c>
      <c r="L4621" t="s">
        <v>1273</v>
      </c>
      <c r="M4621">
        <v>11</v>
      </c>
      <c r="P4621" s="13">
        <v>124</v>
      </c>
      <c r="Q4621" s="13">
        <v>27</v>
      </c>
      <c r="R4621">
        <v>26</v>
      </c>
      <c r="S4621">
        <v>22</v>
      </c>
      <c r="T4621" s="13">
        <v>21</v>
      </c>
      <c r="U4621" s="13">
        <v>35</v>
      </c>
      <c r="V4621" t="s">
        <v>99</v>
      </c>
      <c r="X4621" s="13">
        <v>124</v>
      </c>
    </row>
    <row r="4622" spans="1:24" x14ac:dyDescent="0.25">
      <c r="A4622" t="s">
        <v>4593</v>
      </c>
      <c r="B4622" t="s">
        <v>65</v>
      </c>
      <c r="C4622" t="s">
        <v>4594</v>
      </c>
      <c r="D4622" t="s">
        <v>4595</v>
      </c>
      <c r="E4622" t="s">
        <v>4561</v>
      </c>
      <c r="F4622" t="s">
        <v>94</v>
      </c>
      <c r="G4622" t="s">
        <v>277</v>
      </c>
      <c r="H4622" s="12">
        <v>6.1882999999999999</v>
      </c>
      <c r="I4622" s="12">
        <v>-74.458470000000005</v>
      </c>
      <c r="J4622" t="s">
        <v>4596</v>
      </c>
      <c r="K4622" t="s">
        <v>97</v>
      </c>
      <c r="L4622" t="s">
        <v>1273</v>
      </c>
      <c r="M4622">
        <v>11</v>
      </c>
      <c r="P4622" s="13">
        <v>223</v>
      </c>
      <c r="Q4622" s="13">
        <v>51</v>
      </c>
      <c r="R4622">
        <v>38</v>
      </c>
      <c r="S4622">
        <v>38</v>
      </c>
      <c r="T4622" s="13">
        <v>41</v>
      </c>
      <c r="U4622" s="13">
        <v>73</v>
      </c>
      <c r="V4622" t="s">
        <v>99</v>
      </c>
      <c r="X4622" s="13">
        <v>223</v>
      </c>
    </row>
    <row r="4623" spans="1:24" x14ac:dyDescent="0.25">
      <c r="A4623" t="s">
        <v>4597</v>
      </c>
      <c r="B4623" t="s">
        <v>65</v>
      </c>
      <c r="C4623" t="s">
        <v>4594</v>
      </c>
      <c r="D4623" t="s">
        <v>4595</v>
      </c>
      <c r="E4623" t="s">
        <v>4561</v>
      </c>
      <c r="F4623" t="s">
        <v>94</v>
      </c>
      <c r="G4623" t="s">
        <v>277</v>
      </c>
      <c r="H4623" s="12">
        <v>6.1882999999999999</v>
      </c>
      <c r="I4623" s="12">
        <v>-74.458470000000005</v>
      </c>
      <c r="J4623" t="s">
        <v>4596</v>
      </c>
      <c r="K4623" t="s">
        <v>97</v>
      </c>
      <c r="L4623" t="s">
        <v>1273</v>
      </c>
      <c r="M4623">
        <v>11</v>
      </c>
      <c r="P4623" s="13">
        <v>214</v>
      </c>
      <c r="Q4623" s="13">
        <v>56</v>
      </c>
      <c r="R4623">
        <v>30</v>
      </c>
      <c r="S4623">
        <v>50</v>
      </c>
      <c r="T4623" s="13">
        <v>33</v>
      </c>
      <c r="U4623" s="13">
        <v>49</v>
      </c>
      <c r="V4623" t="s">
        <v>99</v>
      </c>
      <c r="X4623" s="13">
        <v>214</v>
      </c>
    </row>
    <row r="4624" spans="1:24" x14ac:dyDescent="0.25">
      <c r="A4624" t="s">
        <v>4598</v>
      </c>
      <c r="B4624" t="s">
        <v>65</v>
      </c>
      <c r="C4624" t="s">
        <v>4594</v>
      </c>
      <c r="D4624" t="s">
        <v>4595</v>
      </c>
      <c r="E4624" t="s">
        <v>4561</v>
      </c>
      <c r="F4624" t="s">
        <v>94</v>
      </c>
      <c r="G4624" t="s">
        <v>277</v>
      </c>
      <c r="H4624" s="12">
        <v>6.1882999999999999</v>
      </c>
      <c r="I4624" s="12">
        <v>-74.458470000000005</v>
      </c>
      <c r="J4624" t="s">
        <v>4596</v>
      </c>
      <c r="K4624" t="s">
        <v>97</v>
      </c>
      <c r="L4624" t="s">
        <v>1273</v>
      </c>
      <c r="M4624">
        <v>11</v>
      </c>
      <c r="P4624" s="13">
        <v>202</v>
      </c>
      <c r="Q4624" s="13">
        <v>44</v>
      </c>
      <c r="R4624">
        <v>28</v>
      </c>
      <c r="S4624">
        <v>54</v>
      </c>
      <c r="T4624" s="13">
        <v>36</v>
      </c>
      <c r="U4624" s="13">
        <v>40</v>
      </c>
      <c r="V4624" t="s">
        <v>99</v>
      </c>
      <c r="X4624" s="13">
        <v>202</v>
      </c>
    </row>
    <row r="4625" spans="1:24" x14ac:dyDescent="0.25">
      <c r="A4625" t="s">
        <v>4599</v>
      </c>
      <c r="B4625" t="s">
        <v>65</v>
      </c>
      <c r="C4625" t="s">
        <v>4594</v>
      </c>
      <c r="D4625" t="s">
        <v>4595</v>
      </c>
      <c r="E4625" t="s">
        <v>4561</v>
      </c>
      <c r="F4625" t="s">
        <v>94</v>
      </c>
      <c r="G4625" t="s">
        <v>277</v>
      </c>
      <c r="H4625" s="12">
        <v>6.1882999999999999</v>
      </c>
      <c r="I4625" s="12">
        <v>-74.458470000000005</v>
      </c>
      <c r="J4625" t="s">
        <v>4596</v>
      </c>
      <c r="K4625" t="s">
        <v>97</v>
      </c>
      <c r="L4625" t="s">
        <v>1273</v>
      </c>
      <c r="M4625">
        <v>11</v>
      </c>
      <c r="P4625" s="13">
        <v>186</v>
      </c>
      <c r="Q4625" s="13">
        <v>46</v>
      </c>
      <c r="R4625">
        <v>24</v>
      </c>
      <c r="S4625">
        <v>52</v>
      </c>
      <c r="T4625" s="13">
        <v>28</v>
      </c>
      <c r="U4625" s="13">
        <v>35</v>
      </c>
      <c r="V4625" t="s">
        <v>99</v>
      </c>
      <c r="X4625" s="13">
        <v>186</v>
      </c>
    </row>
    <row r="4626" spans="1:24" x14ac:dyDescent="0.25">
      <c r="A4626" t="s">
        <v>4600</v>
      </c>
      <c r="B4626" t="s">
        <v>65</v>
      </c>
      <c r="C4626" t="s">
        <v>4594</v>
      </c>
      <c r="D4626" t="s">
        <v>4595</v>
      </c>
      <c r="E4626" t="s">
        <v>4561</v>
      </c>
      <c r="F4626" t="s">
        <v>94</v>
      </c>
      <c r="G4626" t="s">
        <v>277</v>
      </c>
      <c r="H4626" s="12">
        <v>6.1882999999999999</v>
      </c>
      <c r="I4626" s="12">
        <v>-74.458470000000005</v>
      </c>
      <c r="J4626" t="s">
        <v>4596</v>
      </c>
      <c r="K4626" t="s">
        <v>97</v>
      </c>
      <c r="L4626" t="s">
        <v>1273</v>
      </c>
      <c r="M4626">
        <v>11</v>
      </c>
      <c r="P4626" s="13">
        <v>167</v>
      </c>
      <c r="Q4626" s="13">
        <v>49</v>
      </c>
      <c r="R4626">
        <v>18</v>
      </c>
      <c r="S4626">
        <v>40</v>
      </c>
      <c r="T4626" s="13">
        <v>26</v>
      </c>
      <c r="U4626" s="13">
        <v>36</v>
      </c>
      <c r="V4626" t="s">
        <v>99</v>
      </c>
      <c r="X4626" s="13">
        <v>167</v>
      </c>
    </row>
    <row r="4627" spans="1:24" x14ac:dyDescent="0.25">
      <c r="A4627" t="s">
        <v>4601</v>
      </c>
      <c r="B4627" t="s">
        <v>65</v>
      </c>
      <c r="C4627" t="s">
        <v>4594</v>
      </c>
      <c r="D4627" t="s">
        <v>4595</v>
      </c>
      <c r="E4627" t="s">
        <v>4561</v>
      </c>
      <c r="F4627" t="s">
        <v>94</v>
      </c>
      <c r="G4627" t="s">
        <v>277</v>
      </c>
      <c r="H4627" s="12">
        <v>6.1882999999999999</v>
      </c>
      <c r="I4627" s="12">
        <v>-74.458470000000005</v>
      </c>
      <c r="J4627" t="s">
        <v>4596</v>
      </c>
      <c r="K4627" t="s">
        <v>97</v>
      </c>
      <c r="L4627" t="s">
        <v>1273</v>
      </c>
      <c r="M4627">
        <v>11</v>
      </c>
      <c r="P4627" s="13">
        <v>165</v>
      </c>
      <c r="Q4627" s="13">
        <v>22</v>
      </c>
      <c r="R4627">
        <v>48</v>
      </c>
      <c r="S4627">
        <v>26</v>
      </c>
      <c r="T4627" s="13">
        <v>36</v>
      </c>
      <c r="U4627" s="13">
        <v>33</v>
      </c>
      <c r="V4627" t="s">
        <v>99</v>
      </c>
      <c r="X4627" s="13">
        <v>165</v>
      </c>
    </row>
    <row r="4628" spans="1:24" x14ac:dyDescent="0.25">
      <c r="A4628" t="s">
        <v>4602</v>
      </c>
      <c r="B4628" t="s">
        <v>65</v>
      </c>
      <c r="C4628" t="s">
        <v>4594</v>
      </c>
      <c r="D4628" t="s">
        <v>4595</v>
      </c>
      <c r="E4628" t="s">
        <v>4561</v>
      </c>
      <c r="F4628" t="s">
        <v>94</v>
      </c>
      <c r="G4628" t="s">
        <v>277</v>
      </c>
      <c r="H4628" s="12">
        <v>6.1882999999999999</v>
      </c>
      <c r="I4628" s="12">
        <v>-74.458470000000005</v>
      </c>
      <c r="J4628" t="s">
        <v>4596</v>
      </c>
      <c r="K4628" t="s">
        <v>97</v>
      </c>
      <c r="L4628" t="s">
        <v>1273</v>
      </c>
      <c r="M4628">
        <v>11</v>
      </c>
      <c r="P4628" s="13">
        <v>158</v>
      </c>
      <c r="Q4628" s="13">
        <v>37</v>
      </c>
      <c r="R4628">
        <v>38</v>
      </c>
      <c r="S4628">
        <v>38</v>
      </c>
      <c r="T4628" s="13">
        <v>12</v>
      </c>
      <c r="U4628" s="13">
        <v>36</v>
      </c>
      <c r="V4628" t="s">
        <v>99</v>
      </c>
      <c r="X4628" s="13">
        <v>158</v>
      </c>
    </row>
    <row r="4629" spans="1:24" x14ac:dyDescent="0.25">
      <c r="A4629" t="s">
        <v>4603</v>
      </c>
      <c r="B4629" t="s">
        <v>65</v>
      </c>
      <c r="C4629" t="s">
        <v>4594</v>
      </c>
      <c r="D4629" t="s">
        <v>4595</v>
      </c>
      <c r="E4629" t="s">
        <v>4561</v>
      </c>
      <c r="F4629" t="s">
        <v>94</v>
      </c>
      <c r="G4629" t="s">
        <v>277</v>
      </c>
      <c r="H4629" s="12">
        <v>6.1882999999999999</v>
      </c>
      <c r="I4629" s="12">
        <v>-74.458470000000005</v>
      </c>
      <c r="J4629" t="s">
        <v>4596</v>
      </c>
      <c r="K4629" t="s">
        <v>97</v>
      </c>
      <c r="L4629" t="s">
        <v>1273</v>
      </c>
      <c r="M4629">
        <v>11</v>
      </c>
      <c r="P4629" s="13">
        <v>157</v>
      </c>
      <c r="Q4629" s="13">
        <v>41</v>
      </c>
      <c r="R4629">
        <v>24</v>
      </c>
      <c r="S4629">
        <v>28</v>
      </c>
      <c r="T4629" s="13">
        <v>33</v>
      </c>
      <c r="U4629" s="13">
        <v>29</v>
      </c>
      <c r="V4629" t="s">
        <v>99</v>
      </c>
      <c r="X4629" s="13">
        <v>157</v>
      </c>
    </row>
    <row r="4630" spans="1:24" x14ac:dyDescent="0.25">
      <c r="A4630" t="s">
        <v>4604</v>
      </c>
      <c r="B4630" t="s">
        <v>65</v>
      </c>
      <c r="C4630" t="s">
        <v>4594</v>
      </c>
      <c r="D4630" t="s">
        <v>4595</v>
      </c>
      <c r="E4630" t="s">
        <v>4561</v>
      </c>
      <c r="F4630" t="s">
        <v>94</v>
      </c>
      <c r="G4630" t="s">
        <v>277</v>
      </c>
      <c r="H4630" s="12">
        <v>6.1882999999999999</v>
      </c>
      <c r="I4630" s="12">
        <v>-74.458470000000005</v>
      </c>
      <c r="J4630" t="s">
        <v>4596</v>
      </c>
      <c r="K4630" t="s">
        <v>97</v>
      </c>
      <c r="L4630" t="s">
        <v>1273</v>
      </c>
      <c r="M4630">
        <v>11</v>
      </c>
      <c r="P4630" s="13">
        <v>155</v>
      </c>
      <c r="Q4630" s="13">
        <v>49</v>
      </c>
      <c r="R4630">
        <v>32</v>
      </c>
      <c r="S4630">
        <v>28</v>
      </c>
      <c r="T4630" s="13">
        <v>26</v>
      </c>
      <c r="U4630" s="13">
        <v>0</v>
      </c>
      <c r="V4630" t="s">
        <v>99</v>
      </c>
      <c r="X4630" s="13">
        <v>155</v>
      </c>
    </row>
    <row r="4631" spans="1:24" x14ac:dyDescent="0.25">
      <c r="A4631" t="s">
        <v>4605</v>
      </c>
      <c r="B4631" t="s">
        <v>65</v>
      </c>
      <c r="C4631" t="s">
        <v>4594</v>
      </c>
      <c r="D4631" t="s">
        <v>4595</v>
      </c>
      <c r="E4631" t="s">
        <v>4561</v>
      </c>
      <c r="F4631" t="s">
        <v>94</v>
      </c>
      <c r="G4631" t="s">
        <v>277</v>
      </c>
      <c r="H4631" s="12">
        <v>6.1882999999999999</v>
      </c>
      <c r="I4631" s="12">
        <v>-74.458470000000005</v>
      </c>
      <c r="J4631" t="s">
        <v>4596</v>
      </c>
      <c r="K4631" t="s">
        <v>97</v>
      </c>
      <c r="L4631" t="s">
        <v>1273</v>
      </c>
      <c r="M4631">
        <v>11</v>
      </c>
      <c r="P4631" s="13">
        <v>154</v>
      </c>
      <c r="Q4631" s="13">
        <v>29</v>
      </c>
      <c r="R4631">
        <v>36</v>
      </c>
      <c r="S4631">
        <v>36</v>
      </c>
      <c r="T4631" s="13">
        <v>24</v>
      </c>
      <c r="U4631" s="13">
        <v>25</v>
      </c>
      <c r="V4631" t="s">
        <v>99</v>
      </c>
      <c r="X4631" s="13">
        <v>154</v>
      </c>
    </row>
    <row r="4632" spans="1:24" x14ac:dyDescent="0.25">
      <c r="A4632" t="s">
        <v>4606</v>
      </c>
      <c r="B4632" t="s">
        <v>65</v>
      </c>
      <c r="C4632" t="s">
        <v>4594</v>
      </c>
      <c r="D4632" t="s">
        <v>4595</v>
      </c>
      <c r="E4632" t="s">
        <v>4561</v>
      </c>
      <c r="F4632" t="s">
        <v>94</v>
      </c>
      <c r="G4632" t="s">
        <v>277</v>
      </c>
      <c r="H4632" s="12">
        <v>6.1882999999999999</v>
      </c>
      <c r="I4632" s="12">
        <v>-74.458470000000005</v>
      </c>
      <c r="J4632" t="s">
        <v>4596</v>
      </c>
      <c r="K4632" t="s">
        <v>97</v>
      </c>
      <c r="L4632" t="s">
        <v>1273</v>
      </c>
      <c r="M4632">
        <v>11</v>
      </c>
      <c r="P4632" s="13">
        <v>154</v>
      </c>
      <c r="Q4632" s="13">
        <v>44</v>
      </c>
      <c r="R4632">
        <v>32</v>
      </c>
      <c r="S4632">
        <v>16</v>
      </c>
      <c r="T4632" s="13">
        <v>34</v>
      </c>
      <c r="U4632" s="13">
        <v>20</v>
      </c>
      <c r="V4632" t="s">
        <v>99</v>
      </c>
      <c r="X4632" s="13">
        <v>154</v>
      </c>
    </row>
    <row r="4633" spans="1:24" x14ac:dyDescent="0.25">
      <c r="A4633" t="s">
        <v>4607</v>
      </c>
      <c r="B4633" t="s">
        <v>65</v>
      </c>
      <c r="C4633" t="s">
        <v>4594</v>
      </c>
      <c r="D4633" t="s">
        <v>4595</v>
      </c>
      <c r="E4633" t="s">
        <v>4561</v>
      </c>
      <c r="F4633" t="s">
        <v>94</v>
      </c>
      <c r="G4633" t="s">
        <v>277</v>
      </c>
      <c r="H4633" s="12">
        <v>6.1882999999999999</v>
      </c>
      <c r="I4633" s="12">
        <v>-74.458470000000005</v>
      </c>
      <c r="J4633" t="s">
        <v>4596</v>
      </c>
      <c r="K4633" t="s">
        <v>97</v>
      </c>
      <c r="L4633" t="s">
        <v>1273</v>
      </c>
      <c r="M4633">
        <v>11</v>
      </c>
      <c r="P4633" s="13">
        <v>149</v>
      </c>
      <c r="Q4633" s="13">
        <v>29</v>
      </c>
      <c r="R4633">
        <v>20</v>
      </c>
      <c r="S4633">
        <v>38</v>
      </c>
      <c r="T4633" s="13">
        <v>33</v>
      </c>
      <c r="U4633" s="13">
        <v>27</v>
      </c>
      <c r="V4633" t="s">
        <v>99</v>
      </c>
      <c r="X4633" s="13">
        <v>149</v>
      </c>
    </row>
    <row r="4634" spans="1:24" x14ac:dyDescent="0.25">
      <c r="A4634" t="s">
        <v>4608</v>
      </c>
      <c r="B4634" t="s">
        <v>65</v>
      </c>
      <c r="C4634" t="s">
        <v>4594</v>
      </c>
      <c r="D4634" t="s">
        <v>4595</v>
      </c>
      <c r="E4634" t="s">
        <v>4561</v>
      </c>
      <c r="F4634" t="s">
        <v>94</v>
      </c>
      <c r="G4634" t="s">
        <v>277</v>
      </c>
      <c r="H4634" s="12">
        <v>6.1882999999999999</v>
      </c>
      <c r="I4634" s="12">
        <v>-74.458470000000005</v>
      </c>
      <c r="J4634" t="s">
        <v>4596</v>
      </c>
      <c r="K4634" t="s">
        <v>97</v>
      </c>
      <c r="L4634" t="s">
        <v>1273</v>
      </c>
      <c r="M4634">
        <v>11</v>
      </c>
      <c r="P4634" s="13">
        <v>148</v>
      </c>
      <c r="Q4634" s="13">
        <v>29</v>
      </c>
      <c r="R4634">
        <v>28</v>
      </c>
      <c r="S4634">
        <v>30</v>
      </c>
      <c r="T4634" s="13">
        <v>33</v>
      </c>
      <c r="U4634" s="13">
        <v>25</v>
      </c>
      <c r="V4634" t="s">
        <v>99</v>
      </c>
      <c r="X4634" s="13">
        <v>148</v>
      </c>
    </row>
    <row r="4635" spans="1:24" x14ac:dyDescent="0.25">
      <c r="A4635" t="s">
        <v>4609</v>
      </c>
      <c r="B4635" t="s">
        <v>65</v>
      </c>
      <c r="C4635" t="s">
        <v>4594</v>
      </c>
      <c r="D4635" t="s">
        <v>4595</v>
      </c>
      <c r="E4635" t="s">
        <v>4561</v>
      </c>
      <c r="F4635" t="s">
        <v>94</v>
      </c>
      <c r="G4635" t="s">
        <v>277</v>
      </c>
      <c r="H4635" s="12">
        <v>6.1882999999999999</v>
      </c>
      <c r="I4635" s="12">
        <v>-74.458470000000005</v>
      </c>
      <c r="J4635" t="s">
        <v>4596</v>
      </c>
      <c r="K4635" t="s">
        <v>97</v>
      </c>
      <c r="L4635" t="s">
        <v>1273</v>
      </c>
      <c r="M4635">
        <v>11</v>
      </c>
      <c r="P4635" s="13">
        <v>148</v>
      </c>
      <c r="Q4635" s="13">
        <v>29</v>
      </c>
      <c r="R4635">
        <v>28</v>
      </c>
      <c r="S4635">
        <v>28</v>
      </c>
      <c r="T4635" s="13">
        <v>33</v>
      </c>
      <c r="U4635" s="13">
        <v>31</v>
      </c>
      <c r="V4635" t="s">
        <v>99</v>
      </c>
      <c r="X4635" s="13">
        <v>148</v>
      </c>
    </row>
    <row r="4636" spans="1:24" x14ac:dyDescent="0.25">
      <c r="A4636" t="s">
        <v>4610</v>
      </c>
      <c r="B4636" t="s">
        <v>65</v>
      </c>
      <c r="C4636" t="s">
        <v>4594</v>
      </c>
      <c r="D4636" t="s">
        <v>4595</v>
      </c>
      <c r="E4636" t="s">
        <v>4561</v>
      </c>
      <c r="F4636" t="s">
        <v>94</v>
      </c>
      <c r="G4636" t="s">
        <v>277</v>
      </c>
      <c r="H4636" s="12">
        <v>6.1882999999999999</v>
      </c>
      <c r="I4636" s="12">
        <v>-74.458470000000005</v>
      </c>
      <c r="J4636" t="s">
        <v>4596</v>
      </c>
      <c r="K4636" t="s">
        <v>97</v>
      </c>
      <c r="L4636" t="s">
        <v>1273</v>
      </c>
      <c r="M4636">
        <v>11</v>
      </c>
      <c r="P4636" s="13">
        <v>148</v>
      </c>
      <c r="Q4636" s="13">
        <v>49</v>
      </c>
      <c r="R4636">
        <v>20</v>
      </c>
      <c r="S4636">
        <v>24</v>
      </c>
      <c r="T4636" s="13">
        <v>22</v>
      </c>
      <c r="U4636" s="13">
        <v>38</v>
      </c>
      <c r="V4636" t="s">
        <v>99</v>
      </c>
      <c r="X4636" s="13">
        <v>148</v>
      </c>
    </row>
    <row r="4637" spans="1:24" x14ac:dyDescent="0.25">
      <c r="A4637" t="s">
        <v>4611</v>
      </c>
      <c r="B4637" t="s">
        <v>65</v>
      </c>
      <c r="C4637" t="s">
        <v>4594</v>
      </c>
      <c r="D4637" t="s">
        <v>4595</v>
      </c>
      <c r="E4637" t="s">
        <v>4561</v>
      </c>
      <c r="F4637" t="s">
        <v>94</v>
      </c>
      <c r="G4637" t="s">
        <v>277</v>
      </c>
      <c r="H4637" s="12">
        <v>6.1882999999999999</v>
      </c>
      <c r="I4637" s="12">
        <v>-74.458470000000005</v>
      </c>
      <c r="J4637" t="s">
        <v>4596</v>
      </c>
      <c r="K4637" t="s">
        <v>97</v>
      </c>
      <c r="L4637" t="s">
        <v>1273</v>
      </c>
      <c r="M4637">
        <v>11</v>
      </c>
      <c r="P4637" s="13">
        <v>148</v>
      </c>
      <c r="Q4637" s="13">
        <v>39</v>
      </c>
      <c r="R4637">
        <v>28</v>
      </c>
      <c r="S4637">
        <v>26</v>
      </c>
      <c r="T4637" s="13">
        <v>28</v>
      </c>
      <c r="U4637" s="13">
        <v>22</v>
      </c>
      <c r="V4637" t="s">
        <v>99</v>
      </c>
      <c r="X4637" s="13">
        <v>148</v>
      </c>
    </row>
    <row r="4638" spans="1:24" x14ac:dyDescent="0.25">
      <c r="A4638" t="s">
        <v>4612</v>
      </c>
      <c r="B4638" t="s">
        <v>65</v>
      </c>
      <c r="C4638" t="s">
        <v>4594</v>
      </c>
      <c r="D4638" t="s">
        <v>4595</v>
      </c>
      <c r="E4638" t="s">
        <v>4561</v>
      </c>
      <c r="F4638" t="s">
        <v>94</v>
      </c>
      <c r="G4638" t="s">
        <v>277</v>
      </c>
      <c r="H4638" s="12">
        <v>6.1882999999999999</v>
      </c>
      <c r="I4638" s="12">
        <v>-74.458470000000005</v>
      </c>
      <c r="J4638" t="s">
        <v>4596</v>
      </c>
      <c r="K4638" t="s">
        <v>97</v>
      </c>
      <c r="L4638" t="s">
        <v>1273</v>
      </c>
      <c r="M4638">
        <v>11</v>
      </c>
      <c r="P4638" s="13">
        <v>144</v>
      </c>
      <c r="Q4638" s="13">
        <v>44</v>
      </c>
      <c r="R4638">
        <v>22</v>
      </c>
      <c r="S4638">
        <v>30</v>
      </c>
      <c r="T4638" s="13">
        <v>21</v>
      </c>
      <c r="U4638" s="13">
        <v>25</v>
      </c>
      <c r="V4638" t="s">
        <v>99</v>
      </c>
      <c r="X4638" s="13">
        <v>144</v>
      </c>
    </row>
    <row r="4639" spans="1:24" x14ac:dyDescent="0.25">
      <c r="A4639" t="s">
        <v>4613</v>
      </c>
      <c r="B4639" t="s">
        <v>65</v>
      </c>
      <c r="C4639" t="s">
        <v>4594</v>
      </c>
      <c r="D4639" t="s">
        <v>4595</v>
      </c>
      <c r="E4639" t="s">
        <v>4561</v>
      </c>
      <c r="F4639" t="s">
        <v>94</v>
      </c>
      <c r="G4639" t="s">
        <v>277</v>
      </c>
      <c r="H4639" s="12">
        <v>6.1882999999999999</v>
      </c>
      <c r="I4639" s="12">
        <v>-74.458470000000005</v>
      </c>
      <c r="J4639" t="s">
        <v>4596</v>
      </c>
      <c r="K4639" t="s">
        <v>97</v>
      </c>
      <c r="L4639" t="s">
        <v>1273</v>
      </c>
      <c r="M4639">
        <v>11</v>
      </c>
      <c r="P4639" s="13">
        <v>144</v>
      </c>
      <c r="Q4639" s="13">
        <v>24</v>
      </c>
      <c r="R4639">
        <v>28</v>
      </c>
      <c r="S4639">
        <v>30</v>
      </c>
      <c r="T4639" s="13">
        <v>33</v>
      </c>
      <c r="U4639" s="13">
        <v>29</v>
      </c>
      <c r="V4639" t="s">
        <v>99</v>
      </c>
      <c r="X4639" s="13">
        <v>144</v>
      </c>
    </row>
    <row r="4640" spans="1:24" x14ac:dyDescent="0.25">
      <c r="A4640" t="s">
        <v>4614</v>
      </c>
      <c r="B4640" t="s">
        <v>65</v>
      </c>
      <c r="C4640" t="s">
        <v>4594</v>
      </c>
      <c r="D4640" t="s">
        <v>4595</v>
      </c>
      <c r="E4640" t="s">
        <v>4561</v>
      </c>
      <c r="F4640" t="s">
        <v>94</v>
      </c>
      <c r="G4640" t="s">
        <v>277</v>
      </c>
      <c r="H4640" s="12">
        <v>6.1882999999999999</v>
      </c>
      <c r="I4640" s="12">
        <v>-74.458470000000005</v>
      </c>
      <c r="J4640" t="s">
        <v>4596</v>
      </c>
      <c r="K4640" t="s">
        <v>97</v>
      </c>
      <c r="L4640" t="s">
        <v>1273</v>
      </c>
      <c r="M4640">
        <v>11</v>
      </c>
      <c r="P4640" s="13">
        <v>144</v>
      </c>
      <c r="Q4640" s="13">
        <v>29</v>
      </c>
      <c r="R4640">
        <v>32</v>
      </c>
      <c r="S4640">
        <v>26</v>
      </c>
      <c r="T4640" s="13">
        <v>28</v>
      </c>
      <c r="U4640" s="13">
        <v>29</v>
      </c>
      <c r="V4640" t="s">
        <v>99</v>
      </c>
      <c r="X4640" s="13">
        <v>144</v>
      </c>
    </row>
    <row r="4641" spans="1:24" x14ac:dyDescent="0.25">
      <c r="A4641" t="s">
        <v>4615</v>
      </c>
      <c r="B4641" t="s">
        <v>65</v>
      </c>
      <c r="C4641" t="s">
        <v>4594</v>
      </c>
      <c r="D4641" t="s">
        <v>4595</v>
      </c>
      <c r="E4641" t="s">
        <v>4561</v>
      </c>
      <c r="F4641" t="s">
        <v>94</v>
      </c>
      <c r="G4641" t="s">
        <v>277</v>
      </c>
      <c r="H4641" s="12">
        <v>6.1882999999999999</v>
      </c>
      <c r="I4641" s="12">
        <v>-74.458470000000005</v>
      </c>
      <c r="J4641" t="s">
        <v>4596</v>
      </c>
      <c r="K4641" t="s">
        <v>97</v>
      </c>
      <c r="L4641" t="s">
        <v>1273</v>
      </c>
      <c r="M4641">
        <v>11</v>
      </c>
      <c r="P4641" s="13">
        <v>144</v>
      </c>
      <c r="Q4641" s="13">
        <v>39</v>
      </c>
      <c r="R4641">
        <v>16</v>
      </c>
      <c r="S4641">
        <v>36</v>
      </c>
      <c r="T4641" s="13">
        <v>21</v>
      </c>
      <c r="U4641" s="13">
        <v>38</v>
      </c>
      <c r="V4641" t="s">
        <v>99</v>
      </c>
      <c r="X4641" s="13">
        <v>144</v>
      </c>
    </row>
    <row r="4642" spans="1:24" x14ac:dyDescent="0.25">
      <c r="A4642" t="s">
        <v>4616</v>
      </c>
      <c r="B4642" t="s">
        <v>65</v>
      </c>
      <c r="C4642" t="s">
        <v>4594</v>
      </c>
      <c r="D4642" t="s">
        <v>4595</v>
      </c>
      <c r="E4642" t="s">
        <v>4561</v>
      </c>
      <c r="F4642" t="s">
        <v>94</v>
      </c>
      <c r="G4642" t="s">
        <v>277</v>
      </c>
      <c r="H4642" s="12">
        <v>6.1882999999999999</v>
      </c>
      <c r="I4642" s="12">
        <v>-74.458470000000005</v>
      </c>
      <c r="J4642" t="s">
        <v>4596</v>
      </c>
      <c r="K4642" t="s">
        <v>97</v>
      </c>
      <c r="L4642" t="s">
        <v>1273</v>
      </c>
      <c r="M4642">
        <v>11</v>
      </c>
      <c r="P4642" s="13">
        <v>144</v>
      </c>
      <c r="Q4642" s="13">
        <v>41</v>
      </c>
      <c r="R4642">
        <v>30</v>
      </c>
      <c r="S4642">
        <v>18</v>
      </c>
      <c r="T4642" s="13">
        <v>26</v>
      </c>
      <c r="U4642" s="13">
        <v>27</v>
      </c>
      <c r="V4642" t="s">
        <v>99</v>
      </c>
      <c r="X4642" s="13">
        <v>144</v>
      </c>
    </row>
    <row r="4643" spans="1:24" x14ac:dyDescent="0.25">
      <c r="A4643" t="s">
        <v>4617</v>
      </c>
      <c r="B4643" t="s">
        <v>65</v>
      </c>
      <c r="C4643" t="s">
        <v>4594</v>
      </c>
      <c r="D4643" t="s">
        <v>4595</v>
      </c>
      <c r="E4643" t="s">
        <v>4561</v>
      </c>
      <c r="F4643" t="s">
        <v>94</v>
      </c>
      <c r="G4643" t="s">
        <v>277</v>
      </c>
      <c r="H4643" s="12">
        <v>6.1882999999999999</v>
      </c>
      <c r="I4643" s="12">
        <v>-74.458470000000005</v>
      </c>
      <c r="J4643" t="s">
        <v>4596</v>
      </c>
      <c r="K4643" t="s">
        <v>97</v>
      </c>
      <c r="L4643" t="s">
        <v>1273</v>
      </c>
      <c r="M4643">
        <v>11</v>
      </c>
      <c r="P4643" s="13">
        <v>133</v>
      </c>
      <c r="Q4643" s="13">
        <v>27</v>
      </c>
      <c r="R4643">
        <v>18</v>
      </c>
      <c r="S4643">
        <v>30</v>
      </c>
      <c r="T4643" s="13">
        <v>28</v>
      </c>
      <c r="U4643" s="13">
        <v>38</v>
      </c>
      <c r="V4643" t="s">
        <v>99</v>
      </c>
      <c r="X4643" s="13">
        <v>133</v>
      </c>
    </row>
    <row r="4644" spans="1:24" x14ac:dyDescent="0.25">
      <c r="A4644" t="s">
        <v>4618</v>
      </c>
      <c r="B4644" t="s">
        <v>65</v>
      </c>
      <c r="C4644" t="s">
        <v>4594</v>
      </c>
      <c r="D4644" t="s">
        <v>4595</v>
      </c>
      <c r="E4644" t="s">
        <v>4561</v>
      </c>
      <c r="F4644" t="s">
        <v>94</v>
      </c>
      <c r="G4644" t="s">
        <v>277</v>
      </c>
      <c r="H4644" s="12">
        <v>6.1882999999999999</v>
      </c>
      <c r="I4644" s="12">
        <v>-74.458470000000005</v>
      </c>
      <c r="J4644" t="s">
        <v>4596</v>
      </c>
      <c r="K4644" t="s">
        <v>97</v>
      </c>
      <c r="L4644" t="s">
        <v>1273</v>
      </c>
      <c r="M4644">
        <v>11</v>
      </c>
      <c r="P4644" s="13">
        <v>121</v>
      </c>
      <c r="Q4644" s="13">
        <v>24</v>
      </c>
      <c r="R4644">
        <v>30</v>
      </c>
      <c r="S4644">
        <v>20</v>
      </c>
      <c r="T4644" s="13">
        <v>21</v>
      </c>
      <c r="U4644" s="13">
        <v>29</v>
      </c>
      <c r="V4644" t="s">
        <v>99</v>
      </c>
      <c r="X4644" s="13">
        <v>121</v>
      </c>
    </row>
    <row r="4645" spans="1:24" x14ac:dyDescent="0.25">
      <c r="A4645" t="s">
        <v>4619</v>
      </c>
      <c r="B4645" t="s">
        <v>65</v>
      </c>
      <c r="C4645" t="s">
        <v>4594</v>
      </c>
      <c r="D4645" t="s">
        <v>4595</v>
      </c>
      <c r="E4645" t="s">
        <v>4561</v>
      </c>
      <c r="F4645" t="s">
        <v>94</v>
      </c>
      <c r="G4645" t="s">
        <v>277</v>
      </c>
      <c r="H4645" s="12">
        <v>6.1882999999999999</v>
      </c>
      <c r="I4645" s="12">
        <v>-74.458470000000005</v>
      </c>
      <c r="J4645" t="s">
        <v>4596</v>
      </c>
      <c r="K4645" t="s">
        <v>97</v>
      </c>
      <c r="L4645" t="s">
        <v>1273</v>
      </c>
      <c r="M4645">
        <v>11</v>
      </c>
      <c r="P4645" s="13">
        <v>118</v>
      </c>
      <c r="Q4645" s="13">
        <v>27</v>
      </c>
      <c r="R4645">
        <v>18</v>
      </c>
      <c r="S4645">
        <v>30</v>
      </c>
      <c r="T4645" s="13">
        <v>19</v>
      </c>
      <c r="U4645" s="13">
        <v>25</v>
      </c>
      <c r="V4645" t="s">
        <v>99</v>
      </c>
      <c r="X4645" s="13">
        <v>118</v>
      </c>
    </row>
    <row r="4646" spans="1:24" x14ac:dyDescent="0.25">
      <c r="A4646" t="s">
        <v>4620</v>
      </c>
      <c r="B4646" t="s">
        <v>65</v>
      </c>
      <c r="C4646" t="s">
        <v>4621</v>
      </c>
      <c r="D4646" t="s">
        <v>4622</v>
      </c>
      <c r="E4646" t="s">
        <v>2590</v>
      </c>
      <c r="F4646" t="s">
        <v>94</v>
      </c>
      <c r="G4646" t="s">
        <v>277</v>
      </c>
      <c r="H4646" s="12">
        <v>6.2186000000000003</v>
      </c>
      <c r="I4646" s="12">
        <v>-75.241699999999994</v>
      </c>
      <c r="J4646" t="s">
        <v>4623</v>
      </c>
      <c r="K4646" t="s">
        <v>97</v>
      </c>
      <c r="L4646" t="s">
        <v>1273</v>
      </c>
      <c r="M4646">
        <v>11</v>
      </c>
      <c r="P4646" s="13">
        <v>206</v>
      </c>
      <c r="Q4646" s="13">
        <v>59</v>
      </c>
      <c r="R4646">
        <v>24</v>
      </c>
      <c r="S4646">
        <v>46</v>
      </c>
      <c r="T4646" s="13">
        <v>22</v>
      </c>
      <c r="U4646" s="13">
        <v>82</v>
      </c>
      <c r="V4646" t="s">
        <v>99</v>
      </c>
      <c r="X4646" s="13">
        <v>206</v>
      </c>
    </row>
    <row r="4647" spans="1:24" x14ac:dyDescent="0.25">
      <c r="A4647" t="s">
        <v>4624</v>
      </c>
      <c r="B4647" t="s">
        <v>65</v>
      </c>
      <c r="C4647" t="s">
        <v>4621</v>
      </c>
      <c r="D4647" t="s">
        <v>4622</v>
      </c>
      <c r="E4647" t="s">
        <v>2590</v>
      </c>
      <c r="F4647" t="s">
        <v>94</v>
      </c>
      <c r="G4647" t="s">
        <v>277</v>
      </c>
      <c r="H4647" s="12">
        <v>6.2186000000000003</v>
      </c>
      <c r="I4647" s="12">
        <v>-75.241699999999994</v>
      </c>
      <c r="J4647" t="s">
        <v>4623</v>
      </c>
      <c r="K4647" t="s">
        <v>97</v>
      </c>
      <c r="L4647" t="s">
        <v>1273</v>
      </c>
      <c r="M4647">
        <v>11</v>
      </c>
      <c r="P4647" s="13">
        <v>204</v>
      </c>
      <c r="Q4647" s="13">
        <v>51</v>
      </c>
      <c r="R4647">
        <v>24</v>
      </c>
      <c r="S4647">
        <v>50</v>
      </c>
      <c r="T4647" s="13">
        <v>36</v>
      </c>
      <c r="U4647" s="13">
        <v>47</v>
      </c>
      <c r="V4647" t="s">
        <v>99</v>
      </c>
      <c r="X4647" s="13">
        <v>204</v>
      </c>
    </row>
    <row r="4648" spans="1:24" x14ac:dyDescent="0.25">
      <c r="A4648" t="s">
        <v>4625</v>
      </c>
      <c r="B4648" t="s">
        <v>65</v>
      </c>
      <c r="C4648" t="s">
        <v>4621</v>
      </c>
      <c r="D4648" t="s">
        <v>4622</v>
      </c>
      <c r="E4648" t="s">
        <v>2590</v>
      </c>
      <c r="F4648" t="s">
        <v>94</v>
      </c>
      <c r="G4648" t="s">
        <v>277</v>
      </c>
      <c r="H4648" s="12">
        <v>6.2186000000000003</v>
      </c>
      <c r="I4648" s="12">
        <v>-75.241699999999994</v>
      </c>
      <c r="J4648" t="s">
        <v>4623</v>
      </c>
      <c r="K4648" t="s">
        <v>97</v>
      </c>
      <c r="L4648" t="s">
        <v>1273</v>
      </c>
      <c r="M4648">
        <v>11</v>
      </c>
      <c r="P4648" s="13">
        <v>204</v>
      </c>
      <c r="Q4648" s="13">
        <v>49</v>
      </c>
      <c r="R4648">
        <v>28</v>
      </c>
      <c r="S4648">
        <v>42</v>
      </c>
      <c r="T4648" s="13">
        <v>41</v>
      </c>
      <c r="U4648" s="13">
        <v>51</v>
      </c>
      <c r="V4648" t="s">
        <v>99</v>
      </c>
      <c r="X4648" s="13">
        <v>204</v>
      </c>
    </row>
    <row r="4649" spans="1:24" x14ac:dyDescent="0.25">
      <c r="A4649" t="s">
        <v>4626</v>
      </c>
      <c r="B4649" t="s">
        <v>65</v>
      </c>
      <c r="C4649" t="s">
        <v>4621</v>
      </c>
      <c r="D4649" t="s">
        <v>4622</v>
      </c>
      <c r="E4649" t="s">
        <v>2590</v>
      </c>
      <c r="F4649" t="s">
        <v>94</v>
      </c>
      <c r="G4649" t="s">
        <v>277</v>
      </c>
      <c r="H4649" s="12">
        <v>6.2186000000000003</v>
      </c>
      <c r="I4649" s="12">
        <v>-75.241699999999994</v>
      </c>
      <c r="J4649" t="s">
        <v>4623</v>
      </c>
      <c r="K4649" t="s">
        <v>97</v>
      </c>
      <c r="L4649" t="s">
        <v>1273</v>
      </c>
      <c r="M4649">
        <v>11</v>
      </c>
      <c r="P4649" s="13">
        <v>203</v>
      </c>
      <c r="Q4649" s="13">
        <v>49</v>
      </c>
      <c r="R4649">
        <v>22</v>
      </c>
      <c r="S4649">
        <v>60</v>
      </c>
      <c r="T4649" s="13">
        <v>31</v>
      </c>
      <c r="U4649" s="13">
        <v>42</v>
      </c>
      <c r="V4649" t="s">
        <v>99</v>
      </c>
      <c r="X4649" s="13">
        <v>203</v>
      </c>
    </row>
    <row r="4650" spans="1:24" x14ac:dyDescent="0.25">
      <c r="A4650" t="s">
        <v>4627</v>
      </c>
      <c r="B4650" t="s">
        <v>65</v>
      </c>
      <c r="C4650" t="s">
        <v>4621</v>
      </c>
      <c r="D4650" t="s">
        <v>4622</v>
      </c>
      <c r="E4650" t="s">
        <v>2590</v>
      </c>
      <c r="F4650" t="s">
        <v>94</v>
      </c>
      <c r="G4650" t="s">
        <v>277</v>
      </c>
      <c r="H4650" s="12">
        <v>6.2186000000000003</v>
      </c>
      <c r="I4650" s="12">
        <v>-75.241699999999994</v>
      </c>
      <c r="J4650" t="s">
        <v>4623</v>
      </c>
      <c r="K4650" t="s">
        <v>97</v>
      </c>
      <c r="L4650" t="s">
        <v>1273</v>
      </c>
      <c r="M4650">
        <v>11</v>
      </c>
      <c r="P4650" s="13">
        <v>201</v>
      </c>
      <c r="Q4650" s="13">
        <v>56</v>
      </c>
      <c r="R4650">
        <v>10</v>
      </c>
      <c r="S4650">
        <v>50</v>
      </c>
      <c r="T4650" s="13">
        <v>38</v>
      </c>
      <c r="U4650" s="13">
        <v>60</v>
      </c>
      <c r="V4650" t="s">
        <v>99</v>
      </c>
      <c r="X4650" s="13">
        <v>201</v>
      </c>
    </row>
    <row r="4651" spans="1:24" x14ac:dyDescent="0.25">
      <c r="A4651" t="s">
        <v>4628</v>
      </c>
      <c r="B4651" t="s">
        <v>65</v>
      </c>
      <c r="C4651" t="s">
        <v>4621</v>
      </c>
      <c r="D4651" t="s">
        <v>4622</v>
      </c>
      <c r="E4651" t="s">
        <v>2590</v>
      </c>
      <c r="F4651" t="s">
        <v>94</v>
      </c>
      <c r="G4651" t="s">
        <v>277</v>
      </c>
      <c r="H4651" s="12">
        <v>6.2186000000000003</v>
      </c>
      <c r="I4651" s="12">
        <v>-75.241699999999994</v>
      </c>
      <c r="J4651" t="s">
        <v>4623</v>
      </c>
      <c r="K4651" t="s">
        <v>97</v>
      </c>
      <c r="L4651" t="s">
        <v>1273</v>
      </c>
      <c r="M4651">
        <v>11</v>
      </c>
      <c r="P4651" s="13">
        <v>197</v>
      </c>
      <c r="Q4651" s="13">
        <v>41</v>
      </c>
      <c r="R4651">
        <v>26</v>
      </c>
      <c r="S4651">
        <v>58</v>
      </c>
      <c r="T4651" s="13">
        <v>28</v>
      </c>
      <c r="U4651" s="13">
        <v>53</v>
      </c>
      <c r="V4651" t="s">
        <v>99</v>
      </c>
      <c r="X4651" s="13">
        <v>197</v>
      </c>
    </row>
    <row r="4652" spans="1:24" x14ac:dyDescent="0.25">
      <c r="A4652" t="s">
        <v>4629</v>
      </c>
      <c r="B4652" t="s">
        <v>65</v>
      </c>
      <c r="C4652" t="s">
        <v>4621</v>
      </c>
      <c r="D4652" t="s">
        <v>4622</v>
      </c>
      <c r="E4652" t="s">
        <v>2590</v>
      </c>
      <c r="F4652" t="s">
        <v>94</v>
      </c>
      <c r="G4652" t="s">
        <v>277</v>
      </c>
      <c r="H4652" s="12">
        <v>6.2186000000000003</v>
      </c>
      <c r="I4652" s="12">
        <v>-75.241699999999994</v>
      </c>
      <c r="J4652" t="s">
        <v>4623</v>
      </c>
      <c r="K4652" t="s">
        <v>97</v>
      </c>
      <c r="L4652" t="s">
        <v>1273</v>
      </c>
      <c r="M4652">
        <v>11</v>
      </c>
      <c r="P4652" s="13">
        <v>183</v>
      </c>
      <c r="Q4652" s="13">
        <v>44</v>
      </c>
      <c r="R4652">
        <v>26</v>
      </c>
      <c r="S4652">
        <v>54</v>
      </c>
      <c r="T4652" s="13">
        <v>24</v>
      </c>
      <c r="U4652" s="13">
        <v>33</v>
      </c>
      <c r="V4652" t="s">
        <v>99</v>
      </c>
      <c r="X4652" s="13">
        <v>183</v>
      </c>
    </row>
    <row r="4653" spans="1:24" x14ac:dyDescent="0.25">
      <c r="A4653" t="s">
        <v>4630</v>
      </c>
      <c r="B4653" t="s">
        <v>65</v>
      </c>
      <c r="C4653" t="s">
        <v>4621</v>
      </c>
      <c r="D4653" t="s">
        <v>4622</v>
      </c>
      <c r="E4653" t="s">
        <v>2590</v>
      </c>
      <c r="F4653" t="s">
        <v>94</v>
      </c>
      <c r="G4653" t="s">
        <v>277</v>
      </c>
      <c r="H4653" s="12">
        <v>6.2186000000000003</v>
      </c>
      <c r="I4653" s="12">
        <v>-75.241699999999994</v>
      </c>
      <c r="J4653" t="s">
        <v>4623</v>
      </c>
      <c r="K4653" t="s">
        <v>97</v>
      </c>
      <c r="L4653" t="s">
        <v>1273</v>
      </c>
      <c r="M4653">
        <v>11</v>
      </c>
      <c r="P4653" s="13">
        <v>169</v>
      </c>
      <c r="Q4653" s="13">
        <v>41</v>
      </c>
      <c r="R4653">
        <v>28</v>
      </c>
      <c r="S4653">
        <v>44</v>
      </c>
      <c r="T4653" s="13">
        <v>24</v>
      </c>
      <c r="U4653" s="13">
        <v>25</v>
      </c>
      <c r="V4653" t="s">
        <v>99</v>
      </c>
      <c r="X4653" s="13">
        <v>169</v>
      </c>
    </row>
    <row r="4654" spans="1:24" x14ac:dyDescent="0.25">
      <c r="A4654" t="s">
        <v>4631</v>
      </c>
      <c r="B4654" t="s">
        <v>65</v>
      </c>
      <c r="C4654" t="s">
        <v>4621</v>
      </c>
      <c r="D4654" t="s">
        <v>4622</v>
      </c>
      <c r="E4654" t="s">
        <v>2590</v>
      </c>
      <c r="F4654" t="s">
        <v>94</v>
      </c>
      <c r="G4654" t="s">
        <v>277</v>
      </c>
      <c r="H4654" s="12">
        <v>6.2186000000000003</v>
      </c>
      <c r="I4654" s="12">
        <v>-75.241699999999994</v>
      </c>
      <c r="J4654" t="s">
        <v>4623</v>
      </c>
      <c r="K4654" t="s">
        <v>97</v>
      </c>
      <c r="L4654" t="s">
        <v>1273</v>
      </c>
      <c r="M4654">
        <v>11</v>
      </c>
      <c r="P4654" s="13">
        <v>164</v>
      </c>
      <c r="Q4654" s="13">
        <v>39</v>
      </c>
      <c r="R4654">
        <v>16</v>
      </c>
      <c r="S4654">
        <v>50</v>
      </c>
      <c r="T4654" s="13">
        <v>24</v>
      </c>
      <c r="U4654" s="13">
        <v>40</v>
      </c>
      <c r="V4654" t="s">
        <v>99</v>
      </c>
      <c r="X4654" s="13">
        <v>164</v>
      </c>
    </row>
    <row r="4655" spans="1:24" x14ac:dyDescent="0.25">
      <c r="A4655" t="s">
        <v>4632</v>
      </c>
      <c r="B4655" t="s">
        <v>65</v>
      </c>
      <c r="C4655" t="s">
        <v>4621</v>
      </c>
      <c r="D4655" t="s">
        <v>4622</v>
      </c>
      <c r="E4655" t="s">
        <v>2590</v>
      </c>
      <c r="F4655" t="s">
        <v>94</v>
      </c>
      <c r="G4655" t="s">
        <v>277</v>
      </c>
      <c r="H4655" s="12">
        <v>6.2186000000000003</v>
      </c>
      <c r="I4655" s="12">
        <v>-75.241699999999994</v>
      </c>
      <c r="J4655" t="s">
        <v>4623</v>
      </c>
      <c r="K4655" t="s">
        <v>97</v>
      </c>
      <c r="L4655" t="s">
        <v>1273</v>
      </c>
      <c r="M4655">
        <v>11</v>
      </c>
      <c r="P4655" s="13">
        <v>160</v>
      </c>
      <c r="Q4655" s="13">
        <v>41</v>
      </c>
      <c r="R4655">
        <v>34</v>
      </c>
      <c r="S4655">
        <v>28</v>
      </c>
      <c r="T4655" s="13">
        <v>28</v>
      </c>
      <c r="U4655" s="13">
        <v>24</v>
      </c>
      <c r="V4655" t="s">
        <v>99</v>
      </c>
      <c r="X4655" s="13">
        <v>160</v>
      </c>
    </row>
    <row r="4656" spans="1:24" x14ac:dyDescent="0.25">
      <c r="A4656" t="s">
        <v>4633</v>
      </c>
      <c r="B4656" t="s">
        <v>65</v>
      </c>
      <c r="C4656" t="s">
        <v>4621</v>
      </c>
      <c r="D4656" t="s">
        <v>4622</v>
      </c>
      <c r="E4656" t="s">
        <v>2590</v>
      </c>
      <c r="F4656" t="s">
        <v>94</v>
      </c>
      <c r="G4656" t="s">
        <v>277</v>
      </c>
      <c r="H4656" s="12">
        <v>6.2186000000000003</v>
      </c>
      <c r="I4656" s="12">
        <v>-75.241699999999994</v>
      </c>
      <c r="J4656" t="s">
        <v>4623</v>
      </c>
      <c r="K4656" t="s">
        <v>97</v>
      </c>
      <c r="L4656" t="s">
        <v>1273</v>
      </c>
      <c r="M4656">
        <v>11</v>
      </c>
      <c r="P4656" s="13">
        <v>160</v>
      </c>
      <c r="Q4656" s="13">
        <v>34</v>
      </c>
      <c r="R4656">
        <v>24</v>
      </c>
      <c r="S4656">
        <v>38</v>
      </c>
      <c r="T4656" s="13">
        <v>31</v>
      </c>
      <c r="U4656" s="13">
        <v>35</v>
      </c>
      <c r="V4656" t="s">
        <v>99</v>
      </c>
      <c r="X4656" s="13">
        <v>160</v>
      </c>
    </row>
    <row r="4657" spans="1:24" x14ac:dyDescent="0.25">
      <c r="A4657" t="s">
        <v>4634</v>
      </c>
      <c r="B4657" t="s">
        <v>65</v>
      </c>
      <c r="C4657" t="s">
        <v>4621</v>
      </c>
      <c r="D4657" t="s">
        <v>4622</v>
      </c>
      <c r="E4657" t="s">
        <v>2590</v>
      </c>
      <c r="F4657" t="s">
        <v>94</v>
      </c>
      <c r="G4657" t="s">
        <v>277</v>
      </c>
      <c r="H4657" s="12">
        <v>6.2186000000000003</v>
      </c>
      <c r="I4657" s="12">
        <v>-75.241699999999994</v>
      </c>
      <c r="J4657" t="s">
        <v>4623</v>
      </c>
      <c r="K4657" t="s">
        <v>97</v>
      </c>
      <c r="L4657" t="s">
        <v>1273</v>
      </c>
      <c r="M4657">
        <v>11</v>
      </c>
      <c r="P4657" s="13">
        <v>159</v>
      </c>
      <c r="Q4657" s="13">
        <v>32</v>
      </c>
      <c r="R4657">
        <v>22</v>
      </c>
      <c r="S4657">
        <v>38</v>
      </c>
      <c r="T4657" s="13">
        <v>29</v>
      </c>
      <c r="U4657" s="13">
        <v>49</v>
      </c>
      <c r="V4657" t="s">
        <v>99</v>
      </c>
      <c r="X4657" s="13">
        <v>159</v>
      </c>
    </row>
    <row r="4658" spans="1:24" x14ac:dyDescent="0.25">
      <c r="A4658" t="s">
        <v>4635</v>
      </c>
      <c r="B4658" t="s">
        <v>65</v>
      </c>
      <c r="C4658" t="s">
        <v>4621</v>
      </c>
      <c r="D4658" t="s">
        <v>4622</v>
      </c>
      <c r="E4658" t="s">
        <v>2590</v>
      </c>
      <c r="F4658" t="s">
        <v>94</v>
      </c>
      <c r="G4658" t="s">
        <v>277</v>
      </c>
      <c r="H4658" s="12">
        <v>6.2186000000000003</v>
      </c>
      <c r="I4658" s="12">
        <v>-75.241699999999994</v>
      </c>
      <c r="J4658" t="s">
        <v>4623</v>
      </c>
      <c r="K4658" t="s">
        <v>97</v>
      </c>
      <c r="L4658" t="s">
        <v>1273</v>
      </c>
      <c r="M4658">
        <v>11</v>
      </c>
      <c r="P4658" s="13">
        <v>158</v>
      </c>
      <c r="Q4658" s="13">
        <v>44</v>
      </c>
      <c r="R4658">
        <v>28</v>
      </c>
      <c r="S4658">
        <v>34</v>
      </c>
      <c r="T4658" s="13">
        <v>17</v>
      </c>
      <c r="U4658" s="13">
        <v>42</v>
      </c>
      <c r="V4658" t="s">
        <v>99</v>
      </c>
      <c r="X4658" s="13">
        <v>158</v>
      </c>
    </row>
    <row r="4659" spans="1:24" x14ac:dyDescent="0.25">
      <c r="A4659" t="s">
        <v>4636</v>
      </c>
      <c r="B4659" t="s">
        <v>65</v>
      </c>
      <c r="C4659" t="s">
        <v>4621</v>
      </c>
      <c r="D4659" t="s">
        <v>4622</v>
      </c>
      <c r="E4659" t="s">
        <v>2590</v>
      </c>
      <c r="F4659" t="s">
        <v>94</v>
      </c>
      <c r="G4659" t="s">
        <v>277</v>
      </c>
      <c r="H4659" s="12">
        <v>6.2186000000000003</v>
      </c>
      <c r="I4659" s="12">
        <v>-75.241699999999994</v>
      </c>
      <c r="J4659" t="s">
        <v>4623</v>
      </c>
      <c r="K4659" t="s">
        <v>97</v>
      </c>
      <c r="L4659" t="s">
        <v>1273</v>
      </c>
      <c r="M4659">
        <v>11</v>
      </c>
      <c r="P4659" s="13">
        <v>154</v>
      </c>
      <c r="Q4659" s="13">
        <v>29</v>
      </c>
      <c r="R4659">
        <v>34</v>
      </c>
      <c r="S4659">
        <v>40</v>
      </c>
      <c r="T4659" s="13">
        <v>21</v>
      </c>
      <c r="U4659" s="13">
        <v>29</v>
      </c>
      <c r="V4659" t="s">
        <v>99</v>
      </c>
      <c r="X4659" s="13">
        <v>154</v>
      </c>
    </row>
    <row r="4660" spans="1:24" x14ac:dyDescent="0.25">
      <c r="A4660" t="s">
        <v>4637</v>
      </c>
      <c r="B4660" t="s">
        <v>65</v>
      </c>
      <c r="C4660" t="s">
        <v>4621</v>
      </c>
      <c r="D4660" t="s">
        <v>4622</v>
      </c>
      <c r="E4660" t="s">
        <v>2590</v>
      </c>
      <c r="F4660" t="s">
        <v>94</v>
      </c>
      <c r="G4660" t="s">
        <v>277</v>
      </c>
      <c r="H4660" s="12">
        <v>6.2186000000000003</v>
      </c>
      <c r="I4660" s="12">
        <v>-75.241699999999994</v>
      </c>
      <c r="J4660" t="s">
        <v>4623</v>
      </c>
      <c r="K4660" t="s">
        <v>97</v>
      </c>
      <c r="L4660" t="s">
        <v>1273</v>
      </c>
      <c r="M4660">
        <v>11</v>
      </c>
      <c r="P4660" s="13">
        <v>152</v>
      </c>
      <c r="Q4660" s="13">
        <v>44</v>
      </c>
      <c r="R4660">
        <v>20</v>
      </c>
      <c r="S4660">
        <v>28</v>
      </c>
      <c r="T4660" s="13">
        <v>28</v>
      </c>
      <c r="U4660" s="13">
        <v>36</v>
      </c>
      <c r="V4660" t="s">
        <v>99</v>
      </c>
      <c r="X4660" s="13">
        <v>152</v>
      </c>
    </row>
    <row r="4661" spans="1:24" x14ac:dyDescent="0.25">
      <c r="A4661" t="s">
        <v>4638</v>
      </c>
      <c r="B4661" t="s">
        <v>65</v>
      </c>
      <c r="C4661" t="s">
        <v>4621</v>
      </c>
      <c r="D4661" t="s">
        <v>4622</v>
      </c>
      <c r="E4661" t="s">
        <v>2590</v>
      </c>
      <c r="F4661" t="s">
        <v>94</v>
      </c>
      <c r="G4661" t="s">
        <v>277</v>
      </c>
      <c r="H4661" s="12">
        <v>6.2186000000000003</v>
      </c>
      <c r="I4661" s="12">
        <v>-75.241699999999994</v>
      </c>
      <c r="J4661" t="s">
        <v>4623</v>
      </c>
      <c r="K4661" t="s">
        <v>97</v>
      </c>
      <c r="L4661" t="s">
        <v>1273</v>
      </c>
      <c r="M4661">
        <v>11</v>
      </c>
      <c r="P4661" s="13">
        <v>152</v>
      </c>
      <c r="Q4661" s="13">
        <v>37</v>
      </c>
      <c r="R4661">
        <v>16</v>
      </c>
      <c r="S4661">
        <v>38</v>
      </c>
      <c r="T4661" s="13">
        <v>31</v>
      </c>
      <c r="U4661" s="13">
        <v>29</v>
      </c>
      <c r="V4661" t="s">
        <v>99</v>
      </c>
      <c r="X4661" s="13">
        <v>152</v>
      </c>
    </row>
    <row r="4662" spans="1:24" x14ac:dyDescent="0.25">
      <c r="A4662" t="s">
        <v>4639</v>
      </c>
      <c r="B4662" t="s">
        <v>65</v>
      </c>
      <c r="C4662" t="s">
        <v>4621</v>
      </c>
      <c r="D4662" t="s">
        <v>4622</v>
      </c>
      <c r="E4662" t="s">
        <v>2590</v>
      </c>
      <c r="F4662" t="s">
        <v>94</v>
      </c>
      <c r="G4662" t="s">
        <v>277</v>
      </c>
      <c r="H4662" s="12">
        <v>6.2186000000000003</v>
      </c>
      <c r="I4662" s="12">
        <v>-75.241699999999994</v>
      </c>
      <c r="J4662" t="s">
        <v>4623</v>
      </c>
      <c r="K4662" t="s">
        <v>97</v>
      </c>
      <c r="L4662" t="s">
        <v>1273</v>
      </c>
      <c r="M4662">
        <v>11</v>
      </c>
      <c r="P4662" s="13">
        <v>148</v>
      </c>
      <c r="Q4662" s="13">
        <v>29</v>
      </c>
      <c r="R4662">
        <v>22</v>
      </c>
      <c r="S4662">
        <v>36</v>
      </c>
      <c r="T4662" s="13">
        <v>28</v>
      </c>
      <c r="U4662" s="13">
        <v>40</v>
      </c>
      <c r="V4662" t="s">
        <v>99</v>
      </c>
      <c r="X4662" s="13">
        <v>148</v>
      </c>
    </row>
    <row r="4663" spans="1:24" x14ac:dyDescent="0.25">
      <c r="A4663" t="s">
        <v>4640</v>
      </c>
      <c r="B4663" t="s">
        <v>65</v>
      </c>
      <c r="C4663" t="s">
        <v>4621</v>
      </c>
      <c r="D4663" t="s">
        <v>4622</v>
      </c>
      <c r="E4663" t="s">
        <v>2590</v>
      </c>
      <c r="F4663" t="s">
        <v>94</v>
      </c>
      <c r="G4663" t="s">
        <v>277</v>
      </c>
      <c r="H4663" s="12">
        <v>6.2186000000000003</v>
      </c>
      <c r="I4663" s="12">
        <v>-75.241699999999994</v>
      </c>
      <c r="J4663" t="s">
        <v>4623</v>
      </c>
      <c r="K4663" t="s">
        <v>97</v>
      </c>
      <c r="L4663" t="s">
        <v>1273</v>
      </c>
      <c r="M4663">
        <v>11</v>
      </c>
      <c r="P4663" s="13">
        <v>145</v>
      </c>
      <c r="Q4663" s="13">
        <v>29</v>
      </c>
      <c r="R4663">
        <v>28</v>
      </c>
      <c r="S4663">
        <v>32</v>
      </c>
      <c r="T4663" s="13">
        <v>26</v>
      </c>
      <c r="U4663" s="13">
        <v>31</v>
      </c>
      <c r="V4663" t="s">
        <v>99</v>
      </c>
      <c r="X4663" s="13">
        <v>145</v>
      </c>
    </row>
    <row r="4664" spans="1:24" x14ac:dyDescent="0.25">
      <c r="A4664" t="s">
        <v>4641</v>
      </c>
      <c r="B4664" t="s">
        <v>65</v>
      </c>
      <c r="C4664" t="s">
        <v>4621</v>
      </c>
      <c r="D4664" t="s">
        <v>4622</v>
      </c>
      <c r="E4664" t="s">
        <v>2590</v>
      </c>
      <c r="F4664" t="s">
        <v>94</v>
      </c>
      <c r="G4664" t="s">
        <v>277</v>
      </c>
      <c r="H4664" s="12">
        <v>6.2186000000000003</v>
      </c>
      <c r="I4664" s="12">
        <v>-75.241699999999994</v>
      </c>
      <c r="J4664" t="s">
        <v>4623</v>
      </c>
      <c r="K4664" t="s">
        <v>97</v>
      </c>
      <c r="L4664" t="s">
        <v>1273</v>
      </c>
      <c r="M4664">
        <v>11</v>
      </c>
      <c r="P4664" s="13">
        <v>138</v>
      </c>
      <c r="Q4664" s="13">
        <v>27</v>
      </c>
      <c r="R4664">
        <v>20</v>
      </c>
      <c r="S4664">
        <v>36</v>
      </c>
      <c r="T4664" s="13">
        <v>26</v>
      </c>
      <c r="U4664" s="13">
        <v>33</v>
      </c>
      <c r="V4664" t="s">
        <v>99</v>
      </c>
      <c r="X4664" s="13">
        <v>138</v>
      </c>
    </row>
    <row r="4665" spans="1:24" x14ac:dyDescent="0.25">
      <c r="A4665" t="s">
        <v>4642</v>
      </c>
      <c r="B4665" t="s">
        <v>65</v>
      </c>
      <c r="C4665" t="s">
        <v>4621</v>
      </c>
      <c r="D4665" t="s">
        <v>4622</v>
      </c>
      <c r="E4665" t="s">
        <v>2590</v>
      </c>
      <c r="F4665" t="s">
        <v>94</v>
      </c>
      <c r="G4665" t="s">
        <v>277</v>
      </c>
      <c r="H4665" s="12">
        <v>6.2186000000000003</v>
      </c>
      <c r="I4665" s="12">
        <v>-75.241699999999994</v>
      </c>
      <c r="J4665" t="s">
        <v>4623</v>
      </c>
      <c r="K4665" t="s">
        <v>97</v>
      </c>
      <c r="L4665" t="s">
        <v>1273</v>
      </c>
      <c r="M4665">
        <v>11</v>
      </c>
      <c r="P4665" s="13">
        <v>137</v>
      </c>
      <c r="Q4665" s="13">
        <v>37</v>
      </c>
      <c r="R4665">
        <v>14</v>
      </c>
      <c r="S4665">
        <v>34</v>
      </c>
      <c r="T4665" s="13">
        <v>22</v>
      </c>
      <c r="U4665" s="13">
        <v>36</v>
      </c>
      <c r="V4665" t="s">
        <v>99</v>
      </c>
      <c r="X4665" s="13">
        <v>137</v>
      </c>
    </row>
    <row r="4666" spans="1:24" x14ac:dyDescent="0.25">
      <c r="A4666" t="s">
        <v>4643</v>
      </c>
      <c r="B4666" t="s">
        <v>65</v>
      </c>
      <c r="C4666" t="s">
        <v>4621</v>
      </c>
      <c r="D4666" t="s">
        <v>4622</v>
      </c>
      <c r="E4666" t="s">
        <v>2590</v>
      </c>
      <c r="F4666" t="s">
        <v>94</v>
      </c>
      <c r="G4666" t="s">
        <v>277</v>
      </c>
      <c r="H4666" s="12">
        <v>6.2186000000000003</v>
      </c>
      <c r="I4666" s="12">
        <v>-75.241699999999994</v>
      </c>
      <c r="J4666" t="s">
        <v>4623</v>
      </c>
      <c r="K4666" t="s">
        <v>97</v>
      </c>
      <c r="L4666" t="s">
        <v>1273</v>
      </c>
      <c r="M4666">
        <v>11</v>
      </c>
      <c r="P4666" s="13">
        <v>134</v>
      </c>
      <c r="Q4666" s="13">
        <v>39</v>
      </c>
      <c r="R4666">
        <v>24</v>
      </c>
      <c r="S4666">
        <v>28</v>
      </c>
      <c r="T4666" s="13">
        <v>21</v>
      </c>
      <c r="U4666" s="13">
        <v>15</v>
      </c>
      <c r="V4666" t="s">
        <v>99</v>
      </c>
      <c r="X4666" s="13">
        <v>134</v>
      </c>
    </row>
    <row r="4667" spans="1:24" x14ac:dyDescent="0.25">
      <c r="A4667" t="s">
        <v>4644</v>
      </c>
      <c r="B4667" t="s">
        <v>65</v>
      </c>
      <c r="C4667" t="s">
        <v>4621</v>
      </c>
      <c r="D4667" t="s">
        <v>4622</v>
      </c>
      <c r="E4667" t="s">
        <v>2590</v>
      </c>
      <c r="F4667" t="s">
        <v>94</v>
      </c>
      <c r="G4667" t="s">
        <v>277</v>
      </c>
      <c r="H4667" s="12">
        <v>6.2186000000000003</v>
      </c>
      <c r="I4667" s="12">
        <v>-75.241699999999994</v>
      </c>
      <c r="J4667" t="s">
        <v>4623</v>
      </c>
      <c r="K4667" t="s">
        <v>97</v>
      </c>
      <c r="L4667" t="s">
        <v>1273</v>
      </c>
      <c r="M4667">
        <v>11</v>
      </c>
      <c r="P4667" s="13">
        <v>133</v>
      </c>
      <c r="Q4667" s="13">
        <v>39</v>
      </c>
      <c r="R4667">
        <v>16</v>
      </c>
      <c r="S4667">
        <v>18</v>
      </c>
      <c r="T4667" s="13">
        <v>26</v>
      </c>
      <c r="U4667" s="13">
        <v>49</v>
      </c>
      <c r="V4667" t="s">
        <v>99</v>
      </c>
      <c r="X4667" s="13">
        <v>133</v>
      </c>
    </row>
    <row r="4668" spans="1:24" x14ac:dyDescent="0.25">
      <c r="A4668" t="s">
        <v>4645</v>
      </c>
      <c r="B4668" t="s">
        <v>65</v>
      </c>
      <c r="C4668" t="s">
        <v>4621</v>
      </c>
      <c r="D4668" t="s">
        <v>4622</v>
      </c>
      <c r="E4668" t="s">
        <v>2590</v>
      </c>
      <c r="F4668" t="s">
        <v>94</v>
      </c>
      <c r="G4668" t="s">
        <v>277</v>
      </c>
      <c r="H4668" s="12">
        <v>6.2186000000000003</v>
      </c>
      <c r="I4668" s="12">
        <v>-75.241699999999994</v>
      </c>
      <c r="J4668" t="s">
        <v>4623</v>
      </c>
      <c r="K4668" t="s">
        <v>97</v>
      </c>
      <c r="L4668" t="s">
        <v>1273</v>
      </c>
      <c r="M4668">
        <v>11</v>
      </c>
      <c r="P4668" s="13">
        <v>132</v>
      </c>
      <c r="Q4668" s="13">
        <v>34</v>
      </c>
      <c r="R4668">
        <v>24</v>
      </c>
      <c r="S4668">
        <v>28</v>
      </c>
      <c r="T4668" s="13">
        <v>24</v>
      </c>
      <c r="U4668" s="13">
        <v>13</v>
      </c>
      <c r="V4668" t="s">
        <v>99</v>
      </c>
      <c r="X4668" s="13">
        <v>132</v>
      </c>
    </row>
  </sheetData>
  <autoFilter ref="A14:X4668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8"/>
  <sheetViews>
    <sheetView showGridLines="0" workbookViewId="0"/>
  </sheetViews>
  <sheetFormatPr baseColWidth="10" defaultColWidth="9.140625" defaultRowHeight="15" x14ac:dyDescent="0.25"/>
  <cols>
    <col min="1" max="1" width="3" customWidth="1"/>
    <col min="2" max="2" width="26" customWidth="1"/>
    <col min="3" max="5" width="14" customWidth="1"/>
    <col min="6" max="6" width="16" customWidth="1"/>
    <col min="7" max="7" width="18" customWidth="1"/>
    <col min="8" max="8" width="4" customWidth="1"/>
    <col min="9" max="9" width="30" customWidth="1"/>
    <col min="10" max="12" width="14" customWidth="1"/>
  </cols>
  <sheetData>
    <row r="2" spans="2:7" ht="18.75" x14ac:dyDescent="0.3">
      <c r="B2" s="1" t="s">
        <v>4646</v>
      </c>
    </row>
    <row r="4" spans="2:7" x14ac:dyDescent="0.25">
      <c r="B4" s="2" t="s">
        <v>4647</v>
      </c>
    </row>
    <row r="5" spans="2:7" x14ac:dyDescent="0.25">
      <c r="B5" s="5" t="s">
        <v>4648</v>
      </c>
      <c r="C5" s="14">
        <f>COUNT('2_Datos'!$X$15:$X$60000)</f>
        <v>4180</v>
      </c>
    </row>
    <row r="6" spans="2:7" x14ac:dyDescent="0.25">
      <c r="B6" s="5" t="s">
        <v>4649</v>
      </c>
      <c r="C6" s="10">
        <f>AVERAGE('2_Datos'!$X$15:$X$60000)</f>
        <v>191.51401913875603</v>
      </c>
    </row>
    <row r="7" spans="2:7" x14ac:dyDescent="0.25">
      <c r="B7" s="5" t="s">
        <v>4650</v>
      </c>
      <c r="C7" s="10">
        <f>VAR('2_Datos'!$X$15:$X$60000)</f>
        <v>2937.4654411290658</v>
      </c>
    </row>
    <row r="8" spans="2:7" x14ac:dyDescent="0.25">
      <c r="B8" s="5" t="s">
        <v>4651</v>
      </c>
      <c r="C8" s="10">
        <f>STDEV('2_Datos'!$X$15:$X$60000)</f>
        <v>54.198389654389786</v>
      </c>
    </row>
    <row r="9" spans="2:7" x14ac:dyDescent="0.25">
      <c r="B9" s="5" t="s">
        <v>55</v>
      </c>
      <c r="C9" s="10">
        <f>MEDIAN('2_Datos'!$X$15:$X$60000)</f>
        <v>183</v>
      </c>
    </row>
    <row r="10" spans="2:7" x14ac:dyDescent="0.25">
      <c r="B10" s="5" t="s">
        <v>58</v>
      </c>
      <c r="C10" s="15">
        <f>MIN('2_Datos'!$X$15:$X$60000)</f>
        <v>40</v>
      </c>
    </row>
    <row r="11" spans="2:7" x14ac:dyDescent="0.25">
      <c r="B11" s="5" t="s">
        <v>59</v>
      </c>
      <c r="C11" s="15">
        <f>MAX('2_Datos'!$X$15:$X$60000)</f>
        <v>439.7</v>
      </c>
    </row>
    <row r="13" spans="2:7" x14ac:dyDescent="0.25">
      <c r="B13" s="8" t="s">
        <v>4652</v>
      </c>
    </row>
    <row r="14" spans="2:7" x14ac:dyDescent="0.25">
      <c r="B14" s="2" t="s">
        <v>4653</v>
      </c>
    </row>
    <row r="15" spans="2:7" ht="30" x14ac:dyDescent="0.25">
      <c r="B15" s="3" t="s">
        <v>4654</v>
      </c>
      <c r="C15" s="3" t="s">
        <v>4655</v>
      </c>
      <c r="D15" s="3" t="s">
        <v>4656</v>
      </c>
      <c r="E15" s="3" t="s">
        <v>4657</v>
      </c>
      <c r="F15" s="3" t="s">
        <v>4658</v>
      </c>
      <c r="G15" s="3" t="s">
        <v>4659</v>
      </c>
    </row>
    <row r="16" spans="2:7" x14ac:dyDescent="0.25">
      <c r="B16" s="4">
        <v>0</v>
      </c>
      <c r="C16" s="4">
        <v>25</v>
      </c>
      <c r="D16" s="15">
        <f t="shared" ref="D16:D33" si="0">(B16+C16)/2</f>
        <v>12.5</v>
      </c>
      <c r="E16" s="4">
        <f>COUNTIF('2_Datos'!$X$15:$X$60000,"&lt;="&amp;C16)</f>
        <v>0</v>
      </c>
      <c r="F16" s="16">
        <f t="shared" ref="F16:F33" si="1">E16/$C$5</f>
        <v>0</v>
      </c>
      <c r="G16" s="15">
        <f t="shared" ref="G16:G33" si="2">NORMDIST(D16,$C$6,$C$8,FALSE)*$C$5*25</f>
        <v>3.2892083316189749</v>
      </c>
    </row>
    <row r="17" spans="2:7" x14ac:dyDescent="0.25">
      <c r="B17" s="4">
        <v>25</v>
      </c>
      <c r="C17" s="4">
        <v>50</v>
      </c>
      <c r="D17" s="15">
        <f t="shared" si="0"/>
        <v>37.5</v>
      </c>
      <c r="E17" s="4">
        <f>COUNTIFS('2_Datos'!$X$15:$X$60000,"&gt;"&amp;B17,'2_Datos'!$X$15:$X$60000,"&lt;="&amp;C17)</f>
        <v>4</v>
      </c>
      <c r="F17" s="16">
        <f t="shared" si="1"/>
        <v>9.5693779904306223E-4</v>
      </c>
      <c r="G17" s="15">
        <f t="shared" si="2"/>
        <v>13.569222382082824</v>
      </c>
    </row>
    <row r="18" spans="2:7" x14ac:dyDescent="0.25">
      <c r="B18" s="4">
        <v>50</v>
      </c>
      <c r="C18" s="4">
        <v>75</v>
      </c>
      <c r="D18" s="15">
        <f t="shared" si="0"/>
        <v>62.5</v>
      </c>
      <c r="E18" s="4">
        <f>COUNTIFS('2_Datos'!$X$15:$X$60000,"&gt;"&amp;B18,'2_Datos'!$X$15:$X$60000,"&lt;="&amp;C18)</f>
        <v>29</v>
      </c>
      <c r="F18" s="16">
        <f t="shared" si="1"/>
        <v>6.9377990430622011E-3</v>
      </c>
      <c r="G18" s="15">
        <f t="shared" si="2"/>
        <v>45.249560992608515</v>
      </c>
    </row>
    <row r="19" spans="2:7" x14ac:dyDescent="0.25">
      <c r="B19" s="4">
        <v>75</v>
      </c>
      <c r="C19" s="4">
        <v>100</v>
      </c>
      <c r="D19" s="15">
        <f t="shared" si="0"/>
        <v>87.5</v>
      </c>
      <c r="E19" s="4">
        <f>COUNTIFS('2_Datos'!$X$15:$X$60000,"&gt;"&amp;B19,'2_Datos'!$X$15:$X$60000,"&lt;="&amp;C19)</f>
        <v>51</v>
      </c>
      <c r="F19" s="16">
        <f t="shared" si="1"/>
        <v>1.2200956937799042E-2</v>
      </c>
      <c r="G19" s="15">
        <f t="shared" si="2"/>
        <v>121.97465874310831</v>
      </c>
    </row>
    <row r="20" spans="2:7" x14ac:dyDescent="0.25">
      <c r="B20" s="4">
        <v>100</v>
      </c>
      <c r="C20" s="4">
        <v>125</v>
      </c>
      <c r="D20" s="15">
        <f t="shared" si="0"/>
        <v>112.5</v>
      </c>
      <c r="E20" s="4">
        <f>COUNTIFS('2_Datos'!$X$15:$X$60000,"&gt;"&amp;B20,'2_Datos'!$X$15:$X$60000,"&lt;="&amp;C20)</f>
        <v>193</v>
      </c>
      <c r="F20" s="16">
        <f t="shared" si="1"/>
        <v>4.6172248803827753E-2</v>
      </c>
      <c r="G20" s="15">
        <f t="shared" si="2"/>
        <v>265.77901344880945</v>
      </c>
    </row>
    <row r="21" spans="2:7" x14ac:dyDescent="0.25">
      <c r="B21" s="4">
        <v>125</v>
      </c>
      <c r="C21" s="4">
        <v>150</v>
      </c>
      <c r="D21" s="15">
        <f t="shared" si="0"/>
        <v>137.5</v>
      </c>
      <c r="E21" s="4">
        <f>COUNTIFS('2_Datos'!$X$15:$X$60000,"&gt;"&amp;B21,'2_Datos'!$X$15:$X$60000,"&lt;="&amp;C21)</f>
        <v>678</v>
      </c>
      <c r="F21" s="16">
        <f t="shared" si="1"/>
        <v>0.16220095693779904</v>
      </c>
      <c r="G21" s="15">
        <f t="shared" si="2"/>
        <v>468.13120323929604</v>
      </c>
    </row>
    <row r="22" spans="2:7" x14ac:dyDescent="0.25">
      <c r="B22" s="4">
        <v>150</v>
      </c>
      <c r="C22" s="4">
        <v>175</v>
      </c>
      <c r="D22" s="15">
        <f t="shared" si="0"/>
        <v>162.5</v>
      </c>
      <c r="E22" s="4">
        <f>COUNTIFS('2_Datos'!$X$15:$X$60000,"&gt;"&amp;B22,'2_Datos'!$X$15:$X$60000,"&lt;="&amp;C22)</f>
        <v>873</v>
      </c>
      <c r="F22" s="16">
        <f t="shared" si="1"/>
        <v>0.20885167464114832</v>
      </c>
      <c r="G22" s="15">
        <f t="shared" si="2"/>
        <v>666.5156120412928</v>
      </c>
    </row>
    <row r="23" spans="2:7" x14ac:dyDescent="0.25">
      <c r="B23" s="4">
        <v>175</v>
      </c>
      <c r="C23" s="4">
        <v>200</v>
      </c>
      <c r="D23" s="15">
        <f t="shared" si="0"/>
        <v>187.5</v>
      </c>
      <c r="E23" s="4">
        <f>COUNTIFS('2_Datos'!$X$15:$X$60000,"&gt;"&amp;B23,'2_Datos'!$X$15:$X$60000,"&lt;="&amp;C23)</f>
        <v>798</v>
      </c>
      <c r="F23" s="16">
        <f t="shared" si="1"/>
        <v>0.19090909090909092</v>
      </c>
      <c r="G23" s="15">
        <f t="shared" si="2"/>
        <v>767.09454557145727</v>
      </c>
    </row>
    <row r="24" spans="2:7" x14ac:dyDescent="0.25">
      <c r="B24" s="4">
        <v>200</v>
      </c>
      <c r="C24" s="4">
        <v>225</v>
      </c>
      <c r="D24" s="15">
        <f t="shared" si="0"/>
        <v>212.5</v>
      </c>
      <c r="E24" s="4">
        <f>COUNTIFS('2_Datos'!$X$15:$X$60000,"&gt;"&amp;B24,'2_Datos'!$X$15:$X$60000,"&lt;="&amp;C24)</f>
        <v>587</v>
      </c>
      <c r="F24" s="16">
        <f t="shared" si="1"/>
        <v>0.14043062200956938</v>
      </c>
      <c r="G24" s="15">
        <f t="shared" si="2"/>
        <v>713.64675363287074</v>
      </c>
    </row>
    <row r="25" spans="2:7" x14ac:dyDescent="0.25">
      <c r="B25" s="4">
        <v>225</v>
      </c>
      <c r="C25" s="4">
        <v>250</v>
      </c>
      <c r="D25" s="15">
        <f t="shared" si="0"/>
        <v>237.5</v>
      </c>
      <c r="E25" s="4">
        <f>COUNTIFS('2_Datos'!$X$15:$X$60000,"&gt;"&amp;B25,'2_Datos'!$X$15:$X$60000,"&lt;="&amp;C25)</f>
        <v>392</v>
      </c>
      <c r="F25" s="16">
        <f t="shared" si="1"/>
        <v>9.3779904306220102E-2</v>
      </c>
      <c r="G25" s="15">
        <f t="shared" si="2"/>
        <v>536.67767048538735</v>
      </c>
    </row>
    <row r="26" spans="2:7" x14ac:dyDescent="0.25">
      <c r="B26" s="4">
        <v>250</v>
      </c>
      <c r="C26" s="4">
        <v>275</v>
      </c>
      <c r="D26" s="15">
        <f t="shared" si="0"/>
        <v>262.5</v>
      </c>
      <c r="E26" s="4">
        <f>COUNTIFS('2_Datos'!$X$15:$X$60000,"&gt;"&amp;B26,'2_Datos'!$X$15:$X$60000,"&lt;="&amp;C26)</f>
        <v>258</v>
      </c>
      <c r="F26" s="16">
        <f t="shared" si="1"/>
        <v>6.1722488038277512E-2</v>
      </c>
      <c r="G26" s="15">
        <f t="shared" si="2"/>
        <v>326.24178834911328</v>
      </c>
    </row>
    <row r="27" spans="2:7" x14ac:dyDescent="0.25">
      <c r="B27" s="4">
        <v>275</v>
      </c>
      <c r="C27" s="4">
        <v>300</v>
      </c>
      <c r="D27" s="15">
        <f t="shared" si="0"/>
        <v>287.5</v>
      </c>
      <c r="E27" s="4">
        <f>COUNTIFS('2_Datos'!$X$15:$X$60000,"&gt;"&amp;B27,'2_Datos'!$X$15:$X$60000,"&lt;="&amp;C27)</f>
        <v>128</v>
      </c>
      <c r="F27" s="16">
        <f t="shared" si="1"/>
        <v>3.0622009569377991E-2</v>
      </c>
      <c r="G27" s="15">
        <f t="shared" si="2"/>
        <v>160.31032103673704</v>
      </c>
    </row>
    <row r="28" spans="2:7" x14ac:dyDescent="0.25">
      <c r="B28" s="4">
        <v>300</v>
      </c>
      <c r="C28" s="4">
        <v>325</v>
      </c>
      <c r="D28" s="15">
        <f t="shared" si="0"/>
        <v>312.5</v>
      </c>
      <c r="E28" s="4">
        <f>COUNTIFS('2_Datos'!$X$15:$X$60000,"&gt;"&amp;B28,'2_Datos'!$X$15:$X$60000,"&lt;="&amp;C28)</f>
        <v>105</v>
      </c>
      <c r="F28" s="16">
        <f t="shared" si="1"/>
        <v>2.5119617224880382E-2</v>
      </c>
      <c r="G28" s="15">
        <f t="shared" si="2"/>
        <v>63.67650380572892</v>
      </c>
    </row>
    <row r="29" spans="2:7" x14ac:dyDescent="0.25">
      <c r="B29" s="4">
        <v>325</v>
      </c>
      <c r="C29" s="4">
        <v>350</v>
      </c>
      <c r="D29" s="15">
        <f t="shared" si="0"/>
        <v>337.5</v>
      </c>
      <c r="E29" s="4">
        <f>COUNTIFS('2_Datos'!$X$15:$X$60000,"&gt;"&amp;B29,'2_Datos'!$X$15:$X$60000,"&lt;="&amp;C29)</f>
        <v>48</v>
      </c>
      <c r="F29" s="16">
        <f t="shared" si="1"/>
        <v>1.1483253588516746E-2</v>
      </c>
      <c r="G29" s="15">
        <f t="shared" si="2"/>
        <v>20.445266139143587</v>
      </c>
    </row>
    <row r="30" spans="2:7" x14ac:dyDescent="0.25">
      <c r="B30" s="4">
        <v>350</v>
      </c>
      <c r="C30" s="4">
        <v>375</v>
      </c>
      <c r="D30" s="15">
        <f t="shared" si="0"/>
        <v>362.5</v>
      </c>
      <c r="E30" s="4">
        <f>COUNTIFS('2_Datos'!$X$15:$X$60000,"&gt;"&amp;B30,'2_Datos'!$X$15:$X$60000,"&lt;="&amp;C30)</f>
        <v>16</v>
      </c>
      <c r="F30" s="16">
        <f t="shared" si="1"/>
        <v>3.8277511961722489E-3</v>
      </c>
      <c r="G30" s="15">
        <f t="shared" si="2"/>
        <v>5.3064265574776943</v>
      </c>
    </row>
    <row r="31" spans="2:7" x14ac:dyDescent="0.25">
      <c r="B31" s="4">
        <v>375</v>
      </c>
      <c r="C31" s="4">
        <v>400</v>
      </c>
      <c r="D31" s="15">
        <f t="shared" si="0"/>
        <v>387.5</v>
      </c>
      <c r="E31" s="4">
        <f>COUNTIFS('2_Datos'!$X$15:$X$60000,"&gt;"&amp;B31,'2_Datos'!$X$15:$X$60000,"&lt;="&amp;C31)</f>
        <v>14</v>
      </c>
      <c r="F31" s="16">
        <f t="shared" si="1"/>
        <v>3.3492822966507177E-3</v>
      </c>
      <c r="G31" s="15">
        <f t="shared" si="2"/>
        <v>1.1132876186378562</v>
      </c>
    </row>
    <row r="32" spans="2:7" x14ac:dyDescent="0.25">
      <c r="B32" s="4">
        <v>400</v>
      </c>
      <c r="C32" s="4">
        <v>425</v>
      </c>
      <c r="D32" s="15">
        <f t="shared" si="0"/>
        <v>412.5</v>
      </c>
      <c r="E32" s="4">
        <f>COUNTIFS('2_Datos'!$X$15:$X$60000,"&gt;"&amp;B32,'2_Datos'!$X$15:$X$60000,"&lt;="&amp;C32)</f>
        <v>4</v>
      </c>
      <c r="F32" s="16">
        <f t="shared" si="1"/>
        <v>9.5693779904306223E-4</v>
      </c>
      <c r="G32" s="15">
        <f t="shared" si="2"/>
        <v>0.18880280056511073</v>
      </c>
    </row>
    <row r="33" spans="2:7" x14ac:dyDescent="0.25">
      <c r="B33" s="4">
        <v>425</v>
      </c>
      <c r="C33" s="4">
        <v>450</v>
      </c>
      <c r="D33" s="15">
        <f t="shared" si="0"/>
        <v>437.5</v>
      </c>
      <c r="E33" s="4">
        <f>COUNTIFS('2_Datos'!$X$15:$X$60000,"&gt;"&amp;B33,'2_Datos'!$X$15:$X$60000,"&lt;="&amp;C33)</f>
        <v>2</v>
      </c>
      <c r="F33" s="16">
        <f t="shared" si="1"/>
        <v>4.7846889952153111E-4</v>
      </c>
      <c r="G33" s="15">
        <f t="shared" si="2"/>
        <v>2.5882445998379758E-2</v>
      </c>
    </row>
    <row r="34" spans="2:7" x14ac:dyDescent="0.25">
      <c r="B34" s="5" t="s">
        <v>4660</v>
      </c>
      <c r="C34" s="17"/>
      <c r="D34" s="17"/>
      <c r="E34" s="18">
        <f>SUM(E16:E33)</f>
        <v>4180</v>
      </c>
      <c r="F34" s="19">
        <f>SUM(F16:F33)</f>
        <v>1.0000000000000002</v>
      </c>
      <c r="G34" s="20">
        <f>SUM(G16:G33)</f>
        <v>4179.2357276219345</v>
      </c>
    </row>
    <row r="36" spans="2:7" x14ac:dyDescent="0.25">
      <c r="B36" s="2" t="s">
        <v>4661</v>
      </c>
    </row>
    <row r="37" spans="2:7" ht="30" x14ac:dyDescent="0.25">
      <c r="B37" s="3" t="s">
        <v>4662</v>
      </c>
      <c r="C37" s="3" t="s">
        <v>4663</v>
      </c>
      <c r="D37" s="3" t="s">
        <v>4657</v>
      </c>
      <c r="E37" s="3" t="s">
        <v>4664</v>
      </c>
    </row>
    <row r="38" spans="2:7" x14ac:dyDescent="0.25">
      <c r="B38" s="4" t="s">
        <v>4665</v>
      </c>
      <c r="C38" s="16">
        <f>NORMDIST(150,$C$6,$C$8,TRUE)</f>
        <v>0.221848840612865</v>
      </c>
      <c r="D38" s="16">
        <f>COUNTIF('2_Datos'!$X$15:$X$60000,"&lt;=150")/$C$5</f>
        <v>0.2284688995215311</v>
      </c>
      <c r="E38" s="16">
        <f>D38-C38</f>
        <v>6.6200589086660988E-3</v>
      </c>
    </row>
    <row r="39" spans="2:7" x14ac:dyDescent="0.25">
      <c r="B39" s="4" t="s">
        <v>4666</v>
      </c>
      <c r="C39" s="16">
        <f>NORMDIST(250,$C$6,$C$8,TRUE)-NORMDIST(150,$C$6,$C$8,TRUE)</f>
        <v>0.63788163398511077</v>
      </c>
      <c r="D39" s="16">
        <f>COUNTIFS('2_Datos'!$X$15:$X$60000,"&gt;150",'2_Datos'!$X$15:$X$60000,"&lt;=250")/$C$5</f>
        <v>0.63397129186602874</v>
      </c>
      <c r="E39" s="16">
        <f>D39-C39</f>
        <v>-3.9103421190820331E-3</v>
      </c>
    </row>
    <row r="40" spans="2:7" x14ac:dyDescent="0.25">
      <c r="B40" s="4" t="s">
        <v>4667</v>
      </c>
      <c r="C40" s="16">
        <f>1-NORMDIST(250,$C$6,$C$8,TRUE)</f>
        <v>0.1402695254020242</v>
      </c>
      <c r="D40" s="16">
        <f>COUNTIF('2_Datos'!$X$15:$X$60000,"&gt;250")/$C$5</f>
        <v>0.13755980861244019</v>
      </c>
      <c r="E40" s="16">
        <f>D40-C40</f>
        <v>-2.7097167895840102E-3</v>
      </c>
    </row>
    <row r="41" spans="2:7" x14ac:dyDescent="0.25">
      <c r="B41" s="4" t="s">
        <v>4668</v>
      </c>
      <c r="C41" s="16">
        <f>1-NORMDIST(300,$C$6,$C$8,TRUE)</f>
        <v>2.2661417908541703E-2</v>
      </c>
      <c r="D41" s="16">
        <f>COUNTIF('2_Datos'!$X$15:$X$60000,"&gt;300")/$C$5</f>
        <v>4.5215311004784688E-2</v>
      </c>
      <c r="E41" s="16">
        <f>D41-C41</f>
        <v>2.2553893096242984E-2</v>
      </c>
    </row>
    <row r="42" spans="2:7" x14ac:dyDescent="0.25">
      <c r="B42" s="4" t="s">
        <v>4669</v>
      </c>
      <c r="C42" s="16">
        <f>1-NORMDIST(350,$C$6,$C$8,TRUE)</f>
        <v>1.7268111699360045E-3</v>
      </c>
      <c r="D42" s="16">
        <f>COUNTIF('2_Datos'!$X$15:$X$60000,"&gt;350")/$C$5</f>
        <v>8.6124401913875593E-3</v>
      </c>
      <c r="E42" s="16">
        <f>D42-C42</f>
        <v>6.8856290214515548E-3</v>
      </c>
    </row>
    <row r="44" spans="2:7" x14ac:dyDescent="0.25">
      <c r="B44" s="2" t="s">
        <v>4670</v>
      </c>
    </row>
    <row r="45" spans="2:7" ht="30" x14ac:dyDescent="0.25">
      <c r="B45" s="3" t="s">
        <v>4671</v>
      </c>
      <c r="C45" s="3" t="s">
        <v>4672</v>
      </c>
      <c r="D45" s="3" t="s">
        <v>4673</v>
      </c>
      <c r="E45" s="3" t="s">
        <v>4664</v>
      </c>
    </row>
    <row r="46" spans="2:7" x14ac:dyDescent="0.25">
      <c r="B46" s="4" t="s">
        <v>4674</v>
      </c>
      <c r="C46" s="16">
        <f>COUNTIFS('2_Datos'!$X$15:$X$60000,"&gt;"&amp;($C$6-1*$C$8),'2_Datos'!$X$15:$X$60000,"&lt;="&amp;($C$6+1*$C$8))/$C$5</f>
        <v>0.72200956937799043</v>
      </c>
      <c r="D46" s="16">
        <v>0.68269999999999997</v>
      </c>
      <c r="E46" s="16">
        <f>C46-D46</f>
        <v>3.9309569377990461E-2</v>
      </c>
    </row>
    <row r="47" spans="2:7" x14ac:dyDescent="0.25">
      <c r="B47" s="4" t="s">
        <v>4675</v>
      </c>
      <c r="C47" s="16">
        <f>COUNTIFS('2_Datos'!$X$15:$X$60000,"&gt;"&amp;($C$6-2*$C$8),'2_Datos'!$X$15:$X$60000,"&lt;="&amp;($C$6+2*$C$8))/$C$5</f>
        <v>0.94354066985645935</v>
      </c>
      <c r="D47" s="16">
        <v>0.95450000000000002</v>
      </c>
      <c r="E47" s="16">
        <f>C47-D47</f>
        <v>-1.0959330143540669E-2</v>
      </c>
    </row>
    <row r="48" spans="2:7" x14ac:dyDescent="0.25">
      <c r="B48" s="4" t="s">
        <v>4676</v>
      </c>
      <c r="C48" s="16">
        <f>COUNTIFS('2_Datos'!$X$15:$X$60000,"&gt;"&amp;($C$6-3*$C$8),'2_Datos'!$X$15:$X$60000,"&lt;="&amp;($C$6+3*$C$8))/$C$5</f>
        <v>0.99210526315789471</v>
      </c>
      <c r="D48" s="16">
        <v>0.99729999999999996</v>
      </c>
      <c r="E48" s="16">
        <f>C48-D48</f>
        <v>-5.194736842105252E-3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5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40" customWidth="1"/>
    <col min="3" max="3" width="15" customWidth="1"/>
    <col min="4" max="4" width="22" customWidth="1"/>
    <col min="5" max="5" width="12" customWidth="1"/>
    <col min="6" max="6" width="16" customWidth="1"/>
    <col min="7" max="8" width="12" customWidth="1"/>
    <col min="9" max="9" width="18" customWidth="1"/>
    <col min="10" max="10" width="12" customWidth="1"/>
    <col min="11" max="11" width="18" customWidth="1"/>
    <col min="12" max="12" width="26" customWidth="1"/>
    <col min="13" max="13" width="30" customWidth="1"/>
  </cols>
  <sheetData>
    <row r="1" spans="1:13" ht="18.75" x14ac:dyDescent="0.3">
      <c r="A1" s="1" t="s">
        <v>4677</v>
      </c>
    </row>
    <row r="2" spans="1:13" x14ac:dyDescent="0.25">
      <c r="A2" s="8" t="s">
        <v>4678</v>
      </c>
    </row>
    <row r="4" spans="1:13" ht="30" x14ac:dyDescent="0.25">
      <c r="A4" s="3" t="s">
        <v>69</v>
      </c>
      <c r="B4" s="3" t="s">
        <v>70</v>
      </c>
      <c r="C4" s="3" t="s">
        <v>68</v>
      </c>
      <c r="D4" s="3" t="s">
        <v>71</v>
      </c>
      <c r="E4" s="3" t="s">
        <v>72</v>
      </c>
      <c r="F4" s="3" t="s">
        <v>73</v>
      </c>
      <c r="G4" s="3" t="s">
        <v>74</v>
      </c>
      <c r="H4" s="3" t="s">
        <v>75</v>
      </c>
      <c r="I4" s="3" t="s">
        <v>4679</v>
      </c>
      <c r="J4" s="3" t="s">
        <v>4680</v>
      </c>
      <c r="K4" s="3" t="s">
        <v>4681</v>
      </c>
      <c r="L4" s="3" t="s">
        <v>4682</v>
      </c>
      <c r="M4" s="3" t="s">
        <v>4683</v>
      </c>
    </row>
    <row r="5" spans="1:13" x14ac:dyDescent="0.25">
      <c r="A5" t="s">
        <v>92</v>
      </c>
      <c r="B5" t="s">
        <v>92</v>
      </c>
      <c r="C5" t="s">
        <v>61</v>
      </c>
      <c r="D5" t="s">
        <v>93</v>
      </c>
      <c r="E5" t="s">
        <v>94</v>
      </c>
      <c r="F5" t="s">
        <v>95</v>
      </c>
      <c r="G5" s="12">
        <v>6.2675000000000001</v>
      </c>
      <c r="H5" s="12">
        <v>-75.568600000000004</v>
      </c>
      <c r="I5" t="s">
        <v>4684</v>
      </c>
      <c r="J5">
        <v>165</v>
      </c>
      <c r="K5" s="21">
        <v>292.58</v>
      </c>
      <c r="L5">
        <v>166</v>
      </c>
      <c r="M5" s="21">
        <v>290.8</v>
      </c>
    </row>
    <row r="6" spans="1:13" x14ac:dyDescent="0.25">
      <c r="A6" t="s">
        <v>275</v>
      </c>
      <c r="B6" t="s">
        <v>276</v>
      </c>
      <c r="C6" t="s">
        <v>62</v>
      </c>
      <c r="D6" t="s">
        <v>62</v>
      </c>
      <c r="E6" t="s">
        <v>94</v>
      </c>
      <c r="F6" t="s">
        <v>277</v>
      </c>
      <c r="G6" s="12">
        <v>6.1700511999999996</v>
      </c>
      <c r="H6" s="12">
        <v>-75.5922482</v>
      </c>
      <c r="I6" t="s">
        <v>4684</v>
      </c>
      <c r="J6">
        <v>69</v>
      </c>
      <c r="K6" s="21">
        <v>210.22</v>
      </c>
      <c r="L6">
        <v>69</v>
      </c>
      <c r="M6" s="21">
        <v>210.2</v>
      </c>
    </row>
    <row r="7" spans="1:13" x14ac:dyDescent="0.25">
      <c r="A7" t="s">
        <v>347</v>
      </c>
      <c r="B7" t="s">
        <v>348</v>
      </c>
      <c r="C7" t="s">
        <v>62</v>
      </c>
      <c r="D7" t="s">
        <v>62</v>
      </c>
      <c r="E7" t="s">
        <v>94</v>
      </c>
      <c r="F7" t="s">
        <v>277</v>
      </c>
      <c r="G7" s="12">
        <v>6.1534646999999998</v>
      </c>
      <c r="H7" s="12">
        <v>-75.584702699999994</v>
      </c>
      <c r="I7" t="s">
        <v>4684</v>
      </c>
      <c r="J7">
        <v>72</v>
      </c>
      <c r="K7" s="21">
        <v>184.86</v>
      </c>
      <c r="L7">
        <v>72</v>
      </c>
      <c r="M7" s="21">
        <v>184.9</v>
      </c>
    </row>
    <row r="8" spans="1:13" x14ac:dyDescent="0.25">
      <c r="A8" t="s">
        <v>421</v>
      </c>
      <c r="B8" t="s">
        <v>422</v>
      </c>
      <c r="C8" t="s">
        <v>62</v>
      </c>
      <c r="D8" t="s">
        <v>62</v>
      </c>
      <c r="E8" t="s">
        <v>94</v>
      </c>
      <c r="F8" t="s">
        <v>277</v>
      </c>
      <c r="G8" s="12">
        <v>6.1679396000000004</v>
      </c>
      <c r="H8" s="12">
        <v>-75.578613000000004</v>
      </c>
      <c r="I8" t="s">
        <v>4684</v>
      </c>
      <c r="J8">
        <v>13</v>
      </c>
      <c r="K8" s="21">
        <v>228.69</v>
      </c>
      <c r="L8">
        <v>13</v>
      </c>
      <c r="M8" s="21">
        <v>228.7</v>
      </c>
    </row>
    <row r="9" spans="1:13" x14ac:dyDescent="0.25">
      <c r="A9" t="s">
        <v>436</v>
      </c>
      <c r="B9" t="s">
        <v>437</v>
      </c>
      <c r="C9" t="s">
        <v>62</v>
      </c>
      <c r="D9" t="s">
        <v>62</v>
      </c>
      <c r="E9" t="s">
        <v>94</v>
      </c>
      <c r="F9" t="s">
        <v>277</v>
      </c>
      <c r="G9" s="12">
        <v>6.1715726000000002</v>
      </c>
      <c r="H9" s="12">
        <v>-75.590899399999998</v>
      </c>
      <c r="I9" t="s">
        <v>4684</v>
      </c>
      <c r="J9">
        <v>91</v>
      </c>
      <c r="K9" s="21">
        <v>210.1</v>
      </c>
      <c r="L9">
        <v>91</v>
      </c>
      <c r="M9" s="21">
        <v>210.1</v>
      </c>
    </row>
    <row r="10" spans="1:13" x14ac:dyDescent="0.25">
      <c r="A10" t="s">
        <v>529</v>
      </c>
      <c r="B10" t="s">
        <v>530</v>
      </c>
      <c r="C10" t="s">
        <v>62</v>
      </c>
      <c r="D10" t="s">
        <v>62</v>
      </c>
      <c r="E10" t="s">
        <v>94</v>
      </c>
      <c r="F10" t="s">
        <v>277</v>
      </c>
      <c r="G10" s="12">
        <v>6.1726758999999998</v>
      </c>
      <c r="H10" s="12">
        <v>-75.581229500000006</v>
      </c>
      <c r="I10" t="s">
        <v>4684</v>
      </c>
      <c r="J10">
        <v>49</v>
      </c>
      <c r="K10" s="21">
        <v>197.67</v>
      </c>
      <c r="L10">
        <v>49</v>
      </c>
      <c r="M10" s="21">
        <v>197.7</v>
      </c>
    </row>
    <row r="11" spans="1:13" x14ac:dyDescent="0.25">
      <c r="A11" t="s">
        <v>580</v>
      </c>
      <c r="B11" t="s">
        <v>581</v>
      </c>
      <c r="C11" t="s">
        <v>62</v>
      </c>
      <c r="D11" t="s">
        <v>62</v>
      </c>
      <c r="E11" t="s">
        <v>94</v>
      </c>
      <c r="F11" t="s">
        <v>277</v>
      </c>
      <c r="G11" s="12">
        <v>6.1619843000000003</v>
      </c>
      <c r="H11" s="12">
        <v>-75.593804000000006</v>
      </c>
      <c r="I11" t="s">
        <v>4684</v>
      </c>
      <c r="J11">
        <v>139</v>
      </c>
      <c r="K11" s="21">
        <v>227.03</v>
      </c>
      <c r="L11">
        <v>139</v>
      </c>
      <c r="M11" s="21">
        <v>227</v>
      </c>
    </row>
    <row r="12" spans="1:13" x14ac:dyDescent="0.25">
      <c r="A12" t="s">
        <v>721</v>
      </c>
      <c r="B12" t="s">
        <v>722</v>
      </c>
      <c r="C12" t="s">
        <v>62</v>
      </c>
      <c r="D12" t="s">
        <v>62</v>
      </c>
      <c r="E12" t="s">
        <v>94</v>
      </c>
      <c r="F12" t="s">
        <v>277</v>
      </c>
      <c r="G12" s="12">
        <v>6.1512748999999998</v>
      </c>
      <c r="H12" s="12">
        <v>-75.536050799999998</v>
      </c>
      <c r="I12" t="s">
        <v>4684</v>
      </c>
      <c r="J12">
        <v>40</v>
      </c>
      <c r="K12" s="21">
        <v>195.75</v>
      </c>
      <c r="L12">
        <v>40</v>
      </c>
      <c r="M12" s="21">
        <v>195.8</v>
      </c>
    </row>
    <row r="13" spans="1:13" x14ac:dyDescent="0.25">
      <c r="A13" t="s">
        <v>763</v>
      </c>
      <c r="B13" t="s">
        <v>764</v>
      </c>
      <c r="C13" t="s">
        <v>62</v>
      </c>
      <c r="D13" t="s">
        <v>62</v>
      </c>
      <c r="E13" t="s">
        <v>94</v>
      </c>
      <c r="F13" t="s">
        <v>277</v>
      </c>
      <c r="G13" s="12">
        <v>6.1632490000000004</v>
      </c>
      <c r="H13" s="12">
        <v>-75.594163600000002</v>
      </c>
      <c r="I13" t="s">
        <v>4684</v>
      </c>
      <c r="J13">
        <v>97</v>
      </c>
      <c r="K13" s="21">
        <v>210.12</v>
      </c>
      <c r="L13">
        <v>97</v>
      </c>
      <c r="M13" s="21">
        <v>210.1</v>
      </c>
    </row>
    <row r="14" spans="1:13" x14ac:dyDescent="0.25">
      <c r="A14" t="s">
        <v>862</v>
      </c>
      <c r="B14" t="s">
        <v>863</v>
      </c>
      <c r="C14" t="s">
        <v>62</v>
      </c>
      <c r="D14" t="s">
        <v>62</v>
      </c>
      <c r="E14" t="s">
        <v>94</v>
      </c>
      <c r="F14" t="s">
        <v>277</v>
      </c>
      <c r="G14" s="12">
        <v>6.1702636999999996</v>
      </c>
      <c r="H14" s="12">
        <v>-75.589518400000003</v>
      </c>
      <c r="I14" t="s">
        <v>4684</v>
      </c>
      <c r="J14">
        <v>98</v>
      </c>
      <c r="K14" s="21">
        <v>207.18</v>
      </c>
      <c r="L14">
        <v>98</v>
      </c>
      <c r="M14" s="21">
        <v>207.2</v>
      </c>
    </row>
    <row r="15" spans="1:13" x14ac:dyDescent="0.25">
      <c r="A15" t="s">
        <v>962</v>
      </c>
      <c r="B15" t="s">
        <v>963</v>
      </c>
      <c r="C15" t="s">
        <v>62</v>
      </c>
      <c r="D15" t="s">
        <v>62</v>
      </c>
      <c r="E15" t="s">
        <v>94</v>
      </c>
      <c r="F15" t="s">
        <v>277</v>
      </c>
      <c r="G15" s="12">
        <v>6.1869357999999997</v>
      </c>
      <c r="H15" s="12">
        <v>-75.489992200000003</v>
      </c>
      <c r="I15" t="s">
        <v>4684</v>
      </c>
      <c r="J15">
        <v>17</v>
      </c>
      <c r="K15" s="21">
        <v>253.29</v>
      </c>
      <c r="L15">
        <v>17</v>
      </c>
      <c r="M15" s="21">
        <v>253.3</v>
      </c>
    </row>
    <row r="16" spans="1:13" x14ac:dyDescent="0.25">
      <c r="A16" t="s">
        <v>981</v>
      </c>
      <c r="B16" t="s">
        <v>982</v>
      </c>
      <c r="C16" t="s">
        <v>62</v>
      </c>
      <c r="D16" t="s">
        <v>62</v>
      </c>
      <c r="E16" t="s">
        <v>94</v>
      </c>
      <c r="F16" t="s">
        <v>277</v>
      </c>
      <c r="G16" s="12">
        <v>6.1709288999999998</v>
      </c>
      <c r="H16" s="12">
        <v>-75.577122299999999</v>
      </c>
      <c r="I16" t="s">
        <v>4684</v>
      </c>
      <c r="J16">
        <v>21</v>
      </c>
      <c r="K16" s="21">
        <v>234.33</v>
      </c>
      <c r="L16">
        <v>21</v>
      </c>
      <c r="M16" s="21">
        <v>234.3</v>
      </c>
    </row>
    <row r="17" spans="1:13" x14ac:dyDescent="0.25">
      <c r="A17" t="s">
        <v>1004</v>
      </c>
      <c r="B17" t="s">
        <v>1005</v>
      </c>
      <c r="C17" t="s">
        <v>62</v>
      </c>
      <c r="D17" t="s">
        <v>62</v>
      </c>
      <c r="E17" t="s">
        <v>94</v>
      </c>
      <c r="F17" t="s">
        <v>277</v>
      </c>
      <c r="G17" s="12">
        <v>6.1670337999999996</v>
      </c>
      <c r="H17" s="12">
        <v>-75.581835699999999</v>
      </c>
      <c r="I17" t="s">
        <v>4684</v>
      </c>
      <c r="J17">
        <v>147</v>
      </c>
      <c r="K17" s="21">
        <v>212.19</v>
      </c>
      <c r="L17">
        <v>147</v>
      </c>
      <c r="M17" s="21">
        <v>212.2</v>
      </c>
    </row>
    <row r="18" spans="1:13" x14ac:dyDescent="0.25">
      <c r="A18" t="s">
        <v>1153</v>
      </c>
      <c r="B18" t="s">
        <v>1154</v>
      </c>
      <c r="C18" t="s">
        <v>62</v>
      </c>
      <c r="D18" t="s">
        <v>62</v>
      </c>
      <c r="E18" t="s">
        <v>94</v>
      </c>
      <c r="F18" t="s">
        <v>277</v>
      </c>
      <c r="G18" s="12">
        <v>6.1534946000000001</v>
      </c>
      <c r="H18" s="12">
        <v>-75.578234300000005</v>
      </c>
      <c r="I18" t="s">
        <v>4684</v>
      </c>
      <c r="J18">
        <v>53</v>
      </c>
      <c r="K18" s="21">
        <v>184.75</v>
      </c>
      <c r="L18">
        <v>53</v>
      </c>
      <c r="M18" s="21">
        <v>184.8</v>
      </c>
    </row>
    <row r="19" spans="1:13" x14ac:dyDescent="0.25">
      <c r="A19" t="s">
        <v>1208</v>
      </c>
      <c r="B19" t="s">
        <v>1209</v>
      </c>
      <c r="C19" t="s">
        <v>62</v>
      </c>
      <c r="D19" t="s">
        <v>62</v>
      </c>
      <c r="E19" t="s">
        <v>94</v>
      </c>
      <c r="F19" t="s">
        <v>277</v>
      </c>
      <c r="G19" s="12">
        <v>6.1667839000000004</v>
      </c>
      <c r="H19" s="12">
        <v>-75.578844900000007</v>
      </c>
      <c r="I19" t="s">
        <v>4684</v>
      </c>
      <c r="J19">
        <v>32</v>
      </c>
      <c r="K19" s="21">
        <v>214.75</v>
      </c>
      <c r="L19">
        <v>32</v>
      </c>
      <c r="M19" s="21">
        <v>214.8</v>
      </c>
    </row>
    <row r="20" spans="1:13" x14ac:dyDescent="0.25">
      <c r="A20" t="s">
        <v>1242</v>
      </c>
      <c r="B20" t="s">
        <v>1243</v>
      </c>
      <c r="C20" t="s">
        <v>63</v>
      </c>
      <c r="D20" t="s">
        <v>64</v>
      </c>
      <c r="E20" t="s">
        <v>94</v>
      </c>
      <c r="F20" t="s">
        <v>277</v>
      </c>
      <c r="G20" s="12">
        <v>6.1440245999999998</v>
      </c>
      <c r="H20" s="12">
        <v>-75.448478399999999</v>
      </c>
      <c r="I20" t="s">
        <v>4685</v>
      </c>
      <c r="J20">
        <v>22</v>
      </c>
      <c r="K20" s="21">
        <v>222.5</v>
      </c>
      <c r="L20">
        <v>22</v>
      </c>
      <c r="M20" s="21">
        <v>222.5</v>
      </c>
    </row>
    <row r="21" spans="1:13" x14ac:dyDescent="0.25">
      <c r="A21" t="s">
        <v>1267</v>
      </c>
      <c r="B21" t="s">
        <v>1268</v>
      </c>
      <c r="C21" t="s">
        <v>64</v>
      </c>
      <c r="D21" t="s">
        <v>64</v>
      </c>
      <c r="E21" t="s">
        <v>94</v>
      </c>
      <c r="F21" t="s">
        <v>277</v>
      </c>
      <c r="G21" s="12">
        <v>6.1870305510000003</v>
      </c>
      <c r="H21" s="12">
        <v>-75.379665900000006</v>
      </c>
      <c r="I21" t="s">
        <v>4685</v>
      </c>
      <c r="J21">
        <v>34</v>
      </c>
      <c r="K21" s="21">
        <v>232.59</v>
      </c>
      <c r="L21">
        <v>75</v>
      </c>
      <c r="M21" s="21">
        <v>239.9413333</v>
      </c>
    </row>
    <row r="22" spans="1:13" x14ac:dyDescent="0.25">
      <c r="A22" t="s">
        <v>1314</v>
      </c>
      <c r="B22" t="s">
        <v>1315</v>
      </c>
      <c r="C22" t="s">
        <v>64</v>
      </c>
      <c r="D22" t="s">
        <v>64</v>
      </c>
      <c r="E22" t="s">
        <v>94</v>
      </c>
      <c r="F22" t="s">
        <v>277</v>
      </c>
      <c r="G22" s="12">
        <v>6.1434174590000001</v>
      </c>
      <c r="H22" s="12">
        <v>-75.448793670000001</v>
      </c>
      <c r="I22" t="s">
        <v>4685</v>
      </c>
      <c r="J22">
        <v>28</v>
      </c>
      <c r="K22" s="21">
        <v>180.35</v>
      </c>
      <c r="L22">
        <v>56</v>
      </c>
      <c r="M22" s="21">
        <v>186.05</v>
      </c>
    </row>
    <row r="23" spans="1:13" x14ac:dyDescent="0.25">
      <c r="A23" t="s">
        <v>1344</v>
      </c>
      <c r="B23" t="s">
        <v>1345</v>
      </c>
      <c r="C23" t="s">
        <v>64</v>
      </c>
      <c r="D23" t="s">
        <v>64</v>
      </c>
      <c r="E23" t="s">
        <v>94</v>
      </c>
      <c r="F23" t="s">
        <v>277</v>
      </c>
      <c r="G23" s="12">
        <v>6.078672536</v>
      </c>
      <c r="H23" s="12">
        <v>-75.423748340000003</v>
      </c>
      <c r="I23" t="s">
        <v>4685</v>
      </c>
      <c r="J23">
        <v>17</v>
      </c>
      <c r="K23" s="21">
        <v>237.65</v>
      </c>
      <c r="L23">
        <v>34</v>
      </c>
      <c r="M23" s="21">
        <v>251.00882350000001</v>
      </c>
    </row>
    <row r="24" spans="1:13" x14ac:dyDescent="0.25">
      <c r="A24" t="s">
        <v>1363</v>
      </c>
      <c r="B24" t="s">
        <v>1364</v>
      </c>
      <c r="C24" t="s">
        <v>64</v>
      </c>
      <c r="D24" t="s">
        <v>64</v>
      </c>
      <c r="E24" t="s">
        <v>94</v>
      </c>
      <c r="F24" t="s">
        <v>277</v>
      </c>
      <c r="G24" s="12">
        <v>6.1526388550000002</v>
      </c>
      <c r="H24" s="12">
        <v>-75.407184900000004</v>
      </c>
      <c r="I24" t="s">
        <v>4685</v>
      </c>
      <c r="J24">
        <v>41</v>
      </c>
      <c r="K24" s="21">
        <v>207.36</v>
      </c>
      <c r="L24">
        <v>83</v>
      </c>
      <c r="M24" s="21">
        <v>211.74578310000001</v>
      </c>
    </row>
    <row r="25" spans="1:13" x14ac:dyDescent="0.25">
      <c r="A25" t="s">
        <v>1407</v>
      </c>
      <c r="B25" t="s">
        <v>1408</v>
      </c>
      <c r="C25" t="s">
        <v>64</v>
      </c>
      <c r="D25" t="s">
        <v>64</v>
      </c>
      <c r="E25" t="s">
        <v>94</v>
      </c>
      <c r="F25" t="s">
        <v>277</v>
      </c>
      <c r="G25" s="12">
        <v>6.118188913</v>
      </c>
      <c r="H25" s="12">
        <v>-75.445617319999997</v>
      </c>
      <c r="I25" t="s">
        <v>4685</v>
      </c>
      <c r="J25">
        <v>22</v>
      </c>
      <c r="K25" s="21">
        <v>144.80000000000001</v>
      </c>
      <c r="L25">
        <v>45</v>
      </c>
      <c r="M25" s="21">
        <v>202.72</v>
      </c>
    </row>
    <row r="26" spans="1:13" x14ac:dyDescent="0.25">
      <c r="A26" t="s">
        <v>1432</v>
      </c>
      <c r="B26" t="s">
        <v>1433</v>
      </c>
      <c r="C26" t="s">
        <v>64</v>
      </c>
      <c r="D26" t="s">
        <v>64</v>
      </c>
      <c r="E26" t="s">
        <v>94</v>
      </c>
      <c r="F26" t="s">
        <v>277</v>
      </c>
      <c r="G26" s="12">
        <v>6.1077652450000004</v>
      </c>
      <c r="H26" s="12">
        <v>-75.421613620000002</v>
      </c>
      <c r="I26" t="s">
        <v>4685</v>
      </c>
      <c r="J26">
        <v>55</v>
      </c>
      <c r="K26" s="21">
        <v>220.67</v>
      </c>
      <c r="L26">
        <v>110</v>
      </c>
      <c r="M26" s="21">
        <v>235.98181819999999</v>
      </c>
    </row>
    <row r="27" spans="1:13" x14ac:dyDescent="0.25">
      <c r="A27" t="s">
        <v>1489</v>
      </c>
      <c r="B27" t="s">
        <v>1490</v>
      </c>
      <c r="C27" t="s">
        <v>64</v>
      </c>
      <c r="D27" t="s">
        <v>64</v>
      </c>
      <c r="E27" t="s">
        <v>94</v>
      </c>
      <c r="F27" t="s">
        <v>277</v>
      </c>
      <c r="G27" s="12">
        <v>6.1729109280000003</v>
      </c>
      <c r="H27" s="12">
        <v>-75.454852819999999</v>
      </c>
      <c r="I27" t="s">
        <v>4685</v>
      </c>
      <c r="J27">
        <v>13</v>
      </c>
      <c r="K27" s="21">
        <v>220.35</v>
      </c>
      <c r="L27">
        <v>26</v>
      </c>
      <c r="M27" s="21">
        <v>233.30769230000001</v>
      </c>
    </row>
    <row r="28" spans="1:13" x14ac:dyDescent="0.25">
      <c r="A28" t="s">
        <v>1504</v>
      </c>
      <c r="B28" t="s">
        <v>1505</v>
      </c>
      <c r="C28" t="s">
        <v>64</v>
      </c>
      <c r="D28" t="s">
        <v>64</v>
      </c>
      <c r="E28" t="s">
        <v>94</v>
      </c>
      <c r="F28" t="s">
        <v>277</v>
      </c>
      <c r="G28" s="12">
        <v>6.2457440420000001</v>
      </c>
      <c r="H28" s="12">
        <v>-75.56097862</v>
      </c>
      <c r="I28" t="s">
        <v>4685</v>
      </c>
      <c r="J28">
        <v>38</v>
      </c>
      <c r="K28" s="21">
        <v>220.52</v>
      </c>
      <c r="L28">
        <v>77</v>
      </c>
      <c r="M28" s="21">
        <v>224.22337659999999</v>
      </c>
    </row>
    <row r="29" spans="1:13" x14ac:dyDescent="0.25">
      <c r="A29" t="s">
        <v>1545</v>
      </c>
      <c r="B29" t="s">
        <v>1546</v>
      </c>
      <c r="C29" t="s">
        <v>64</v>
      </c>
      <c r="D29" t="s">
        <v>64</v>
      </c>
      <c r="E29" t="s">
        <v>94</v>
      </c>
      <c r="F29" t="s">
        <v>277</v>
      </c>
      <c r="G29" s="12">
        <v>6.2068839230000004</v>
      </c>
      <c r="H29" s="12">
        <v>-75.439671200000006</v>
      </c>
      <c r="I29" t="s">
        <v>4685</v>
      </c>
      <c r="J29">
        <v>21</v>
      </c>
      <c r="K29" s="21">
        <v>196.93</v>
      </c>
      <c r="L29">
        <v>43</v>
      </c>
      <c r="M29" s="21">
        <v>203.927907</v>
      </c>
    </row>
    <row r="30" spans="1:13" x14ac:dyDescent="0.25">
      <c r="A30" t="s">
        <v>1569</v>
      </c>
      <c r="B30" t="s">
        <v>1570</v>
      </c>
      <c r="C30" t="s">
        <v>64</v>
      </c>
      <c r="D30" t="s">
        <v>64</v>
      </c>
      <c r="E30" t="s">
        <v>94</v>
      </c>
      <c r="F30" t="s">
        <v>277</v>
      </c>
      <c r="G30" s="12">
        <v>6.1794996270000002</v>
      </c>
      <c r="H30" s="12">
        <v>-75.393816209999997</v>
      </c>
      <c r="I30" t="s">
        <v>4685</v>
      </c>
      <c r="J30">
        <v>52</v>
      </c>
      <c r="K30" s="21">
        <v>183.84</v>
      </c>
      <c r="L30">
        <v>108</v>
      </c>
      <c r="M30" s="21">
        <v>202.0342593</v>
      </c>
    </row>
    <row r="31" spans="1:13" x14ac:dyDescent="0.25">
      <c r="A31" t="s">
        <v>1627</v>
      </c>
      <c r="B31" t="s">
        <v>1628</v>
      </c>
      <c r="C31" t="s">
        <v>64</v>
      </c>
      <c r="D31" t="s">
        <v>64</v>
      </c>
      <c r="E31" t="s">
        <v>94</v>
      </c>
      <c r="F31" t="s">
        <v>277</v>
      </c>
      <c r="G31" s="12">
        <v>6.19834627</v>
      </c>
      <c r="H31" s="12">
        <v>-75.367765059999996</v>
      </c>
      <c r="I31" t="s">
        <v>4685</v>
      </c>
      <c r="J31">
        <v>33</v>
      </c>
      <c r="K31" s="21">
        <v>175.42</v>
      </c>
      <c r="L31">
        <v>68</v>
      </c>
      <c r="M31" s="21">
        <v>195.0544118</v>
      </c>
    </row>
    <row r="32" spans="1:13" x14ac:dyDescent="0.25">
      <c r="A32" t="s">
        <v>1664</v>
      </c>
      <c r="B32" t="s">
        <v>1665</v>
      </c>
      <c r="C32" t="s">
        <v>64</v>
      </c>
      <c r="D32" t="s">
        <v>64</v>
      </c>
      <c r="E32" t="s">
        <v>94</v>
      </c>
      <c r="F32" t="s">
        <v>277</v>
      </c>
      <c r="G32" s="12">
        <v>6.1451063279999998</v>
      </c>
      <c r="H32" s="12">
        <v>-75.374013840000003</v>
      </c>
      <c r="I32" t="s">
        <v>4685</v>
      </c>
      <c r="J32">
        <v>96</v>
      </c>
      <c r="K32" s="21">
        <v>263.70999999999998</v>
      </c>
      <c r="L32">
        <v>198</v>
      </c>
      <c r="M32" s="21">
        <v>279.15707070000002</v>
      </c>
    </row>
    <row r="33" spans="1:13" x14ac:dyDescent="0.25">
      <c r="A33" t="s">
        <v>1769</v>
      </c>
      <c r="B33" t="s">
        <v>1770</v>
      </c>
      <c r="C33" t="s">
        <v>65</v>
      </c>
      <c r="D33" t="s">
        <v>1771</v>
      </c>
      <c r="E33" t="s">
        <v>94</v>
      </c>
      <c r="F33" t="s">
        <v>277</v>
      </c>
      <c r="G33" s="12">
        <v>8.0944000000000003</v>
      </c>
      <c r="H33" s="12">
        <v>-74.7761</v>
      </c>
      <c r="I33" t="s">
        <v>4685</v>
      </c>
      <c r="J33">
        <v>35</v>
      </c>
      <c r="K33" s="21">
        <v>138.09</v>
      </c>
      <c r="L33">
        <v>35</v>
      </c>
      <c r="M33" s="21">
        <v>138.08571430000001</v>
      </c>
    </row>
    <row r="34" spans="1:13" x14ac:dyDescent="0.25">
      <c r="A34" t="s">
        <v>1808</v>
      </c>
      <c r="B34" t="s">
        <v>1809</v>
      </c>
      <c r="C34" t="s">
        <v>65</v>
      </c>
      <c r="D34" t="s">
        <v>1810</v>
      </c>
      <c r="E34" t="s">
        <v>94</v>
      </c>
      <c r="F34" t="s">
        <v>277</v>
      </c>
      <c r="G34" s="12">
        <v>7.0735999999999999</v>
      </c>
      <c r="H34" s="12">
        <v>-75.148099999999999</v>
      </c>
      <c r="I34" t="s">
        <v>4685</v>
      </c>
      <c r="J34">
        <v>28</v>
      </c>
      <c r="K34" s="21">
        <v>180.21</v>
      </c>
      <c r="L34">
        <v>28</v>
      </c>
      <c r="M34" s="21">
        <v>180.2142857</v>
      </c>
    </row>
    <row r="35" spans="1:13" x14ac:dyDescent="0.25">
      <c r="A35" t="s">
        <v>1839</v>
      </c>
      <c r="B35" t="s">
        <v>1840</v>
      </c>
      <c r="C35" t="s">
        <v>65</v>
      </c>
      <c r="D35" t="s">
        <v>1841</v>
      </c>
      <c r="E35" t="s">
        <v>94</v>
      </c>
      <c r="F35" t="s">
        <v>277</v>
      </c>
      <c r="G35" s="12">
        <v>6.4913999999999996</v>
      </c>
      <c r="H35" s="12">
        <v>-74.405799999999999</v>
      </c>
      <c r="I35" t="s">
        <v>4685</v>
      </c>
      <c r="J35">
        <v>34</v>
      </c>
      <c r="K35" s="21">
        <v>134.5</v>
      </c>
      <c r="L35">
        <v>34</v>
      </c>
      <c r="M35" s="21">
        <v>134.5</v>
      </c>
    </row>
    <row r="36" spans="1:13" x14ac:dyDescent="0.25">
      <c r="A36" t="s">
        <v>1877</v>
      </c>
      <c r="B36" t="s">
        <v>1878</v>
      </c>
      <c r="C36" t="s">
        <v>65</v>
      </c>
      <c r="D36" t="s">
        <v>1879</v>
      </c>
      <c r="E36" t="s">
        <v>94</v>
      </c>
      <c r="F36" t="s">
        <v>277</v>
      </c>
      <c r="G36" s="12">
        <v>7.1108000000000002</v>
      </c>
      <c r="H36" s="12">
        <v>-75.551100000000005</v>
      </c>
      <c r="I36" t="s">
        <v>4685</v>
      </c>
      <c r="J36">
        <v>33</v>
      </c>
      <c r="K36" s="21">
        <v>166.61</v>
      </c>
      <c r="L36">
        <v>33</v>
      </c>
      <c r="M36" s="21">
        <v>166.60606060000001</v>
      </c>
    </row>
    <row r="37" spans="1:13" x14ac:dyDescent="0.25">
      <c r="A37" t="s">
        <v>1914</v>
      </c>
      <c r="B37" t="s">
        <v>1915</v>
      </c>
      <c r="C37" t="s">
        <v>65</v>
      </c>
      <c r="D37" t="s">
        <v>1916</v>
      </c>
      <c r="E37" t="s">
        <v>94</v>
      </c>
      <c r="F37" t="s">
        <v>277</v>
      </c>
      <c r="G37" s="12">
        <v>6.3457999999999997</v>
      </c>
      <c r="H37" s="12">
        <v>-75.856899999999996</v>
      </c>
      <c r="I37" t="s">
        <v>4685</v>
      </c>
      <c r="J37">
        <v>31</v>
      </c>
      <c r="K37" s="21">
        <v>155.87</v>
      </c>
      <c r="L37">
        <v>31</v>
      </c>
      <c r="M37" s="21">
        <v>155.87096769999999</v>
      </c>
    </row>
    <row r="38" spans="1:13" x14ac:dyDescent="0.25">
      <c r="A38" t="s">
        <v>1949</v>
      </c>
      <c r="B38" t="s">
        <v>1950</v>
      </c>
      <c r="C38" t="s">
        <v>65</v>
      </c>
      <c r="D38" t="s">
        <v>1951</v>
      </c>
      <c r="E38" t="s">
        <v>94</v>
      </c>
      <c r="F38" t="s">
        <v>277</v>
      </c>
      <c r="G38" s="12">
        <v>8.2750000000000004</v>
      </c>
      <c r="H38" s="12">
        <v>-76.369</v>
      </c>
      <c r="I38" t="s">
        <v>4685</v>
      </c>
      <c r="J38">
        <v>46</v>
      </c>
      <c r="K38" s="21">
        <v>187.33</v>
      </c>
      <c r="L38">
        <v>46</v>
      </c>
      <c r="M38" s="21">
        <v>187.326087</v>
      </c>
    </row>
    <row r="39" spans="1:13" x14ac:dyDescent="0.25">
      <c r="A39" t="s">
        <v>1999</v>
      </c>
      <c r="B39" t="s">
        <v>2000</v>
      </c>
      <c r="C39" t="s">
        <v>65</v>
      </c>
      <c r="D39" t="s">
        <v>2001</v>
      </c>
      <c r="E39" t="s">
        <v>94</v>
      </c>
      <c r="F39" t="s">
        <v>277</v>
      </c>
      <c r="G39" s="12">
        <v>6.5986000000000002</v>
      </c>
      <c r="H39" s="12">
        <v>-75.011899999999997</v>
      </c>
      <c r="I39" t="s">
        <v>4685</v>
      </c>
      <c r="J39">
        <v>35</v>
      </c>
      <c r="K39" s="21">
        <v>171.17</v>
      </c>
      <c r="L39">
        <v>35</v>
      </c>
      <c r="M39" s="21">
        <v>171.17142860000001</v>
      </c>
    </row>
    <row r="40" spans="1:13" x14ac:dyDescent="0.25">
      <c r="A40" t="s">
        <v>2038</v>
      </c>
      <c r="B40" t="s">
        <v>2039</v>
      </c>
      <c r="C40" t="s">
        <v>65</v>
      </c>
      <c r="D40" t="s">
        <v>2040</v>
      </c>
      <c r="E40" t="s">
        <v>94</v>
      </c>
      <c r="F40" t="s">
        <v>277</v>
      </c>
      <c r="G40" s="12">
        <v>6.7725</v>
      </c>
      <c r="H40" s="12">
        <v>-74.798100000000005</v>
      </c>
      <c r="I40" t="s">
        <v>4685</v>
      </c>
      <c r="J40">
        <v>34</v>
      </c>
      <c r="K40" s="21">
        <v>199.06</v>
      </c>
      <c r="L40">
        <v>34</v>
      </c>
      <c r="M40" s="21">
        <v>199.05882349999999</v>
      </c>
    </row>
    <row r="41" spans="1:13" x14ac:dyDescent="0.25">
      <c r="A41" t="s">
        <v>2076</v>
      </c>
      <c r="B41" t="s">
        <v>2077</v>
      </c>
      <c r="C41" t="s">
        <v>65</v>
      </c>
      <c r="D41" t="s">
        <v>2078</v>
      </c>
      <c r="E41" t="s">
        <v>94</v>
      </c>
      <c r="F41" t="s">
        <v>277</v>
      </c>
      <c r="G41" s="12">
        <v>5.9264000000000001</v>
      </c>
      <c r="H41" s="12">
        <v>-75.674199999999999</v>
      </c>
      <c r="I41" t="s">
        <v>4685</v>
      </c>
      <c r="J41">
        <v>46</v>
      </c>
      <c r="K41" s="21">
        <v>174.17</v>
      </c>
      <c r="L41">
        <v>46</v>
      </c>
      <c r="M41" s="21">
        <v>174.173913</v>
      </c>
    </row>
    <row r="42" spans="1:13" x14ac:dyDescent="0.25">
      <c r="A42" t="s">
        <v>2126</v>
      </c>
      <c r="B42" t="s">
        <v>2127</v>
      </c>
      <c r="C42" t="s">
        <v>65</v>
      </c>
      <c r="D42" t="s">
        <v>2128</v>
      </c>
      <c r="E42" t="s">
        <v>94</v>
      </c>
      <c r="F42" t="s">
        <v>277</v>
      </c>
      <c r="G42" s="12">
        <v>6.5541999999999998</v>
      </c>
      <c r="H42" s="12">
        <v>-74.786100000000005</v>
      </c>
      <c r="I42" t="s">
        <v>4685</v>
      </c>
      <c r="J42">
        <v>38</v>
      </c>
      <c r="K42" s="21">
        <v>232</v>
      </c>
      <c r="L42">
        <v>38</v>
      </c>
      <c r="M42" s="21">
        <v>232</v>
      </c>
    </row>
    <row r="43" spans="1:13" x14ac:dyDescent="0.25">
      <c r="A43" t="s">
        <v>2168</v>
      </c>
      <c r="B43" t="s">
        <v>2169</v>
      </c>
      <c r="C43" t="s">
        <v>65</v>
      </c>
      <c r="D43" t="s">
        <v>2170</v>
      </c>
      <c r="E43" t="s">
        <v>94</v>
      </c>
      <c r="F43" t="s">
        <v>277</v>
      </c>
      <c r="G43" s="12">
        <v>6.8483000000000001</v>
      </c>
      <c r="H43" s="12">
        <v>-75.681700000000006</v>
      </c>
      <c r="I43" t="s">
        <v>4685</v>
      </c>
      <c r="J43">
        <v>36</v>
      </c>
      <c r="K43" s="21">
        <v>172.81</v>
      </c>
      <c r="L43">
        <v>36</v>
      </c>
      <c r="M43" s="21">
        <v>172.80555559999999</v>
      </c>
    </row>
    <row r="44" spans="1:13" x14ac:dyDescent="0.25">
      <c r="A44" t="s">
        <v>2208</v>
      </c>
      <c r="B44" t="s">
        <v>2209</v>
      </c>
      <c r="C44" t="s">
        <v>65</v>
      </c>
      <c r="D44" t="s">
        <v>2210</v>
      </c>
      <c r="E44" t="s">
        <v>94</v>
      </c>
      <c r="F44" t="s">
        <v>277</v>
      </c>
      <c r="G44" s="12">
        <v>6.4863999999999997</v>
      </c>
      <c r="H44" s="12">
        <v>-74.760000000000005</v>
      </c>
      <c r="I44" t="s">
        <v>4685</v>
      </c>
      <c r="J44">
        <v>26</v>
      </c>
      <c r="K44" s="21">
        <v>221.92</v>
      </c>
      <c r="L44">
        <v>26</v>
      </c>
      <c r="M44" s="21">
        <v>221.92307690000001</v>
      </c>
    </row>
    <row r="45" spans="1:13" x14ac:dyDescent="0.25">
      <c r="A45" t="s">
        <v>2238</v>
      </c>
      <c r="B45" t="s">
        <v>2239</v>
      </c>
      <c r="C45" t="s">
        <v>65</v>
      </c>
      <c r="D45" t="s">
        <v>2240</v>
      </c>
      <c r="E45" t="s">
        <v>94</v>
      </c>
      <c r="F45" t="s">
        <v>277</v>
      </c>
      <c r="G45" s="12">
        <v>7.5758000000000001</v>
      </c>
      <c r="H45" s="12">
        <v>-75.348600000000005</v>
      </c>
      <c r="I45" t="s">
        <v>4685</v>
      </c>
      <c r="J45">
        <v>57</v>
      </c>
      <c r="K45" s="21">
        <v>161.54</v>
      </c>
      <c r="L45">
        <v>57</v>
      </c>
      <c r="M45" s="21">
        <v>161.54385959999999</v>
      </c>
    </row>
    <row r="46" spans="1:13" x14ac:dyDescent="0.25">
      <c r="A46" t="s">
        <v>2299</v>
      </c>
      <c r="B46" t="s">
        <v>2300</v>
      </c>
      <c r="C46" t="s">
        <v>65</v>
      </c>
      <c r="D46" t="s">
        <v>2301</v>
      </c>
      <c r="E46" t="s">
        <v>94</v>
      </c>
      <c r="F46" t="s">
        <v>277</v>
      </c>
      <c r="G46" s="12">
        <v>5.8789999999999996</v>
      </c>
      <c r="H46" s="12">
        <v>-75.583299999999994</v>
      </c>
      <c r="I46" t="s">
        <v>4685</v>
      </c>
      <c r="J46">
        <v>51</v>
      </c>
      <c r="K46" s="21">
        <v>164.31</v>
      </c>
      <c r="L46">
        <v>51</v>
      </c>
      <c r="M46" s="21">
        <v>164.3137255</v>
      </c>
    </row>
    <row r="47" spans="1:13" x14ac:dyDescent="0.25">
      <c r="A47" t="s">
        <v>2354</v>
      </c>
      <c r="B47" t="s">
        <v>2355</v>
      </c>
      <c r="C47" t="s">
        <v>65</v>
      </c>
      <c r="D47" t="s">
        <v>2356</v>
      </c>
      <c r="E47" t="s">
        <v>94</v>
      </c>
      <c r="F47" t="s">
        <v>277</v>
      </c>
      <c r="G47" s="12">
        <v>8.8507999999999996</v>
      </c>
      <c r="H47" s="12">
        <v>-76.426699999999997</v>
      </c>
      <c r="I47" t="s">
        <v>4685</v>
      </c>
      <c r="J47">
        <v>54</v>
      </c>
      <c r="K47" s="21">
        <v>166.22</v>
      </c>
      <c r="L47">
        <v>54</v>
      </c>
      <c r="M47" s="21">
        <v>166.2222222</v>
      </c>
    </row>
    <row r="48" spans="1:13" x14ac:dyDescent="0.25">
      <c r="A48" t="s">
        <v>2412</v>
      </c>
      <c r="B48" t="s">
        <v>2413</v>
      </c>
      <c r="C48" t="s">
        <v>65</v>
      </c>
      <c r="D48" t="s">
        <v>2414</v>
      </c>
      <c r="E48" t="s">
        <v>94</v>
      </c>
      <c r="F48" t="s">
        <v>277</v>
      </c>
      <c r="G48" s="12">
        <v>7.7577999999999996</v>
      </c>
      <c r="H48" s="12">
        <v>-76.654700000000005</v>
      </c>
      <c r="I48" t="s">
        <v>4685</v>
      </c>
      <c r="J48">
        <v>44</v>
      </c>
      <c r="K48" s="21">
        <v>199.09</v>
      </c>
      <c r="L48">
        <v>44</v>
      </c>
      <c r="M48" s="21">
        <v>199.0909091</v>
      </c>
    </row>
    <row r="49" spans="1:13" x14ac:dyDescent="0.25">
      <c r="A49" t="s">
        <v>2460</v>
      </c>
      <c r="B49" t="s">
        <v>2461</v>
      </c>
      <c r="C49" t="s">
        <v>65</v>
      </c>
      <c r="D49" t="s">
        <v>2462</v>
      </c>
      <c r="E49" t="s">
        <v>94</v>
      </c>
      <c r="F49" t="s">
        <v>277</v>
      </c>
      <c r="G49" s="12">
        <v>6.5007999999999999</v>
      </c>
      <c r="H49" s="12">
        <v>-75.742800000000003</v>
      </c>
      <c r="I49" t="s">
        <v>4685</v>
      </c>
      <c r="J49">
        <v>36</v>
      </c>
      <c r="K49" s="21">
        <v>187.22</v>
      </c>
      <c r="L49">
        <v>36</v>
      </c>
      <c r="M49" s="21">
        <v>187.2222222</v>
      </c>
    </row>
    <row r="50" spans="1:13" x14ac:dyDescent="0.25">
      <c r="A50" t="s">
        <v>2500</v>
      </c>
      <c r="B50" t="s">
        <v>2501</v>
      </c>
      <c r="C50" t="s">
        <v>65</v>
      </c>
      <c r="D50" t="s">
        <v>2502</v>
      </c>
      <c r="E50" t="s">
        <v>94</v>
      </c>
      <c r="F50" t="s">
        <v>277</v>
      </c>
      <c r="G50" s="12">
        <v>7.6672000000000002</v>
      </c>
      <c r="H50" s="12">
        <v>-76.681100000000001</v>
      </c>
      <c r="I50" t="s">
        <v>4685</v>
      </c>
      <c r="J50">
        <v>30</v>
      </c>
      <c r="K50" s="21">
        <v>165</v>
      </c>
      <c r="L50">
        <v>30</v>
      </c>
      <c r="M50" s="21">
        <v>165</v>
      </c>
    </row>
    <row r="51" spans="1:13" x14ac:dyDescent="0.25">
      <c r="A51" t="s">
        <v>2534</v>
      </c>
      <c r="B51" t="s">
        <v>2535</v>
      </c>
      <c r="C51" t="s">
        <v>65</v>
      </c>
      <c r="D51" t="s">
        <v>2536</v>
      </c>
      <c r="E51" t="s">
        <v>94</v>
      </c>
      <c r="F51" t="s">
        <v>277</v>
      </c>
      <c r="G51" s="12">
        <v>5.5468999999999999</v>
      </c>
      <c r="H51" s="12">
        <v>-75.642499999999998</v>
      </c>
      <c r="I51" t="s">
        <v>4685</v>
      </c>
      <c r="J51">
        <v>26</v>
      </c>
      <c r="K51" s="21">
        <v>172.77</v>
      </c>
      <c r="L51">
        <v>26</v>
      </c>
      <c r="M51" s="21">
        <v>172.7692308</v>
      </c>
    </row>
    <row r="52" spans="1:13" x14ac:dyDescent="0.25">
      <c r="A52" t="s">
        <v>2564</v>
      </c>
      <c r="B52" t="s">
        <v>2565</v>
      </c>
      <c r="C52" t="s">
        <v>65</v>
      </c>
      <c r="D52" t="s">
        <v>2566</v>
      </c>
      <c r="E52" t="s">
        <v>94</v>
      </c>
      <c r="F52" t="s">
        <v>277</v>
      </c>
      <c r="G52" s="12">
        <v>5.6050000000000004</v>
      </c>
      <c r="H52" s="12">
        <v>-75.941299999999998</v>
      </c>
      <c r="I52" t="s">
        <v>4685</v>
      </c>
      <c r="J52">
        <v>21</v>
      </c>
      <c r="K52" s="21">
        <v>162.43</v>
      </c>
      <c r="L52">
        <v>21</v>
      </c>
      <c r="M52" s="21">
        <v>162.42857140000001</v>
      </c>
    </row>
    <row r="53" spans="1:13" x14ac:dyDescent="0.25">
      <c r="A53" t="s">
        <v>2588</v>
      </c>
      <c r="B53" t="s">
        <v>2589</v>
      </c>
      <c r="C53" t="s">
        <v>65</v>
      </c>
      <c r="D53" t="s">
        <v>2590</v>
      </c>
      <c r="E53" t="s">
        <v>94</v>
      </c>
      <c r="F53" t="s">
        <v>277</v>
      </c>
      <c r="G53" s="12">
        <v>6.2186000000000003</v>
      </c>
      <c r="H53" s="12">
        <v>-75.241699999999994</v>
      </c>
      <c r="I53" t="s">
        <v>4685</v>
      </c>
      <c r="J53">
        <v>32</v>
      </c>
      <c r="K53" s="21">
        <v>179.78</v>
      </c>
      <c r="L53">
        <v>32</v>
      </c>
      <c r="M53" s="21">
        <v>179.78125</v>
      </c>
    </row>
    <row r="54" spans="1:13" x14ac:dyDescent="0.25">
      <c r="A54" t="s">
        <v>2624</v>
      </c>
      <c r="B54" t="s">
        <v>2625</v>
      </c>
      <c r="C54" t="s">
        <v>65</v>
      </c>
      <c r="D54" t="s">
        <v>2626</v>
      </c>
      <c r="E54" t="s">
        <v>94</v>
      </c>
      <c r="F54" t="s">
        <v>277</v>
      </c>
      <c r="G54" s="12">
        <v>7.0785999999999998</v>
      </c>
      <c r="H54" s="12">
        <v>-74.698300000000003</v>
      </c>
      <c r="I54" t="s">
        <v>4685</v>
      </c>
      <c r="J54">
        <v>23</v>
      </c>
      <c r="K54" s="21">
        <v>181.57</v>
      </c>
      <c r="L54">
        <v>23</v>
      </c>
      <c r="M54" s="21">
        <v>181.56521739999999</v>
      </c>
    </row>
    <row r="55" spans="1:13" x14ac:dyDescent="0.25">
      <c r="A55" t="s">
        <v>2651</v>
      </c>
      <c r="B55" t="s">
        <v>2652</v>
      </c>
      <c r="C55" t="s">
        <v>65</v>
      </c>
      <c r="D55" t="s">
        <v>2653</v>
      </c>
      <c r="E55" t="s">
        <v>94</v>
      </c>
      <c r="F55" t="s">
        <v>277</v>
      </c>
      <c r="G55" s="12">
        <v>7.0269000000000004</v>
      </c>
      <c r="H55" s="12">
        <v>-74.697500000000005</v>
      </c>
      <c r="I55" t="s">
        <v>4685</v>
      </c>
      <c r="J55">
        <v>27</v>
      </c>
      <c r="K55" s="21">
        <v>189.96</v>
      </c>
      <c r="L55">
        <v>27</v>
      </c>
      <c r="M55" s="21">
        <v>189.962963</v>
      </c>
    </row>
    <row r="56" spans="1:13" x14ac:dyDescent="0.25">
      <c r="A56" t="s">
        <v>2682</v>
      </c>
      <c r="B56" t="s">
        <v>2683</v>
      </c>
      <c r="C56" t="s">
        <v>65</v>
      </c>
      <c r="D56" t="s">
        <v>2684</v>
      </c>
      <c r="E56" t="s">
        <v>94</v>
      </c>
      <c r="F56" t="s">
        <v>277</v>
      </c>
      <c r="G56" s="12">
        <v>6.9633000000000003</v>
      </c>
      <c r="H56" s="12">
        <v>-75.416899999999998</v>
      </c>
      <c r="I56" t="s">
        <v>4685</v>
      </c>
      <c r="J56">
        <v>30</v>
      </c>
      <c r="K56" s="21">
        <v>186.6</v>
      </c>
      <c r="L56">
        <v>30</v>
      </c>
      <c r="M56" s="21">
        <v>186.6</v>
      </c>
    </row>
    <row r="57" spans="1:13" x14ac:dyDescent="0.25">
      <c r="A57" t="s">
        <v>2716</v>
      </c>
      <c r="B57" t="s">
        <v>2717</v>
      </c>
      <c r="C57" t="s">
        <v>65</v>
      </c>
      <c r="D57" t="s">
        <v>2718</v>
      </c>
      <c r="E57" t="s">
        <v>94</v>
      </c>
      <c r="F57" t="s">
        <v>277</v>
      </c>
      <c r="G57" s="12">
        <v>6.6768999999999998</v>
      </c>
      <c r="H57" s="12">
        <v>-74.843599999999995</v>
      </c>
      <c r="I57" t="s">
        <v>4685</v>
      </c>
      <c r="J57">
        <v>20</v>
      </c>
      <c r="K57" s="21">
        <v>198.85</v>
      </c>
      <c r="L57">
        <v>20</v>
      </c>
      <c r="M57" s="21">
        <v>198.85</v>
      </c>
    </row>
    <row r="58" spans="1:13" x14ac:dyDescent="0.25">
      <c r="A58" t="s">
        <v>2740</v>
      </c>
      <c r="B58" t="s">
        <v>2741</v>
      </c>
      <c r="C58" t="s">
        <v>65</v>
      </c>
      <c r="D58" t="s">
        <v>2742</v>
      </c>
      <c r="E58" t="s">
        <v>94</v>
      </c>
      <c r="F58" t="s">
        <v>277</v>
      </c>
      <c r="G58" s="12">
        <v>7.0049999999999999</v>
      </c>
      <c r="H58" s="12">
        <v>-74.008300000000006</v>
      </c>
      <c r="I58" t="s">
        <v>4685</v>
      </c>
      <c r="J58">
        <v>70</v>
      </c>
      <c r="K58" s="21">
        <v>179.51</v>
      </c>
      <c r="L58">
        <v>70</v>
      </c>
      <c r="M58" s="21">
        <v>179.51428569999999</v>
      </c>
    </row>
    <row r="59" spans="1:13" x14ac:dyDescent="0.25">
      <c r="A59" t="s">
        <v>2814</v>
      </c>
      <c r="B59" t="s">
        <v>2815</v>
      </c>
      <c r="C59" t="s">
        <v>65</v>
      </c>
      <c r="D59" t="s">
        <v>2816</v>
      </c>
      <c r="E59" t="s">
        <v>94</v>
      </c>
      <c r="F59" t="s">
        <v>277</v>
      </c>
      <c r="G59" s="12">
        <v>7.4913999999999996</v>
      </c>
      <c r="H59" s="12">
        <v>-74.869200000000006</v>
      </c>
      <c r="I59" t="s">
        <v>4685</v>
      </c>
      <c r="J59">
        <v>30</v>
      </c>
      <c r="K59" s="21">
        <v>171</v>
      </c>
      <c r="L59">
        <v>30</v>
      </c>
      <c r="M59" s="21">
        <v>171</v>
      </c>
    </row>
    <row r="60" spans="1:13" x14ac:dyDescent="0.25">
      <c r="A60" t="s">
        <v>2848</v>
      </c>
      <c r="B60" t="s">
        <v>2849</v>
      </c>
      <c r="C60" t="s">
        <v>65</v>
      </c>
      <c r="D60" t="s">
        <v>2502</v>
      </c>
      <c r="E60" t="s">
        <v>94</v>
      </c>
      <c r="F60" t="s">
        <v>277</v>
      </c>
      <c r="G60" s="12">
        <v>7.6672000000000002</v>
      </c>
      <c r="H60" s="12">
        <v>-76.681100000000001</v>
      </c>
      <c r="I60" t="s">
        <v>4685</v>
      </c>
      <c r="J60">
        <v>31</v>
      </c>
      <c r="K60" s="21">
        <v>150.61000000000001</v>
      </c>
      <c r="L60">
        <v>31</v>
      </c>
      <c r="M60" s="21">
        <v>150.61290320000001</v>
      </c>
    </row>
    <row r="61" spans="1:13" x14ac:dyDescent="0.25">
      <c r="A61" t="s">
        <v>2882</v>
      </c>
      <c r="B61" t="s">
        <v>2883</v>
      </c>
      <c r="C61" t="s">
        <v>65</v>
      </c>
      <c r="D61" t="s">
        <v>2356</v>
      </c>
      <c r="E61" t="s">
        <v>94</v>
      </c>
      <c r="F61" t="s">
        <v>277</v>
      </c>
      <c r="G61" s="12">
        <v>8.8507999999999996</v>
      </c>
      <c r="H61" s="12">
        <v>-76.426699999999997</v>
      </c>
      <c r="I61" t="s">
        <v>4685</v>
      </c>
      <c r="J61">
        <v>40</v>
      </c>
      <c r="K61" s="21">
        <v>203.3</v>
      </c>
      <c r="L61">
        <v>40</v>
      </c>
      <c r="M61" s="21">
        <v>203.3</v>
      </c>
    </row>
    <row r="62" spans="1:13" x14ac:dyDescent="0.25">
      <c r="A62" t="s">
        <v>2925</v>
      </c>
      <c r="B62" t="s">
        <v>2926</v>
      </c>
      <c r="C62" t="s">
        <v>65</v>
      </c>
      <c r="D62" t="s">
        <v>2502</v>
      </c>
      <c r="E62" t="s">
        <v>94</v>
      </c>
      <c r="F62" t="s">
        <v>277</v>
      </c>
      <c r="G62" s="12">
        <v>7.6672000000000002</v>
      </c>
      <c r="H62" s="12">
        <v>-76.681100000000001</v>
      </c>
      <c r="I62" t="s">
        <v>4685</v>
      </c>
      <c r="J62">
        <v>47</v>
      </c>
      <c r="K62" s="21">
        <v>174.96</v>
      </c>
      <c r="L62">
        <v>47</v>
      </c>
      <c r="M62" s="21">
        <v>174.95744680000001</v>
      </c>
    </row>
    <row r="63" spans="1:13" x14ac:dyDescent="0.25">
      <c r="A63" t="s">
        <v>2975</v>
      </c>
      <c r="B63" t="s">
        <v>2976</v>
      </c>
      <c r="C63" t="s">
        <v>65</v>
      </c>
      <c r="D63" t="s">
        <v>2977</v>
      </c>
      <c r="E63" t="s">
        <v>94</v>
      </c>
      <c r="F63" t="s">
        <v>277</v>
      </c>
      <c r="G63" s="12">
        <v>7.0168999999999997</v>
      </c>
      <c r="H63" s="12">
        <v>-76.753600000000006</v>
      </c>
      <c r="I63" t="s">
        <v>4685</v>
      </c>
      <c r="J63">
        <v>46</v>
      </c>
      <c r="K63" s="21">
        <v>160.02000000000001</v>
      </c>
      <c r="L63">
        <v>46</v>
      </c>
      <c r="M63" s="21">
        <v>160.02173909999999</v>
      </c>
    </row>
    <row r="64" spans="1:13" x14ac:dyDescent="0.25">
      <c r="A64" t="s">
        <v>3025</v>
      </c>
      <c r="B64" t="s">
        <v>3026</v>
      </c>
      <c r="C64" t="s">
        <v>65</v>
      </c>
      <c r="D64" t="s">
        <v>3027</v>
      </c>
      <c r="E64" t="s">
        <v>94</v>
      </c>
      <c r="F64" t="s">
        <v>277</v>
      </c>
      <c r="G64" s="12">
        <v>7.2432999999999996</v>
      </c>
      <c r="H64" s="12">
        <v>-76.436099999999996</v>
      </c>
      <c r="I64" t="s">
        <v>4685</v>
      </c>
      <c r="J64">
        <v>55</v>
      </c>
      <c r="K64" s="21">
        <v>174.96</v>
      </c>
      <c r="L64">
        <v>55</v>
      </c>
      <c r="M64" s="21">
        <v>174.96363640000001</v>
      </c>
    </row>
    <row r="65" spans="1:13" x14ac:dyDescent="0.25">
      <c r="A65" t="s">
        <v>3084</v>
      </c>
      <c r="B65" t="s">
        <v>3085</v>
      </c>
      <c r="C65" t="s">
        <v>65</v>
      </c>
      <c r="D65" t="s">
        <v>3086</v>
      </c>
      <c r="E65" t="s">
        <v>94</v>
      </c>
      <c r="F65" t="s">
        <v>277</v>
      </c>
      <c r="G65" s="12">
        <v>6.9786000000000001</v>
      </c>
      <c r="H65" s="12">
        <v>-75.296099999999996</v>
      </c>
      <c r="I65" t="s">
        <v>4685</v>
      </c>
      <c r="J65">
        <v>26</v>
      </c>
      <c r="K65" s="21">
        <v>172.81</v>
      </c>
      <c r="L65">
        <v>26</v>
      </c>
      <c r="M65" s="21">
        <v>172.80769230000001</v>
      </c>
    </row>
    <row r="66" spans="1:13" x14ac:dyDescent="0.25">
      <c r="A66" t="s">
        <v>3114</v>
      </c>
      <c r="B66" t="s">
        <v>3115</v>
      </c>
      <c r="C66" t="s">
        <v>65</v>
      </c>
      <c r="D66" t="s">
        <v>3116</v>
      </c>
      <c r="E66" t="s">
        <v>94</v>
      </c>
      <c r="F66" t="s">
        <v>277</v>
      </c>
      <c r="G66" s="12">
        <v>5.9625000000000004</v>
      </c>
      <c r="H66" s="12">
        <v>-75.735799999999998</v>
      </c>
      <c r="I66" t="s">
        <v>4685</v>
      </c>
      <c r="J66">
        <v>19</v>
      </c>
      <c r="K66" s="21">
        <v>174.26</v>
      </c>
      <c r="L66">
        <v>19</v>
      </c>
      <c r="M66" s="21">
        <v>174.26315790000001</v>
      </c>
    </row>
    <row r="67" spans="1:13" x14ac:dyDescent="0.25">
      <c r="A67" t="s">
        <v>3137</v>
      </c>
      <c r="B67" t="s">
        <v>3138</v>
      </c>
      <c r="C67" t="s">
        <v>65</v>
      </c>
      <c r="D67" t="s">
        <v>3139</v>
      </c>
      <c r="E67" t="s">
        <v>94</v>
      </c>
      <c r="F67" t="s">
        <v>277</v>
      </c>
      <c r="G67" s="12">
        <v>6.0328999999999997</v>
      </c>
      <c r="H67" s="12">
        <v>-75.707999999999998</v>
      </c>
      <c r="I67" t="s">
        <v>4685</v>
      </c>
      <c r="J67">
        <v>32</v>
      </c>
      <c r="K67" s="21">
        <v>170.47</v>
      </c>
      <c r="L67">
        <v>32</v>
      </c>
      <c r="M67" s="21">
        <v>170.46875</v>
      </c>
    </row>
    <row r="68" spans="1:13" x14ac:dyDescent="0.25">
      <c r="A68" t="s">
        <v>3172</v>
      </c>
      <c r="B68" t="s">
        <v>3173</v>
      </c>
      <c r="C68" t="s">
        <v>65</v>
      </c>
      <c r="D68" t="s">
        <v>3174</v>
      </c>
      <c r="E68" t="s">
        <v>94</v>
      </c>
      <c r="F68" t="s">
        <v>277</v>
      </c>
      <c r="G68" s="12">
        <v>6.6047000000000002</v>
      </c>
      <c r="H68" s="12">
        <v>-75.666399999999996</v>
      </c>
      <c r="I68" t="s">
        <v>4685</v>
      </c>
      <c r="J68">
        <v>28</v>
      </c>
      <c r="K68" s="21">
        <v>187</v>
      </c>
      <c r="L68">
        <v>28</v>
      </c>
      <c r="M68" s="21">
        <v>187</v>
      </c>
    </row>
    <row r="69" spans="1:13" x14ac:dyDescent="0.25">
      <c r="A69" t="s">
        <v>3204</v>
      </c>
      <c r="B69" t="s">
        <v>3205</v>
      </c>
      <c r="C69" t="s">
        <v>65</v>
      </c>
      <c r="D69" t="s">
        <v>3206</v>
      </c>
      <c r="E69" t="s">
        <v>94</v>
      </c>
      <c r="F69" t="s">
        <v>277</v>
      </c>
      <c r="G69" s="12">
        <v>7.1717000000000004</v>
      </c>
      <c r="H69" s="12">
        <v>-75.733599999999996</v>
      </c>
      <c r="I69" t="s">
        <v>4685</v>
      </c>
      <c r="J69">
        <v>24</v>
      </c>
      <c r="K69" s="21">
        <v>172.83</v>
      </c>
      <c r="L69">
        <v>24</v>
      </c>
      <c r="M69" s="21">
        <v>172.83333329999999</v>
      </c>
    </row>
    <row r="70" spans="1:13" x14ac:dyDescent="0.25">
      <c r="A70" t="s">
        <v>3232</v>
      </c>
      <c r="B70" t="s">
        <v>3233</v>
      </c>
      <c r="C70" t="s">
        <v>65</v>
      </c>
      <c r="D70" t="s">
        <v>2240</v>
      </c>
      <c r="E70" t="s">
        <v>94</v>
      </c>
      <c r="F70" t="s">
        <v>277</v>
      </c>
      <c r="G70" s="12">
        <v>7.5758000000000001</v>
      </c>
      <c r="H70" s="12">
        <v>-75.348600000000005</v>
      </c>
      <c r="I70" t="s">
        <v>4685</v>
      </c>
      <c r="J70">
        <v>20</v>
      </c>
      <c r="K70" s="21">
        <v>152.30000000000001</v>
      </c>
      <c r="L70">
        <v>20</v>
      </c>
      <c r="M70" s="21">
        <v>152.30000000000001</v>
      </c>
    </row>
    <row r="71" spans="1:13" x14ac:dyDescent="0.25">
      <c r="A71" t="s">
        <v>3255</v>
      </c>
      <c r="B71" t="s">
        <v>3256</v>
      </c>
      <c r="C71" t="s">
        <v>65</v>
      </c>
      <c r="D71" t="s">
        <v>3257</v>
      </c>
      <c r="E71" t="s">
        <v>94</v>
      </c>
      <c r="F71" t="s">
        <v>277</v>
      </c>
      <c r="G71" s="12">
        <v>6.9778000000000002</v>
      </c>
      <c r="H71" s="12">
        <v>-74.981200000000001</v>
      </c>
      <c r="I71" t="s">
        <v>4685</v>
      </c>
      <c r="J71">
        <v>57</v>
      </c>
      <c r="K71" s="21">
        <v>194.07</v>
      </c>
      <c r="L71">
        <v>57</v>
      </c>
      <c r="M71" s="21">
        <v>194.07017540000001</v>
      </c>
    </row>
    <row r="72" spans="1:13" x14ac:dyDescent="0.25">
      <c r="A72" t="s">
        <v>3315</v>
      </c>
      <c r="B72" t="s">
        <v>3316</v>
      </c>
      <c r="C72" t="s">
        <v>65</v>
      </c>
      <c r="D72" t="s">
        <v>3317</v>
      </c>
      <c r="E72" t="s">
        <v>94</v>
      </c>
      <c r="F72" t="s">
        <v>277</v>
      </c>
      <c r="G72" s="12">
        <v>6.3952999999999998</v>
      </c>
      <c r="H72" s="12">
        <v>-75.257499999999993</v>
      </c>
      <c r="I72" t="s">
        <v>4685</v>
      </c>
      <c r="J72">
        <v>29</v>
      </c>
      <c r="K72" s="21">
        <v>183.72</v>
      </c>
      <c r="L72">
        <v>29</v>
      </c>
      <c r="M72" s="21">
        <v>183.72413789999999</v>
      </c>
    </row>
    <row r="73" spans="1:13" x14ac:dyDescent="0.25">
      <c r="A73" t="s">
        <v>3348</v>
      </c>
      <c r="B73" t="s">
        <v>3349</v>
      </c>
      <c r="C73" t="s">
        <v>65</v>
      </c>
      <c r="D73" t="s">
        <v>3257</v>
      </c>
      <c r="E73" t="s">
        <v>94</v>
      </c>
      <c r="F73" t="s">
        <v>277</v>
      </c>
      <c r="G73" s="12">
        <v>6.9778000000000002</v>
      </c>
      <c r="H73" s="12">
        <v>-74.981200000000001</v>
      </c>
      <c r="I73" t="s">
        <v>4685</v>
      </c>
      <c r="J73">
        <v>39</v>
      </c>
      <c r="K73" s="21">
        <v>167.49</v>
      </c>
      <c r="L73">
        <v>39</v>
      </c>
      <c r="M73" s="21">
        <v>167.4871795</v>
      </c>
    </row>
    <row r="74" spans="1:13" x14ac:dyDescent="0.25">
      <c r="A74" t="s">
        <v>3389</v>
      </c>
      <c r="B74" t="s">
        <v>3390</v>
      </c>
      <c r="C74" t="s">
        <v>65</v>
      </c>
      <c r="D74" t="s">
        <v>3391</v>
      </c>
      <c r="E74" t="s">
        <v>94</v>
      </c>
      <c r="F74" t="s">
        <v>277</v>
      </c>
      <c r="G74" s="12">
        <v>6.9157999999999999</v>
      </c>
      <c r="H74" s="12">
        <v>-75.673900000000003</v>
      </c>
      <c r="I74" t="s">
        <v>4685</v>
      </c>
      <c r="J74">
        <v>21</v>
      </c>
      <c r="K74" s="21">
        <v>212.38</v>
      </c>
      <c r="L74">
        <v>21</v>
      </c>
      <c r="M74" s="21">
        <v>212.38095240000001</v>
      </c>
    </row>
    <row r="75" spans="1:13" x14ac:dyDescent="0.25">
      <c r="A75" t="s">
        <v>3414</v>
      </c>
      <c r="B75" t="s">
        <v>3415</v>
      </c>
      <c r="C75" t="s">
        <v>65</v>
      </c>
      <c r="D75" t="s">
        <v>3416</v>
      </c>
      <c r="E75" t="s">
        <v>94</v>
      </c>
      <c r="F75" t="s">
        <v>277</v>
      </c>
      <c r="G75" s="12">
        <v>6.6780999999999997</v>
      </c>
      <c r="H75" s="12">
        <v>-75.811400000000006</v>
      </c>
      <c r="I75" t="s">
        <v>4685</v>
      </c>
      <c r="J75">
        <v>34</v>
      </c>
      <c r="K75" s="21">
        <v>172.41</v>
      </c>
      <c r="L75">
        <v>34</v>
      </c>
      <c r="M75" s="21">
        <v>172.41176469999999</v>
      </c>
    </row>
    <row r="76" spans="1:13" x14ac:dyDescent="0.25">
      <c r="A76" t="s">
        <v>3452</v>
      </c>
      <c r="B76" t="s">
        <v>3453</v>
      </c>
      <c r="C76" t="s">
        <v>65</v>
      </c>
      <c r="D76" t="s">
        <v>3454</v>
      </c>
      <c r="E76" t="s">
        <v>94</v>
      </c>
      <c r="F76" t="s">
        <v>277</v>
      </c>
      <c r="G76" s="12">
        <v>6.1214000000000004</v>
      </c>
      <c r="H76" s="12">
        <v>-75.715900000000005</v>
      </c>
      <c r="I76" t="s">
        <v>4685</v>
      </c>
      <c r="J76">
        <v>96</v>
      </c>
      <c r="K76" s="21">
        <v>167.15</v>
      </c>
      <c r="L76">
        <v>96</v>
      </c>
      <c r="M76" s="21">
        <v>167.14583329999999</v>
      </c>
    </row>
    <row r="77" spans="1:13" x14ac:dyDescent="0.25">
      <c r="A77" t="s">
        <v>3553</v>
      </c>
      <c r="B77" t="s">
        <v>3554</v>
      </c>
      <c r="C77" t="s">
        <v>65</v>
      </c>
      <c r="D77" t="s">
        <v>3555</v>
      </c>
      <c r="E77" t="s">
        <v>94</v>
      </c>
      <c r="F77" t="s">
        <v>277</v>
      </c>
      <c r="G77" s="12">
        <v>6.4085999999999999</v>
      </c>
      <c r="H77" s="12">
        <v>-75.982799999999997</v>
      </c>
      <c r="I77" t="s">
        <v>4685</v>
      </c>
      <c r="J77">
        <v>23</v>
      </c>
      <c r="K77" s="21">
        <v>195.74</v>
      </c>
      <c r="L77">
        <v>23</v>
      </c>
      <c r="M77" s="21">
        <v>195.73913039999999</v>
      </c>
    </row>
    <row r="78" spans="1:13" x14ac:dyDescent="0.25">
      <c r="A78" t="s">
        <v>3580</v>
      </c>
      <c r="B78" t="s">
        <v>3581</v>
      </c>
      <c r="C78" t="s">
        <v>65</v>
      </c>
      <c r="D78" t="s">
        <v>3582</v>
      </c>
      <c r="E78" t="s">
        <v>94</v>
      </c>
      <c r="F78" t="s">
        <v>277</v>
      </c>
      <c r="G78" s="12">
        <v>8.7611000000000008</v>
      </c>
      <c r="H78" s="12">
        <v>-76.530299999999997</v>
      </c>
      <c r="I78" t="s">
        <v>4685</v>
      </c>
      <c r="J78">
        <v>85</v>
      </c>
      <c r="K78" s="21">
        <v>179.79</v>
      </c>
      <c r="L78">
        <v>85</v>
      </c>
      <c r="M78" s="21">
        <v>179.7882353</v>
      </c>
    </row>
    <row r="79" spans="1:13" x14ac:dyDescent="0.25">
      <c r="A79" t="s">
        <v>3669</v>
      </c>
      <c r="B79" t="s">
        <v>3670</v>
      </c>
      <c r="C79" t="s">
        <v>65</v>
      </c>
      <c r="D79" t="s">
        <v>3671</v>
      </c>
      <c r="E79" t="s">
        <v>94</v>
      </c>
      <c r="F79" t="s">
        <v>277</v>
      </c>
      <c r="G79" s="12">
        <v>6.5568999999999997</v>
      </c>
      <c r="H79" s="12">
        <v>-75.828100000000006</v>
      </c>
      <c r="I79" t="s">
        <v>4685</v>
      </c>
      <c r="J79">
        <v>39</v>
      </c>
      <c r="K79" s="21">
        <v>212.33</v>
      </c>
      <c r="L79">
        <v>39</v>
      </c>
      <c r="M79" s="21">
        <v>212.33333329999999</v>
      </c>
    </row>
    <row r="80" spans="1:13" x14ac:dyDescent="0.25">
      <c r="A80" t="s">
        <v>3712</v>
      </c>
      <c r="B80" t="s">
        <v>3713</v>
      </c>
      <c r="C80" t="s">
        <v>65</v>
      </c>
      <c r="D80" t="s">
        <v>1951</v>
      </c>
      <c r="E80" t="s">
        <v>94</v>
      </c>
      <c r="F80" t="s">
        <v>277</v>
      </c>
      <c r="G80" s="12">
        <v>8.2750000000000004</v>
      </c>
      <c r="H80" s="12">
        <v>-76.369</v>
      </c>
      <c r="I80" t="s">
        <v>4685</v>
      </c>
      <c r="J80">
        <v>22</v>
      </c>
      <c r="K80" s="21">
        <v>170.55</v>
      </c>
      <c r="L80">
        <v>22</v>
      </c>
      <c r="M80" s="21">
        <v>170.54545450000001</v>
      </c>
    </row>
    <row r="81" spans="1:13" x14ac:dyDescent="0.25">
      <c r="A81" t="s">
        <v>3737</v>
      </c>
      <c r="B81" t="s">
        <v>3738</v>
      </c>
      <c r="C81" t="s">
        <v>65</v>
      </c>
      <c r="D81" t="s">
        <v>3739</v>
      </c>
      <c r="E81" t="s">
        <v>94</v>
      </c>
      <c r="F81" t="s">
        <v>277</v>
      </c>
      <c r="G81" s="12">
        <v>5.7319000000000004</v>
      </c>
      <c r="H81" s="12">
        <v>-75.143100000000004</v>
      </c>
      <c r="I81" t="s">
        <v>4685</v>
      </c>
      <c r="J81">
        <v>40</v>
      </c>
      <c r="K81" s="21">
        <v>203.55</v>
      </c>
      <c r="L81">
        <v>40</v>
      </c>
      <c r="M81" s="21">
        <v>203.55</v>
      </c>
    </row>
    <row r="82" spans="1:13" x14ac:dyDescent="0.25">
      <c r="A82" t="s">
        <v>3781</v>
      </c>
      <c r="B82" t="s">
        <v>3782</v>
      </c>
      <c r="C82" t="s">
        <v>65</v>
      </c>
      <c r="D82" t="s">
        <v>3783</v>
      </c>
      <c r="E82" t="s">
        <v>94</v>
      </c>
      <c r="F82" t="s">
        <v>277</v>
      </c>
      <c r="G82" s="12">
        <v>7.9869000000000003</v>
      </c>
      <c r="H82" s="12">
        <v>-75.197199999999995</v>
      </c>
      <c r="I82" t="s">
        <v>4685</v>
      </c>
      <c r="J82">
        <v>31</v>
      </c>
      <c r="K82" s="21">
        <v>146.38999999999999</v>
      </c>
      <c r="L82">
        <v>31</v>
      </c>
      <c r="M82" s="21">
        <v>146.38709679999999</v>
      </c>
    </row>
    <row r="83" spans="1:13" x14ac:dyDescent="0.25">
      <c r="A83" t="s">
        <v>3816</v>
      </c>
      <c r="B83" t="s">
        <v>3817</v>
      </c>
      <c r="C83" t="s">
        <v>65</v>
      </c>
      <c r="D83" t="s">
        <v>3818</v>
      </c>
      <c r="E83" t="s">
        <v>94</v>
      </c>
      <c r="F83" t="s">
        <v>277</v>
      </c>
      <c r="G83" s="12">
        <v>6.3266999999999998</v>
      </c>
      <c r="H83" s="12">
        <v>-75.768600000000006</v>
      </c>
      <c r="I83" t="s">
        <v>4685</v>
      </c>
      <c r="J83">
        <v>36</v>
      </c>
      <c r="K83" s="21">
        <v>214.11</v>
      </c>
      <c r="L83">
        <v>36</v>
      </c>
      <c r="M83" s="21">
        <v>214.11111109999999</v>
      </c>
    </row>
    <row r="84" spans="1:13" x14ac:dyDescent="0.25">
      <c r="A84" t="s">
        <v>3856</v>
      </c>
      <c r="B84" t="s">
        <v>3857</v>
      </c>
      <c r="C84" t="s">
        <v>65</v>
      </c>
      <c r="D84" t="s">
        <v>3858</v>
      </c>
      <c r="E84" t="s">
        <v>94</v>
      </c>
      <c r="F84" t="s">
        <v>277</v>
      </c>
      <c r="G84" s="12">
        <v>6.5861000000000001</v>
      </c>
      <c r="H84" s="12">
        <v>-76.886399999999995</v>
      </c>
      <c r="I84" t="s">
        <v>4685</v>
      </c>
      <c r="J84">
        <v>34</v>
      </c>
      <c r="K84" s="21">
        <v>140.82</v>
      </c>
      <c r="L84">
        <v>34</v>
      </c>
      <c r="M84" s="21">
        <v>140.82352940000001</v>
      </c>
    </row>
    <row r="85" spans="1:13" x14ac:dyDescent="0.25">
      <c r="A85" t="s">
        <v>3894</v>
      </c>
      <c r="B85" t="s">
        <v>3895</v>
      </c>
      <c r="C85" t="s">
        <v>65</v>
      </c>
      <c r="D85" t="s">
        <v>3896</v>
      </c>
      <c r="E85" t="s">
        <v>94</v>
      </c>
      <c r="F85" t="s">
        <v>277</v>
      </c>
      <c r="G85" s="12">
        <v>5.7916999999999996</v>
      </c>
      <c r="H85" s="12">
        <v>-75.839399999999998</v>
      </c>
      <c r="I85" t="s">
        <v>4685</v>
      </c>
      <c r="J85">
        <v>32</v>
      </c>
      <c r="K85" s="21">
        <v>178.84</v>
      </c>
      <c r="L85">
        <v>32</v>
      </c>
      <c r="M85" s="21">
        <v>178.84375</v>
      </c>
    </row>
    <row r="86" spans="1:13" x14ac:dyDescent="0.25">
      <c r="A86" t="s">
        <v>3930</v>
      </c>
      <c r="B86" t="s">
        <v>3931</v>
      </c>
      <c r="C86" t="s">
        <v>65</v>
      </c>
      <c r="D86" t="s">
        <v>3932</v>
      </c>
      <c r="E86" t="s">
        <v>94</v>
      </c>
      <c r="F86" t="s">
        <v>277</v>
      </c>
      <c r="G86" s="12">
        <v>7.6017000000000001</v>
      </c>
      <c r="H86" s="12">
        <v>-74.808300000000003</v>
      </c>
      <c r="I86" t="s">
        <v>4685</v>
      </c>
      <c r="J86">
        <v>40</v>
      </c>
      <c r="K86" s="21">
        <v>150.9</v>
      </c>
      <c r="L86">
        <v>40</v>
      </c>
      <c r="M86" s="21">
        <v>150.9</v>
      </c>
    </row>
    <row r="87" spans="1:13" x14ac:dyDescent="0.25">
      <c r="A87" t="s">
        <v>3974</v>
      </c>
      <c r="B87" t="s">
        <v>3975</v>
      </c>
      <c r="C87" t="s">
        <v>65</v>
      </c>
      <c r="D87" t="s">
        <v>3976</v>
      </c>
      <c r="E87" t="s">
        <v>94</v>
      </c>
      <c r="F87" t="s">
        <v>277</v>
      </c>
      <c r="G87" s="12">
        <v>5.7461000000000002</v>
      </c>
      <c r="H87" s="12">
        <v>-75.606899999999996</v>
      </c>
      <c r="I87" t="s">
        <v>4685</v>
      </c>
      <c r="J87">
        <v>36</v>
      </c>
      <c r="K87" s="21">
        <v>173.53</v>
      </c>
      <c r="L87">
        <v>36</v>
      </c>
      <c r="M87" s="21">
        <v>173.5277778</v>
      </c>
    </row>
    <row r="88" spans="1:13" x14ac:dyDescent="0.25">
      <c r="A88" t="s">
        <v>4014</v>
      </c>
      <c r="B88" t="s">
        <v>4015</v>
      </c>
      <c r="C88" t="s">
        <v>65</v>
      </c>
      <c r="D88" t="s">
        <v>3932</v>
      </c>
      <c r="E88" t="s">
        <v>94</v>
      </c>
      <c r="F88" t="s">
        <v>277</v>
      </c>
      <c r="G88" s="12">
        <v>7.6017000000000001</v>
      </c>
      <c r="H88" s="12">
        <v>-74.808300000000003</v>
      </c>
      <c r="I88" t="s">
        <v>4685</v>
      </c>
      <c r="J88">
        <v>34</v>
      </c>
      <c r="K88" s="21">
        <v>153.56</v>
      </c>
      <c r="L88">
        <v>34</v>
      </c>
      <c r="M88" s="21">
        <v>153.55882349999999</v>
      </c>
    </row>
    <row r="89" spans="1:13" x14ac:dyDescent="0.25">
      <c r="A89" t="s">
        <v>4051</v>
      </c>
      <c r="B89" t="s">
        <v>4052</v>
      </c>
      <c r="C89" t="s">
        <v>65</v>
      </c>
      <c r="D89" t="s">
        <v>4053</v>
      </c>
      <c r="E89" t="s">
        <v>94</v>
      </c>
      <c r="F89" t="s">
        <v>277</v>
      </c>
      <c r="G89" s="12">
        <v>6.7805999999999997</v>
      </c>
      <c r="H89" s="12">
        <v>-76.130799999999994</v>
      </c>
      <c r="I89" t="s">
        <v>4685</v>
      </c>
      <c r="J89">
        <v>20</v>
      </c>
      <c r="K89" s="21">
        <v>172</v>
      </c>
      <c r="L89">
        <v>20</v>
      </c>
      <c r="M89" s="21">
        <v>172</v>
      </c>
    </row>
    <row r="90" spans="1:13" x14ac:dyDescent="0.25">
      <c r="A90" t="s">
        <v>4075</v>
      </c>
      <c r="B90" t="s">
        <v>4076</v>
      </c>
      <c r="C90" t="s">
        <v>65</v>
      </c>
      <c r="D90" t="s">
        <v>4077</v>
      </c>
      <c r="E90" t="s">
        <v>94</v>
      </c>
      <c r="F90" t="s">
        <v>277</v>
      </c>
      <c r="G90" s="12">
        <v>6.7119</v>
      </c>
      <c r="H90" s="12">
        <v>-75.908600000000007</v>
      </c>
      <c r="I90" t="s">
        <v>4685</v>
      </c>
      <c r="J90">
        <v>21</v>
      </c>
      <c r="K90" s="21">
        <v>195.1</v>
      </c>
      <c r="L90">
        <v>21</v>
      </c>
      <c r="M90" s="21">
        <v>195.09523809999999</v>
      </c>
    </row>
    <row r="91" spans="1:13" x14ac:dyDescent="0.25">
      <c r="A91" t="s">
        <v>4100</v>
      </c>
      <c r="B91" t="s">
        <v>4101</v>
      </c>
      <c r="C91" t="s">
        <v>65</v>
      </c>
      <c r="D91" t="s">
        <v>3783</v>
      </c>
      <c r="E91" t="s">
        <v>94</v>
      </c>
      <c r="F91" t="s">
        <v>277</v>
      </c>
      <c r="G91" s="12">
        <v>7.9869000000000003</v>
      </c>
      <c r="H91" s="12">
        <v>-75.197199999999995</v>
      </c>
      <c r="I91" t="s">
        <v>4685</v>
      </c>
      <c r="J91">
        <v>39</v>
      </c>
      <c r="K91" s="21">
        <v>155.49</v>
      </c>
      <c r="L91">
        <v>39</v>
      </c>
      <c r="M91" s="21">
        <v>155.4871795</v>
      </c>
    </row>
    <row r="92" spans="1:13" x14ac:dyDescent="0.25">
      <c r="A92" t="s">
        <v>4142</v>
      </c>
      <c r="B92" t="s">
        <v>4143</v>
      </c>
      <c r="C92" t="s">
        <v>65</v>
      </c>
      <c r="D92" t="s">
        <v>2001</v>
      </c>
      <c r="E92" t="s">
        <v>94</v>
      </c>
      <c r="F92" t="s">
        <v>277</v>
      </c>
      <c r="G92" s="12">
        <v>6.5986000000000002</v>
      </c>
      <c r="H92" s="12">
        <v>-75.011899999999997</v>
      </c>
      <c r="I92" t="s">
        <v>4685</v>
      </c>
      <c r="J92">
        <v>20</v>
      </c>
      <c r="K92" s="21">
        <v>163.69999999999999</v>
      </c>
      <c r="L92">
        <v>20</v>
      </c>
      <c r="M92" s="21">
        <v>163.69999999999999</v>
      </c>
    </row>
    <row r="93" spans="1:13" x14ac:dyDescent="0.25">
      <c r="A93" t="s">
        <v>4165</v>
      </c>
      <c r="B93" t="s">
        <v>4166</v>
      </c>
      <c r="C93" t="s">
        <v>65</v>
      </c>
      <c r="D93" t="s">
        <v>4167</v>
      </c>
      <c r="E93" t="s">
        <v>94</v>
      </c>
      <c r="F93" t="s">
        <v>277</v>
      </c>
      <c r="G93" s="12">
        <v>6.28</v>
      </c>
      <c r="H93" s="12">
        <v>-75.442800000000005</v>
      </c>
      <c r="I93" t="s">
        <v>4685</v>
      </c>
      <c r="J93">
        <v>33</v>
      </c>
      <c r="K93" s="21">
        <v>171.73</v>
      </c>
      <c r="L93">
        <v>33</v>
      </c>
      <c r="M93" s="21">
        <v>171.72727269999999</v>
      </c>
    </row>
    <row r="94" spans="1:13" x14ac:dyDescent="0.25">
      <c r="A94" t="s">
        <v>4202</v>
      </c>
      <c r="B94" t="s">
        <v>4203</v>
      </c>
      <c r="C94" t="s">
        <v>65</v>
      </c>
      <c r="D94" t="s">
        <v>4204</v>
      </c>
      <c r="E94" t="s">
        <v>94</v>
      </c>
      <c r="F94" t="s">
        <v>277</v>
      </c>
      <c r="G94" s="12">
        <v>6.3150000000000004</v>
      </c>
      <c r="H94" s="12">
        <v>-76.133600000000001</v>
      </c>
      <c r="I94" t="s">
        <v>4685</v>
      </c>
      <c r="J94">
        <v>47</v>
      </c>
      <c r="K94" s="21">
        <v>182.68</v>
      </c>
      <c r="L94">
        <v>47</v>
      </c>
      <c r="M94" s="21">
        <v>182.68085110000001</v>
      </c>
    </row>
    <row r="95" spans="1:13" x14ac:dyDescent="0.25">
      <c r="A95" t="s">
        <v>4253</v>
      </c>
      <c r="B95" t="s">
        <v>4254</v>
      </c>
      <c r="C95" t="s">
        <v>65</v>
      </c>
      <c r="D95" t="s">
        <v>4255</v>
      </c>
      <c r="E95" t="s">
        <v>94</v>
      </c>
      <c r="F95" t="s">
        <v>277</v>
      </c>
      <c r="G95" s="12">
        <v>7.1810999999999998</v>
      </c>
      <c r="H95" s="12">
        <v>-75.441900000000004</v>
      </c>
      <c r="I95" t="s">
        <v>4685</v>
      </c>
      <c r="J95">
        <v>39</v>
      </c>
      <c r="K95" s="21">
        <v>164.74</v>
      </c>
      <c r="L95">
        <v>39</v>
      </c>
      <c r="M95" s="21">
        <v>164.7435897</v>
      </c>
    </row>
    <row r="96" spans="1:13" x14ac:dyDescent="0.25">
      <c r="A96" t="s">
        <v>4296</v>
      </c>
      <c r="B96" t="s">
        <v>4297</v>
      </c>
      <c r="C96" t="s">
        <v>65</v>
      </c>
      <c r="D96" t="s">
        <v>4298</v>
      </c>
      <c r="E96" t="s">
        <v>94</v>
      </c>
      <c r="F96" t="s">
        <v>277</v>
      </c>
      <c r="G96" s="12">
        <v>8.4285999999999994</v>
      </c>
      <c r="H96" s="12">
        <v>-76.786100000000005</v>
      </c>
      <c r="I96" t="s">
        <v>4685</v>
      </c>
      <c r="J96">
        <v>43</v>
      </c>
      <c r="K96" s="21">
        <v>144.93</v>
      </c>
      <c r="L96">
        <v>43</v>
      </c>
      <c r="M96" s="21">
        <v>144.93023260000001</v>
      </c>
    </row>
    <row r="97" spans="1:13" x14ac:dyDescent="0.25">
      <c r="A97" t="s">
        <v>4343</v>
      </c>
      <c r="B97" t="s">
        <v>4344</v>
      </c>
      <c r="C97" t="s">
        <v>65</v>
      </c>
      <c r="D97" t="s">
        <v>4345</v>
      </c>
      <c r="E97" t="s">
        <v>94</v>
      </c>
      <c r="F97" t="s">
        <v>277</v>
      </c>
      <c r="G97" s="12">
        <v>6.4718999999999998</v>
      </c>
      <c r="H97" s="12">
        <v>-75.166899999999998</v>
      </c>
      <c r="I97" t="s">
        <v>4685</v>
      </c>
      <c r="J97">
        <v>21</v>
      </c>
      <c r="K97" s="21">
        <v>168.14</v>
      </c>
      <c r="L97">
        <v>21</v>
      </c>
      <c r="M97" s="21">
        <v>168.14285709999999</v>
      </c>
    </row>
    <row r="98" spans="1:13" x14ac:dyDescent="0.25">
      <c r="A98" t="s">
        <v>4368</v>
      </c>
      <c r="B98" t="s">
        <v>4369</v>
      </c>
      <c r="C98" t="s">
        <v>65</v>
      </c>
      <c r="D98" t="s">
        <v>4370</v>
      </c>
      <c r="E98" t="s">
        <v>94</v>
      </c>
      <c r="F98" t="s">
        <v>277</v>
      </c>
      <c r="G98" s="12">
        <v>5.7925000000000004</v>
      </c>
      <c r="H98" s="12">
        <v>-75.786900000000003</v>
      </c>
      <c r="I98" t="s">
        <v>4685</v>
      </c>
      <c r="J98">
        <v>31</v>
      </c>
      <c r="K98" s="21">
        <v>161.94</v>
      </c>
      <c r="L98">
        <v>31</v>
      </c>
      <c r="M98" s="21">
        <v>161.93548390000001</v>
      </c>
    </row>
    <row r="99" spans="1:13" x14ac:dyDescent="0.25">
      <c r="A99" t="s">
        <v>4403</v>
      </c>
      <c r="B99" t="s">
        <v>4404</v>
      </c>
      <c r="C99" t="s">
        <v>65</v>
      </c>
      <c r="D99" t="s">
        <v>2414</v>
      </c>
      <c r="E99" t="s">
        <v>94</v>
      </c>
      <c r="F99" t="s">
        <v>277</v>
      </c>
      <c r="G99" s="12">
        <v>7.7577999999999996</v>
      </c>
      <c r="H99" s="12">
        <v>-76.654700000000005</v>
      </c>
      <c r="I99" t="s">
        <v>4685</v>
      </c>
      <c r="J99">
        <v>29</v>
      </c>
      <c r="K99" s="21">
        <v>161.97</v>
      </c>
      <c r="L99">
        <v>29</v>
      </c>
      <c r="M99" s="21">
        <v>161.96551719999999</v>
      </c>
    </row>
    <row r="100" spans="1:13" x14ac:dyDescent="0.25">
      <c r="A100" t="s">
        <v>4435</v>
      </c>
      <c r="B100" t="s">
        <v>4436</v>
      </c>
      <c r="C100" t="s">
        <v>65</v>
      </c>
      <c r="D100" t="s">
        <v>4298</v>
      </c>
      <c r="E100" t="s">
        <v>94</v>
      </c>
      <c r="F100" t="s">
        <v>277</v>
      </c>
      <c r="G100" s="12">
        <v>8.4285999999999994</v>
      </c>
      <c r="H100" s="12">
        <v>-76.786100000000005</v>
      </c>
      <c r="I100" t="s">
        <v>4685</v>
      </c>
      <c r="J100">
        <v>32</v>
      </c>
      <c r="K100" s="21">
        <v>168.44</v>
      </c>
      <c r="L100">
        <v>32</v>
      </c>
      <c r="M100" s="21">
        <v>168.4375</v>
      </c>
    </row>
    <row r="101" spans="1:13" x14ac:dyDescent="0.25">
      <c r="A101" t="s">
        <v>4470</v>
      </c>
      <c r="B101" t="s">
        <v>4471</v>
      </c>
      <c r="C101" t="s">
        <v>65</v>
      </c>
      <c r="D101" t="s">
        <v>2653</v>
      </c>
      <c r="E101" t="s">
        <v>94</v>
      </c>
      <c r="F101" t="s">
        <v>277</v>
      </c>
      <c r="G101" s="12">
        <v>7.0269000000000004</v>
      </c>
      <c r="H101" s="12">
        <v>-74.697500000000005</v>
      </c>
      <c r="I101" t="s">
        <v>4685</v>
      </c>
      <c r="J101">
        <v>59</v>
      </c>
      <c r="K101" s="21">
        <v>144.34</v>
      </c>
      <c r="L101">
        <v>59</v>
      </c>
      <c r="M101" s="21">
        <v>144.33898310000001</v>
      </c>
    </row>
    <row r="102" spans="1:13" x14ac:dyDescent="0.25">
      <c r="A102" t="s">
        <v>4532</v>
      </c>
      <c r="B102" t="s">
        <v>4533</v>
      </c>
      <c r="C102" t="s">
        <v>65</v>
      </c>
      <c r="D102" t="s">
        <v>3027</v>
      </c>
      <c r="E102" t="s">
        <v>94</v>
      </c>
      <c r="F102" t="s">
        <v>277</v>
      </c>
      <c r="G102" s="12">
        <v>7.2432999999999996</v>
      </c>
      <c r="H102" s="12">
        <v>-76.436099999999996</v>
      </c>
      <c r="I102" t="s">
        <v>4685</v>
      </c>
      <c r="J102">
        <v>24</v>
      </c>
      <c r="K102" s="21">
        <v>188.25</v>
      </c>
      <c r="L102">
        <v>24</v>
      </c>
      <c r="M102" s="21">
        <v>188.25</v>
      </c>
    </row>
    <row r="103" spans="1:13" x14ac:dyDescent="0.25">
      <c r="A103" t="s">
        <v>4559</v>
      </c>
      <c r="B103" t="s">
        <v>4560</v>
      </c>
      <c r="C103" t="s">
        <v>65</v>
      </c>
      <c r="D103" t="s">
        <v>4561</v>
      </c>
      <c r="E103" t="s">
        <v>94</v>
      </c>
      <c r="F103" t="s">
        <v>277</v>
      </c>
      <c r="G103" s="12">
        <v>6.1882999999999999</v>
      </c>
      <c r="H103" s="12">
        <v>-74.458470000000005</v>
      </c>
      <c r="I103" t="s">
        <v>4685</v>
      </c>
      <c r="J103">
        <v>31</v>
      </c>
      <c r="K103" s="21">
        <v>170.74</v>
      </c>
      <c r="L103">
        <v>31</v>
      </c>
      <c r="M103" s="21">
        <v>170.74193550000001</v>
      </c>
    </row>
    <row r="104" spans="1:13" x14ac:dyDescent="0.25">
      <c r="A104" t="s">
        <v>4594</v>
      </c>
      <c r="B104" t="s">
        <v>4595</v>
      </c>
      <c r="C104" t="s">
        <v>65</v>
      </c>
      <c r="D104" t="s">
        <v>4561</v>
      </c>
      <c r="E104" t="s">
        <v>94</v>
      </c>
      <c r="F104" t="s">
        <v>277</v>
      </c>
      <c r="G104" s="12">
        <v>6.1882999999999999</v>
      </c>
      <c r="H104" s="12">
        <v>-74.458470000000005</v>
      </c>
      <c r="I104" t="s">
        <v>4685</v>
      </c>
      <c r="J104">
        <v>24</v>
      </c>
      <c r="K104" s="21">
        <v>157</v>
      </c>
      <c r="L104">
        <v>24</v>
      </c>
      <c r="M104" s="21">
        <v>157</v>
      </c>
    </row>
    <row r="105" spans="1:13" x14ac:dyDescent="0.25">
      <c r="A105" t="s">
        <v>4621</v>
      </c>
      <c r="B105" t="s">
        <v>4622</v>
      </c>
      <c r="C105" t="s">
        <v>65</v>
      </c>
      <c r="D105" t="s">
        <v>2590</v>
      </c>
      <c r="E105" t="s">
        <v>94</v>
      </c>
      <c r="F105" t="s">
        <v>277</v>
      </c>
      <c r="G105" s="12">
        <v>6.2186000000000003</v>
      </c>
      <c r="H105" s="12">
        <v>-75.241699999999994</v>
      </c>
      <c r="I105" t="s">
        <v>4685</v>
      </c>
      <c r="J105">
        <v>23</v>
      </c>
      <c r="K105" s="21">
        <v>164.91</v>
      </c>
      <c r="L105">
        <v>23</v>
      </c>
      <c r="M105" s="21">
        <v>164.91304349999999</v>
      </c>
    </row>
  </sheetData>
  <autoFilter ref="A4:M10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0" customWidth="1"/>
    <col min="2" max="2" width="46" customWidth="1"/>
    <col min="3" max="3" width="14" customWidth="1"/>
    <col min="4" max="4" width="8" customWidth="1"/>
    <col min="5" max="5" width="10" customWidth="1"/>
    <col min="6" max="6" width="14" customWidth="1"/>
    <col min="7" max="7" width="16" customWidth="1"/>
    <col min="8" max="8" width="20" customWidth="1"/>
    <col min="9" max="9" width="12" customWidth="1"/>
    <col min="10" max="10" width="10" customWidth="1"/>
  </cols>
  <sheetData>
    <row r="1" spans="1:10" ht="18.75" x14ac:dyDescent="0.3">
      <c r="A1" s="1" t="s">
        <v>4686</v>
      </c>
    </row>
    <row r="2" spans="1:10" x14ac:dyDescent="0.25">
      <c r="A2" s="8" t="s">
        <v>4687</v>
      </c>
    </row>
    <row r="4" spans="1:10" x14ac:dyDescent="0.25">
      <c r="A4" s="3" t="s">
        <v>4688</v>
      </c>
      <c r="B4" s="3" t="s">
        <v>4689</v>
      </c>
      <c r="C4" s="3" t="s">
        <v>4690</v>
      </c>
      <c r="D4" s="3" t="s">
        <v>53</v>
      </c>
      <c r="E4" s="3" t="s">
        <v>4691</v>
      </c>
      <c r="F4" s="3" t="s">
        <v>84</v>
      </c>
      <c r="G4" s="3" t="s">
        <v>83</v>
      </c>
      <c r="H4" s="3" t="s">
        <v>86</v>
      </c>
      <c r="I4" s="3" t="s">
        <v>85</v>
      </c>
      <c r="J4" s="3" t="s">
        <v>87</v>
      </c>
    </row>
    <row r="5" spans="1:10" x14ac:dyDescent="0.25">
      <c r="A5">
        <v>20224</v>
      </c>
      <c r="B5" t="s">
        <v>4692</v>
      </c>
      <c r="C5" t="s">
        <v>4693</v>
      </c>
      <c r="D5">
        <v>232</v>
      </c>
      <c r="E5">
        <v>347.1</v>
      </c>
      <c r="F5">
        <v>71.8</v>
      </c>
      <c r="G5">
        <v>68.3</v>
      </c>
      <c r="H5">
        <v>66.5</v>
      </c>
      <c r="I5">
        <v>66.599999999999994</v>
      </c>
      <c r="J5">
        <v>82.5</v>
      </c>
    </row>
    <row r="6" spans="1:10" x14ac:dyDescent="0.25">
      <c r="A6">
        <v>20224</v>
      </c>
      <c r="B6" t="s">
        <v>4694</v>
      </c>
      <c r="C6" t="s">
        <v>4693</v>
      </c>
      <c r="D6">
        <v>120</v>
      </c>
      <c r="E6">
        <v>337.2</v>
      </c>
      <c r="F6">
        <v>69.099999999999994</v>
      </c>
      <c r="G6">
        <v>67.7</v>
      </c>
      <c r="H6">
        <v>63.9</v>
      </c>
      <c r="I6">
        <v>65.400000000000006</v>
      </c>
      <c r="J6">
        <v>78.5</v>
      </c>
    </row>
    <row r="7" spans="1:10" x14ac:dyDescent="0.25">
      <c r="A7">
        <v>20224</v>
      </c>
      <c r="B7" t="s">
        <v>4695</v>
      </c>
      <c r="C7" t="s">
        <v>4693</v>
      </c>
      <c r="D7">
        <v>34</v>
      </c>
      <c r="E7">
        <v>331.8</v>
      </c>
      <c r="F7">
        <v>68</v>
      </c>
      <c r="G7">
        <v>66.599999999999994</v>
      </c>
      <c r="H7">
        <v>64.8</v>
      </c>
      <c r="I7">
        <v>62.9</v>
      </c>
      <c r="J7">
        <v>75.8</v>
      </c>
    </row>
    <row r="8" spans="1:10" x14ac:dyDescent="0.25">
      <c r="A8">
        <v>20224</v>
      </c>
      <c r="B8" t="s">
        <v>4696</v>
      </c>
      <c r="C8" t="s">
        <v>4697</v>
      </c>
      <c r="D8">
        <v>16</v>
      </c>
      <c r="E8">
        <v>315.89999999999998</v>
      </c>
      <c r="F8">
        <v>65.900000000000006</v>
      </c>
      <c r="G8">
        <v>64.400000000000006</v>
      </c>
      <c r="H8">
        <v>61.4</v>
      </c>
      <c r="I8">
        <v>61.9</v>
      </c>
      <c r="J8">
        <v>60.6</v>
      </c>
    </row>
    <row r="9" spans="1:10" x14ac:dyDescent="0.25">
      <c r="A9">
        <v>20224</v>
      </c>
      <c r="B9" t="s">
        <v>4698</v>
      </c>
      <c r="C9" t="s">
        <v>4693</v>
      </c>
      <c r="D9">
        <v>86</v>
      </c>
      <c r="E9">
        <v>310.8</v>
      </c>
      <c r="F9">
        <v>61.6</v>
      </c>
      <c r="G9">
        <v>64.900000000000006</v>
      </c>
      <c r="H9">
        <v>58.7</v>
      </c>
      <c r="I9">
        <v>60.3</v>
      </c>
      <c r="J9">
        <v>72</v>
      </c>
    </row>
    <row r="10" spans="1:10" x14ac:dyDescent="0.25">
      <c r="A10">
        <v>20224</v>
      </c>
      <c r="B10" t="s">
        <v>4699</v>
      </c>
      <c r="C10" t="s">
        <v>4693</v>
      </c>
      <c r="D10">
        <v>118</v>
      </c>
      <c r="E10">
        <v>310.7</v>
      </c>
      <c r="F10">
        <v>63.5</v>
      </c>
      <c r="G10">
        <v>63.7</v>
      </c>
      <c r="H10">
        <v>60.6</v>
      </c>
      <c r="I10">
        <v>59.1</v>
      </c>
      <c r="J10">
        <v>67.5</v>
      </c>
    </row>
    <row r="11" spans="1:10" x14ac:dyDescent="0.25">
      <c r="A11">
        <v>20224</v>
      </c>
      <c r="B11" t="s">
        <v>4700</v>
      </c>
      <c r="C11" t="s">
        <v>4693</v>
      </c>
      <c r="D11">
        <v>104</v>
      </c>
      <c r="E11">
        <v>309.3</v>
      </c>
      <c r="F11">
        <v>60.8</v>
      </c>
      <c r="G11">
        <v>64.3</v>
      </c>
      <c r="H11">
        <v>57.9</v>
      </c>
      <c r="I11">
        <v>60.6</v>
      </c>
      <c r="J11">
        <v>73.400000000000006</v>
      </c>
    </row>
    <row r="12" spans="1:10" x14ac:dyDescent="0.25">
      <c r="A12">
        <v>20224</v>
      </c>
      <c r="B12" t="s">
        <v>4701</v>
      </c>
      <c r="C12" t="s">
        <v>4693</v>
      </c>
      <c r="D12">
        <v>260</v>
      </c>
      <c r="E12">
        <v>306.2</v>
      </c>
      <c r="F12">
        <v>63.3</v>
      </c>
      <c r="G12">
        <v>62.5</v>
      </c>
      <c r="H12">
        <v>59.4</v>
      </c>
      <c r="I12">
        <v>57.5</v>
      </c>
      <c r="J12">
        <v>68</v>
      </c>
    </row>
    <row r="13" spans="1:10" x14ac:dyDescent="0.25">
      <c r="A13">
        <v>20224</v>
      </c>
      <c r="B13" t="s">
        <v>4702</v>
      </c>
      <c r="C13" t="s">
        <v>4693</v>
      </c>
      <c r="D13">
        <v>226</v>
      </c>
      <c r="E13">
        <v>302.3</v>
      </c>
      <c r="F13">
        <v>61.7</v>
      </c>
      <c r="G13">
        <v>62</v>
      </c>
      <c r="H13">
        <v>58.5</v>
      </c>
      <c r="I13">
        <v>56.9</v>
      </c>
      <c r="J13">
        <v>68.8</v>
      </c>
    </row>
    <row r="14" spans="1:10" x14ac:dyDescent="0.25">
      <c r="A14">
        <v>20224</v>
      </c>
      <c r="B14" t="s">
        <v>4703</v>
      </c>
      <c r="C14" t="s">
        <v>4693</v>
      </c>
      <c r="D14">
        <v>44</v>
      </c>
      <c r="E14">
        <v>290.8</v>
      </c>
      <c r="F14">
        <v>53.2</v>
      </c>
      <c r="G14">
        <v>61.6</v>
      </c>
      <c r="H14">
        <v>55.5</v>
      </c>
      <c r="I14">
        <v>58.6</v>
      </c>
      <c r="J14">
        <v>68.900000000000006</v>
      </c>
    </row>
    <row r="15" spans="1:10" x14ac:dyDescent="0.25">
      <c r="A15">
        <v>20224</v>
      </c>
      <c r="B15" t="s">
        <v>4704</v>
      </c>
      <c r="C15" t="s">
        <v>4693</v>
      </c>
      <c r="D15">
        <v>66</v>
      </c>
      <c r="E15">
        <v>289.2</v>
      </c>
      <c r="F15">
        <v>57.4</v>
      </c>
      <c r="G15">
        <v>59.9</v>
      </c>
      <c r="H15">
        <v>54.2</v>
      </c>
      <c r="I15">
        <v>55.7</v>
      </c>
      <c r="J15">
        <v>70.2</v>
      </c>
    </row>
    <row r="16" spans="1:10" x14ac:dyDescent="0.25">
      <c r="A16">
        <v>20224</v>
      </c>
      <c r="B16" t="s">
        <v>4705</v>
      </c>
      <c r="C16" t="s">
        <v>4693</v>
      </c>
      <c r="D16">
        <v>18</v>
      </c>
      <c r="E16">
        <v>285.8</v>
      </c>
      <c r="F16">
        <v>54.9</v>
      </c>
      <c r="G16">
        <v>60.3</v>
      </c>
      <c r="H16">
        <v>55.1</v>
      </c>
      <c r="I16">
        <v>54.3</v>
      </c>
      <c r="J16">
        <v>69</v>
      </c>
    </row>
    <row r="17" spans="1:10" x14ac:dyDescent="0.25">
      <c r="A17">
        <v>20224</v>
      </c>
      <c r="B17" t="s">
        <v>4706</v>
      </c>
      <c r="C17" t="s">
        <v>4697</v>
      </c>
      <c r="D17">
        <v>328</v>
      </c>
      <c r="E17">
        <v>284.89999999999998</v>
      </c>
      <c r="F17">
        <v>58.2</v>
      </c>
      <c r="G17">
        <v>58.5</v>
      </c>
      <c r="H17">
        <v>55.6</v>
      </c>
      <c r="I17">
        <v>54.8</v>
      </c>
      <c r="J17">
        <v>59.3</v>
      </c>
    </row>
    <row r="18" spans="1:10" x14ac:dyDescent="0.25">
      <c r="A18">
        <v>20224</v>
      </c>
      <c r="B18" t="s">
        <v>4707</v>
      </c>
      <c r="C18" t="s">
        <v>4693</v>
      </c>
      <c r="D18">
        <v>180</v>
      </c>
      <c r="E18">
        <v>284.5</v>
      </c>
      <c r="F18">
        <v>56.4</v>
      </c>
      <c r="G18">
        <v>60.7</v>
      </c>
      <c r="H18">
        <v>53.3</v>
      </c>
      <c r="I18">
        <v>55.1</v>
      </c>
      <c r="J18">
        <v>63.4</v>
      </c>
    </row>
    <row r="19" spans="1:10" x14ac:dyDescent="0.25">
      <c r="A19">
        <v>20224</v>
      </c>
      <c r="B19" t="s">
        <v>4708</v>
      </c>
      <c r="C19" t="s">
        <v>4693</v>
      </c>
      <c r="D19">
        <v>50</v>
      </c>
      <c r="E19">
        <v>283.39999999999998</v>
      </c>
      <c r="F19">
        <v>56.3</v>
      </c>
      <c r="G19">
        <v>59.5</v>
      </c>
      <c r="H19">
        <v>52.6</v>
      </c>
      <c r="I19">
        <v>52.6</v>
      </c>
      <c r="J19">
        <v>73.599999999999994</v>
      </c>
    </row>
    <row r="20" spans="1:10" x14ac:dyDescent="0.25">
      <c r="A20">
        <v>20224</v>
      </c>
      <c r="B20" t="s">
        <v>4709</v>
      </c>
      <c r="C20" t="s">
        <v>4697</v>
      </c>
      <c r="D20">
        <v>352</v>
      </c>
      <c r="E20">
        <v>282.89999999999998</v>
      </c>
      <c r="F20">
        <v>56.3</v>
      </c>
      <c r="G20">
        <v>59.4</v>
      </c>
      <c r="H20">
        <v>54.4</v>
      </c>
      <c r="I20">
        <v>54.8</v>
      </c>
      <c r="J20">
        <v>61.1</v>
      </c>
    </row>
    <row r="21" spans="1:10" x14ac:dyDescent="0.25">
      <c r="A21">
        <v>20224</v>
      </c>
      <c r="B21" t="s">
        <v>4710</v>
      </c>
      <c r="C21" t="s">
        <v>4697</v>
      </c>
      <c r="D21">
        <v>126</v>
      </c>
      <c r="E21">
        <v>281.60000000000002</v>
      </c>
      <c r="F21">
        <v>55.6</v>
      </c>
      <c r="G21">
        <v>59.3</v>
      </c>
      <c r="H21">
        <v>54.1</v>
      </c>
      <c r="I21">
        <v>55.1</v>
      </c>
      <c r="J21">
        <v>60.2</v>
      </c>
    </row>
    <row r="22" spans="1:10" x14ac:dyDescent="0.25">
      <c r="A22">
        <v>20224</v>
      </c>
      <c r="B22" t="s">
        <v>4711</v>
      </c>
      <c r="C22" t="s">
        <v>4697</v>
      </c>
      <c r="D22">
        <v>180</v>
      </c>
      <c r="E22">
        <v>279.60000000000002</v>
      </c>
      <c r="F22">
        <v>56.1</v>
      </c>
      <c r="G22">
        <v>59.3</v>
      </c>
      <c r="H22">
        <v>53.5</v>
      </c>
      <c r="I22">
        <v>53.5</v>
      </c>
      <c r="J22">
        <v>59.9</v>
      </c>
    </row>
    <row r="23" spans="1:10" x14ac:dyDescent="0.25">
      <c r="A23">
        <v>20224</v>
      </c>
      <c r="B23" t="s">
        <v>4712</v>
      </c>
      <c r="C23" t="s">
        <v>4697</v>
      </c>
      <c r="D23">
        <v>58</v>
      </c>
      <c r="E23">
        <v>276.5</v>
      </c>
      <c r="F23">
        <v>55.3</v>
      </c>
      <c r="G23">
        <v>58.8</v>
      </c>
      <c r="H23">
        <v>54</v>
      </c>
      <c r="I23">
        <v>52</v>
      </c>
      <c r="J23">
        <v>58.7</v>
      </c>
    </row>
    <row r="24" spans="1:10" x14ac:dyDescent="0.25">
      <c r="A24">
        <v>20224</v>
      </c>
      <c r="B24" t="s">
        <v>4713</v>
      </c>
      <c r="C24" t="s">
        <v>4693</v>
      </c>
      <c r="D24">
        <v>20</v>
      </c>
      <c r="E24">
        <v>274.89999999999998</v>
      </c>
      <c r="F24">
        <v>55.2</v>
      </c>
      <c r="G24">
        <v>57.1</v>
      </c>
      <c r="H24">
        <v>52.7</v>
      </c>
      <c r="I24">
        <v>50</v>
      </c>
      <c r="J24">
        <v>69.7</v>
      </c>
    </row>
    <row r="25" spans="1:10" x14ac:dyDescent="0.25">
      <c r="A25">
        <v>20224</v>
      </c>
      <c r="B25" t="s">
        <v>4714</v>
      </c>
      <c r="C25" t="s">
        <v>4697</v>
      </c>
      <c r="D25">
        <v>276</v>
      </c>
      <c r="E25">
        <v>272.7</v>
      </c>
      <c r="F25">
        <v>54.4</v>
      </c>
      <c r="G25">
        <v>58</v>
      </c>
      <c r="H25">
        <v>51.6</v>
      </c>
      <c r="I25">
        <v>52.7</v>
      </c>
      <c r="J25">
        <v>59.3</v>
      </c>
    </row>
    <row r="26" spans="1:10" x14ac:dyDescent="0.25">
      <c r="A26">
        <v>20224</v>
      </c>
      <c r="B26" t="s">
        <v>4715</v>
      </c>
      <c r="C26" t="s">
        <v>4697</v>
      </c>
      <c r="D26">
        <v>66</v>
      </c>
      <c r="E26">
        <v>270.3</v>
      </c>
      <c r="F26">
        <v>52.8</v>
      </c>
      <c r="G26">
        <v>57.3</v>
      </c>
      <c r="H26">
        <v>52.9</v>
      </c>
      <c r="I26">
        <v>52.2</v>
      </c>
      <c r="J26">
        <v>56.6</v>
      </c>
    </row>
    <row r="27" spans="1:10" x14ac:dyDescent="0.25">
      <c r="A27">
        <v>20224</v>
      </c>
      <c r="B27" t="s">
        <v>4716</v>
      </c>
      <c r="C27" t="s">
        <v>4693</v>
      </c>
      <c r="D27">
        <v>40</v>
      </c>
      <c r="E27">
        <v>269.7</v>
      </c>
      <c r="F27">
        <v>53.8</v>
      </c>
      <c r="G27">
        <v>56.2</v>
      </c>
      <c r="H27">
        <v>51.7</v>
      </c>
      <c r="I27">
        <v>50.1</v>
      </c>
      <c r="J27">
        <v>65.599999999999994</v>
      </c>
    </row>
    <row r="28" spans="1:10" x14ac:dyDescent="0.25">
      <c r="A28">
        <v>20224</v>
      </c>
      <c r="B28" t="s">
        <v>4717</v>
      </c>
      <c r="C28" t="s">
        <v>4697</v>
      </c>
      <c r="D28">
        <v>76</v>
      </c>
      <c r="E28">
        <v>267.60000000000002</v>
      </c>
      <c r="F28">
        <v>48.9</v>
      </c>
      <c r="G28">
        <v>57.2</v>
      </c>
      <c r="H28">
        <v>53.2</v>
      </c>
      <c r="I28">
        <v>53.5</v>
      </c>
      <c r="J28">
        <v>57.1</v>
      </c>
    </row>
    <row r="29" spans="1:10" x14ac:dyDescent="0.25">
      <c r="A29">
        <v>20224</v>
      </c>
      <c r="B29" t="s">
        <v>4718</v>
      </c>
      <c r="C29" t="s">
        <v>4697</v>
      </c>
      <c r="D29">
        <v>232</v>
      </c>
      <c r="E29">
        <v>264.39999999999998</v>
      </c>
      <c r="F29">
        <v>52.9</v>
      </c>
      <c r="G29">
        <v>56</v>
      </c>
      <c r="H29">
        <v>50.9</v>
      </c>
      <c r="I29">
        <v>51.1</v>
      </c>
      <c r="J29">
        <v>54.8</v>
      </c>
    </row>
    <row r="30" spans="1:10" x14ac:dyDescent="0.25">
      <c r="A30">
        <v>20224</v>
      </c>
      <c r="B30" t="s">
        <v>4719</v>
      </c>
      <c r="C30" t="s">
        <v>4697</v>
      </c>
      <c r="D30">
        <v>72</v>
      </c>
      <c r="E30">
        <v>263.7</v>
      </c>
      <c r="F30">
        <v>54.2</v>
      </c>
      <c r="G30">
        <v>55.1</v>
      </c>
      <c r="H30">
        <v>51</v>
      </c>
      <c r="I30">
        <v>49.4</v>
      </c>
      <c r="J30">
        <v>56.1</v>
      </c>
    </row>
    <row r="31" spans="1:10" x14ac:dyDescent="0.25">
      <c r="A31">
        <v>20224</v>
      </c>
      <c r="B31" t="s">
        <v>4720</v>
      </c>
      <c r="C31" t="s">
        <v>4697</v>
      </c>
      <c r="D31">
        <v>80</v>
      </c>
      <c r="E31">
        <v>260.3</v>
      </c>
      <c r="F31">
        <v>50.4</v>
      </c>
      <c r="G31">
        <v>54.9</v>
      </c>
      <c r="H31">
        <v>51.6</v>
      </c>
      <c r="I31">
        <v>50</v>
      </c>
      <c r="J31">
        <v>55.8</v>
      </c>
    </row>
    <row r="32" spans="1:10" x14ac:dyDescent="0.25">
      <c r="A32">
        <v>20224</v>
      </c>
      <c r="B32" t="s">
        <v>4721</v>
      </c>
      <c r="C32" t="s">
        <v>4693</v>
      </c>
      <c r="D32">
        <v>2</v>
      </c>
      <c r="E32">
        <v>253</v>
      </c>
      <c r="F32">
        <v>50</v>
      </c>
      <c r="G32">
        <v>54</v>
      </c>
      <c r="H32">
        <v>48</v>
      </c>
      <c r="I32">
        <v>50</v>
      </c>
      <c r="J32">
        <v>52</v>
      </c>
    </row>
    <row r="33" spans="1:10" x14ac:dyDescent="0.25">
      <c r="A33">
        <v>20224</v>
      </c>
      <c r="B33" t="s">
        <v>4722</v>
      </c>
      <c r="C33" t="s">
        <v>4697</v>
      </c>
      <c r="D33">
        <v>358</v>
      </c>
      <c r="E33">
        <v>250.9</v>
      </c>
      <c r="F33">
        <v>49</v>
      </c>
      <c r="G33">
        <v>53.7</v>
      </c>
      <c r="H33">
        <v>48.6</v>
      </c>
      <c r="I33">
        <v>48.5</v>
      </c>
      <c r="J33">
        <v>52.9</v>
      </c>
    </row>
    <row r="34" spans="1:10" x14ac:dyDescent="0.25">
      <c r="A34">
        <v>20224</v>
      </c>
      <c r="B34" t="s">
        <v>4723</v>
      </c>
      <c r="C34" t="s">
        <v>4697</v>
      </c>
      <c r="D34">
        <v>100</v>
      </c>
      <c r="E34">
        <v>246.7</v>
      </c>
      <c r="F34">
        <v>49.3</v>
      </c>
      <c r="G34">
        <v>52.6</v>
      </c>
      <c r="H34">
        <v>47.5</v>
      </c>
      <c r="I34">
        <v>46.9</v>
      </c>
      <c r="J34">
        <v>52.2</v>
      </c>
    </row>
    <row r="35" spans="1:10" x14ac:dyDescent="0.25">
      <c r="A35">
        <v>20224</v>
      </c>
      <c r="B35" t="s">
        <v>4724</v>
      </c>
      <c r="C35" t="s">
        <v>4693</v>
      </c>
      <c r="D35">
        <v>92</v>
      </c>
      <c r="E35">
        <v>240.9</v>
      </c>
      <c r="F35">
        <v>47.1</v>
      </c>
      <c r="G35">
        <v>52.8</v>
      </c>
      <c r="H35">
        <v>46.7</v>
      </c>
      <c r="I35">
        <v>45.5</v>
      </c>
      <c r="J35">
        <v>49.9</v>
      </c>
    </row>
    <row r="36" spans="1:10" x14ac:dyDescent="0.25">
      <c r="A36">
        <v>20224</v>
      </c>
      <c r="B36" t="s">
        <v>4725</v>
      </c>
      <c r="C36" t="s">
        <v>4693</v>
      </c>
      <c r="D36">
        <v>30</v>
      </c>
      <c r="E36">
        <v>237.2</v>
      </c>
      <c r="F36">
        <v>47.5</v>
      </c>
      <c r="G36">
        <v>50.6</v>
      </c>
      <c r="H36">
        <v>45.1</v>
      </c>
      <c r="I36">
        <v>45.4</v>
      </c>
      <c r="J36">
        <v>51.1</v>
      </c>
    </row>
    <row r="37" spans="1:10" x14ac:dyDescent="0.25">
      <c r="A37">
        <v>20224</v>
      </c>
      <c r="B37" t="s">
        <v>4726</v>
      </c>
      <c r="C37" t="s">
        <v>4693</v>
      </c>
      <c r="D37">
        <v>96</v>
      </c>
      <c r="E37">
        <v>232.1</v>
      </c>
      <c r="F37">
        <v>45.1</v>
      </c>
      <c r="G37">
        <v>48.9</v>
      </c>
      <c r="H37">
        <v>45.5</v>
      </c>
      <c r="I37">
        <v>43.7</v>
      </c>
      <c r="J37">
        <v>53.9</v>
      </c>
    </row>
    <row r="38" spans="1:10" x14ac:dyDescent="0.25">
      <c r="A38">
        <v>20224</v>
      </c>
      <c r="B38" t="s">
        <v>4727</v>
      </c>
      <c r="C38" t="s">
        <v>4697</v>
      </c>
      <c r="D38">
        <v>152</v>
      </c>
      <c r="E38">
        <v>231.5</v>
      </c>
      <c r="F38">
        <v>46.3</v>
      </c>
      <c r="G38">
        <v>49.5</v>
      </c>
      <c r="H38">
        <v>45.2</v>
      </c>
      <c r="I38">
        <v>43.8</v>
      </c>
      <c r="J38">
        <v>47.5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1_Presentacion</vt:lpstr>
      <vt:lpstr>2_Datos</vt:lpstr>
      <vt:lpstr>3_Histograma</vt:lpstr>
      <vt:lpstr>4_Instituciones</vt:lpstr>
      <vt:lpstr>5_Referencia_ICFES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Consolidado Saber 11 Antioquia, Unidad 2 Entrega 1</dc:title>
  <dc:creator>Andres Serrano</dc:creator>
  <cp:lastModifiedBy>Andres Serrano</cp:lastModifiedBy>
  <dcterms:created xsi:type="dcterms:W3CDTF">2026-07-24T16:22:10Z</dcterms:created>
  <dcterms:modified xsi:type="dcterms:W3CDTF">2026-07-24T16:23:48Z</dcterms:modified>
</cp:coreProperties>
</file>